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13_ncr:1_{4C12FE3C-10C9-4737-B9E7-2D7B5108D8F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MCU Details" sheetId="1" r:id="rId1"/>
    <sheet name="Sheet1" sheetId="7" r:id="rId2"/>
    <sheet name="Sheet2" sheetId="6" r:id="rId3"/>
    <sheet name="PRAVAH" sheetId="2" r:id="rId4"/>
    <sheet name="Summary" sheetId="3" r:id="rId5"/>
  </sheets>
  <definedNames>
    <definedName name="_xlnm._FilterDatabase" localSheetId="0" hidden="1">'AMCU Details'!$A$2:$CK$1004</definedName>
    <definedName name="_xlnm._FilterDatabase" localSheetId="1" hidden="1">Sheet1!$B$2:$AB$369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60" i="7" l="1"/>
  <c r="V389" i="7"/>
  <c r="AA365" i="7"/>
  <c r="AA364" i="7" l="1"/>
  <c r="AA361" i="7"/>
  <c r="AA304" i="7" l="1"/>
  <c r="AA355" i="7"/>
  <c r="AA356" i="7"/>
  <c r="AA353" i="7"/>
  <c r="AA7" i="7"/>
  <c r="AA369" i="7" l="1"/>
  <c r="AD369" i="7" s="1"/>
  <c r="AF308" i="7" l="1"/>
  <c r="AF92" i="7"/>
  <c r="AA368" i="7" l="1"/>
  <c r="AD368" i="7" s="1"/>
  <c r="AA367" i="7"/>
  <c r="AD367" i="7" s="1"/>
  <c r="AA366" i="7" l="1"/>
  <c r="AD366" i="7" s="1"/>
  <c r="AA72" i="7" l="1"/>
  <c r="AA55" i="7"/>
  <c r="AA14" i="7"/>
  <c r="AF42" i="7"/>
  <c r="AF73" i="7" l="1"/>
  <c r="AA362" i="7" l="1"/>
  <c r="AD362" i="7" s="1"/>
  <c r="AD361" i="7"/>
  <c r="AA363" i="7"/>
  <c r="AD363" i="7" s="1"/>
  <c r="AD360" i="7"/>
  <c r="AA350" i="7"/>
  <c r="AD350" i="7" s="1"/>
  <c r="AD364" i="7"/>
  <c r="AA359" i="7"/>
  <c r="AD359" i="7" s="1"/>
  <c r="AA358" i="7"/>
  <c r="AD358" i="7" s="1"/>
  <c r="AA357" i="7"/>
  <c r="AD357" i="7" s="1"/>
  <c r="AD365" i="7"/>
  <c r="AD355" i="7"/>
  <c r="AD353" i="7"/>
  <c r="AA351" i="7"/>
  <c r="AD351" i="7" s="1"/>
  <c r="AA352" i="7"/>
  <c r="AD352" i="7" s="1"/>
  <c r="AD356" i="7"/>
  <c r="AA354" i="7"/>
  <c r="AD354" i="7" s="1"/>
  <c r="AF331" i="7" l="1"/>
  <c r="AF324" i="7"/>
  <c r="AF323" i="7"/>
  <c r="AA346" i="7"/>
  <c r="AD346" i="7" s="1"/>
  <c r="AA3" i="7"/>
  <c r="AA338" i="7" l="1"/>
  <c r="AD338" i="7" s="1"/>
  <c r="AA337" i="7"/>
  <c r="AD337" i="7" s="1"/>
  <c r="AA342" i="7"/>
  <c r="AD342" i="7" s="1"/>
  <c r="AA347" i="7"/>
  <c r="AD347" i="7" s="1"/>
  <c r="AA335" i="7"/>
  <c r="AD335" i="7" s="1"/>
  <c r="AA336" i="7"/>
  <c r="AD336" i="7" s="1"/>
  <c r="AA334" i="7"/>
  <c r="AD334" i="7" s="1"/>
  <c r="AA341" i="7"/>
  <c r="AD341" i="7" s="1"/>
  <c r="AA348" i="7"/>
  <c r="AD348" i="7" s="1"/>
  <c r="AA343" i="7"/>
  <c r="AD343" i="7" s="1"/>
  <c r="AA345" i="7"/>
  <c r="AD345" i="7" s="1"/>
  <c r="AA340" i="7"/>
  <c r="AD340" i="7" s="1"/>
  <c r="AA349" i="7"/>
  <c r="AD349" i="7" s="1"/>
  <c r="AA344" i="7"/>
  <c r="AD344" i="7" s="1"/>
  <c r="AA339" i="7"/>
  <c r="AD339" i="7" s="1"/>
  <c r="AA4" i="7" l="1"/>
  <c r="AA5" i="7"/>
  <c r="AA6" i="7"/>
  <c r="AA8" i="7"/>
  <c r="AA9" i="7"/>
  <c r="AA10" i="7"/>
  <c r="AA11" i="7"/>
  <c r="AA12" i="7"/>
  <c r="AA13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3" i="7"/>
  <c r="AA74" i="7"/>
  <c r="AA75" i="7"/>
  <c r="AA76" i="7"/>
  <c r="AA77" i="7"/>
  <c r="AA78" i="7"/>
  <c r="AA79" i="7"/>
  <c r="AA80" i="7"/>
  <c r="AA81" i="7"/>
  <c r="AA82" i="7"/>
  <c r="AA84" i="7"/>
  <c r="AA85" i="7"/>
  <c r="AA86" i="7"/>
  <c r="AA87" i="7"/>
  <c r="AA88" i="7"/>
  <c r="AA89" i="7"/>
  <c r="AA90" i="7"/>
  <c r="AA91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5" i="7"/>
  <c r="AA306" i="7"/>
  <c r="AA307" i="7"/>
  <c r="AA309" i="7"/>
  <c r="AA310" i="7"/>
  <c r="AA311" i="7"/>
  <c r="AA312" i="7"/>
  <c r="AA313" i="7"/>
  <c r="AA325" i="7"/>
  <c r="AA326" i="7"/>
  <c r="AA327" i="7"/>
  <c r="AA308" i="7"/>
  <c r="AA92" i="7"/>
  <c r="AA83" i="7"/>
  <c r="N371" i="7"/>
  <c r="AA324" i="7" l="1"/>
  <c r="AD324" i="7" s="1"/>
  <c r="AA332" i="7"/>
  <c r="AD332" i="7" s="1"/>
  <c r="AA320" i="7"/>
  <c r="AD320" i="7" s="1"/>
  <c r="AA328" i="7"/>
  <c r="AD328" i="7" s="1"/>
  <c r="AA319" i="7"/>
  <c r="AD319" i="7" s="1"/>
  <c r="AA333" i="7"/>
  <c r="AD333" i="7" s="1"/>
  <c r="AA321" i="7"/>
  <c r="AD321" i="7" s="1"/>
  <c r="AA331" i="7"/>
  <c r="AD331" i="7" s="1"/>
  <c r="AA330" i="7"/>
  <c r="AD330" i="7" s="1"/>
  <c r="AA323" i="7"/>
  <c r="AD323" i="7" s="1"/>
  <c r="AA329" i="7"/>
  <c r="AD329" i="7" s="1"/>
  <c r="AA317" i="7"/>
  <c r="AD317" i="7" s="1"/>
  <c r="AA322" i="7"/>
  <c r="AD322" i="7" s="1"/>
  <c r="AA318" i="7"/>
  <c r="AD318" i="7" s="1"/>
  <c r="AD326" i="7"/>
  <c r="AD325" i="7"/>
  <c r="AD327" i="7"/>
  <c r="AA316" i="7" l="1"/>
  <c r="AA315" i="7" l="1"/>
  <c r="AD315" i="7" s="1"/>
  <c r="AA314" i="7"/>
  <c r="AD314" i="7" s="1"/>
  <c r="AD316" i="7"/>
  <c r="AD6" i="7" l="1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4" i="7"/>
  <c r="AD85" i="7"/>
  <c r="AD86" i="7"/>
  <c r="AD87" i="7"/>
  <c r="AD88" i="7"/>
  <c r="AD89" i="7"/>
  <c r="AD90" i="7"/>
  <c r="AD91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9" i="7"/>
  <c r="AD310" i="7"/>
  <c r="AD311" i="7"/>
  <c r="AD312" i="7"/>
  <c r="AD313" i="7"/>
  <c r="AD25" i="7" l="1"/>
  <c r="AD83" i="7"/>
  <c r="AD308" i="7"/>
  <c r="AD92" i="7"/>
  <c r="AD55" i="7"/>
  <c r="S387" i="7" l="1"/>
  <c r="AA382" i="7"/>
  <c r="AA383" i="7"/>
  <c r="AA384" i="7"/>
  <c r="AA385" i="7"/>
  <c r="AA386" i="7"/>
  <c r="AA381" i="7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B10" i="3"/>
  <c r="U996" i="1"/>
  <c r="AI14" i="1"/>
  <c r="AV14" i="1"/>
  <c r="CK14" i="1"/>
  <c r="DK14" i="1"/>
  <c r="AI13" i="1"/>
  <c r="AV13" i="1"/>
  <c r="CK13" i="1"/>
  <c r="DK13" i="1"/>
  <c r="AI17" i="1"/>
  <c r="AV17" i="1"/>
  <c r="CK17" i="1"/>
  <c r="DK17" i="1"/>
  <c r="CX1" i="1"/>
  <c r="CZ1" i="1"/>
  <c r="CY1" i="1"/>
  <c r="CW1" i="1"/>
  <c r="AD5" i="7" l="1"/>
  <c r="O371" i="7"/>
  <c r="P371" i="7"/>
  <c r="AD3" i="7"/>
  <c r="AD4" i="7"/>
  <c r="Q14" i="1"/>
  <c r="L14" i="1" s="1"/>
  <c r="P14" i="1" s="1"/>
  <c r="Q13" i="1"/>
  <c r="L13" i="1" s="1"/>
  <c r="P13" i="1" s="1"/>
  <c r="Q17" i="1"/>
  <c r="L17" i="1" s="1"/>
  <c r="P17" i="1" s="1"/>
  <c r="AI12" i="1"/>
  <c r="AV12" i="1"/>
  <c r="CK12" i="1"/>
  <c r="DK12" i="1"/>
  <c r="AI10" i="1"/>
  <c r="AI11" i="1"/>
  <c r="AV10" i="1"/>
  <c r="AV11" i="1"/>
  <c r="CK10" i="1"/>
  <c r="CK11" i="1"/>
  <c r="DK10" i="1"/>
  <c r="DK11" i="1"/>
  <c r="AI730" i="1"/>
  <c r="AI731" i="1"/>
  <c r="AI732" i="1"/>
  <c r="AV730" i="1"/>
  <c r="AV731" i="1"/>
  <c r="AV732" i="1"/>
  <c r="CK730" i="1"/>
  <c r="CK731" i="1"/>
  <c r="CK732" i="1"/>
  <c r="DK730" i="1"/>
  <c r="DK731" i="1"/>
  <c r="DK732" i="1"/>
  <c r="AI15" i="1"/>
  <c r="AV15" i="1"/>
  <c r="CK15" i="1"/>
  <c r="DK15" i="1"/>
  <c r="AI16" i="1"/>
  <c r="AV16" i="1"/>
  <c r="CK16" i="1"/>
  <c r="DK16" i="1"/>
  <c r="AI8" i="1"/>
  <c r="AI9" i="1"/>
  <c r="AV8" i="1"/>
  <c r="AV9" i="1"/>
  <c r="CK8" i="1"/>
  <c r="CK9" i="1"/>
  <c r="DK8" i="1"/>
  <c r="DK9" i="1"/>
  <c r="DK28" i="1"/>
  <c r="DK3" i="1"/>
  <c r="AI21" i="1"/>
  <c r="AI22" i="1"/>
  <c r="AV21" i="1"/>
  <c r="AV22" i="1"/>
  <c r="CK21" i="1"/>
  <c r="CK22" i="1"/>
  <c r="DK21" i="1"/>
  <c r="DK22" i="1"/>
  <c r="AI30" i="1"/>
  <c r="AI31" i="1"/>
  <c r="AV30" i="1"/>
  <c r="AV31" i="1"/>
  <c r="CK30" i="1"/>
  <c r="CK31" i="1"/>
  <c r="DK30" i="1"/>
  <c r="DK31" i="1"/>
  <c r="AI28" i="1"/>
  <c r="AI29" i="1"/>
  <c r="AI32" i="1"/>
  <c r="AV28" i="1"/>
  <c r="AV29" i="1"/>
  <c r="AV32" i="1"/>
  <c r="CK28" i="1"/>
  <c r="CK29" i="1"/>
  <c r="CK32" i="1"/>
  <c r="DK29" i="1"/>
  <c r="DK32" i="1"/>
  <c r="CU1" i="1"/>
  <c r="Q12" i="1" l="1"/>
  <c r="L12" i="1" s="1"/>
  <c r="P12" i="1" s="1"/>
  <c r="Q11" i="1"/>
  <c r="L11" i="1" s="1"/>
  <c r="P11" i="1" s="1"/>
  <c r="Q10" i="1"/>
  <c r="L10" i="1" s="1"/>
  <c r="P10" i="1" s="1"/>
  <c r="Q732" i="1"/>
  <c r="L732" i="1" s="1"/>
  <c r="P732" i="1" s="1"/>
  <c r="Q731" i="1"/>
  <c r="L731" i="1" s="1"/>
  <c r="P731" i="1" s="1"/>
  <c r="Q730" i="1"/>
  <c r="L730" i="1" s="1"/>
  <c r="P730" i="1" s="1"/>
  <c r="Q21" i="1"/>
  <c r="L21" i="1" s="1"/>
  <c r="P21" i="1" s="1"/>
  <c r="Q15" i="1"/>
  <c r="L15" i="1" s="1"/>
  <c r="P15" i="1" s="1"/>
  <c r="Q16" i="1"/>
  <c r="L16" i="1" s="1"/>
  <c r="P16" i="1" s="1"/>
  <c r="Q9" i="1"/>
  <c r="L9" i="1" s="1"/>
  <c r="P9" i="1" s="1"/>
  <c r="Q8" i="1"/>
  <c r="L8" i="1" s="1"/>
  <c r="P8" i="1" s="1"/>
  <c r="Q22" i="1"/>
  <c r="L22" i="1" s="1"/>
  <c r="P22" i="1" s="1"/>
  <c r="Q30" i="1"/>
  <c r="L30" i="1" s="1"/>
  <c r="P30" i="1" s="1"/>
  <c r="Q31" i="1"/>
  <c r="L31" i="1" s="1"/>
  <c r="P31" i="1" s="1"/>
  <c r="Q32" i="1"/>
  <c r="L32" i="1" s="1"/>
  <c r="P32" i="1" s="1"/>
  <c r="Q29" i="1"/>
  <c r="L29" i="1" s="1"/>
  <c r="P29" i="1" s="1"/>
  <c r="Q28" i="1"/>
  <c r="L28" i="1" s="1"/>
  <c r="P28" i="1" s="1"/>
  <c r="CT1" i="1"/>
  <c r="AI92" i="1" l="1"/>
  <c r="AI93" i="1"/>
  <c r="AI94" i="1"/>
  <c r="AI95" i="1"/>
  <c r="AV92" i="1"/>
  <c r="AV93" i="1"/>
  <c r="AV94" i="1"/>
  <c r="AV95" i="1"/>
  <c r="CK92" i="1"/>
  <c r="CK93" i="1"/>
  <c r="CK94" i="1"/>
  <c r="CK95" i="1"/>
  <c r="DK92" i="1"/>
  <c r="DK93" i="1"/>
  <c r="DK94" i="1"/>
  <c r="DK95" i="1"/>
  <c r="AI20" i="1"/>
  <c r="AV20" i="1"/>
  <c r="CK20" i="1"/>
  <c r="DK20" i="1"/>
  <c r="AI23" i="1"/>
  <c r="AV23" i="1"/>
  <c r="CK23" i="1"/>
  <c r="DK23" i="1"/>
  <c r="AI47" i="1"/>
  <c r="AI48" i="1"/>
  <c r="AI49" i="1"/>
  <c r="AV47" i="1"/>
  <c r="AV48" i="1"/>
  <c r="AV49" i="1"/>
  <c r="CK47" i="1"/>
  <c r="CK48" i="1"/>
  <c r="CK49" i="1"/>
  <c r="DK47" i="1"/>
  <c r="DK48" i="1"/>
  <c r="DK49" i="1"/>
  <c r="AI33" i="1"/>
  <c r="AV33" i="1"/>
  <c r="CK33" i="1"/>
  <c r="DK33" i="1"/>
  <c r="AI832" i="1"/>
  <c r="AV832" i="1"/>
  <c r="CK832" i="1"/>
  <c r="DK832" i="1"/>
  <c r="CP1" i="1"/>
  <c r="DK57" i="1"/>
  <c r="CS1" i="1"/>
  <c r="DK19" i="1"/>
  <c r="DK45" i="1"/>
  <c r="DK56" i="1"/>
  <c r="DK4" i="1"/>
  <c r="DJ1" i="1"/>
  <c r="DI1" i="1"/>
  <c r="DH1" i="1"/>
  <c r="DG1" i="1"/>
  <c r="DF1" i="1"/>
  <c r="DE1" i="1"/>
  <c r="DD1" i="1"/>
  <c r="DC1" i="1"/>
  <c r="DB1" i="1"/>
  <c r="DA1" i="1"/>
  <c r="CV1" i="1"/>
  <c r="CR1" i="1"/>
  <c r="CQ1" i="1"/>
  <c r="AI27" i="1"/>
  <c r="AV27" i="1"/>
  <c r="CK27" i="1"/>
  <c r="DK27" i="1"/>
  <c r="AI24" i="1"/>
  <c r="AI25" i="1"/>
  <c r="AI26" i="1"/>
  <c r="AV24" i="1"/>
  <c r="AV25" i="1"/>
  <c r="AV26" i="1"/>
  <c r="CK24" i="1"/>
  <c r="CK25" i="1"/>
  <c r="CK26" i="1"/>
  <c r="DK25" i="1"/>
  <c r="DK26" i="1"/>
  <c r="AI18" i="1"/>
  <c r="AI19" i="1"/>
  <c r="AV18" i="1"/>
  <c r="AV19" i="1"/>
  <c r="CK18" i="1"/>
  <c r="CK19" i="1"/>
  <c r="DK18" i="1"/>
  <c r="AI41" i="1"/>
  <c r="AV41" i="1"/>
  <c r="CK41" i="1"/>
  <c r="DK41" i="1"/>
  <c r="AI45" i="1"/>
  <c r="AI46" i="1"/>
  <c r="AI50" i="1"/>
  <c r="AI51" i="1"/>
  <c r="AV45" i="1"/>
  <c r="AV46" i="1"/>
  <c r="AV50" i="1"/>
  <c r="AV51" i="1"/>
  <c r="CK45" i="1"/>
  <c r="CK46" i="1"/>
  <c r="CK50" i="1"/>
  <c r="CK51" i="1"/>
  <c r="DK50" i="1"/>
  <c r="DK51" i="1"/>
  <c r="AI57" i="1"/>
  <c r="AI58" i="1"/>
  <c r="AV57" i="1"/>
  <c r="AV58" i="1"/>
  <c r="CK57" i="1"/>
  <c r="CK58" i="1"/>
  <c r="DK58" i="1"/>
  <c r="AI55" i="1"/>
  <c r="AI56" i="1"/>
  <c r="AV55" i="1"/>
  <c r="AV56" i="1"/>
  <c r="CK55" i="1"/>
  <c r="CK56" i="1"/>
  <c r="DK55" i="1"/>
  <c r="AI61" i="1"/>
  <c r="AI62" i="1"/>
  <c r="AI63" i="1"/>
  <c r="AI64" i="1"/>
  <c r="AI65" i="1"/>
  <c r="AV61" i="1"/>
  <c r="AV62" i="1"/>
  <c r="AV63" i="1"/>
  <c r="AV64" i="1"/>
  <c r="AV65" i="1"/>
  <c r="CK61" i="1"/>
  <c r="CK62" i="1"/>
  <c r="CK63" i="1"/>
  <c r="CK64" i="1"/>
  <c r="CK65" i="1"/>
  <c r="AI44" i="1"/>
  <c r="AV44" i="1"/>
  <c r="CK44" i="1"/>
  <c r="AI59" i="1"/>
  <c r="AV59" i="1"/>
  <c r="CK59" i="1"/>
  <c r="AI53" i="1"/>
  <c r="AI54" i="1"/>
  <c r="AV53" i="1"/>
  <c r="AV54" i="1"/>
  <c r="CK53" i="1"/>
  <c r="CK54" i="1"/>
  <c r="AI38" i="1"/>
  <c r="AI39" i="1"/>
  <c r="AI40" i="1"/>
  <c r="AI42" i="1"/>
  <c r="AI43" i="1"/>
  <c r="AI52" i="1"/>
  <c r="AV38" i="1"/>
  <c r="AV39" i="1"/>
  <c r="AV40" i="1"/>
  <c r="AV42" i="1"/>
  <c r="AV43" i="1"/>
  <c r="AV52" i="1"/>
  <c r="CK38" i="1"/>
  <c r="CK39" i="1"/>
  <c r="CK40" i="1"/>
  <c r="CK42" i="1"/>
  <c r="CK43" i="1"/>
  <c r="CK52" i="1"/>
  <c r="AI69" i="1"/>
  <c r="AI70" i="1"/>
  <c r="AI71" i="1"/>
  <c r="AI72" i="1"/>
  <c r="AV69" i="1"/>
  <c r="AV70" i="1"/>
  <c r="AV71" i="1"/>
  <c r="AV72" i="1"/>
  <c r="CK69" i="1"/>
  <c r="CK70" i="1"/>
  <c r="CK71" i="1"/>
  <c r="CK72" i="1"/>
  <c r="AI66" i="1"/>
  <c r="AI67" i="1"/>
  <c r="AI68" i="1"/>
  <c r="AV66" i="1"/>
  <c r="AV67" i="1"/>
  <c r="AV68" i="1"/>
  <c r="CK66" i="1"/>
  <c r="CK67" i="1"/>
  <c r="CK68" i="1"/>
  <c r="AI60" i="1"/>
  <c r="AV60" i="1"/>
  <c r="CK60" i="1"/>
  <c r="CO1" i="1"/>
  <c r="CN1" i="1"/>
  <c r="CM1" i="1"/>
  <c r="CL1" i="1"/>
  <c r="Q92" i="1" l="1"/>
  <c r="L92" i="1" s="1"/>
  <c r="P92" i="1" s="1"/>
  <c r="Q95" i="1"/>
  <c r="L95" i="1" s="1"/>
  <c r="P95" i="1" s="1"/>
  <c r="Q94" i="1"/>
  <c r="L94" i="1" s="1"/>
  <c r="P94" i="1" s="1"/>
  <c r="Q93" i="1"/>
  <c r="L93" i="1" s="1"/>
  <c r="P93" i="1" s="1"/>
  <c r="Q20" i="1"/>
  <c r="L20" i="1" s="1"/>
  <c r="P20" i="1" s="1"/>
  <c r="Q23" i="1"/>
  <c r="L23" i="1" s="1"/>
  <c r="P23" i="1" s="1"/>
  <c r="Q49" i="1"/>
  <c r="L49" i="1" s="1"/>
  <c r="P49" i="1" s="1"/>
  <c r="Q48" i="1"/>
  <c r="L48" i="1" s="1"/>
  <c r="P48" i="1" s="1"/>
  <c r="Q47" i="1"/>
  <c r="L47" i="1" s="1"/>
  <c r="P47" i="1" s="1"/>
  <c r="Q33" i="1"/>
  <c r="L33" i="1" s="1"/>
  <c r="P33" i="1" s="1"/>
  <c r="Q832" i="1"/>
  <c r="L832" i="1" s="1"/>
  <c r="P832" i="1" s="1"/>
  <c r="DK46" i="1"/>
  <c r="Q46" i="1" s="1"/>
  <c r="L46" i="1" s="1"/>
  <c r="P46" i="1" s="1"/>
  <c r="DK24" i="1"/>
  <c r="Q24" i="1" s="1"/>
  <c r="L24" i="1" s="1"/>
  <c r="P24" i="1" s="1"/>
  <c r="Q27" i="1"/>
  <c r="L27" i="1" s="1"/>
  <c r="P27" i="1" s="1"/>
  <c r="Q26" i="1"/>
  <c r="L26" i="1" s="1"/>
  <c r="P26" i="1" s="1"/>
  <c r="Q25" i="1"/>
  <c r="L25" i="1" s="1"/>
  <c r="P25" i="1" s="1"/>
  <c r="Q18" i="1"/>
  <c r="L18" i="1" s="1"/>
  <c r="P18" i="1" s="1"/>
  <c r="Q19" i="1"/>
  <c r="L19" i="1" s="1"/>
  <c r="P19" i="1" s="1"/>
  <c r="Q41" i="1"/>
  <c r="L41" i="1" s="1"/>
  <c r="P41" i="1" s="1"/>
  <c r="Q51" i="1"/>
  <c r="L51" i="1" s="1"/>
  <c r="P51" i="1" s="1"/>
  <c r="Q50" i="1"/>
  <c r="L50" i="1" s="1"/>
  <c r="P50" i="1" s="1"/>
  <c r="Q45" i="1"/>
  <c r="L45" i="1" s="1"/>
  <c r="P45" i="1" s="1"/>
  <c r="Q58" i="1"/>
  <c r="L58" i="1" s="1"/>
  <c r="P58" i="1" s="1"/>
  <c r="Q57" i="1"/>
  <c r="L57" i="1" s="1"/>
  <c r="P57" i="1" s="1"/>
  <c r="Q56" i="1"/>
  <c r="L56" i="1" s="1"/>
  <c r="P56" i="1" s="1"/>
  <c r="Q55" i="1"/>
  <c r="L55" i="1" s="1"/>
  <c r="P55" i="1" s="1"/>
  <c r="M205" i="1"/>
  <c r="B11" i="2"/>
  <c r="J13" i="2"/>
  <c r="F15" i="2"/>
  <c r="J12" i="2"/>
  <c r="CF1" i="1" l="1"/>
  <c r="CK79" i="1"/>
  <c r="CK87" i="1"/>
  <c r="CK99" i="1"/>
  <c r="CK107" i="1"/>
  <c r="CK299" i="1"/>
  <c r="CG1" i="1"/>
  <c r="CK77" i="1"/>
  <c r="CH1" i="1"/>
  <c r="CK996" i="1"/>
  <c r="CK97" i="1"/>
  <c r="CI1" i="1"/>
  <c r="AI76" i="1"/>
  <c r="AV76" i="1"/>
  <c r="CK76" i="1"/>
  <c r="AI78" i="1"/>
  <c r="AI79" i="1"/>
  <c r="AV78" i="1"/>
  <c r="AV79" i="1"/>
  <c r="CK78" i="1"/>
  <c r="CK75" i="1"/>
  <c r="CK80" i="1"/>
  <c r="CK81" i="1"/>
  <c r="CK82" i="1"/>
  <c r="CK88" i="1"/>
  <c r="CK90" i="1"/>
  <c r="CK96" i="1"/>
  <c r="CK98" i="1"/>
  <c r="CK100" i="1"/>
  <c r="CK101" i="1"/>
  <c r="CK102" i="1"/>
  <c r="CK104" i="1"/>
  <c r="CK106" i="1"/>
  <c r="CK108" i="1"/>
  <c r="CK110" i="1"/>
  <c r="CK268" i="1"/>
  <c r="CK298" i="1"/>
  <c r="CK109" i="1"/>
  <c r="AI73" i="1"/>
  <c r="AI74" i="1"/>
  <c r="AI75" i="1"/>
  <c r="AI77" i="1"/>
  <c r="AV73" i="1"/>
  <c r="AV74" i="1"/>
  <c r="AV75" i="1"/>
  <c r="AV77" i="1"/>
  <c r="CK73" i="1"/>
  <c r="CK74" i="1"/>
  <c r="AI88" i="1"/>
  <c r="AV88" i="1"/>
  <c r="AI87" i="1"/>
  <c r="AV87" i="1"/>
  <c r="AI37" i="1"/>
  <c r="AI80" i="1"/>
  <c r="AI81" i="1"/>
  <c r="AI82" i="1"/>
  <c r="AI83" i="1"/>
  <c r="AI84" i="1"/>
  <c r="AI85" i="1"/>
  <c r="AI86" i="1"/>
  <c r="AV37" i="1"/>
  <c r="AV80" i="1"/>
  <c r="AV81" i="1"/>
  <c r="AV82" i="1"/>
  <c r="AV83" i="1"/>
  <c r="AV84" i="1"/>
  <c r="AV85" i="1"/>
  <c r="AV86" i="1"/>
  <c r="CK37" i="1"/>
  <c r="CK83" i="1"/>
  <c r="CK84" i="1"/>
  <c r="CK85" i="1"/>
  <c r="CK86" i="1"/>
  <c r="AI298" i="1"/>
  <c r="AI299" i="1"/>
  <c r="AV298" i="1"/>
  <c r="AV299" i="1"/>
  <c r="M765" i="1"/>
  <c r="M516" i="1"/>
  <c r="AI268" i="1"/>
  <c r="AV268" i="1"/>
  <c r="M733" i="1"/>
  <c r="AI90" i="1"/>
  <c r="AI91" i="1"/>
  <c r="AI96" i="1"/>
  <c r="AI97" i="1"/>
  <c r="AV90" i="1"/>
  <c r="AV91" i="1"/>
  <c r="AV96" i="1"/>
  <c r="AV97" i="1"/>
  <c r="CK91" i="1"/>
  <c r="AI103" i="1"/>
  <c r="AI104" i="1"/>
  <c r="AV103" i="1"/>
  <c r="AV104" i="1"/>
  <c r="CK103" i="1"/>
  <c r="AI996" i="1"/>
  <c r="AV996" i="1"/>
  <c r="M979" i="1"/>
  <c r="M902" i="1"/>
  <c r="M876" i="1"/>
  <c r="M923" i="1"/>
  <c r="M922" i="1"/>
  <c r="M875" i="1"/>
  <c r="AI101" i="1"/>
  <c r="AI102" i="1"/>
  <c r="AI105" i="1"/>
  <c r="AV101" i="1"/>
  <c r="AV102" i="1"/>
  <c r="AV105" i="1"/>
  <c r="CK105" i="1"/>
  <c r="AI100" i="1"/>
  <c r="AI106" i="1"/>
  <c r="AV100" i="1"/>
  <c r="AV106" i="1"/>
  <c r="AI108" i="1"/>
  <c r="AI109" i="1"/>
  <c r="AV108" i="1"/>
  <c r="AV109" i="1"/>
  <c r="AI110" i="1"/>
  <c r="AV110" i="1"/>
  <c r="AI98" i="1"/>
  <c r="AI99" i="1"/>
  <c r="AI107" i="1"/>
  <c r="AV98" i="1"/>
  <c r="AV99" i="1"/>
  <c r="AV107" i="1"/>
  <c r="M7" i="1"/>
  <c r="F5" i="3"/>
  <c r="M663" i="1" l="1"/>
  <c r="M410" i="1"/>
  <c r="AI258" i="1"/>
  <c r="AV258" i="1"/>
  <c r="CK258" i="1"/>
  <c r="B10" i="2"/>
  <c r="AI139" i="1" l="1"/>
  <c r="AI140" i="1"/>
  <c r="AI141" i="1"/>
  <c r="AI142" i="1"/>
  <c r="AV139" i="1"/>
  <c r="AV140" i="1"/>
  <c r="AV141" i="1"/>
  <c r="AV142" i="1"/>
  <c r="CK139" i="1"/>
  <c r="CK140" i="1"/>
  <c r="CK141" i="1"/>
  <c r="CK142" i="1"/>
  <c r="AI138" i="1"/>
  <c r="AV138" i="1"/>
  <c r="CK138" i="1"/>
  <c r="AI111" i="1"/>
  <c r="AI112" i="1"/>
  <c r="AV111" i="1"/>
  <c r="AV112" i="1"/>
  <c r="CK111" i="1"/>
  <c r="CK112" i="1"/>
  <c r="CK118" i="1"/>
  <c r="CK126" i="1"/>
  <c r="CK125" i="1"/>
  <c r="AI117" i="1"/>
  <c r="AI118" i="1"/>
  <c r="AI119" i="1"/>
  <c r="AI120" i="1"/>
  <c r="AI121" i="1"/>
  <c r="AI122" i="1"/>
  <c r="AI123" i="1"/>
  <c r="AI124" i="1"/>
  <c r="AV117" i="1"/>
  <c r="AV118" i="1"/>
  <c r="AV119" i="1"/>
  <c r="AV120" i="1"/>
  <c r="AV121" i="1"/>
  <c r="AV122" i="1"/>
  <c r="AV123" i="1"/>
  <c r="AV124" i="1"/>
  <c r="CK117" i="1"/>
  <c r="CK119" i="1"/>
  <c r="CK120" i="1"/>
  <c r="CK121" i="1"/>
  <c r="CK122" i="1"/>
  <c r="CK123" i="1"/>
  <c r="CK124" i="1"/>
  <c r="AI116" i="1"/>
  <c r="AV116" i="1"/>
  <c r="CK116" i="1"/>
  <c r="AI129" i="1"/>
  <c r="AI130" i="1"/>
  <c r="AI131" i="1"/>
  <c r="AI132" i="1"/>
  <c r="AV129" i="1"/>
  <c r="AV130" i="1"/>
  <c r="AV131" i="1"/>
  <c r="AV132" i="1"/>
  <c r="CK129" i="1"/>
  <c r="CK130" i="1"/>
  <c r="CK131" i="1"/>
  <c r="CK132" i="1"/>
  <c r="AI114" i="1"/>
  <c r="AV114" i="1"/>
  <c r="CK114" i="1"/>
  <c r="AI115" i="1"/>
  <c r="AV115" i="1"/>
  <c r="CK115" i="1"/>
  <c r="AI125" i="1"/>
  <c r="AV125" i="1"/>
  <c r="AI126" i="1"/>
  <c r="AV126" i="1"/>
  <c r="AI127" i="1"/>
  <c r="AV127" i="1"/>
  <c r="CK127" i="1"/>
  <c r="AI128" i="1"/>
  <c r="AV128" i="1"/>
  <c r="CK128" i="1"/>
  <c r="AI137" i="1"/>
  <c r="AV137" i="1"/>
  <c r="CK137" i="1"/>
  <c r="CE1" i="1"/>
  <c r="CC1" i="1"/>
  <c r="AI135" i="1" l="1"/>
  <c r="AI136" i="1"/>
  <c r="AV135" i="1"/>
  <c r="AV136" i="1"/>
  <c r="CK135" i="1"/>
  <c r="CK136" i="1"/>
  <c r="CK146" i="1"/>
  <c r="CK154" i="1"/>
  <c r="CK162" i="1"/>
  <c r="CK170" i="1"/>
  <c r="CB1" i="1"/>
  <c r="AI152" i="1"/>
  <c r="AI153" i="1"/>
  <c r="AI154" i="1"/>
  <c r="AI155" i="1"/>
  <c r="AI156" i="1"/>
  <c r="AV152" i="1"/>
  <c r="AV153" i="1"/>
  <c r="AV154" i="1"/>
  <c r="AV155" i="1"/>
  <c r="AV156" i="1"/>
  <c r="CK152" i="1"/>
  <c r="CK153" i="1"/>
  <c r="CK155" i="1"/>
  <c r="CK156" i="1"/>
  <c r="CA1" i="1"/>
  <c r="CK144" i="1"/>
  <c r="CK159" i="1"/>
  <c r="CK181" i="1"/>
  <c r="AI147" i="1"/>
  <c r="AI148" i="1"/>
  <c r="AI149" i="1"/>
  <c r="AI150" i="1"/>
  <c r="AI151" i="1"/>
  <c r="AV147" i="1"/>
  <c r="AV148" i="1"/>
  <c r="AV149" i="1"/>
  <c r="AV150" i="1"/>
  <c r="AV151" i="1"/>
  <c r="CK147" i="1"/>
  <c r="CK148" i="1"/>
  <c r="CK149" i="1"/>
  <c r="CK150" i="1"/>
  <c r="CK151" i="1"/>
  <c r="AI144" i="1"/>
  <c r="AI145" i="1"/>
  <c r="AI146" i="1"/>
  <c r="AV144" i="1"/>
  <c r="AV145" i="1"/>
  <c r="AV146" i="1"/>
  <c r="CK145" i="1"/>
  <c r="AI133" i="1"/>
  <c r="AI134" i="1"/>
  <c r="AI143" i="1"/>
  <c r="AV133" i="1"/>
  <c r="AV134" i="1"/>
  <c r="AV143" i="1"/>
  <c r="CK133" i="1"/>
  <c r="CK134" i="1"/>
  <c r="CK143" i="1"/>
  <c r="BZ1" i="1"/>
  <c r="CK161" i="1"/>
  <c r="AI89" i="1"/>
  <c r="AV89" i="1"/>
  <c r="CK89" i="1"/>
  <c r="AI113" i="1"/>
  <c r="AV113" i="1"/>
  <c r="CK113" i="1"/>
  <c r="AI159" i="1"/>
  <c r="AI160" i="1"/>
  <c r="AI161" i="1"/>
  <c r="AI162" i="1"/>
  <c r="AI163" i="1"/>
  <c r="AV159" i="1"/>
  <c r="AV160" i="1"/>
  <c r="AV161" i="1"/>
  <c r="AV162" i="1"/>
  <c r="AV163" i="1"/>
  <c r="CK160" i="1"/>
  <c r="CK163" i="1"/>
  <c r="AI180" i="1"/>
  <c r="AV180" i="1"/>
  <c r="CK180" i="1"/>
  <c r="AI181" i="1"/>
  <c r="AV181" i="1"/>
  <c r="AI182" i="1"/>
  <c r="AV182" i="1"/>
  <c r="CK182" i="1"/>
  <c r="BX1" i="1"/>
  <c r="CK176" i="1"/>
  <c r="CK168" i="1"/>
  <c r="CK169" i="1"/>
  <c r="BW1" i="1"/>
  <c r="AI169" i="1"/>
  <c r="AI170" i="1"/>
  <c r="AI171" i="1"/>
  <c r="AI172" i="1"/>
  <c r="AI173" i="1"/>
  <c r="AI174" i="1"/>
  <c r="AI175" i="1"/>
  <c r="AI176" i="1"/>
  <c r="AV169" i="1"/>
  <c r="AV170" i="1"/>
  <c r="AV171" i="1"/>
  <c r="AV172" i="1"/>
  <c r="AV173" i="1"/>
  <c r="AV174" i="1"/>
  <c r="AV175" i="1"/>
  <c r="AV176" i="1"/>
  <c r="CK171" i="1"/>
  <c r="CK172" i="1"/>
  <c r="CK173" i="1"/>
  <c r="CK174" i="1"/>
  <c r="CK175" i="1"/>
  <c r="AI168" i="1"/>
  <c r="AV168" i="1"/>
  <c r="M857" i="1"/>
  <c r="AI213" i="1" l="1"/>
  <c r="AV213" i="1"/>
  <c r="CK213" i="1"/>
  <c r="AI208" i="1"/>
  <c r="AI209" i="1"/>
  <c r="AV208" i="1"/>
  <c r="AV209" i="1"/>
  <c r="CK208" i="1"/>
  <c r="CK209" i="1"/>
  <c r="AI609" i="1" l="1"/>
  <c r="AI610" i="1"/>
  <c r="AI611" i="1"/>
  <c r="AI612" i="1"/>
  <c r="AV609" i="1"/>
  <c r="AV610" i="1"/>
  <c r="AV611" i="1"/>
  <c r="AV612" i="1"/>
  <c r="CK609" i="1"/>
  <c r="CK610" i="1"/>
  <c r="CK611" i="1"/>
  <c r="CK612" i="1"/>
  <c r="AI409" i="1"/>
  <c r="AV409" i="1"/>
  <c r="CK409" i="1"/>
  <c r="AI654" i="1"/>
  <c r="AI655" i="1"/>
  <c r="AI656" i="1"/>
  <c r="AI657" i="1"/>
  <c r="AV654" i="1"/>
  <c r="AV655" i="1"/>
  <c r="AV656" i="1"/>
  <c r="AV657" i="1"/>
  <c r="CK654" i="1"/>
  <c r="CK655" i="1"/>
  <c r="CK656" i="1"/>
  <c r="CK657" i="1"/>
  <c r="AI471" i="1"/>
  <c r="AI472" i="1"/>
  <c r="AI473" i="1"/>
  <c r="AV471" i="1"/>
  <c r="AV472" i="1"/>
  <c r="AV473" i="1"/>
  <c r="CK471" i="1"/>
  <c r="CK472" i="1"/>
  <c r="CK473" i="1"/>
  <c r="AI474" i="1"/>
  <c r="AI475" i="1"/>
  <c r="AV474" i="1"/>
  <c r="AV475" i="1"/>
  <c r="CK474" i="1"/>
  <c r="CK475" i="1"/>
  <c r="BV1" i="1" l="1"/>
  <c r="AI36" i="1" l="1"/>
  <c r="AI157" i="1"/>
  <c r="AI158" i="1"/>
  <c r="AV36" i="1"/>
  <c r="AV157" i="1"/>
  <c r="AV158" i="1"/>
  <c r="CK36" i="1"/>
  <c r="CK157" i="1"/>
  <c r="CK158" i="1"/>
  <c r="BU1" i="1"/>
  <c r="CK35" i="1"/>
  <c r="CK34" i="1"/>
  <c r="R177" i="1"/>
  <c r="AI34" i="1"/>
  <c r="AI35" i="1"/>
  <c r="AV34" i="1"/>
  <c r="AV35" i="1"/>
  <c r="BR1" i="1"/>
  <c r="BT1" i="1"/>
  <c r="O8" i="2" l="1"/>
  <c r="CK4" i="1"/>
  <c r="CK5" i="1"/>
  <c r="CK6" i="1"/>
  <c r="CK7" i="1"/>
  <c r="CK164" i="1"/>
  <c r="CK165" i="1"/>
  <c r="CK166" i="1"/>
  <c r="CK167" i="1"/>
  <c r="CK177" i="1"/>
  <c r="CK178" i="1"/>
  <c r="CK179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10" i="1"/>
  <c r="CK211" i="1"/>
  <c r="CK212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9" i="1"/>
  <c r="CK260" i="1"/>
  <c r="CK261" i="1"/>
  <c r="CK262" i="1"/>
  <c r="CK263" i="1"/>
  <c r="CK264" i="1"/>
  <c r="CK265" i="1"/>
  <c r="CK266" i="1"/>
  <c r="CK267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K723" i="1"/>
  <c r="CK724" i="1"/>
  <c r="CK725" i="1"/>
  <c r="CK726" i="1"/>
  <c r="CK727" i="1"/>
  <c r="CK728" i="1"/>
  <c r="CK729" i="1"/>
  <c r="CK733" i="1"/>
  <c r="CK734" i="1"/>
  <c r="CK735" i="1"/>
  <c r="CK736" i="1"/>
  <c r="CK737" i="1"/>
  <c r="CK738" i="1"/>
  <c r="CK739" i="1"/>
  <c r="CK740" i="1"/>
  <c r="CK741" i="1"/>
  <c r="CK742" i="1"/>
  <c r="CK743" i="1"/>
  <c r="CK744" i="1"/>
  <c r="CK745" i="1"/>
  <c r="CK746" i="1"/>
  <c r="CK747" i="1"/>
  <c r="CK748" i="1"/>
  <c r="CK749" i="1"/>
  <c r="CK750" i="1"/>
  <c r="CK751" i="1"/>
  <c r="CK752" i="1"/>
  <c r="CK753" i="1"/>
  <c r="CK754" i="1"/>
  <c r="CK755" i="1"/>
  <c r="CK756" i="1"/>
  <c r="CK757" i="1"/>
  <c r="CK758" i="1"/>
  <c r="CK759" i="1"/>
  <c r="CK760" i="1"/>
  <c r="CK761" i="1"/>
  <c r="CK762" i="1"/>
  <c r="CK763" i="1"/>
  <c r="CK764" i="1"/>
  <c r="CK765" i="1"/>
  <c r="CK766" i="1"/>
  <c r="CK767" i="1"/>
  <c r="CK768" i="1"/>
  <c r="CK769" i="1"/>
  <c r="CK770" i="1"/>
  <c r="CK771" i="1"/>
  <c r="CK772" i="1"/>
  <c r="CK773" i="1"/>
  <c r="CK774" i="1"/>
  <c r="CK775" i="1"/>
  <c r="CK776" i="1"/>
  <c r="CK777" i="1"/>
  <c r="CK778" i="1"/>
  <c r="CK779" i="1"/>
  <c r="CK780" i="1"/>
  <c r="CK781" i="1"/>
  <c r="CK782" i="1"/>
  <c r="CK783" i="1"/>
  <c r="CK784" i="1"/>
  <c r="CK785" i="1"/>
  <c r="CK786" i="1"/>
  <c r="CK787" i="1"/>
  <c r="CK788" i="1"/>
  <c r="CK789" i="1"/>
  <c r="CK790" i="1"/>
  <c r="CK791" i="1"/>
  <c r="CK792" i="1"/>
  <c r="CK793" i="1"/>
  <c r="CK794" i="1"/>
  <c r="CK795" i="1"/>
  <c r="CK796" i="1"/>
  <c r="CK797" i="1"/>
  <c r="CK798" i="1"/>
  <c r="CK799" i="1"/>
  <c r="CK800" i="1"/>
  <c r="CK801" i="1"/>
  <c r="CK802" i="1"/>
  <c r="CK803" i="1"/>
  <c r="CK804" i="1"/>
  <c r="CK805" i="1"/>
  <c r="CK806" i="1"/>
  <c r="CK807" i="1"/>
  <c r="CK808" i="1"/>
  <c r="CK809" i="1"/>
  <c r="CK810" i="1"/>
  <c r="CK811" i="1"/>
  <c r="CK812" i="1"/>
  <c r="CK813" i="1"/>
  <c r="CK814" i="1"/>
  <c r="CK815" i="1"/>
  <c r="CK816" i="1"/>
  <c r="CK817" i="1"/>
  <c r="CK818" i="1"/>
  <c r="CK819" i="1"/>
  <c r="CK820" i="1"/>
  <c r="CK821" i="1"/>
  <c r="CK822" i="1"/>
  <c r="CK823" i="1"/>
  <c r="CK824" i="1"/>
  <c r="CK825" i="1"/>
  <c r="CK826" i="1"/>
  <c r="CK827" i="1"/>
  <c r="CK828" i="1"/>
  <c r="CK829" i="1"/>
  <c r="CK830" i="1"/>
  <c r="CK831" i="1"/>
  <c r="CK833" i="1"/>
  <c r="CK834" i="1"/>
  <c r="CK835" i="1"/>
  <c r="CK836" i="1"/>
  <c r="CK837" i="1"/>
  <c r="CK838" i="1"/>
  <c r="CK839" i="1"/>
  <c r="CK840" i="1"/>
  <c r="CK841" i="1"/>
  <c r="CK842" i="1"/>
  <c r="CK843" i="1"/>
  <c r="CK844" i="1"/>
  <c r="CK845" i="1"/>
  <c r="CK846" i="1"/>
  <c r="CK847" i="1"/>
  <c r="CK848" i="1"/>
  <c r="CK849" i="1"/>
  <c r="CK850" i="1"/>
  <c r="CK851" i="1"/>
  <c r="CK852" i="1"/>
  <c r="CK853" i="1"/>
  <c r="CK854" i="1"/>
  <c r="CK855" i="1"/>
  <c r="CK856" i="1"/>
  <c r="CK857" i="1"/>
  <c r="CK858" i="1"/>
  <c r="CK859" i="1"/>
  <c r="CK860" i="1"/>
  <c r="CK861" i="1"/>
  <c r="CK862" i="1"/>
  <c r="CK863" i="1"/>
  <c r="CK864" i="1"/>
  <c r="CK865" i="1"/>
  <c r="CK866" i="1"/>
  <c r="CK867" i="1"/>
  <c r="CK868" i="1"/>
  <c r="CK869" i="1"/>
  <c r="CK870" i="1"/>
  <c r="CK871" i="1"/>
  <c r="CK872" i="1"/>
  <c r="CK873" i="1"/>
  <c r="CK874" i="1"/>
  <c r="CK875" i="1"/>
  <c r="CK876" i="1"/>
  <c r="CK877" i="1"/>
  <c r="CK878" i="1"/>
  <c r="CK879" i="1"/>
  <c r="CK880" i="1"/>
  <c r="CK881" i="1"/>
  <c r="CK882" i="1"/>
  <c r="CK883" i="1"/>
  <c r="CK884" i="1"/>
  <c r="CK885" i="1"/>
  <c r="CK886" i="1"/>
  <c r="CK887" i="1"/>
  <c r="CK888" i="1"/>
  <c r="CK889" i="1"/>
  <c r="CK890" i="1"/>
  <c r="CK891" i="1"/>
  <c r="CK892" i="1"/>
  <c r="CK893" i="1"/>
  <c r="CK894" i="1"/>
  <c r="CK895" i="1"/>
  <c r="CK896" i="1"/>
  <c r="CK897" i="1"/>
  <c r="CK898" i="1"/>
  <c r="CK899" i="1"/>
  <c r="CK900" i="1"/>
  <c r="CK901" i="1"/>
  <c r="CK902" i="1"/>
  <c r="CK903" i="1"/>
  <c r="CK904" i="1"/>
  <c r="CK905" i="1"/>
  <c r="CK906" i="1"/>
  <c r="CK907" i="1"/>
  <c r="CK908" i="1"/>
  <c r="CK909" i="1"/>
  <c r="CK910" i="1"/>
  <c r="CK911" i="1"/>
  <c r="CK912" i="1"/>
  <c r="CK913" i="1"/>
  <c r="CK914" i="1"/>
  <c r="CK915" i="1"/>
  <c r="CK916" i="1"/>
  <c r="CK917" i="1"/>
  <c r="CK918" i="1"/>
  <c r="CK919" i="1"/>
  <c r="CK920" i="1"/>
  <c r="CK921" i="1"/>
  <c r="CK922" i="1"/>
  <c r="CK923" i="1"/>
  <c r="CK924" i="1"/>
  <c r="CK925" i="1"/>
  <c r="CK926" i="1"/>
  <c r="CK927" i="1"/>
  <c r="CK928" i="1"/>
  <c r="CK929" i="1"/>
  <c r="CK930" i="1"/>
  <c r="CK931" i="1"/>
  <c r="CK932" i="1"/>
  <c r="CK933" i="1"/>
  <c r="CK934" i="1"/>
  <c r="CK935" i="1"/>
  <c r="CK936" i="1"/>
  <c r="CK937" i="1"/>
  <c r="CK938" i="1"/>
  <c r="CK939" i="1"/>
  <c r="CK940" i="1"/>
  <c r="CK941" i="1"/>
  <c r="CK942" i="1"/>
  <c r="CK943" i="1"/>
  <c r="CK944" i="1"/>
  <c r="CK945" i="1"/>
  <c r="CK946" i="1"/>
  <c r="CK947" i="1"/>
  <c r="CK948" i="1"/>
  <c r="CK949" i="1"/>
  <c r="CK950" i="1"/>
  <c r="CK951" i="1"/>
  <c r="CK952" i="1"/>
  <c r="CK953" i="1"/>
  <c r="CK954" i="1"/>
  <c r="CK955" i="1"/>
  <c r="CK956" i="1"/>
  <c r="CK957" i="1"/>
  <c r="CK958" i="1"/>
  <c r="CK959" i="1"/>
  <c r="CK960" i="1"/>
  <c r="CK961" i="1"/>
  <c r="CK962" i="1"/>
  <c r="CK963" i="1"/>
  <c r="CK964" i="1"/>
  <c r="CK965" i="1"/>
  <c r="CK966" i="1"/>
  <c r="CK967" i="1"/>
  <c r="CK968" i="1"/>
  <c r="CK969" i="1"/>
  <c r="CK970" i="1"/>
  <c r="CK971" i="1"/>
  <c r="CK972" i="1"/>
  <c r="CK973" i="1"/>
  <c r="CK974" i="1"/>
  <c r="CK975" i="1"/>
  <c r="CK976" i="1"/>
  <c r="CK977" i="1"/>
  <c r="CK978" i="1"/>
  <c r="CK979" i="1"/>
  <c r="CK980" i="1"/>
  <c r="CK981" i="1"/>
  <c r="CK982" i="1"/>
  <c r="CK983" i="1"/>
  <c r="CK984" i="1"/>
  <c r="CK985" i="1"/>
  <c r="CK986" i="1"/>
  <c r="CK987" i="1"/>
  <c r="CK988" i="1"/>
  <c r="CK989" i="1"/>
  <c r="CK990" i="1"/>
  <c r="CK991" i="1"/>
  <c r="CK992" i="1"/>
  <c r="CK993" i="1"/>
  <c r="CK994" i="1"/>
  <c r="CK995" i="1"/>
  <c r="CK997" i="1"/>
  <c r="CK998" i="1"/>
  <c r="CK999" i="1"/>
  <c r="CK1000" i="1"/>
  <c r="CK1001" i="1"/>
  <c r="CK1002" i="1"/>
  <c r="CK1003" i="1"/>
  <c r="CK1004" i="1"/>
  <c r="AI178" i="1"/>
  <c r="AI179" i="1"/>
  <c r="AI183" i="1"/>
  <c r="AV178" i="1"/>
  <c r="AV179" i="1"/>
  <c r="AV183" i="1"/>
  <c r="AI186" i="1"/>
  <c r="AI187" i="1"/>
  <c r="AV186" i="1"/>
  <c r="AV187" i="1"/>
  <c r="AI184" i="1"/>
  <c r="AI185" i="1"/>
  <c r="AI188" i="1"/>
  <c r="AV184" i="1"/>
  <c r="AV185" i="1"/>
  <c r="AV188" i="1"/>
  <c r="AI194" i="1"/>
  <c r="AI195" i="1"/>
  <c r="AI196" i="1"/>
  <c r="AV194" i="1"/>
  <c r="AV195" i="1"/>
  <c r="AV196" i="1"/>
  <c r="AI190" i="1"/>
  <c r="AI191" i="1"/>
  <c r="AI192" i="1"/>
  <c r="AI193" i="1"/>
  <c r="AV190" i="1"/>
  <c r="AV191" i="1"/>
  <c r="AV192" i="1"/>
  <c r="AV193" i="1"/>
  <c r="M784" i="1"/>
  <c r="M767" i="1"/>
  <c r="M836" i="1"/>
  <c r="M790" i="1"/>
  <c r="M781" i="1"/>
  <c r="M759" i="1"/>
  <c r="M771" i="1"/>
  <c r="M863" i="1"/>
  <c r="M775" i="1"/>
  <c r="M779" i="1"/>
  <c r="M791" i="1"/>
  <c r="M807" i="1"/>
  <c r="M840" i="1"/>
  <c r="BQ1" i="1" l="1"/>
  <c r="BP1" i="1"/>
  <c r="AI167" i="1" l="1"/>
  <c r="AI177" i="1"/>
  <c r="AI189" i="1"/>
  <c r="AV167" i="1"/>
  <c r="AV177" i="1"/>
  <c r="AV189" i="1"/>
  <c r="AI567" i="1"/>
  <c r="AV567" i="1"/>
  <c r="AI202" i="1"/>
  <c r="AI203" i="1"/>
  <c r="AI204" i="1"/>
  <c r="AV202" i="1"/>
  <c r="AV203" i="1"/>
  <c r="AV204" i="1"/>
  <c r="BM1" i="1"/>
  <c r="AI166" i="1"/>
  <c r="AI197" i="1"/>
  <c r="AI198" i="1"/>
  <c r="AI199" i="1"/>
  <c r="AI200" i="1"/>
  <c r="AV166" i="1"/>
  <c r="AV197" i="1"/>
  <c r="AV198" i="1"/>
  <c r="AV199" i="1"/>
  <c r="AV200" i="1"/>
  <c r="BO1" i="1" l="1"/>
  <c r="AI201" i="1" l="1"/>
  <c r="AV201" i="1"/>
  <c r="AI210" i="1"/>
  <c r="AI211" i="1"/>
  <c r="AI212" i="1"/>
  <c r="AI214" i="1"/>
  <c r="AI215" i="1"/>
  <c r="AV210" i="1"/>
  <c r="AV211" i="1"/>
  <c r="AV212" i="1"/>
  <c r="AV214" i="1"/>
  <c r="AV215" i="1"/>
  <c r="BL1" i="1"/>
  <c r="AI219" i="1"/>
  <c r="AI220" i="1"/>
  <c r="AI221" i="1"/>
  <c r="AI222" i="1"/>
  <c r="AV219" i="1"/>
  <c r="AV220" i="1"/>
  <c r="AV221" i="1"/>
  <c r="AV222" i="1"/>
  <c r="AI207" i="1"/>
  <c r="AI216" i="1"/>
  <c r="AI217" i="1"/>
  <c r="AI218" i="1"/>
  <c r="AV207" i="1"/>
  <c r="AV216" i="1"/>
  <c r="AV217" i="1"/>
  <c r="AV218" i="1"/>
  <c r="AI701" i="1"/>
  <c r="AV701" i="1"/>
  <c r="AI164" i="1"/>
  <c r="AI165" i="1"/>
  <c r="AV164" i="1"/>
  <c r="AV165" i="1"/>
  <c r="BK1" i="1"/>
  <c r="AI206" i="1"/>
  <c r="AV206" i="1"/>
  <c r="BE1" i="1"/>
  <c r="CK3" i="1"/>
  <c r="AI223" i="1"/>
  <c r="AV223" i="1"/>
  <c r="BH1" i="1"/>
  <c r="BJ1" i="1" l="1"/>
  <c r="AI228" i="1"/>
  <c r="AV228" i="1"/>
  <c r="AI229" i="1"/>
  <c r="AV229" i="1"/>
  <c r="BG1" i="1"/>
  <c r="BF1" i="1"/>
  <c r="AI230" i="1" l="1"/>
  <c r="AV230" i="1"/>
  <c r="AI231" i="1"/>
  <c r="AV231" i="1"/>
  <c r="AI226" i="1"/>
  <c r="AI227" i="1"/>
  <c r="AV226" i="1"/>
  <c r="AV227" i="1"/>
  <c r="AI256" i="1"/>
  <c r="AV256" i="1"/>
  <c r="BD1" i="1"/>
  <c r="AI745" i="1" l="1"/>
  <c r="AV745" i="1"/>
  <c r="AI205" i="1"/>
  <c r="AI224" i="1"/>
  <c r="AI225" i="1"/>
  <c r="AV205" i="1"/>
  <c r="AV224" i="1"/>
  <c r="AV225" i="1"/>
  <c r="BB1" i="1"/>
  <c r="AI234" i="1"/>
  <c r="AI235" i="1"/>
  <c r="AI236" i="1"/>
  <c r="AI237" i="1"/>
  <c r="AV234" i="1"/>
  <c r="AV235" i="1"/>
  <c r="AV236" i="1"/>
  <c r="AV237" i="1"/>
  <c r="AI7" i="1"/>
  <c r="AI232" i="1"/>
  <c r="AI233" i="1"/>
  <c r="AV7" i="1"/>
  <c r="AV232" i="1"/>
  <c r="AV233" i="1"/>
  <c r="AI6" i="1"/>
  <c r="AV6" i="1"/>
  <c r="AI548" i="1"/>
  <c r="AV548" i="1"/>
  <c r="AI549" i="1"/>
  <c r="AV549" i="1"/>
  <c r="AI550" i="1"/>
  <c r="AV550" i="1"/>
  <c r="AI551" i="1"/>
  <c r="AV551" i="1"/>
  <c r="AI385" i="1"/>
  <c r="AV385" i="1"/>
  <c r="AI582" i="1"/>
  <c r="AV582" i="1"/>
  <c r="AI748" i="1"/>
  <c r="AV748" i="1"/>
  <c r="AI575" i="1"/>
  <c r="AV575" i="1"/>
  <c r="AI334" i="1"/>
  <c r="AV334" i="1"/>
  <c r="R495" i="1"/>
  <c r="M798" i="1"/>
  <c r="F13" i="2" l="1"/>
  <c r="AI4" i="1"/>
  <c r="AI751" i="1"/>
  <c r="AI5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7" i="1"/>
  <c r="AI752" i="1"/>
  <c r="AI259" i="1"/>
  <c r="AI260" i="1"/>
  <c r="AI261" i="1"/>
  <c r="AI262" i="1"/>
  <c r="AI263" i="1"/>
  <c r="AI264" i="1"/>
  <c r="AI265" i="1"/>
  <c r="AI266" i="1"/>
  <c r="AI267" i="1"/>
  <c r="AI269" i="1"/>
  <c r="AI746" i="1"/>
  <c r="AI270" i="1"/>
  <c r="AI753" i="1"/>
  <c r="AI271" i="1"/>
  <c r="AI272" i="1"/>
  <c r="AI273" i="1"/>
  <c r="AI274" i="1"/>
  <c r="AI275" i="1"/>
  <c r="AI276" i="1"/>
  <c r="AI754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755" i="1"/>
  <c r="AI291" i="1"/>
  <c r="AI292" i="1"/>
  <c r="AI293" i="1"/>
  <c r="AI294" i="1"/>
  <c r="AI756" i="1"/>
  <c r="AI757" i="1"/>
  <c r="AI758" i="1"/>
  <c r="AI759" i="1"/>
  <c r="AI295" i="1"/>
  <c r="AI760" i="1"/>
  <c r="AI296" i="1"/>
  <c r="AI297" i="1"/>
  <c r="AI300" i="1"/>
  <c r="AI301" i="1"/>
  <c r="AI302" i="1"/>
  <c r="AI303" i="1"/>
  <c r="AI761" i="1"/>
  <c r="AI304" i="1"/>
  <c r="AI762" i="1"/>
  <c r="AI763" i="1"/>
  <c r="AI764" i="1"/>
  <c r="AI305" i="1"/>
  <c r="AI76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766" i="1"/>
  <c r="AI318" i="1"/>
  <c r="AI319" i="1"/>
  <c r="AI320" i="1"/>
  <c r="AI321" i="1"/>
  <c r="AI322" i="1"/>
  <c r="AI767" i="1"/>
  <c r="AI323" i="1"/>
  <c r="AI324" i="1"/>
  <c r="AI325" i="1"/>
  <c r="AI326" i="1"/>
  <c r="AI327" i="1"/>
  <c r="AI328" i="1"/>
  <c r="AI329" i="1"/>
  <c r="AI330" i="1"/>
  <c r="AI331" i="1"/>
  <c r="AI332" i="1"/>
  <c r="AI333" i="1"/>
  <c r="AI768" i="1"/>
  <c r="AI769" i="1"/>
  <c r="AI770" i="1"/>
  <c r="AI335" i="1"/>
  <c r="AI336" i="1"/>
  <c r="AI337" i="1"/>
  <c r="AI338" i="1"/>
  <c r="AI339" i="1"/>
  <c r="AI340" i="1"/>
  <c r="AI341" i="1"/>
  <c r="AI342" i="1"/>
  <c r="AI343" i="1"/>
  <c r="AI771" i="1"/>
  <c r="AI344" i="1"/>
  <c r="AI345" i="1"/>
  <c r="AI346" i="1"/>
  <c r="AI347" i="1"/>
  <c r="AI348" i="1"/>
  <c r="AI772" i="1"/>
  <c r="AI349" i="1"/>
  <c r="AI350" i="1"/>
  <c r="AI351" i="1"/>
  <c r="AI352" i="1"/>
  <c r="AI353" i="1"/>
  <c r="AI354" i="1"/>
  <c r="AI355" i="1"/>
  <c r="AI356" i="1"/>
  <c r="AI773" i="1"/>
  <c r="AI357" i="1"/>
  <c r="AI358" i="1"/>
  <c r="AI359" i="1"/>
  <c r="AI360" i="1"/>
  <c r="AI361" i="1"/>
  <c r="AI774" i="1"/>
  <c r="AI362" i="1"/>
  <c r="AI363" i="1"/>
  <c r="AI775" i="1"/>
  <c r="AI776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777" i="1"/>
  <c r="AI383" i="1"/>
  <c r="AI384" i="1"/>
  <c r="AI386" i="1"/>
  <c r="AI387" i="1"/>
  <c r="AI388" i="1"/>
  <c r="AI389" i="1"/>
  <c r="AI747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778" i="1"/>
  <c r="AI410" i="1"/>
  <c r="AI411" i="1"/>
  <c r="AI412" i="1"/>
  <c r="AI413" i="1"/>
  <c r="AI414" i="1"/>
  <c r="AI415" i="1"/>
  <c r="AI416" i="1"/>
  <c r="AI417" i="1"/>
  <c r="AI418" i="1"/>
  <c r="AI419" i="1"/>
  <c r="AI779" i="1"/>
  <c r="AI420" i="1"/>
  <c r="AI780" i="1"/>
  <c r="AI781" i="1"/>
  <c r="AI782" i="1"/>
  <c r="AI783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784" i="1"/>
  <c r="AI78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786" i="1"/>
  <c r="AI452" i="1"/>
  <c r="AI453" i="1"/>
  <c r="AI454" i="1"/>
  <c r="AI455" i="1"/>
  <c r="AI456" i="1"/>
  <c r="AI457" i="1"/>
  <c r="AI458" i="1"/>
  <c r="AI459" i="1"/>
  <c r="AI460" i="1"/>
  <c r="AI461" i="1"/>
  <c r="AI462" i="1"/>
  <c r="AI787" i="1"/>
  <c r="AI463" i="1"/>
  <c r="AI788" i="1"/>
  <c r="AI464" i="1"/>
  <c r="AI465" i="1"/>
  <c r="AI789" i="1"/>
  <c r="AI466" i="1"/>
  <c r="AI467" i="1"/>
  <c r="AI790" i="1"/>
  <c r="AI468" i="1"/>
  <c r="AI469" i="1"/>
  <c r="AI470" i="1"/>
  <c r="AI476" i="1"/>
  <c r="AI477" i="1"/>
  <c r="AI478" i="1"/>
  <c r="AI479" i="1"/>
  <c r="AI791" i="1"/>
  <c r="AI792" i="1"/>
  <c r="AI480" i="1"/>
  <c r="AI481" i="1"/>
  <c r="AI482" i="1"/>
  <c r="AI483" i="1"/>
  <c r="AI793" i="1"/>
  <c r="AI484" i="1"/>
  <c r="AI485" i="1"/>
  <c r="AI794" i="1"/>
  <c r="AI486" i="1"/>
  <c r="AI795" i="1"/>
  <c r="AI796" i="1"/>
  <c r="AI487" i="1"/>
  <c r="AI488" i="1"/>
  <c r="AI489" i="1"/>
  <c r="AI490" i="1"/>
  <c r="AI491" i="1"/>
  <c r="AI797" i="1"/>
  <c r="AI492" i="1"/>
  <c r="AI493" i="1"/>
  <c r="AI798" i="1"/>
  <c r="AI494" i="1"/>
  <c r="AI495" i="1"/>
  <c r="AI496" i="1"/>
  <c r="AI497" i="1"/>
  <c r="AI498" i="1"/>
  <c r="AI499" i="1"/>
  <c r="AI799" i="1"/>
  <c r="AI500" i="1"/>
  <c r="AI501" i="1"/>
  <c r="AI502" i="1"/>
  <c r="AI503" i="1"/>
  <c r="AI504" i="1"/>
  <c r="AI505" i="1"/>
  <c r="AI749" i="1"/>
  <c r="AI800" i="1"/>
  <c r="AI801" i="1"/>
  <c r="AI506" i="1"/>
  <c r="AI802" i="1"/>
  <c r="AI803" i="1"/>
  <c r="AI804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805" i="1"/>
  <c r="AI530" i="1"/>
  <c r="AI531" i="1"/>
  <c r="AI806" i="1"/>
  <c r="AI807" i="1"/>
  <c r="AI808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809" i="1"/>
  <c r="AI544" i="1"/>
  <c r="AI545" i="1"/>
  <c r="AI810" i="1"/>
  <c r="AI546" i="1"/>
  <c r="AI811" i="1"/>
  <c r="AI547" i="1"/>
  <c r="AI552" i="1"/>
  <c r="AI812" i="1"/>
  <c r="AI553" i="1"/>
  <c r="AI554" i="1"/>
  <c r="AI555" i="1"/>
  <c r="AI556" i="1"/>
  <c r="AI557" i="1"/>
  <c r="AI813" i="1"/>
  <c r="AI558" i="1"/>
  <c r="AI559" i="1"/>
  <c r="AI560" i="1"/>
  <c r="AI561" i="1"/>
  <c r="AI562" i="1"/>
  <c r="AI814" i="1"/>
  <c r="AI815" i="1"/>
  <c r="AI816" i="1"/>
  <c r="AI563" i="1"/>
  <c r="AI817" i="1"/>
  <c r="AI564" i="1"/>
  <c r="AI565" i="1"/>
  <c r="AI566" i="1"/>
  <c r="AI568" i="1"/>
  <c r="AI569" i="1"/>
  <c r="AI818" i="1"/>
  <c r="AI570" i="1"/>
  <c r="AI571" i="1"/>
  <c r="AI572" i="1"/>
  <c r="AI573" i="1"/>
  <c r="AI574" i="1"/>
  <c r="AI576" i="1"/>
  <c r="AI577" i="1"/>
  <c r="AI578" i="1"/>
  <c r="AI819" i="1"/>
  <c r="AI579" i="1"/>
  <c r="AI580" i="1"/>
  <c r="AI581" i="1"/>
  <c r="AI820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821" i="1"/>
  <c r="AI597" i="1"/>
  <c r="AI822" i="1"/>
  <c r="AI598" i="1"/>
  <c r="AI823" i="1"/>
  <c r="AI599" i="1"/>
  <c r="AI600" i="1"/>
  <c r="AI601" i="1"/>
  <c r="AI602" i="1"/>
  <c r="AI603" i="1"/>
  <c r="AI604" i="1"/>
  <c r="AI605" i="1"/>
  <c r="AI606" i="1"/>
  <c r="AI607" i="1"/>
  <c r="AI608" i="1"/>
  <c r="AI613" i="1"/>
  <c r="AI614" i="1"/>
  <c r="AI615" i="1"/>
  <c r="AI616" i="1"/>
  <c r="AI617" i="1"/>
  <c r="AI824" i="1"/>
  <c r="AI825" i="1"/>
  <c r="AI826" i="1"/>
  <c r="AI827" i="1"/>
  <c r="AI828" i="1"/>
  <c r="AI618" i="1"/>
  <c r="AI619" i="1"/>
  <c r="AI620" i="1"/>
  <c r="AI621" i="1"/>
  <c r="AI622" i="1"/>
  <c r="AI623" i="1"/>
  <c r="AI624" i="1"/>
  <c r="AI829" i="1"/>
  <c r="AI625" i="1"/>
  <c r="AI626" i="1"/>
  <c r="AI830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831" i="1"/>
  <c r="AI833" i="1"/>
  <c r="AI834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835" i="1"/>
  <c r="AI653" i="1"/>
  <c r="AI836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837" i="1"/>
  <c r="AI681" i="1"/>
  <c r="AI682" i="1"/>
  <c r="AI683" i="1"/>
  <c r="AI684" i="1"/>
  <c r="AI685" i="1"/>
  <c r="AI686" i="1"/>
  <c r="AI687" i="1"/>
  <c r="AI688" i="1"/>
  <c r="AI838" i="1"/>
  <c r="AI839" i="1"/>
  <c r="AI840" i="1"/>
  <c r="AI689" i="1"/>
  <c r="AI690" i="1"/>
  <c r="AI691" i="1"/>
  <c r="AI692" i="1"/>
  <c r="AI750" i="1"/>
  <c r="AI841" i="1"/>
  <c r="AI693" i="1"/>
  <c r="AI694" i="1"/>
  <c r="AI695" i="1"/>
  <c r="AI696" i="1"/>
  <c r="AI842" i="1"/>
  <c r="AI697" i="1"/>
  <c r="AI698" i="1"/>
  <c r="AI843" i="1"/>
  <c r="AI844" i="1"/>
  <c r="AI699" i="1"/>
  <c r="AI700" i="1"/>
  <c r="AI702" i="1"/>
  <c r="AI703" i="1"/>
  <c r="AI845" i="1"/>
  <c r="AI704" i="1"/>
  <c r="AI705" i="1"/>
  <c r="AI706" i="1"/>
  <c r="AI707" i="1"/>
  <c r="AI708" i="1"/>
  <c r="AI709" i="1"/>
  <c r="AI710" i="1"/>
  <c r="AI846" i="1"/>
  <c r="AI847" i="1"/>
  <c r="AI711" i="1"/>
  <c r="AI848" i="1"/>
  <c r="AI712" i="1"/>
  <c r="AI713" i="1"/>
  <c r="AI714" i="1"/>
  <c r="AI715" i="1"/>
  <c r="AI716" i="1"/>
  <c r="AI717" i="1"/>
  <c r="AI849" i="1"/>
  <c r="AI850" i="1"/>
  <c r="AI851" i="1"/>
  <c r="AI852" i="1"/>
  <c r="AI853" i="1"/>
  <c r="AI854" i="1"/>
  <c r="AI855" i="1"/>
  <c r="AI718" i="1"/>
  <c r="AI856" i="1"/>
  <c r="AI857" i="1"/>
  <c r="AI858" i="1"/>
  <c r="AI859" i="1"/>
  <c r="AI719" i="1"/>
  <c r="AI720" i="1"/>
  <c r="AI721" i="1"/>
  <c r="AI860" i="1"/>
  <c r="AI722" i="1"/>
  <c r="AI723" i="1"/>
  <c r="AI861" i="1"/>
  <c r="AI862" i="1"/>
  <c r="AI724" i="1"/>
  <c r="AI863" i="1"/>
  <c r="AI864" i="1"/>
  <c r="AI865" i="1"/>
  <c r="AI866" i="1"/>
  <c r="AI725" i="1"/>
  <c r="AI726" i="1"/>
  <c r="AI727" i="1"/>
  <c r="AI728" i="1"/>
  <c r="AI729" i="1"/>
  <c r="AI733" i="1"/>
  <c r="AI734" i="1"/>
  <c r="AI735" i="1"/>
  <c r="AI736" i="1"/>
  <c r="AI737" i="1"/>
  <c r="AI738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739" i="1"/>
  <c r="AI740" i="1"/>
  <c r="AI741" i="1"/>
  <c r="AI742" i="1"/>
  <c r="AI743" i="1"/>
  <c r="AI74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7" i="1"/>
  <c r="AI998" i="1"/>
  <c r="AI999" i="1"/>
  <c r="AI1000" i="1"/>
  <c r="AI1001" i="1"/>
  <c r="AI1002" i="1"/>
  <c r="AI1003" i="1"/>
  <c r="AI1004" i="1"/>
  <c r="AV739" i="1"/>
  <c r="AV740" i="1"/>
  <c r="AV741" i="1"/>
  <c r="AV742" i="1"/>
  <c r="AV743" i="1"/>
  <c r="AV744" i="1"/>
  <c r="AV816" i="1"/>
  <c r="AV815" i="1"/>
  <c r="AV814" i="1"/>
  <c r="R758" i="1"/>
  <c r="AV833" i="1"/>
  <c r="R846" i="1"/>
  <c r="R601" i="1"/>
  <c r="AV764" i="1"/>
  <c r="R710" i="1"/>
  <c r="R819" i="1"/>
  <c r="AV819" i="1"/>
  <c r="R704" i="1"/>
  <c r="R524" i="1" l="1"/>
  <c r="R250" i="1" l="1"/>
  <c r="B11" i="3" l="1"/>
  <c r="AV350" i="1"/>
  <c r="AV351" i="1"/>
  <c r="AV352" i="1"/>
  <c r="AV353" i="1"/>
  <c r="AV251" i="1"/>
  <c r="AV252" i="1"/>
  <c r="AV253" i="1"/>
  <c r="AV254" i="1"/>
  <c r="AV255" i="1"/>
  <c r="AV4" i="1"/>
  <c r="AV751" i="1"/>
  <c r="AV5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7" i="1"/>
  <c r="AV752" i="1"/>
  <c r="AV259" i="1"/>
  <c r="AV260" i="1"/>
  <c r="AV261" i="1"/>
  <c r="AV262" i="1"/>
  <c r="AV263" i="1"/>
  <c r="AV264" i="1"/>
  <c r="AV265" i="1"/>
  <c r="AV266" i="1"/>
  <c r="AV267" i="1"/>
  <c r="AV269" i="1"/>
  <c r="AV746" i="1"/>
  <c r="AV270" i="1"/>
  <c r="AV753" i="1"/>
  <c r="AV271" i="1"/>
  <c r="AV272" i="1"/>
  <c r="AV273" i="1"/>
  <c r="AV274" i="1"/>
  <c r="AV275" i="1"/>
  <c r="AV276" i="1"/>
  <c r="AV754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755" i="1"/>
  <c r="AV291" i="1"/>
  <c r="AV292" i="1"/>
  <c r="AV293" i="1"/>
  <c r="AV294" i="1"/>
  <c r="AV756" i="1"/>
  <c r="AV757" i="1"/>
  <c r="AV758" i="1"/>
  <c r="AV759" i="1"/>
  <c r="AV295" i="1"/>
  <c r="AV760" i="1"/>
  <c r="AV296" i="1"/>
  <c r="AV297" i="1"/>
  <c r="AV300" i="1"/>
  <c r="AV301" i="1"/>
  <c r="AV302" i="1"/>
  <c r="AV303" i="1"/>
  <c r="AV761" i="1"/>
  <c r="AV304" i="1"/>
  <c r="AV762" i="1"/>
  <c r="AV763" i="1"/>
  <c r="AV305" i="1"/>
  <c r="AV76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766" i="1"/>
  <c r="AV318" i="1"/>
  <c r="AV319" i="1"/>
  <c r="AV320" i="1"/>
  <c r="AV321" i="1"/>
  <c r="AV322" i="1"/>
  <c r="AV767" i="1"/>
  <c r="AV323" i="1"/>
  <c r="AV324" i="1"/>
  <c r="AV325" i="1"/>
  <c r="AV326" i="1"/>
  <c r="AV327" i="1"/>
  <c r="AV328" i="1"/>
  <c r="AV329" i="1"/>
  <c r="AV330" i="1"/>
  <c r="AV331" i="1"/>
  <c r="AV332" i="1"/>
  <c r="AV333" i="1"/>
  <c r="AV768" i="1"/>
  <c r="AV769" i="1"/>
  <c r="AV770" i="1"/>
  <c r="AV335" i="1"/>
  <c r="AV336" i="1"/>
  <c r="AV337" i="1"/>
  <c r="AV338" i="1"/>
  <c r="AV339" i="1"/>
  <c r="AV340" i="1"/>
  <c r="AV341" i="1"/>
  <c r="AV342" i="1"/>
  <c r="AV343" i="1"/>
  <c r="AV771" i="1"/>
  <c r="AV344" i="1"/>
  <c r="AV345" i="1"/>
  <c r="AV346" i="1"/>
  <c r="AV347" i="1"/>
  <c r="AV348" i="1"/>
  <c r="AV772" i="1"/>
  <c r="AV349" i="1"/>
  <c r="AV354" i="1"/>
  <c r="AV355" i="1"/>
  <c r="AV356" i="1"/>
  <c r="AV773" i="1"/>
  <c r="AV357" i="1"/>
  <c r="AV358" i="1"/>
  <c r="AV359" i="1"/>
  <c r="AV360" i="1"/>
  <c r="AV361" i="1"/>
  <c r="AV774" i="1"/>
  <c r="AV362" i="1"/>
  <c r="AV363" i="1"/>
  <c r="AV775" i="1"/>
  <c r="AV776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777" i="1"/>
  <c r="AV383" i="1"/>
  <c r="AV384" i="1"/>
  <c r="AV386" i="1"/>
  <c r="AV387" i="1"/>
  <c r="AV388" i="1"/>
  <c r="AV389" i="1"/>
  <c r="AV747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778" i="1"/>
  <c r="AV410" i="1"/>
  <c r="AV411" i="1"/>
  <c r="AV412" i="1"/>
  <c r="AV413" i="1"/>
  <c r="AV414" i="1"/>
  <c r="AV415" i="1"/>
  <c r="AV416" i="1"/>
  <c r="AV417" i="1"/>
  <c r="AV418" i="1"/>
  <c r="AV419" i="1"/>
  <c r="AV779" i="1"/>
  <c r="AV420" i="1"/>
  <c r="AV780" i="1"/>
  <c r="AV781" i="1"/>
  <c r="AV782" i="1"/>
  <c r="AV783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784" i="1"/>
  <c r="AV78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786" i="1"/>
  <c r="AV452" i="1"/>
  <c r="AV453" i="1"/>
  <c r="AV454" i="1"/>
  <c r="AV455" i="1"/>
  <c r="AV456" i="1"/>
  <c r="AV457" i="1"/>
  <c r="AV458" i="1"/>
  <c r="AV459" i="1"/>
  <c r="AV460" i="1"/>
  <c r="AV461" i="1"/>
  <c r="AV462" i="1"/>
  <c r="AV787" i="1"/>
  <c r="AV463" i="1"/>
  <c r="AV788" i="1"/>
  <c r="AV464" i="1"/>
  <c r="AV465" i="1"/>
  <c r="AV789" i="1"/>
  <c r="AV466" i="1"/>
  <c r="AV467" i="1"/>
  <c r="AV790" i="1"/>
  <c r="AV468" i="1"/>
  <c r="AV469" i="1"/>
  <c r="AV470" i="1"/>
  <c r="AV476" i="1"/>
  <c r="AV477" i="1"/>
  <c r="AV478" i="1"/>
  <c r="AV479" i="1"/>
  <c r="AV791" i="1"/>
  <c r="AV792" i="1"/>
  <c r="AV480" i="1"/>
  <c r="AV481" i="1"/>
  <c r="AV482" i="1"/>
  <c r="AV483" i="1"/>
  <c r="AV793" i="1"/>
  <c r="AV484" i="1"/>
  <c r="AV485" i="1"/>
  <c r="AV794" i="1"/>
  <c r="AV486" i="1"/>
  <c r="AV795" i="1"/>
  <c r="AV796" i="1"/>
  <c r="AV487" i="1"/>
  <c r="AV488" i="1"/>
  <c r="AV489" i="1"/>
  <c r="AV490" i="1"/>
  <c r="AV491" i="1"/>
  <c r="AV797" i="1"/>
  <c r="AV492" i="1"/>
  <c r="AV493" i="1"/>
  <c r="AV798" i="1"/>
  <c r="AV494" i="1"/>
  <c r="AV495" i="1"/>
  <c r="AV496" i="1"/>
  <c r="AV497" i="1"/>
  <c r="AV498" i="1"/>
  <c r="AV499" i="1"/>
  <c r="AV799" i="1"/>
  <c r="AV500" i="1"/>
  <c r="AV501" i="1"/>
  <c r="AV502" i="1"/>
  <c r="AV503" i="1"/>
  <c r="AV504" i="1"/>
  <c r="AV505" i="1"/>
  <c r="AV749" i="1"/>
  <c r="AV800" i="1"/>
  <c r="AV801" i="1"/>
  <c r="AV506" i="1"/>
  <c r="AV802" i="1"/>
  <c r="AV803" i="1"/>
  <c r="AV804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805" i="1"/>
  <c r="AV530" i="1"/>
  <c r="AV531" i="1"/>
  <c r="AV806" i="1"/>
  <c r="AV807" i="1"/>
  <c r="AV808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809" i="1"/>
  <c r="AV544" i="1"/>
  <c r="AV545" i="1"/>
  <c r="AV810" i="1"/>
  <c r="AV546" i="1"/>
  <c r="AV811" i="1"/>
  <c r="AV547" i="1"/>
  <c r="AV552" i="1"/>
  <c r="AV812" i="1"/>
  <c r="AV553" i="1"/>
  <c r="AV554" i="1"/>
  <c r="AV555" i="1"/>
  <c r="AV556" i="1"/>
  <c r="AV557" i="1"/>
  <c r="AV813" i="1"/>
  <c r="AV558" i="1"/>
  <c r="AV559" i="1"/>
  <c r="AV560" i="1"/>
  <c r="AV561" i="1"/>
  <c r="AV562" i="1"/>
  <c r="AV563" i="1"/>
  <c r="AV817" i="1"/>
  <c r="AV564" i="1"/>
  <c r="AV565" i="1"/>
  <c r="AV566" i="1"/>
  <c r="AV568" i="1"/>
  <c r="AV569" i="1"/>
  <c r="AV818" i="1"/>
  <c r="AV570" i="1"/>
  <c r="AV571" i="1"/>
  <c r="AV572" i="1"/>
  <c r="AV573" i="1"/>
  <c r="AV574" i="1"/>
  <c r="AV576" i="1"/>
  <c r="AV577" i="1"/>
  <c r="AV578" i="1"/>
  <c r="AV579" i="1"/>
  <c r="AV580" i="1"/>
  <c r="AV581" i="1"/>
  <c r="AV820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821" i="1"/>
  <c r="AV597" i="1"/>
  <c r="AV822" i="1"/>
  <c r="AV598" i="1"/>
  <c r="AV823" i="1"/>
  <c r="AV599" i="1"/>
  <c r="AV600" i="1"/>
  <c r="AV601" i="1"/>
  <c r="AV602" i="1"/>
  <c r="AV603" i="1"/>
  <c r="AV604" i="1"/>
  <c r="AV605" i="1"/>
  <c r="AV606" i="1"/>
  <c r="AV607" i="1"/>
  <c r="AV608" i="1"/>
  <c r="AV613" i="1"/>
  <c r="AV614" i="1"/>
  <c r="AV615" i="1"/>
  <c r="AV616" i="1"/>
  <c r="AV617" i="1"/>
  <c r="AV824" i="1"/>
  <c r="AV825" i="1"/>
  <c r="AV826" i="1"/>
  <c r="AV827" i="1"/>
  <c r="AV828" i="1"/>
  <c r="AV618" i="1"/>
  <c r="AV619" i="1"/>
  <c r="AV620" i="1"/>
  <c r="AV621" i="1"/>
  <c r="AV622" i="1"/>
  <c r="AV623" i="1"/>
  <c r="AV624" i="1"/>
  <c r="AV829" i="1"/>
  <c r="AV625" i="1"/>
  <c r="AV626" i="1"/>
  <c r="AV830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831" i="1"/>
  <c r="AV834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835" i="1"/>
  <c r="AV653" i="1"/>
  <c r="AV836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837" i="1"/>
  <c r="AV681" i="1"/>
  <c r="AV682" i="1"/>
  <c r="AV683" i="1"/>
  <c r="AV684" i="1"/>
  <c r="AV685" i="1"/>
  <c r="AV686" i="1"/>
  <c r="AV687" i="1"/>
  <c r="AV688" i="1"/>
  <c r="AV838" i="1"/>
  <c r="AV839" i="1"/>
  <c r="AV840" i="1"/>
  <c r="AV689" i="1"/>
  <c r="AV690" i="1"/>
  <c r="AV691" i="1"/>
  <c r="AV692" i="1"/>
  <c r="AV750" i="1"/>
  <c r="AV841" i="1"/>
  <c r="AV693" i="1"/>
  <c r="AV694" i="1"/>
  <c r="AV695" i="1"/>
  <c r="AV696" i="1"/>
  <c r="AV842" i="1"/>
  <c r="AV697" i="1"/>
  <c r="AV698" i="1"/>
  <c r="AV843" i="1"/>
  <c r="AV844" i="1"/>
  <c r="AV699" i="1"/>
  <c r="AV700" i="1"/>
  <c r="AV702" i="1"/>
  <c r="AV703" i="1"/>
  <c r="AV845" i="1"/>
  <c r="AV704" i="1"/>
  <c r="AV705" i="1"/>
  <c r="AV706" i="1"/>
  <c r="AV707" i="1"/>
  <c r="AV708" i="1"/>
  <c r="AV709" i="1"/>
  <c r="AV710" i="1"/>
  <c r="AV846" i="1"/>
  <c r="AV847" i="1"/>
  <c r="AV711" i="1"/>
  <c r="AV848" i="1"/>
  <c r="AV712" i="1"/>
  <c r="AV713" i="1"/>
  <c r="AV714" i="1"/>
  <c r="AV715" i="1"/>
  <c r="AV716" i="1"/>
  <c r="AV717" i="1"/>
  <c r="AV849" i="1"/>
  <c r="AV850" i="1"/>
  <c r="AV851" i="1"/>
  <c r="AV852" i="1"/>
  <c r="AV853" i="1"/>
  <c r="AV854" i="1"/>
  <c r="AV855" i="1"/>
  <c r="AV718" i="1"/>
  <c r="AV856" i="1"/>
  <c r="AV857" i="1"/>
  <c r="AV858" i="1"/>
  <c r="AV859" i="1"/>
  <c r="AV719" i="1"/>
  <c r="AV720" i="1"/>
  <c r="AV721" i="1"/>
  <c r="AV860" i="1"/>
  <c r="AV722" i="1"/>
  <c r="AV723" i="1"/>
  <c r="AV861" i="1"/>
  <c r="AV862" i="1"/>
  <c r="AV724" i="1"/>
  <c r="AV863" i="1"/>
  <c r="AV864" i="1"/>
  <c r="AV865" i="1"/>
  <c r="AV866" i="1"/>
  <c r="AV725" i="1"/>
  <c r="AV726" i="1"/>
  <c r="AV727" i="1"/>
  <c r="AV728" i="1"/>
  <c r="AV729" i="1"/>
  <c r="AV733" i="1"/>
  <c r="AV734" i="1"/>
  <c r="AV735" i="1"/>
  <c r="AV736" i="1"/>
  <c r="AV737" i="1"/>
  <c r="AV738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7" i="1"/>
  <c r="AV998" i="1"/>
  <c r="AV999" i="1"/>
  <c r="AV1000" i="1"/>
  <c r="AV1001" i="1"/>
  <c r="AV1002" i="1"/>
  <c r="AV1003" i="1"/>
  <c r="AV1004" i="1"/>
  <c r="K532" i="1" l="1"/>
  <c r="V532" i="1"/>
  <c r="M982" i="1"/>
  <c r="M955" i="1"/>
  <c r="V384" i="1" l="1"/>
  <c r="V1" i="1"/>
  <c r="R384" i="1"/>
  <c r="R532" i="1"/>
  <c r="R1" i="1" l="1"/>
  <c r="AJ1" i="1"/>
  <c r="AK1" i="1"/>
  <c r="B4" i="3" l="1"/>
  <c r="C4" i="3" s="1"/>
  <c r="W1" i="1"/>
  <c r="AV3" i="1"/>
  <c r="CJ1" i="1"/>
  <c r="CD1" i="1"/>
  <c r="BY1" i="1"/>
  <c r="BS1" i="1"/>
  <c r="BN1" i="1"/>
  <c r="BI1" i="1"/>
  <c r="BC1" i="1"/>
  <c r="BA1" i="1"/>
  <c r="AZ1" i="1"/>
  <c r="AY1" i="1"/>
  <c r="AX1" i="1"/>
  <c r="AW1" i="1"/>
  <c r="AU1" i="1"/>
  <c r="AT1" i="1"/>
  <c r="AS1" i="1"/>
  <c r="AR1" i="1"/>
  <c r="AQ1" i="1"/>
  <c r="AP1" i="1"/>
  <c r="AO1" i="1"/>
  <c r="AN1" i="1"/>
  <c r="AM1" i="1"/>
  <c r="AL1" i="1"/>
  <c r="U1" i="1"/>
  <c r="M1" i="1"/>
  <c r="B8" i="3" s="1"/>
  <c r="K1" i="1"/>
  <c r="CK1" i="1" l="1"/>
  <c r="AV1" i="1"/>
  <c r="AA1" i="1"/>
  <c r="Z1" i="1"/>
  <c r="AG1" i="1"/>
  <c r="AH1" i="1"/>
  <c r="AC1" i="1"/>
  <c r="AB1" i="1"/>
  <c r="AI3" i="1"/>
  <c r="Y1" i="1"/>
  <c r="AF1" i="1"/>
  <c r="AD1" i="1"/>
  <c r="AE1" i="1"/>
  <c r="X1" i="1"/>
  <c r="AI1" i="1" l="1"/>
  <c r="B13" i="3" l="1"/>
  <c r="DK1004" i="1" l="1"/>
  <c r="Q1004" i="1" s="1"/>
  <c r="L1004" i="1" s="1"/>
  <c r="P1004" i="1" s="1"/>
  <c r="DK1003" i="1"/>
  <c r="Q1003" i="1" s="1"/>
  <c r="L1003" i="1" s="1"/>
  <c r="P1003" i="1" s="1"/>
  <c r="DK1001" i="1" l="1"/>
  <c r="Q1001" i="1" s="1"/>
  <c r="L1001" i="1" s="1"/>
  <c r="P1001" i="1" s="1"/>
  <c r="DK1002" i="1"/>
  <c r="Q1002" i="1" s="1"/>
  <c r="L1002" i="1" s="1"/>
  <c r="P1002" i="1" s="1"/>
  <c r="DK1000" i="1" l="1"/>
  <c r="Q1000" i="1" s="1"/>
  <c r="L1000" i="1" s="1"/>
  <c r="P1000" i="1" s="1"/>
  <c r="DK999" i="1"/>
  <c r="Q999" i="1" s="1"/>
  <c r="L999" i="1" s="1"/>
  <c r="P999" i="1" s="1"/>
  <c r="DK997" i="1" l="1"/>
  <c r="Q997" i="1" s="1"/>
  <c r="L997" i="1" s="1"/>
  <c r="P997" i="1" s="1"/>
  <c r="DK998" i="1"/>
  <c r="Q998" i="1" s="1"/>
  <c r="L998" i="1" s="1"/>
  <c r="P998" i="1" s="1"/>
  <c r="DK996" i="1" l="1"/>
  <c r="Q996" i="1" s="1"/>
  <c r="L996" i="1" s="1"/>
  <c r="P996" i="1" s="1"/>
  <c r="DK995" i="1"/>
  <c r="Q995" i="1" s="1"/>
  <c r="L995" i="1" s="1"/>
  <c r="P995" i="1" s="1"/>
  <c r="DK993" i="1" l="1"/>
  <c r="Q993" i="1" s="1"/>
  <c r="L993" i="1" s="1"/>
  <c r="P993" i="1" s="1"/>
  <c r="DK994" i="1"/>
  <c r="Q994" i="1" s="1"/>
  <c r="L994" i="1" s="1"/>
  <c r="P994" i="1" s="1"/>
  <c r="DK992" i="1" l="1"/>
  <c r="Q992" i="1" s="1"/>
  <c r="L992" i="1" s="1"/>
  <c r="P992" i="1" s="1"/>
  <c r="DK991" i="1"/>
  <c r="Q991" i="1" s="1"/>
  <c r="L991" i="1" s="1"/>
  <c r="P991" i="1" s="1"/>
  <c r="DK989" i="1" l="1"/>
  <c r="Q989" i="1" s="1"/>
  <c r="L989" i="1" s="1"/>
  <c r="P989" i="1" s="1"/>
  <c r="DK990" i="1"/>
  <c r="Q990" i="1" s="1"/>
  <c r="L990" i="1" s="1"/>
  <c r="P990" i="1" s="1"/>
  <c r="DK988" i="1" l="1"/>
  <c r="Q988" i="1" s="1"/>
  <c r="L988" i="1" s="1"/>
  <c r="P988" i="1" s="1"/>
  <c r="DK987" i="1"/>
  <c r="Q987" i="1" s="1"/>
  <c r="L987" i="1" s="1"/>
  <c r="P987" i="1" s="1"/>
  <c r="DK985" i="1" l="1"/>
  <c r="Q985" i="1" s="1"/>
  <c r="L985" i="1" s="1"/>
  <c r="P985" i="1" s="1"/>
  <c r="DK986" i="1"/>
  <c r="Q986" i="1" s="1"/>
  <c r="L986" i="1" s="1"/>
  <c r="P986" i="1" s="1"/>
  <c r="DK984" i="1" l="1"/>
  <c r="Q984" i="1" s="1"/>
  <c r="L984" i="1" s="1"/>
  <c r="P984" i="1" s="1"/>
  <c r="DK983" i="1"/>
  <c r="Q983" i="1" s="1"/>
  <c r="L983" i="1" s="1"/>
  <c r="P983" i="1" s="1"/>
  <c r="DK981" i="1" l="1"/>
  <c r="Q981" i="1" s="1"/>
  <c r="L981" i="1" s="1"/>
  <c r="P981" i="1" s="1"/>
  <c r="DK982" i="1"/>
  <c r="Q982" i="1" s="1"/>
  <c r="L982" i="1" s="1"/>
  <c r="P982" i="1" s="1"/>
  <c r="DK980" i="1" l="1"/>
  <c r="Q980" i="1" s="1"/>
  <c r="L980" i="1" s="1"/>
  <c r="P980" i="1" s="1"/>
  <c r="DK979" i="1"/>
  <c r="Q979" i="1" s="1"/>
  <c r="L979" i="1" s="1"/>
  <c r="P979" i="1" s="1"/>
  <c r="DK977" i="1" l="1"/>
  <c r="Q977" i="1" s="1"/>
  <c r="L977" i="1" s="1"/>
  <c r="P977" i="1" s="1"/>
  <c r="DK978" i="1"/>
  <c r="Q978" i="1" s="1"/>
  <c r="L978" i="1" s="1"/>
  <c r="P978" i="1" s="1"/>
  <c r="DK976" i="1" l="1"/>
  <c r="Q976" i="1" s="1"/>
  <c r="L976" i="1" s="1"/>
  <c r="P976" i="1" s="1"/>
  <c r="DK975" i="1"/>
  <c r="Q975" i="1" s="1"/>
  <c r="L975" i="1" s="1"/>
  <c r="P975" i="1" s="1"/>
  <c r="DK973" i="1" l="1"/>
  <c r="Q973" i="1" s="1"/>
  <c r="L973" i="1" s="1"/>
  <c r="P973" i="1" s="1"/>
  <c r="DK974" i="1"/>
  <c r="Q974" i="1" s="1"/>
  <c r="L974" i="1" s="1"/>
  <c r="P974" i="1" s="1"/>
  <c r="DK972" i="1" l="1"/>
  <c r="Q972" i="1" s="1"/>
  <c r="L972" i="1" s="1"/>
  <c r="P972" i="1" s="1"/>
  <c r="DK971" i="1"/>
  <c r="Q971" i="1" s="1"/>
  <c r="L971" i="1" s="1"/>
  <c r="P971" i="1" s="1"/>
  <c r="DK969" i="1" l="1"/>
  <c r="Q969" i="1" s="1"/>
  <c r="L969" i="1" s="1"/>
  <c r="P969" i="1" s="1"/>
  <c r="DK970" i="1"/>
  <c r="Q970" i="1" s="1"/>
  <c r="L970" i="1" s="1"/>
  <c r="P970" i="1" s="1"/>
  <c r="DK968" i="1" l="1"/>
  <c r="Q968" i="1" s="1"/>
  <c r="L968" i="1" s="1"/>
  <c r="P968" i="1" s="1"/>
  <c r="DK967" i="1"/>
  <c r="Q967" i="1" s="1"/>
  <c r="L967" i="1" s="1"/>
  <c r="P967" i="1" s="1"/>
  <c r="DK965" i="1" l="1"/>
  <c r="Q965" i="1" s="1"/>
  <c r="L965" i="1" s="1"/>
  <c r="P965" i="1" s="1"/>
  <c r="DK966" i="1"/>
  <c r="Q966" i="1" s="1"/>
  <c r="L966" i="1" s="1"/>
  <c r="P966" i="1" s="1"/>
  <c r="DK964" i="1" l="1"/>
  <c r="Q964" i="1" s="1"/>
  <c r="L964" i="1" s="1"/>
  <c r="P964" i="1" s="1"/>
  <c r="DK963" i="1"/>
  <c r="Q963" i="1" s="1"/>
  <c r="L963" i="1" s="1"/>
  <c r="P963" i="1" s="1"/>
  <c r="DK961" i="1" l="1"/>
  <c r="Q961" i="1" s="1"/>
  <c r="L961" i="1" s="1"/>
  <c r="P961" i="1" s="1"/>
  <c r="DK962" i="1"/>
  <c r="Q962" i="1" s="1"/>
  <c r="L962" i="1" s="1"/>
  <c r="P962" i="1" s="1"/>
  <c r="DK960" i="1" l="1"/>
  <c r="Q960" i="1" s="1"/>
  <c r="L960" i="1" s="1"/>
  <c r="P960" i="1" s="1"/>
  <c r="DK959" i="1"/>
  <c r="Q959" i="1" s="1"/>
  <c r="L959" i="1" s="1"/>
  <c r="P959" i="1" s="1"/>
  <c r="DK957" i="1" l="1"/>
  <c r="Q957" i="1" s="1"/>
  <c r="L957" i="1" s="1"/>
  <c r="P957" i="1" s="1"/>
  <c r="DK958" i="1"/>
  <c r="Q958" i="1" s="1"/>
  <c r="L958" i="1" s="1"/>
  <c r="P958" i="1" s="1"/>
  <c r="DK956" i="1" l="1"/>
  <c r="Q956" i="1" s="1"/>
  <c r="L956" i="1" s="1"/>
  <c r="P956" i="1" s="1"/>
  <c r="DK955" i="1"/>
  <c r="Q955" i="1" s="1"/>
  <c r="L955" i="1" s="1"/>
  <c r="P955" i="1" s="1"/>
  <c r="DK953" i="1" l="1"/>
  <c r="Q953" i="1" s="1"/>
  <c r="L953" i="1" s="1"/>
  <c r="P953" i="1" s="1"/>
  <c r="DK954" i="1"/>
  <c r="Q954" i="1" s="1"/>
  <c r="L954" i="1" s="1"/>
  <c r="P954" i="1" s="1"/>
  <c r="DK952" i="1" l="1"/>
  <c r="Q952" i="1" s="1"/>
  <c r="L952" i="1" s="1"/>
  <c r="P952" i="1" s="1"/>
  <c r="DK951" i="1"/>
  <c r="Q951" i="1" s="1"/>
  <c r="L951" i="1" s="1"/>
  <c r="P951" i="1" s="1"/>
  <c r="DK949" i="1" l="1"/>
  <c r="Q949" i="1" s="1"/>
  <c r="L949" i="1" s="1"/>
  <c r="P949" i="1" s="1"/>
  <c r="DK950" i="1"/>
  <c r="Q950" i="1" s="1"/>
  <c r="L950" i="1" s="1"/>
  <c r="P950" i="1" s="1"/>
  <c r="DK948" i="1" l="1"/>
  <c r="Q948" i="1" s="1"/>
  <c r="L948" i="1" s="1"/>
  <c r="P948" i="1" s="1"/>
  <c r="DK947" i="1"/>
  <c r="Q947" i="1" s="1"/>
  <c r="L947" i="1" s="1"/>
  <c r="P947" i="1" s="1"/>
  <c r="DK945" i="1" l="1"/>
  <c r="Q945" i="1" s="1"/>
  <c r="L945" i="1" s="1"/>
  <c r="P945" i="1" s="1"/>
  <c r="DK946" i="1"/>
  <c r="Q946" i="1" s="1"/>
  <c r="L946" i="1" s="1"/>
  <c r="P946" i="1" s="1"/>
  <c r="DK944" i="1" l="1"/>
  <c r="Q944" i="1" s="1"/>
  <c r="L944" i="1" s="1"/>
  <c r="P944" i="1" s="1"/>
  <c r="DK943" i="1"/>
  <c r="Q943" i="1" s="1"/>
  <c r="L943" i="1" s="1"/>
  <c r="P943" i="1" s="1"/>
  <c r="DK941" i="1" l="1"/>
  <c r="Q941" i="1" s="1"/>
  <c r="L941" i="1" s="1"/>
  <c r="P941" i="1" s="1"/>
  <c r="DK942" i="1"/>
  <c r="Q942" i="1" s="1"/>
  <c r="L942" i="1" s="1"/>
  <c r="P942" i="1" s="1"/>
  <c r="DK940" i="1" l="1"/>
  <c r="Q940" i="1" s="1"/>
  <c r="L940" i="1" s="1"/>
  <c r="P940" i="1" s="1"/>
  <c r="DK939" i="1"/>
  <c r="Q939" i="1" s="1"/>
  <c r="L939" i="1" s="1"/>
  <c r="P939" i="1" s="1"/>
  <c r="DK937" i="1" l="1"/>
  <c r="Q937" i="1" s="1"/>
  <c r="L937" i="1" s="1"/>
  <c r="P937" i="1" s="1"/>
  <c r="DK938" i="1"/>
  <c r="Q938" i="1" s="1"/>
  <c r="L938" i="1" s="1"/>
  <c r="P938" i="1" s="1"/>
  <c r="DK936" i="1" l="1"/>
  <c r="Q936" i="1" s="1"/>
  <c r="L936" i="1" s="1"/>
  <c r="P936" i="1" s="1"/>
  <c r="DK935" i="1"/>
  <c r="Q935" i="1" s="1"/>
  <c r="L935" i="1" s="1"/>
  <c r="P935" i="1" s="1"/>
  <c r="DK933" i="1" l="1"/>
  <c r="Q933" i="1" s="1"/>
  <c r="L933" i="1" s="1"/>
  <c r="P933" i="1" s="1"/>
  <c r="DK934" i="1"/>
  <c r="Q934" i="1" s="1"/>
  <c r="L934" i="1" s="1"/>
  <c r="P934" i="1" s="1"/>
  <c r="DK932" i="1" l="1"/>
  <c r="Q932" i="1" s="1"/>
  <c r="L932" i="1" s="1"/>
  <c r="P932" i="1" s="1"/>
  <c r="DK931" i="1"/>
  <c r="Q931" i="1" s="1"/>
  <c r="L931" i="1" s="1"/>
  <c r="P931" i="1" s="1"/>
  <c r="DK929" i="1" l="1"/>
  <c r="Q929" i="1" s="1"/>
  <c r="L929" i="1" s="1"/>
  <c r="P929" i="1" s="1"/>
  <c r="DK930" i="1"/>
  <c r="Q930" i="1" s="1"/>
  <c r="L930" i="1" s="1"/>
  <c r="P930" i="1" s="1"/>
  <c r="DK928" i="1" l="1"/>
  <c r="Q928" i="1" s="1"/>
  <c r="L928" i="1" s="1"/>
  <c r="P928" i="1" s="1"/>
  <c r="DK927" i="1"/>
  <c r="Q927" i="1" s="1"/>
  <c r="L927" i="1" s="1"/>
  <c r="P927" i="1" s="1"/>
  <c r="DK925" i="1" l="1"/>
  <c r="Q925" i="1" s="1"/>
  <c r="L925" i="1" s="1"/>
  <c r="P925" i="1" s="1"/>
  <c r="DK926" i="1"/>
  <c r="Q926" i="1" s="1"/>
  <c r="L926" i="1" s="1"/>
  <c r="P926" i="1" s="1"/>
  <c r="DK924" i="1" l="1"/>
  <c r="Q924" i="1" s="1"/>
  <c r="L924" i="1" s="1"/>
  <c r="P924" i="1" s="1"/>
  <c r="DK923" i="1"/>
  <c r="Q923" i="1" s="1"/>
  <c r="L923" i="1" s="1"/>
  <c r="P923" i="1" s="1"/>
  <c r="DK921" i="1" l="1"/>
  <c r="Q921" i="1" s="1"/>
  <c r="L921" i="1" s="1"/>
  <c r="P921" i="1" s="1"/>
  <c r="DK922" i="1"/>
  <c r="Q922" i="1" s="1"/>
  <c r="L922" i="1" s="1"/>
  <c r="P922" i="1" s="1"/>
  <c r="DK920" i="1" l="1"/>
  <c r="Q920" i="1" s="1"/>
  <c r="L920" i="1" s="1"/>
  <c r="P920" i="1" s="1"/>
  <c r="DK919" i="1"/>
  <c r="Q919" i="1" s="1"/>
  <c r="L919" i="1" s="1"/>
  <c r="P919" i="1" s="1"/>
  <c r="DK917" i="1" l="1"/>
  <c r="Q917" i="1" s="1"/>
  <c r="L917" i="1" s="1"/>
  <c r="P917" i="1" s="1"/>
  <c r="DK918" i="1"/>
  <c r="Q918" i="1" s="1"/>
  <c r="L918" i="1" s="1"/>
  <c r="P918" i="1" s="1"/>
  <c r="DK916" i="1" l="1"/>
  <c r="Q916" i="1" s="1"/>
  <c r="L916" i="1" s="1"/>
  <c r="P916" i="1" s="1"/>
  <c r="DK915" i="1"/>
  <c r="Q915" i="1" s="1"/>
  <c r="L915" i="1" s="1"/>
  <c r="P915" i="1" s="1"/>
  <c r="DK913" i="1" l="1"/>
  <c r="Q913" i="1" s="1"/>
  <c r="L913" i="1" s="1"/>
  <c r="P913" i="1" s="1"/>
  <c r="DK914" i="1"/>
  <c r="Q914" i="1" s="1"/>
  <c r="L914" i="1" s="1"/>
  <c r="P914" i="1" s="1"/>
  <c r="DK912" i="1" l="1"/>
  <c r="Q912" i="1" s="1"/>
  <c r="L912" i="1" s="1"/>
  <c r="P912" i="1" s="1"/>
  <c r="DK911" i="1"/>
  <c r="Q911" i="1" s="1"/>
  <c r="L911" i="1" s="1"/>
  <c r="P911" i="1" s="1"/>
  <c r="DK909" i="1" l="1"/>
  <c r="Q909" i="1" s="1"/>
  <c r="L909" i="1" s="1"/>
  <c r="P909" i="1" s="1"/>
  <c r="DK910" i="1"/>
  <c r="Q910" i="1" s="1"/>
  <c r="L910" i="1" s="1"/>
  <c r="P910" i="1" s="1"/>
  <c r="DK908" i="1" l="1"/>
  <c r="Q908" i="1" s="1"/>
  <c r="L908" i="1" s="1"/>
  <c r="P908" i="1" s="1"/>
  <c r="DK907" i="1"/>
  <c r="Q907" i="1" s="1"/>
  <c r="L907" i="1" s="1"/>
  <c r="P907" i="1" s="1"/>
  <c r="DK905" i="1" l="1"/>
  <c r="Q905" i="1" s="1"/>
  <c r="L905" i="1" s="1"/>
  <c r="P905" i="1" s="1"/>
  <c r="DK906" i="1"/>
  <c r="Q906" i="1" s="1"/>
  <c r="L906" i="1" s="1"/>
  <c r="P906" i="1" s="1"/>
  <c r="DK904" i="1" l="1"/>
  <c r="Q904" i="1" s="1"/>
  <c r="L904" i="1" s="1"/>
  <c r="P904" i="1" s="1"/>
  <c r="DK903" i="1"/>
  <c r="Q903" i="1" s="1"/>
  <c r="L903" i="1" s="1"/>
  <c r="P903" i="1" s="1"/>
  <c r="DK901" i="1" l="1"/>
  <c r="Q901" i="1" s="1"/>
  <c r="L901" i="1" s="1"/>
  <c r="P901" i="1" s="1"/>
  <c r="DK902" i="1"/>
  <c r="Q902" i="1" s="1"/>
  <c r="L902" i="1" s="1"/>
  <c r="P902" i="1" s="1"/>
  <c r="DK900" i="1" l="1"/>
  <c r="Q900" i="1" s="1"/>
  <c r="L900" i="1" s="1"/>
  <c r="P900" i="1" s="1"/>
  <c r="DK899" i="1"/>
  <c r="Q899" i="1" s="1"/>
  <c r="L899" i="1" s="1"/>
  <c r="P899" i="1" s="1"/>
  <c r="DK897" i="1" l="1"/>
  <c r="Q897" i="1" s="1"/>
  <c r="L897" i="1" s="1"/>
  <c r="P897" i="1" s="1"/>
  <c r="DK898" i="1"/>
  <c r="Q898" i="1" s="1"/>
  <c r="L898" i="1" s="1"/>
  <c r="P898" i="1" s="1"/>
  <c r="DK896" i="1" l="1"/>
  <c r="Q896" i="1" s="1"/>
  <c r="L896" i="1" s="1"/>
  <c r="P896" i="1" s="1"/>
  <c r="DK895" i="1"/>
  <c r="Q895" i="1" s="1"/>
  <c r="L895" i="1" s="1"/>
  <c r="P895" i="1" s="1"/>
  <c r="DK893" i="1" l="1"/>
  <c r="Q893" i="1" s="1"/>
  <c r="L893" i="1" s="1"/>
  <c r="P893" i="1" s="1"/>
  <c r="DK894" i="1"/>
  <c r="Q894" i="1" s="1"/>
  <c r="L894" i="1" s="1"/>
  <c r="P894" i="1" s="1"/>
  <c r="DK892" i="1" l="1"/>
  <c r="Q892" i="1" s="1"/>
  <c r="L892" i="1" s="1"/>
  <c r="P892" i="1" s="1"/>
  <c r="DK891" i="1"/>
  <c r="Q891" i="1" s="1"/>
  <c r="L891" i="1" s="1"/>
  <c r="P891" i="1" s="1"/>
  <c r="DK889" i="1" l="1"/>
  <c r="Q889" i="1" s="1"/>
  <c r="L889" i="1" s="1"/>
  <c r="P889" i="1" s="1"/>
  <c r="DK890" i="1"/>
  <c r="Q890" i="1" s="1"/>
  <c r="L890" i="1" s="1"/>
  <c r="P890" i="1" s="1"/>
  <c r="DK888" i="1" l="1"/>
  <c r="Q888" i="1" s="1"/>
  <c r="L888" i="1" s="1"/>
  <c r="P888" i="1" s="1"/>
  <c r="DK887" i="1"/>
  <c r="Q887" i="1" s="1"/>
  <c r="L887" i="1" s="1"/>
  <c r="P887" i="1" s="1"/>
  <c r="DK885" i="1" l="1"/>
  <c r="Q885" i="1" s="1"/>
  <c r="L885" i="1" s="1"/>
  <c r="P885" i="1" s="1"/>
  <c r="DK886" i="1"/>
  <c r="Q886" i="1" s="1"/>
  <c r="L886" i="1" s="1"/>
  <c r="P886" i="1" s="1"/>
  <c r="DK884" i="1" l="1"/>
  <c r="Q884" i="1" s="1"/>
  <c r="L884" i="1" s="1"/>
  <c r="P884" i="1" s="1"/>
  <c r="DK883" i="1"/>
  <c r="Q883" i="1" s="1"/>
  <c r="L883" i="1" s="1"/>
  <c r="P883" i="1" s="1"/>
  <c r="DK881" i="1" l="1"/>
  <c r="Q881" i="1" s="1"/>
  <c r="L881" i="1" s="1"/>
  <c r="P881" i="1" s="1"/>
  <c r="DK882" i="1"/>
  <c r="Q882" i="1" s="1"/>
  <c r="L882" i="1" s="1"/>
  <c r="P882" i="1" s="1"/>
  <c r="DK880" i="1" l="1"/>
  <c r="Q880" i="1" s="1"/>
  <c r="L880" i="1" s="1"/>
  <c r="P880" i="1" s="1"/>
  <c r="DK879" i="1"/>
  <c r="Q879" i="1" s="1"/>
  <c r="L879" i="1" s="1"/>
  <c r="P879" i="1" s="1"/>
  <c r="DK877" i="1" l="1"/>
  <c r="Q877" i="1" s="1"/>
  <c r="L877" i="1" s="1"/>
  <c r="P877" i="1" s="1"/>
  <c r="DK878" i="1"/>
  <c r="Q878" i="1" s="1"/>
  <c r="L878" i="1" s="1"/>
  <c r="P878" i="1" s="1"/>
  <c r="DK876" i="1" l="1"/>
  <c r="Q876" i="1" s="1"/>
  <c r="L876" i="1" s="1"/>
  <c r="P876" i="1" s="1"/>
  <c r="DK875" i="1"/>
  <c r="Q875" i="1" s="1"/>
  <c r="L875" i="1" s="1"/>
  <c r="P875" i="1" s="1"/>
  <c r="DK873" i="1" l="1"/>
  <c r="Q873" i="1" s="1"/>
  <c r="L873" i="1" s="1"/>
  <c r="P873" i="1" s="1"/>
  <c r="DK874" i="1"/>
  <c r="Q874" i="1" s="1"/>
  <c r="L874" i="1" s="1"/>
  <c r="P874" i="1" s="1"/>
  <c r="DK872" i="1" l="1"/>
  <c r="Q872" i="1" s="1"/>
  <c r="L872" i="1" s="1"/>
  <c r="P872" i="1" s="1"/>
  <c r="DK871" i="1"/>
  <c r="Q871" i="1" s="1"/>
  <c r="L871" i="1" s="1"/>
  <c r="P871" i="1" s="1"/>
  <c r="DK869" i="1" l="1"/>
  <c r="Q869" i="1" s="1"/>
  <c r="L869" i="1" s="1"/>
  <c r="P869" i="1" s="1"/>
  <c r="DK870" i="1"/>
  <c r="Q870" i="1" s="1"/>
  <c r="L870" i="1" s="1"/>
  <c r="P870" i="1" s="1"/>
  <c r="DK868" i="1" l="1"/>
  <c r="Q868" i="1" s="1"/>
  <c r="L868" i="1" s="1"/>
  <c r="P868" i="1" s="1"/>
  <c r="DK867" i="1"/>
  <c r="Q867" i="1" s="1"/>
  <c r="L867" i="1" s="1"/>
  <c r="P867" i="1" s="1"/>
  <c r="DK865" i="1" l="1"/>
  <c r="Q865" i="1" s="1"/>
  <c r="L865" i="1" s="1"/>
  <c r="P865" i="1" s="1"/>
  <c r="DK866" i="1"/>
  <c r="Q866" i="1" s="1"/>
  <c r="L866" i="1" s="1"/>
  <c r="P866" i="1" s="1"/>
  <c r="DK864" i="1" l="1"/>
  <c r="Q864" i="1" s="1"/>
  <c r="L864" i="1" s="1"/>
  <c r="P864" i="1" s="1"/>
  <c r="DK863" i="1"/>
  <c r="Q863" i="1" s="1"/>
  <c r="L863" i="1" s="1"/>
  <c r="P863" i="1" s="1"/>
  <c r="DK861" i="1" l="1"/>
  <c r="Q861" i="1" s="1"/>
  <c r="L861" i="1" s="1"/>
  <c r="P861" i="1" s="1"/>
  <c r="DK862" i="1"/>
  <c r="Q862" i="1" s="1"/>
  <c r="L862" i="1" s="1"/>
  <c r="P862" i="1" s="1"/>
  <c r="DK860" i="1" l="1"/>
  <c r="Q860" i="1" s="1"/>
  <c r="L860" i="1" s="1"/>
  <c r="P860" i="1" s="1"/>
  <c r="DK859" i="1"/>
  <c r="Q859" i="1" s="1"/>
  <c r="L859" i="1" s="1"/>
  <c r="P859" i="1" s="1"/>
  <c r="DK857" i="1" l="1"/>
  <c r="Q857" i="1" s="1"/>
  <c r="L857" i="1" s="1"/>
  <c r="P857" i="1" s="1"/>
  <c r="DK858" i="1"/>
  <c r="Q858" i="1" s="1"/>
  <c r="L858" i="1" s="1"/>
  <c r="P858" i="1" s="1"/>
  <c r="DK856" i="1" l="1"/>
  <c r="Q856" i="1" s="1"/>
  <c r="L856" i="1" s="1"/>
  <c r="P856" i="1" s="1"/>
  <c r="DK855" i="1"/>
  <c r="Q855" i="1" s="1"/>
  <c r="L855" i="1" s="1"/>
  <c r="P855" i="1" s="1"/>
  <c r="DK853" i="1" l="1"/>
  <c r="Q853" i="1" s="1"/>
  <c r="L853" i="1" s="1"/>
  <c r="P853" i="1" s="1"/>
  <c r="DK854" i="1"/>
  <c r="Q854" i="1" s="1"/>
  <c r="L854" i="1" s="1"/>
  <c r="P854" i="1" s="1"/>
  <c r="DK852" i="1" l="1"/>
  <c r="Q852" i="1" s="1"/>
  <c r="L852" i="1" s="1"/>
  <c r="P852" i="1" s="1"/>
  <c r="DK851" i="1"/>
  <c r="Q851" i="1" s="1"/>
  <c r="L851" i="1" s="1"/>
  <c r="P851" i="1" s="1"/>
  <c r="DK849" i="1" l="1"/>
  <c r="Q849" i="1" s="1"/>
  <c r="L849" i="1" s="1"/>
  <c r="P849" i="1" s="1"/>
  <c r="DK850" i="1"/>
  <c r="Q850" i="1" s="1"/>
  <c r="L850" i="1" s="1"/>
  <c r="P850" i="1" s="1"/>
  <c r="DK848" i="1" l="1"/>
  <c r="Q848" i="1" s="1"/>
  <c r="L848" i="1" s="1"/>
  <c r="P848" i="1" s="1"/>
  <c r="DK847" i="1"/>
  <c r="Q847" i="1" s="1"/>
  <c r="L847" i="1" s="1"/>
  <c r="P847" i="1" s="1"/>
  <c r="DK845" i="1" l="1"/>
  <c r="Q845" i="1" s="1"/>
  <c r="L845" i="1" s="1"/>
  <c r="P845" i="1" s="1"/>
  <c r="DK846" i="1"/>
  <c r="Q846" i="1" s="1"/>
  <c r="L846" i="1" s="1"/>
  <c r="P846" i="1" s="1"/>
  <c r="DK844" i="1" l="1"/>
  <c r="Q844" i="1" s="1"/>
  <c r="L844" i="1" s="1"/>
  <c r="P844" i="1" s="1"/>
  <c r="DK843" i="1"/>
  <c r="Q843" i="1" s="1"/>
  <c r="L843" i="1" s="1"/>
  <c r="P843" i="1" s="1"/>
  <c r="DK841" i="1" l="1"/>
  <c r="Q841" i="1" s="1"/>
  <c r="L841" i="1" s="1"/>
  <c r="P841" i="1" s="1"/>
  <c r="DK842" i="1"/>
  <c r="Q842" i="1" s="1"/>
  <c r="L842" i="1" s="1"/>
  <c r="P842" i="1" s="1"/>
  <c r="DK840" i="1" l="1"/>
  <c r="Q840" i="1" s="1"/>
  <c r="L840" i="1" s="1"/>
  <c r="P840" i="1" s="1"/>
  <c r="DK839" i="1"/>
  <c r="Q839" i="1" s="1"/>
  <c r="L839" i="1" s="1"/>
  <c r="P839" i="1" s="1"/>
  <c r="DK837" i="1" l="1"/>
  <c r="Q837" i="1" s="1"/>
  <c r="L837" i="1" s="1"/>
  <c r="P837" i="1" s="1"/>
  <c r="DK838" i="1"/>
  <c r="Q838" i="1" s="1"/>
  <c r="L838" i="1" s="1"/>
  <c r="P838" i="1" s="1"/>
  <c r="DK836" i="1" l="1"/>
  <c r="Q836" i="1" s="1"/>
  <c r="L836" i="1" s="1"/>
  <c r="P836" i="1" s="1"/>
  <c r="DK835" i="1"/>
  <c r="Q835" i="1" s="1"/>
  <c r="L835" i="1" s="1"/>
  <c r="P835" i="1" s="1"/>
  <c r="DK833" i="1" l="1"/>
  <c r="Q833" i="1" s="1"/>
  <c r="L833" i="1" s="1"/>
  <c r="P833" i="1" s="1"/>
  <c r="DK834" i="1"/>
  <c r="Q834" i="1" s="1"/>
  <c r="L834" i="1" s="1"/>
  <c r="P834" i="1" s="1"/>
  <c r="DK831" i="1" l="1"/>
  <c r="Q831" i="1" s="1"/>
  <c r="L831" i="1" s="1"/>
  <c r="P831" i="1" s="1"/>
  <c r="DK830" i="1"/>
  <c r="Q830" i="1" s="1"/>
  <c r="L830" i="1" s="1"/>
  <c r="P830" i="1" s="1"/>
  <c r="DK828" i="1" l="1"/>
  <c r="Q828" i="1" s="1"/>
  <c r="L828" i="1" s="1"/>
  <c r="P828" i="1" s="1"/>
  <c r="DK829" i="1"/>
  <c r="Q829" i="1" s="1"/>
  <c r="L829" i="1" s="1"/>
  <c r="P829" i="1" s="1"/>
  <c r="DK827" i="1" l="1"/>
  <c r="Q827" i="1" s="1"/>
  <c r="L827" i="1" s="1"/>
  <c r="P827" i="1" s="1"/>
  <c r="DK826" i="1"/>
  <c r="Q826" i="1" s="1"/>
  <c r="L826" i="1" s="1"/>
  <c r="P826" i="1" s="1"/>
  <c r="DK824" i="1" l="1"/>
  <c r="Q824" i="1" s="1"/>
  <c r="L824" i="1" s="1"/>
  <c r="P824" i="1" s="1"/>
  <c r="DK825" i="1"/>
  <c r="Q825" i="1" s="1"/>
  <c r="L825" i="1" s="1"/>
  <c r="P825" i="1" s="1"/>
  <c r="DK823" i="1" l="1"/>
  <c r="Q823" i="1" s="1"/>
  <c r="L823" i="1" s="1"/>
  <c r="P823" i="1" s="1"/>
  <c r="DK822" i="1"/>
  <c r="Q822" i="1" s="1"/>
  <c r="L822" i="1" s="1"/>
  <c r="P822" i="1" s="1"/>
  <c r="DK820" i="1" l="1"/>
  <c r="Q820" i="1" s="1"/>
  <c r="L820" i="1" s="1"/>
  <c r="P820" i="1" s="1"/>
  <c r="DK821" i="1"/>
  <c r="Q821" i="1" s="1"/>
  <c r="L821" i="1" s="1"/>
  <c r="P821" i="1" s="1"/>
  <c r="DK819" i="1" l="1"/>
  <c r="Q819" i="1" s="1"/>
  <c r="L819" i="1" s="1"/>
  <c r="P819" i="1" s="1"/>
  <c r="DK818" i="1"/>
  <c r="Q818" i="1" s="1"/>
  <c r="L818" i="1" s="1"/>
  <c r="P818" i="1" s="1"/>
  <c r="DK816" i="1" l="1"/>
  <c r="Q816" i="1" s="1"/>
  <c r="L816" i="1" s="1"/>
  <c r="P816" i="1" s="1"/>
  <c r="DK817" i="1"/>
  <c r="Q817" i="1" s="1"/>
  <c r="L817" i="1" s="1"/>
  <c r="P817" i="1" s="1"/>
  <c r="DK815" i="1" l="1"/>
  <c r="Q815" i="1" s="1"/>
  <c r="L815" i="1" s="1"/>
  <c r="P815" i="1" s="1"/>
  <c r="DK814" i="1"/>
  <c r="Q814" i="1" s="1"/>
  <c r="L814" i="1" s="1"/>
  <c r="P814" i="1" s="1"/>
  <c r="DK812" i="1" l="1"/>
  <c r="Q812" i="1" s="1"/>
  <c r="L812" i="1" s="1"/>
  <c r="P812" i="1" s="1"/>
  <c r="DK813" i="1"/>
  <c r="Q813" i="1" s="1"/>
  <c r="L813" i="1" s="1"/>
  <c r="P813" i="1" s="1"/>
  <c r="DK811" i="1" l="1"/>
  <c r="Q811" i="1" s="1"/>
  <c r="L811" i="1" s="1"/>
  <c r="P811" i="1" s="1"/>
  <c r="DK810" i="1"/>
  <c r="Q810" i="1" s="1"/>
  <c r="L810" i="1" s="1"/>
  <c r="P810" i="1" s="1"/>
  <c r="DK808" i="1" l="1"/>
  <c r="Q808" i="1" s="1"/>
  <c r="L808" i="1" s="1"/>
  <c r="P808" i="1" s="1"/>
  <c r="DK809" i="1"/>
  <c r="Q809" i="1" s="1"/>
  <c r="L809" i="1" s="1"/>
  <c r="P809" i="1" s="1"/>
  <c r="DK807" i="1" l="1"/>
  <c r="Q807" i="1" s="1"/>
  <c r="L807" i="1" s="1"/>
  <c r="P807" i="1" s="1"/>
  <c r="DK806" i="1"/>
  <c r="Q806" i="1" s="1"/>
  <c r="L806" i="1" s="1"/>
  <c r="P806" i="1" s="1"/>
  <c r="DK804" i="1" l="1"/>
  <c r="Q804" i="1" s="1"/>
  <c r="L804" i="1" s="1"/>
  <c r="P804" i="1" s="1"/>
  <c r="DK805" i="1"/>
  <c r="Q805" i="1" s="1"/>
  <c r="L805" i="1" s="1"/>
  <c r="P805" i="1" s="1"/>
  <c r="DK803" i="1" l="1"/>
  <c r="Q803" i="1" s="1"/>
  <c r="L803" i="1" s="1"/>
  <c r="P803" i="1" s="1"/>
  <c r="DK802" i="1"/>
  <c r="Q802" i="1" s="1"/>
  <c r="L802" i="1" s="1"/>
  <c r="P802" i="1" s="1"/>
  <c r="DK800" i="1" l="1"/>
  <c r="Q800" i="1" s="1"/>
  <c r="L800" i="1" s="1"/>
  <c r="P800" i="1" s="1"/>
  <c r="DK801" i="1"/>
  <c r="Q801" i="1" s="1"/>
  <c r="L801" i="1" s="1"/>
  <c r="P801" i="1" s="1"/>
  <c r="DK799" i="1" l="1"/>
  <c r="Q799" i="1" s="1"/>
  <c r="L799" i="1" s="1"/>
  <c r="P799" i="1" s="1"/>
  <c r="DK798" i="1"/>
  <c r="Q798" i="1" s="1"/>
  <c r="L798" i="1" s="1"/>
  <c r="P798" i="1" s="1"/>
  <c r="DK796" i="1" l="1"/>
  <c r="Q796" i="1" s="1"/>
  <c r="L796" i="1" s="1"/>
  <c r="P796" i="1" s="1"/>
  <c r="DK797" i="1"/>
  <c r="Q797" i="1" s="1"/>
  <c r="L797" i="1" s="1"/>
  <c r="P797" i="1" s="1"/>
  <c r="DK795" i="1" l="1"/>
  <c r="Q795" i="1" s="1"/>
  <c r="L795" i="1" s="1"/>
  <c r="P795" i="1" s="1"/>
  <c r="DK794" i="1"/>
  <c r="Q794" i="1" s="1"/>
  <c r="L794" i="1" s="1"/>
  <c r="P794" i="1" s="1"/>
  <c r="DK792" i="1" l="1"/>
  <c r="Q792" i="1" s="1"/>
  <c r="L792" i="1" s="1"/>
  <c r="P792" i="1" s="1"/>
  <c r="DK793" i="1"/>
  <c r="Q793" i="1" s="1"/>
  <c r="L793" i="1" s="1"/>
  <c r="P793" i="1" s="1"/>
  <c r="DK791" i="1" l="1"/>
  <c r="Q791" i="1" s="1"/>
  <c r="L791" i="1" s="1"/>
  <c r="P791" i="1" s="1"/>
  <c r="DK790" i="1"/>
  <c r="Q790" i="1" s="1"/>
  <c r="L790" i="1" s="1"/>
  <c r="P790" i="1" s="1"/>
  <c r="DK788" i="1" l="1"/>
  <c r="Q788" i="1" s="1"/>
  <c r="L788" i="1" s="1"/>
  <c r="P788" i="1" s="1"/>
  <c r="DK789" i="1"/>
  <c r="Q789" i="1" s="1"/>
  <c r="L789" i="1" s="1"/>
  <c r="P789" i="1" s="1"/>
  <c r="DK787" i="1" l="1"/>
  <c r="Q787" i="1" s="1"/>
  <c r="L787" i="1" s="1"/>
  <c r="P787" i="1" s="1"/>
  <c r="DK786" i="1"/>
  <c r="Q786" i="1" s="1"/>
  <c r="L786" i="1" s="1"/>
  <c r="P786" i="1" s="1"/>
  <c r="DK784" i="1" l="1"/>
  <c r="Q784" i="1" s="1"/>
  <c r="L784" i="1" s="1"/>
  <c r="P784" i="1" s="1"/>
  <c r="DK785" i="1"/>
  <c r="Q785" i="1" s="1"/>
  <c r="L785" i="1" s="1"/>
  <c r="P785" i="1" s="1"/>
  <c r="DK783" i="1" l="1"/>
  <c r="Q783" i="1" s="1"/>
  <c r="L783" i="1" s="1"/>
  <c r="P783" i="1" s="1"/>
  <c r="DK782" i="1"/>
  <c r="Q782" i="1" s="1"/>
  <c r="L782" i="1" s="1"/>
  <c r="P782" i="1" s="1"/>
  <c r="DK780" i="1" l="1"/>
  <c r="Q780" i="1" s="1"/>
  <c r="L780" i="1" s="1"/>
  <c r="P780" i="1" s="1"/>
  <c r="DK781" i="1"/>
  <c r="Q781" i="1" s="1"/>
  <c r="L781" i="1" s="1"/>
  <c r="P781" i="1" s="1"/>
  <c r="DK779" i="1" l="1"/>
  <c r="Q779" i="1" s="1"/>
  <c r="L779" i="1" s="1"/>
  <c r="P779" i="1" s="1"/>
  <c r="DK778" i="1"/>
  <c r="Q778" i="1" s="1"/>
  <c r="L778" i="1" s="1"/>
  <c r="P778" i="1" s="1"/>
  <c r="DK776" i="1" l="1"/>
  <c r="Q776" i="1" s="1"/>
  <c r="L776" i="1" s="1"/>
  <c r="P776" i="1" s="1"/>
  <c r="DK777" i="1"/>
  <c r="Q777" i="1" s="1"/>
  <c r="L777" i="1" s="1"/>
  <c r="P777" i="1" s="1"/>
  <c r="DK775" i="1" l="1"/>
  <c r="Q775" i="1" s="1"/>
  <c r="L775" i="1" s="1"/>
  <c r="P775" i="1" s="1"/>
  <c r="DK774" i="1"/>
  <c r="Q774" i="1" s="1"/>
  <c r="L774" i="1" s="1"/>
  <c r="P774" i="1" s="1"/>
  <c r="DK772" i="1" l="1"/>
  <c r="Q772" i="1" s="1"/>
  <c r="L772" i="1" s="1"/>
  <c r="P772" i="1" s="1"/>
  <c r="DK773" i="1"/>
  <c r="Q773" i="1" s="1"/>
  <c r="L773" i="1" s="1"/>
  <c r="P773" i="1" s="1"/>
  <c r="DK771" i="1" l="1"/>
  <c r="Q771" i="1" s="1"/>
  <c r="L771" i="1" s="1"/>
  <c r="P771" i="1" s="1"/>
  <c r="DK770" i="1"/>
  <c r="Q770" i="1" s="1"/>
  <c r="L770" i="1" s="1"/>
  <c r="P770" i="1" s="1"/>
  <c r="DK768" i="1" l="1"/>
  <c r="Q768" i="1" s="1"/>
  <c r="L768" i="1" s="1"/>
  <c r="P768" i="1" s="1"/>
  <c r="DK769" i="1"/>
  <c r="Q769" i="1" s="1"/>
  <c r="L769" i="1" s="1"/>
  <c r="P769" i="1" s="1"/>
  <c r="DK767" i="1" l="1"/>
  <c r="Q767" i="1" s="1"/>
  <c r="L767" i="1" s="1"/>
  <c r="P767" i="1" s="1"/>
  <c r="DK766" i="1"/>
  <c r="Q766" i="1" s="1"/>
  <c r="L766" i="1" s="1"/>
  <c r="P766" i="1" s="1"/>
  <c r="DK764" i="1" l="1"/>
  <c r="Q764" i="1" s="1"/>
  <c r="L764" i="1" s="1"/>
  <c r="P764" i="1" s="1"/>
  <c r="DK765" i="1"/>
  <c r="Q765" i="1" s="1"/>
  <c r="L765" i="1" s="1"/>
  <c r="P765" i="1" s="1"/>
  <c r="DK763" i="1" l="1"/>
  <c r="Q763" i="1" s="1"/>
  <c r="L763" i="1" s="1"/>
  <c r="P763" i="1" s="1"/>
  <c r="DK762" i="1"/>
  <c r="Q762" i="1" s="1"/>
  <c r="L762" i="1" s="1"/>
  <c r="P762" i="1" s="1"/>
  <c r="DK760" i="1" l="1"/>
  <c r="Q760" i="1" s="1"/>
  <c r="L760" i="1" s="1"/>
  <c r="P760" i="1" s="1"/>
  <c r="DK761" i="1"/>
  <c r="Q761" i="1" s="1"/>
  <c r="L761" i="1" s="1"/>
  <c r="P761" i="1" s="1"/>
  <c r="DK759" i="1" l="1"/>
  <c r="Q759" i="1" s="1"/>
  <c r="L759" i="1" s="1"/>
  <c r="P759" i="1" s="1"/>
  <c r="DK758" i="1"/>
  <c r="Q758" i="1" s="1"/>
  <c r="L758" i="1" s="1"/>
  <c r="P758" i="1" s="1"/>
  <c r="DK756" i="1" l="1"/>
  <c r="Q756" i="1" s="1"/>
  <c r="L756" i="1" s="1"/>
  <c r="P756" i="1" s="1"/>
  <c r="DK757" i="1"/>
  <c r="Q757" i="1" s="1"/>
  <c r="L757" i="1" s="1"/>
  <c r="P757" i="1" s="1"/>
  <c r="DK755" i="1" l="1"/>
  <c r="Q755" i="1" s="1"/>
  <c r="L755" i="1" s="1"/>
  <c r="P755" i="1" s="1"/>
  <c r="DK754" i="1"/>
  <c r="Q754" i="1" s="1"/>
  <c r="L754" i="1" s="1"/>
  <c r="P754" i="1" s="1"/>
  <c r="DK752" i="1" l="1"/>
  <c r="Q752" i="1" s="1"/>
  <c r="L752" i="1" s="1"/>
  <c r="P752" i="1" s="1"/>
  <c r="DK753" i="1"/>
  <c r="Q753" i="1" s="1"/>
  <c r="L753" i="1" s="1"/>
  <c r="P753" i="1" s="1"/>
  <c r="DK751" i="1" l="1"/>
  <c r="Q751" i="1" s="1"/>
  <c r="L751" i="1" s="1"/>
  <c r="P751" i="1" s="1"/>
  <c r="DK750" i="1"/>
  <c r="Q750" i="1" s="1"/>
  <c r="L750" i="1" s="1"/>
  <c r="P750" i="1" s="1"/>
  <c r="DK748" i="1" l="1"/>
  <c r="Q748" i="1" s="1"/>
  <c r="L748" i="1" s="1"/>
  <c r="P748" i="1" s="1"/>
  <c r="DK749" i="1"/>
  <c r="Q749" i="1" s="1"/>
  <c r="L749" i="1" s="1"/>
  <c r="P749" i="1" s="1"/>
  <c r="DK747" i="1" l="1"/>
  <c r="Q747" i="1" s="1"/>
  <c r="L747" i="1" s="1"/>
  <c r="P747" i="1" s="1"/>
  <c r="DK746" i="1"/>
  <c r="Q746" i="1" s="1"/>
  <c r="L746" i="1" s="1"/>
  <c r="P746" i="1" s="1"/>
  <c r="DK744" i="1" l="1"/>
  <c r="Q744" i="1" s="1"/>
  <c r="L744" i="1" s="1"/>
  <c r="P744" i="1" s="1"/>
  <c r="DK745" i="1"/>
  <c r="Q745" i="1" s="1"/>
  <c r="L745" i="1" s="1"/>
  <c r="P745" i="1" s="1"/>
  <c r="DK743" i="1" l="1"/>
  <c r="Q743" i="1" s="1"/>
  <c r="L743" i="1" s="1"/>
  <c r="P743" i="1" s="1"/>
  <c r="DK742" i="1"/>
  <c r="Q742" i="1" s="1"/>
  <c r="L742" i="1" s="1"/>
  <c r="P742" i="1" s="1"/>
  <c r="DK740" i="1" l="1"/>
  <c r="Q740" i="1" s="1"/>
  <c r="L740" i="1" s="1"/>
  <c r="P740" i="1" s="1"/>
  <c r="DK741" i="1"/>
  <c r="Q741" i="1" s="1"/>
  <c r="L741" i="1" s="1"/>
  <c r="P741" i="1" s="1"/>
  <c r="DK739" i="1" l="1"/>
  <c r="Q739" i="1" s="1"/>
  <c r="L739" i="1" s="1"/>
  <c r="P739" i="1" s="1"/>
  <c r="DK738" i="1"/>
  <c r="Q738" i="1" s="1"/>
  <c r="L738" i="1" s="1"/>
  <c r="P738" i="1" s="1"/>
  <c r="DK736" i="1" l="1"/>
  <c r="Q736" i="1" s="1"/>
  <c r="L736" i="1" s="1"/>
  <c r="P736" i="1" s="1"/>
  <c r="DK737" i="1"/>
  <c r="Q737" i="1" s="1"/>
  <c r="L737" i="1" s="1"/>
  <c r="P737" i="1" s="1"/>
  <c r="DK735" i="1" l="1"/>
  <c r="Q735" i="1" s="1"/>
  <c r="L735" i="1" s="1"/>
  <c r="P735" i="1" s="1"/>
  <c r="DK734" i="1"/>
  <c r="Q734" i="1" s="1"/>
  <c r="L734" i="1" s="1"/>
  <c r="P734" i="1" s="1"/>
  <c r="DK729" i="1" l="1"/>
  <c r="Q729" i="1" s="1"/>
  <c r="L729" i="1" s="1"/>
  <c r="P729" i="1" s="1"/>
  <c r="DK733" i="1"/>
  <c r="Q733" i="1" s="1"/>
  <c r="L733" i="1" s="1"/>
  <c r="P733" i="1" s="1"/>
  <c r="DK728" i="1" l="1"/>
  <c r="Q728" i="1" s="1"/>
  <c r="L728" i="1" s="1"/>
  <c r="P728" i="1" s="1"/>
  <c r="DK727" i="1"/>
  <c r="Q727" i="1" s="1"/>
  <c r="L727" i="1" s="1"/>
  <c r="P727" i="1" s="1"/>
  <c r="DK725" i="1" l="1"/>
  <c r="Q725" i="1" s="1"/>
  <c r="L725" i="1" s="1"/>
  <c r="P725" i="1" s="1"/>
  <c r="DK726" i="1"/>
  <c r="Q726" i="1" s="1"/>
  <c r="L726" i="1" s="1"/>
  <c r="P726" i="1" s="1"/>
  <c r="DK724" i="1" l="1"/>
  <c r="Q724" i="1" s="1"/>
  <c r="L724" i="1" s="1"/>
  <c r="P724" i="1" s="1"/>
  <c r="DK723" i="1"/>
  <c r="Q723" i="1" s="1"/>
  <c r="L723" i="1" s="1"/>
  <c r="P723" i="1" s="1"/>
  <c r="DK721" i="1" l="1"/>
  <c r="Q721" i="1" s="1"/>
  <c r="L721" i="1" s="1"/>
  <c r="P721" i="1" s="1"/>
  <c r="DK722" i="1"/>
  <c r="Q722" i="1" s="1"/>
  <c r="L722" i="1" s="1"/>
  <c r="P722" i="1" s="1"/>
  <c r="DK720" i="1" l="1"/>
  <c r="Q720" i="1" s="1"/>
  <c r="L720" i="1" s="1"/>
  <c r="P720" i="1" s="1"/>
  <c r="DK719" i="1"/>
  <c r="Q719" i="1" s="1"/>
  <c r="L719" i="1" s="1"/>
  <c r="P719" i="1" s="1"/>
  <c r="DK717" i="1" l="1"/>
  <c r="Q717" i="1" s="1"/>
  <c r="L717" i="1" s="1"/>
  <c r="P717" i="1" s="1"/>
  <c r="DK718" i="1"/>
  <c r="Q718" i="1" s="1"/>
  <c r="L718" i="1" s="1"/>
  <c r="P718" i="1" s="1"/>
  <c r="DK716" i="1" l="1"/>
  <c r="Q716" i="1" s="1"/>
  <c r="L716" i="1" s="1"/>
  <c r="P716" i="1" s="1"/>
  <c r="DK715" i="1"/>
  <c r="Q715" i="1" s="1"/>
  <c r="L715" i="1" s="1"/>
  <c r="P715" i="1" s="1"/>
  <c r="DK713" i="1" l="1"/>
  <c r="Q713" i="1" s="1"/>
  <c r="L713" i="1" s="1"/>
  <c r="P713" i="1" s="1"/>
  <c r="DK714" i="1"/>
  <c r="Q714" i="1" s="1"/>
  <c r="L714" i="1" s="1"/>
  <c r="P714" i="1" s="1"/>
  <c r="DK712" i="1" l="1"/>
  <c r="Q712" i="1" s="1"/>
  <c r="L712" i="1" s="1"/>
  <c r="P712" i="1" s="1"/>
  <c r="DK711" i="1"/>
  <c r="Q711" i="1" s="1"/>
  <c r="L711" i="1" s="1"/>
  <c r="P711" i="1" s="1"/>
  <c r="DK709" i="1" l="1"/>
  <c r="Q709" i="1" s="1"/>
  <c r="L709" i="1" s="1"/>
  <c r="P709" i="1" s="1"/>
  <c r="DK710" i="1"/>
  <c r="Q710" i="1" s="1"/>
  <c r="L710" i="1" s="1"/>
  <c r="P710" i="1" s="1"/>
  <c r="DK708" i="1" l="1"/>
  <c r="Q708" i="1" s="1"/>
  <c r="L708" i="1" s="1"/>
  <c r="P708" i="1" s="1"/>
  <c r="DK707" i="1"/>
  <c r="Q707" i="1" s="1"/>
  <c r="L707" i="1" s="1"/>
  <c r="P707" i="1" s="1"/>
  <c r="DK705" i="1" l="1"/>
  <c r="Q705" i="1" s="1"/>
  <c r="L705" i="1" s="1"/>
  <c r="P705" i="1" s="1"/>
  <c r="DK706" i="1"/>
  <c r="Q706" i="1" s="1"/>
  <c r="L706" i="1" s="1"/>
  <c r="P706" i="1" s="1"/>
  <c r="DK704" i="1" l="1"/>
  <c r="Q704" i="1" s="1"/>
  <c r="L704" i="1" s="1"/>
  <c r="P704" i="1" s="1"/>
  <c r="DK703" i="1"/>
  <c r="Q703" i="1" s="1"/>
  <c r="L703" i="1" s="1"/>
  <c r="P703" i="1" s="1"/>
  <c r="DK701" i="1" l="1"/>
  <c r="Q701" i="1" s="1"/>
  <c r="L701" i="1" s="1"/>
  <c r="P701" i="1" s="1"/>
  <c r="DK702" i="1"/>
  <c r="Q702" i="1" s="1"/>
  <c r="L702" i="1" s="1"/>
  <c r="P702" i="1" s="1"/>
  <c r="DK700" i="1" l="1"/>
  <c r="Q700" i="1" s="1"/>
  <c r="L700" i="1" s="1"/>
  <c r="P700" i="1" s="1"/>
  <c r="DK699" i="1"/>
  <c r="Q699" i="1" s="1"/>
  <c r="L699" i="1" s="1"/>
  <c r="P699" i="1" s="1"/>
  <c r="DK697" i="1" l="1"/>
  <c r="Q697" i="1" s="1"/>
  <c r="L697" i="1" s="1"/>
  <c r="P697" i="1" s="1"/>
  <c r="DK698" i="1"/>
  <c r="Q698" i="1" s="1"/>
  <c r="L698" i="1" s="1"/>
  <c r="P698" i="1" s="1"/>
  <c r="DK696" i="1" l="1"/>
  <c r="Q696" i="1" s="1"/>
  <c r="L696" i="1" s="1"/>
  <c r="P696" i="1" s="1"/>
  <c r="DK695" i="1"/>
  <c r="Q695" i="1" s="1"/>
  <c r="L695" i="1" s="1"/>
  <c r="P695" i="1" s="1"/>
  <c r="DK693" i="1" l="1"/>
  <c r="Q693" i="1" s="1"/>
  <c r="L693" i="1" s="1"/>
  <c r="P693" i="1" s="1"/>
  <c r="DK694" i="1"/>
  <c r="Q694" i="1" s="1"/>
  <c r="L694" i="1" s="1"/>
  <c r="P694" i="1" s="1"/>
  <c r="DK692" i="1" l="1"/>
  <c r="Q692" i="1" s="1"/>
  <c r="L692" i="1" s="1"/>
  <c r="P692" i="1" s="1"/>
  <c r="DK691" i="1"/>
  <c r="Q691" i="1" s="1"/>
  <c r="L691" i="1" s="1"/>
  <c r="P691" i="1" s="1"/>
  <c r="DK689" i="1" l="1"/>
  <c r="Q689" i="1" s="1"/>
  <c r="L689" i="1" s="1"/>
  <c r="P689" i="1" s="1"/>
  <c r="DK690" i="1"/>
  <c r="Q690" i="1" s="1"/>
  <c r="L690" i="1" s="1"/>
  <c r="P690" i="1" s="1"/>
  <c r="DK688" i="1" l="1"/>
  <c r="Q688" i="1" s="1"/>
  <c r="L688" i="1" s="1"/>
  <c r="P688" i="1" s="1"/>
  <c r="DK687" i="1"/>
  <c r="Q687" i="1" s="1"/>
  <c r="L687" i="1" s="1"/>
  <c r="P687" i="1" s="1"/>
  <c r="DK685" i="1" l="1"/>
  <c r="Q685" i="1" s="1"/>
  <c r="L685" i="1" s="1"/>
  <c r="P685" i="1" s="1"/>
  <c r="DK686" i="1"/>
  <c r="Q686" i="1" s="1"/>
  <c r="L686" i="1" s="1"/>
  <c r="P686" i="1" s="1"/>
  <c r="DK684" i="1" l="1"/>
  <c r="Q684" i="1" s="1"/>
  <c r="L684" i="1" s="1"/>
  <c r="P684" i="1" s="1"/>
  <c r="DK683" i="1"/>
  <c r="Q683" i="1" s="1"/>
  <c r="L683" i="1" s="1"/>
  <c r="P683" i="1" s="1"/>
  <c r="DK681" i="1" l="1"/>
  <c r="Q681" i="1" s="1"/>
  <c r="L681" i="1" s="1"/>
  <c r="P681" i="1" s="1"/>
  <c r="DK682" i="1"/>
  <c r="Q682" i="1" s="1"/>
  <c r="L682" i="1" s="1"/>
  <c r="P682" i="1" s="1"/>
  <c r="DK680" i="1" l="1"/>
  <c r="Q680" i="1" s="1"/>
  <c r="L680" i="1" s="1"/>
  <c r="P680" i="1" s="1"/>
  <c r="DK679" i="1"/>
  <c r="Q679" i="1" s="1"/>
  <c r="L679" i="1" s="1"/>
  <c r="P679" i="1" s="1"/>
  <c r="DK677" i="1" l="1"/>
  <c r="Q677" i="1" s="1"/>
  <c r="L677" i="1" s="1"/>
  <c r="P677" i="1" s="1"/>
  <c r="DK678" i="1"/>
  <c r="Q678" i="1" s="1"/>
  <c r="L678" i="1" s="1"/>
  <c r="P678" i="1" s="1"/>
  <c r="DK676" i="1" l="1"/>
  <c r="Q676" i="1" s="1"/>
  <c r="L676" i="1" s="1"/>
  <c r="P676" i="1" s="1"/>
  <c r="DK675" i="1"/>
  <c r="Q675" i="1" s="1"/>
  <c r="L675" i="1" s="1"/>
  <c r="P675" i="1" s="1"/>
  <c r="DK673" i="1" l="1"/>
  <c r="Q673" i="1" s="1"/>
  <c r="L673" i="1" s="1"/>
  <c r="P673" i="1" s="1"/>
  <c r="DK674" i="1"/>
  <c r="Q674" i="1" s="1"/>
  <c r="L674" i="1" s="1"/>
  <c r="P674" i="1" s="1"/>
  <c r="DK672" i="1" l="1"/>
  <c r="Q672" i="1" s="1"/>
  <c r="L672" i="1" s="1"/>
  <c r="P672" i="1" s="1"/>
  <c r="DK671" i="1"/>
  <c r="Q671" i="1" s="1"/>
  <c r="L671" i="1" s="1"/>
  <c r="P671" i="1" s="1"/>
  <c r="DK669" i="1" l="1"/>
  <c r="Q669" i="1" s="1"/>
  <c r="L669" i="1" s="1"/>
  <c r="P669" i="1" s="1"/>
  <c r="DK670" i="1"/>
  <c r="Q670" i="1" s="1"/>
  <c r="L670" i="1" s="1"/>
  <c r="P670" i="1" s="1"/>
  <c r="DK668" i="1" l="1"/>
  <c r="Q668" i="1" s="1"/>
  <c r="L668" i="1" s="1"/>
  <c r="P668" i="1" s="1"/>
  <c r="DK667" i="1"/>
  <c r="Q667" i="1" s="1"/>
  <c r="L667" i="1" s="1"/>
  <c r="P667" i="1" s="1"/>
  <c r="DK665" i="1" l="1"/>
  <c r="Q665" i="1" s="1"/>
  <c r="L665" i="1" s="1"/>
  <c r="P665" i="1" s="1"/>
  <c r="DK666" i="1"/>
  <c r="Q666" i="1" s="1"/>
  <c r="L666" i="1" s="1"/>
  <c r="P666" i="1" s="1"/>
  <c r="DK664" i="1" l="1"/>
  <c r="Q664" i="1" s="1"/>
  <c r="L664" i="1" s="1"/>
  <c r="P664" i="1" s="1"/>
  <c r="DK663" i="1"/>
  <c r="Q663" i="1" s="1"/>
  <c r="L663" i="1" s="1"/>
  <c r="P663" i="1" s="1"/>
  <c r="DK661" i="1" l="1"/>
  <c r="Q661" i="1" s="1"/>
  <c r="L661" i="1" s="1"/>
  <c r="P661" i="1" s="1"/>
  <c r="DK662" i="1"/>
  <c r="Q662" i="1" s="1"/>
  <c r="L662" i="1" s="1"/>
  <c r="P662" i="1" s="1"/>
  <c r="DK660" i="1" l="1"/>
  <c r="Q660" i="1" s="1"/>
  <c r="L660" i="1" s="1"/>
  <c r="P660" i="1" s="1"/>
  <c r="DK659" i="1"/>
  <c r="Q659" i="1" s="1"/>
  <c r="L659" i="1" s="1"/>
  <c r="P659" i="1" s="1"/>
  <c r="DK657" i="1" l="1"/>
  <c r="Q657" i="1" s="1"/>
  <c r="L657" i="1" s="1"/>
  <c r="P657" i="1" s="1"/>
  <c r="DK658" i="1"/>
  <c r="Q658" i="1" s="1"/>
  <c r="L658" i="1" s="1"/>
  <c r="P658" i="1" s="1"/>
  <c r="DK656" i="1" l="1"/>
  <c r="Q656" i="1" s="1"/>
  <c r="L656" i="1" s="1"/>
  <c r="P656" i="1" s="1"/>
  <c r="DK655" i="1"/>
  <c r="Q655" i="1" s="1"/>
  <c r="L655" i="1" s="1"/>
  <c r="P655" i="1" s="1"/>
  <c r="DK653" i="1" l="1"/>
  <c r="Q653" i="1" s="1"/>
  <c r="L653" i="1" s="1"/>
  <c r="P653" i="1" s="1"/>
  <c r="DK654" i="1"/>
  <c r="Q654" i="1" s="1"/>
  <c r="L654" i="1" s="1"/>
  <c r="P654" i="1" s="1"/>
  <c r="DK652" i="1" l="1"/>
  <c r="Q652" i="1" s="1"/>
  <c r="L652" i="1" s="1"/>
  <c r="P652" i="1" s="1"/>
  <c r="DK651" i="1"/>
  <c r="Q651" i="1" s="1"/>
  <c r="L651" i="1" s="1"/>
  <c r="P651" i="1" s="1"/>
  <c r="DK649" i="1" l="1"/>
  <c r="Q649" i="1" s="1"/>
  <c r="L649" i="1" s="1"/>
  <c r="P649" i="1" s="1"/>
  <c r="DK650" i="1"/>
  <c r="Q650" i="1" s="1"/>
  <c r="L650" i="1" s="1"/>
  <c r="P650" i="1" s="1"/>
  <c r="DK648" i="1" l="1"/>
  <c r="Q648" i="1" s="1"/>
  <c r="L648" i="1" s="1"/>
  <c r="P648" i="1" s="1"/>
  <c r="DK647" i="1"/>
  <c r="Q647" i="1" s="1"/>
  <c r="L647" i="1" s="1"/>
  <c r="P647" i="1" s="1"/>
  <c r="DK645" i="1" l="1"/>
  <c r="Q645" i="1" s="1"/>
  <c r="L645" i="1" s="1"/>
  <c r="P645" i="1" s="1"/>
  <c r="DK646" i="1"/>
  <c r="Q646" i="1" s="1"/>
  <c r="L646" i="1" s="1"/>
  <c r="P646" i="1" s="1"/>
  <c r="DK644" i="1" l="1"/>
  <c r="Q644" i="1" s="1"/>
  <c r="L644" i="1" s="1"/>
  <c r="P644" i="1" s="1"/>
  <c r="DK643" i="1"/>
  <c r="Q643" i="1" s="1"/>
  <c r="L643" i="1" s="1"/>
  <c r="P643" i="1" s="1"/>
  <c r="DK641" i="1" l="1"/>
  <c r="Q641" i="1" s="1"/>
  <c r="L641" i="1" s="1"/>
  <c r="P641" i="1" s="1"/>
  <c r="DK642" i="1"/>
  <c r="Q642" i="1" s="1"/>
  <c r="L642" i="1" s="1"/>
  <c r="P642" i="1" s="1"/>
  <c r="DK640" i="1" l="1"/>
  <c r="Q640" i="1" s="1"/>
  <c r="L640" i="1" s="1"/>
  <c r="P640" i="1" s="1"/>
  <c r="DK639" i="1"/>
  <c r="Q639" i="1" s="1"/>
  <c r="L639" i="1" s="1"/>
  <c r="P639" i="1" s="1"/>
  <c r="DK637" i="1" l="1"/>
  <c r="Q637" i="1" s="1"/>
  <c r="L637" i="1" s="1"/>
  <c r="P637" i="1" s="1"/>
  <c r="DK638" i="1"/>
  <c r="Q638" i="1" s="1"/>
  <c r="L638" i="1" s="1"/>
  <c r="P638" i="1" s="1"/>
  <c r="DK636" i="1" l="1"/>
  <c r="Q636" i="1" s="1"/>
  <c r="L636" i="1" s="1"/>
  <c r="P636" i="1" s="1"/>
  <c r="DK635" i="1"/>
  <c r="Q635" i="1" s="1"/>
  <c r="L635" i="1" s="1"/>
  <c r="P635" i="1" s="1"/>
  <c r="DK633" i="1" l="1"/>
  <c r="Q633" i="1" s="1"/>
  <c r="L633" i="1" s="1"/>
  <c r="P633" i="1" s="1"/>
  <c r="DK634" i="1"/>
  <c r="Q634" i="1" s="1"/>
  <c r="L634" i="1" s="1"/>
  <c r="P634" i="1" s="1"/>
  <c r="DK632" i="1" l="1"/>
  <c r="Q632" i="1" s="1"/>
  <c r="L632" i="1" s="1"/>
  <c r="P632" i="1" s="1"/>
  <c r="DK631" i="1"/>
  <c r="Q631" i="1" s="1"/>
  <c r="L631" i="1" s="1"/>
  <c r="P631" i="1" s="1"/>
  <c r="DK629" i="1" l="1"/>
  <c r="Q629" i="1" s="1"/>
  <c r="L629" i="1" s="1"/>
  <c r="P629" i="1" s="1"/>
  <c r="DK630" i="1"/>
  <c r="Q630" i="1" s="1"/>
  <c r="L630" i="1" s="1"/>
  <c r="P630" i="1" s="1"/>
  <c r="DK628" i="1" l="1"/>
  <c r="Q628" i="1" s="1"/>
  <c r="L628" i="1" s="1"/>
  <c r="P628" i="1" s="1"/>
  <c r="DK627" i="1"/>
  <c r="Q627" i="1" s="1"/>
  <c r="L627" i="1" s="1"/>
  <c r="P627" i="1" s="1"/>
  <c r="DK625" i="1" l="1"/>
  <c r="Q625" i="1" s="1"/>
  <c r="L625" i="1" s="1"/>
  <c r="P625" i="1" s="1"/>
  <c r="DK626" i="1"/>
  <c r="Q626" i="1" s="1"/>
  <c r="L626" i="1" s="1"/>
  <c r="P626" i="1" s="1"/>
  <c r="DK624" i="1" l="1"/>
  <c r="Q624" i="1" s="1"/>
  <c r="L624" i="1" s="1"/>
  <c r="P624" i="1" s="1"/>
  <c r="DK623" i="1"/>
  <c r="Q623" i="1" s="1"/>
  <c r="L623" i="1" s="1"/>
  <c r="P623" i="1" s="1"/>
  <c r="DK621" i="1" l="1"/>
  <c r="Q621" i="1" s="1"/>
  <c r="L621" i="1" s="1"/>
  <c r="P621" i="1" s="1"/>
  <c r="DK622" i="1"/>
  <c r="Q622" i="1" s="1"/>
  <c r="L622" i="1" s="1"/>
  <c r="P622" i="1" s="1"/>
  <c r="DK620" i="1" l="1"/>
  <c r="Q620" i="1" s="1"/>
  <c r="L620" i="1" s="1"/>
  <c r="P620" i="1" s="1"/>
  <c r="DK619" i="1"/>
  <c r="Q619" i="1" s="1"/>
  <c r="L619" i="1" s="1"/>
  <c r="P619" i="1" s="1"/>
  <c r="DK617" i="1" l="1"/>
  <c r="Q617" i="1" s="1"/>
  <c r="L617" i="1" s="1"/>
  <c r="P617" i="1" s="1"/>
  <c r="DK618" i="1"/>
  <c r="Q618" i="1" s="1"/>
  <c r="L618" i="1" s="1"/>
  <c r="P618" i="1" s="1"/>
  <c r="DK616" i="1" l="1"/>
  <c r="Q616" i="1" s="1"/>
  <c r="L616" i="1" s="1"/>
  <c r="P616" i="1" s="1"/>
  <c r="DK615" i="1"/>
  <c r="Q615" i="1" s="1"/>
  <c r="L615" i="1" s="1"/>
  <c r="P615" i="1" s="1"/>
  <c r="DK613" i="1" l="1"/>
  <c r="Q613" i="1" s="1"/>
  <c r="L613" i="1" s="1"/>
  <c r="P613" i="1" s="1"/>
  <c r="DK614" i="1"/>
  <c r="Q614" i="1" s="1"/>
  <c r="L614" i="1" s="1"/>
  <c r="P614" i="1" s="1"/>
  <c r="DK612" i="1" l="1"/>
  <c r="Q612" i="1" s="1"/>
  <c r="L612" i="1" s="1"/>
  <c r="P612" i="1" s="1"/>
  <c r="DK611" i="1"/>
  <c r="Q611" i="1" s="1"/>
  <c r="L611" i="1" s="1"/>
  <c r="P611" i="1" s="1"/>
  <c r="DK609" i="1" l="1"/>
  <c r="Q609" i="1" s="1"/>
  <c r="L609" i="1" s="1"/>
  <c r="P609" i="1" s="1"/>
  <c r="DK610" i="1"/>
  <c r="Q610" i="1" s="1"/>
  <c r="L610" i="1" s="1"/>
  <c r="P610" i="1" s="1"/>
  <c r="DK608" i="1" l="1"/>
  <c r="Q608" i="1" s="1"/>
  <c r="L608" i="1" s="1"/>
  <c r="P608" i="1" s="1"/>
  <c r="DK607" i="1"/>
  <c r="Q607" i="1" s="1"/>
  <c r="L607" i="1" s="1"/>
  <c r="P607" i="1" s="1"/>
  <c r="DK605" i="1" l="1"/>
  <c r="Q605" i="1" s="1"/>
  <c r="L605" i="1" s="1"/>
  <c r="P605" i="1" s="1"/>
  <c r="DK606" i="1"/>
  <c r="Q606" i="1" s="1"/>
  <c r="L606" i="1" s="1"/>
  <c r="P606" i="1" s="1"/>
  <c r="DK604" i="1" l="1"/>
  <c r="Q604" i="1" s="1"/>
  <c r="L604" i="1" s="1"/>
  <c r="P604" i="1" s="1"/>
  <c r="DK603" i="1"/>
  <c r="Q603" i="1" s="1"/>
  <c r="L603" i="1" s="1"/>
  <c r="P603" i="1" s="1"/>
  <c r="DK601" i="1" l="1"/>
  <c r="Q601" i="1" s="1"/>
  <c r="L601" i="1" s="1"/>
  <c r="P601" i="1" s="1"/>
  <c r="DK602" i="1"/>
  <c r="Q602" i="1" s="1"/>
  <c r="L602" i="1" s="1"/>
  <c r="P602" i="1" s="1"/>
  <c r="DK600" i="1" l="1"/>
  <c r="Q600" i="1" s="1"/>
  <c r="L600" i="1" s="1"/>
  <c r="P600" i="1" s="1"/>
  <c r="DK599" i="1"/>
  <c r="Q599" i="1" s="1"/>
  <c r="L599" i="1" s="1"/>
  <c r="P599" i="1" s="1"/>
  <c r="DK597" i="1" l="1"/>
  <c r="Q597" i="1" s="1"/>
  <c r="L597" i="1" s="1"/>
  <c r="P597" i="1" s="1"/>
  <c r="DK598" i="1"/>
  <c r="Q598" i="1" s="1"/>
  <c r="L598" i="1" s="1"/>
  <c r="P598" i="1" s="1"/>
  <c r="DK596" i="1" l="1"/>
  <c r="Q596" i="1" s="1"/>
  <c r="L596" i="1" s="1"/>
  <c r="P596" i="1" s="1"/>
  <c r="DK595" i="1"/>
  <c r="Q595" i="1" s="1"/>
  <c r="L595" i="1" s="1"/>
  <c r="P595" i="1" s="1"/>
  <c r="DK593" i="1" l="1"/>
  <c r="Q593" i="1" s="1"/>
  <c r="L593" i="1" s="1"/>
  <c r="P593" i="1" s="1"/>
  <c r="DK594" i="1"/>
  <c r="Q594" i="1" s="1"/>
  <c r="L594" i="1" s="1"/>
  <c r="P594" i="1" s="1"/>
  <c r="DK592" i="1" l="1"/>
  <c r="Q592" i="1" s="1"/>
  <c r="L592" i="1" s="1"/>
  <c r="P592" i="1" s="1"/>
  <c r="DK591" i="1"/>
  <c r="Q591" i="1" s="1"/>
  <c r="L591" i="1" s="1"/>
  <c r="P591" i="1" s="1"/>
  <c r="DK589" i="1" l="1"/>
  <c r="Q589" i="1" s="1"/>
  <c r="L589" i="1" s="1"/>
  <c r="P589" i="1" s="1"/>
  <c r="DK590" i="1"/>
  <c r="Q590" i="1" s="1"/>
  <c r="L590" i="1" s="1"/>
  <c r="P590" i="1" s="1"/>
  <c r="DK588" i="1" l="1"/>
  <c r="Q588" i="1" s="1"/>
  <c r="L588" i="1" s="1"/>
  <c r="P588" i="1" s="1"/>
  <c r="DK587" i="1"/>
  <c r="Q587" i="1" s="1"/>
  <c r="L587" i="1" s="1"/>
  <c r="P587" i="1" s="1"/>
  <c r="DK585" i="1" l="1"/>
  <c r="Q585" i="1" s="1"/>
  <c r="L585" i="1" s="1"/>
  <c r="P585" i="1" s="1"/>
  <c r="DK586" i="1"/>
  <c r="Q586" i="1" s="1"/>
  <c r="L586" i="1" s="1"/>
  <c r="P586" i="1" s="1"/>
  <c r="DK584" i="1" l="1"/>
  <c r="Q584" i="1" s="1"/>
  <c r="L584" i="1" s="1"/>
  <c r="P584" i="1" s="1"/>
  <c r="DK583" i="1"/>
  <c r="Q583" i="1" s="1"/>
  <c r="L583" i="1" s="1"/>
  <c r="P583" i="1" s="1"/>
  <c r="DK581" i="1" l="1"/>
  <c r="Q581" i="1" s="1"/>
  <c r="L581" i="1" s="1"/>
  <c r="P581" i="1" s="1"/>
  <c r="DK582" i="1"/>
  <c r="Q582" i="1" s="1"/>
  <c r="L582" i="1" s="1"/>
  <c r="P582" i="1" s="1"/>
  <c r="DK580" i="1" l="1"/>
  <c r="Q580" i="1" s="1"/>
  <c r="L580" i="1" s="1"/>
  <c r="P580" i="1" s="1"/>
  <c r="DK579" i="1"/>
  <c r="Q579" i="1" s="1"/>
  <c r="L579" i="1" s="1"/>
  <c r="P579" i="1" s="1"/>
  <c r="DK577" i="1" l="1"/>
  <c r="Q577" i="1" s="1"/>
  <c r="L577" i="1" s="1"/>
  <c r="P577" i="1" s="1"/>
  <c r="DK578" i="1"/>
  <c r="Q578" i="1" s="1"/>
  <c r="L578" i="1" s="1"/>
  <c r="P578" i="1" s="1"/>
  <c r="DK576" i="1" l="1"/>
  <c r="Q576" i="1" s="1"/>
  <c r="L576" i="1" s="1"/>
  <c r="P576" i="1" s="1"/>
  <c r="DK575" i="1"/>
  <c r="Q575" i="1" s="1"/>
  <c r="L575" i="1" s="1"/>
  <c r="P575" i="1" s="1"/>
  <c r="DK573" i="1" l="1"/>
  <c r="Q573" i="1" s="1"/>
  <c r="L573" i="1" s="1"/>
  <c r="P573" i="1" s="1"/>
  <c r="DK574" i="1"/>
  <c r="Q574" i="1" s="1"/>
  <c r="L574" i="1" s="1"/>
  <c r="P574" i="1" s="1"/>
  <c r="DK572" i="1" l="1"/>
  <c r="Q572" i="1" s="1"/>
  <c r="L572" i="1" s="1"/>
  <c r="P572" i="1" s="1"/>
  <c r="DK571" i="1"/>
  <c r="Q571" i="1" s="1"/>
  <c r="L571" i="1" s="1"/>
  <c r="P571" i="1" s="1"/>
  <c r="DK569" i="1" l="1"/>
  <c r="Q569" i="1" s="1"/>
  <c r="L569" i="1" s="1"/>
  <c r="P569" i="1" s="1"/>
  <c r="DK570" i="1"/>
  <c r="Q570" i="1" s="1"/>
  <c r="L570" i="1" s="1"/>
  <c r="P570" i="1" s="1"/>
  <c r="DK568" i="1" l="1"/>
  <c r="Q568" i="1" s="1"/>
  <c r="L568" i="1" s="1"/>
  <c r="P568" i="1" s="1"/>
  <c r="DK567" i="1"/>
  <c r="Q567" i="1" s="1"/>
  <c r="L567" i="1" s="1"/>
  <c r="P567" i="1" s="1"/>
  <c r="DK565" i="1" l="1"/>
  <c r="Q565" i="1" s="1"/>
  <c r="L565" i="1" s="1"/>
  <c r="P565" i="1" s="1"/>
  <c r="DK566" i="1"/>
  <c r="Q566" i="1" s="1"/>
  <c r="L566" i="1" s="1"/>
  <c r="P566" i="1" s="1"/>
  <c r="DK564" i="1" l="1"/>
  <c r="Q564" i="1" s="1"/>
  <c r="L564" i="1" s="1"/>
  <c r="P564" i="1" s="1"/>
  <c r="DK563" i="1"/>
  <c r="Q563" i="1" s="1"/>
  <c r="L563" i="1" s="1"/>
  <c r="P563" i="1" s="1"/>
  <c r="DK561" i="1" l="1"/>
  <c r="Q561" i="1" s="1"/>
  <c r="L561" i="1" s="1"/>
  <c r="P561" i="1" s="1"/>
  <c r="DK562" i="1"/>
  <c r="Q562" i="1" s="1"/>
  <c r="L562" i="1" s="1"/>
  <c r="P562" i="1" s="1"/>
  <c r="DK560" i="1" l="1"/>
  <c r="Q560" i="1" s="1"/>
  <c r="L560" i="1" s="1"/>
  <c r="P560" i="1" s="1"/>
  <c r="DK559" i="1"/>
  <c r="Q559" i="1" s="1"/>
  <c r="L559" i="1" s="1"/>
  <c r="P559" i="1" s="1"/>
  <c r="DK557" i="1" l="1"/>
  <c r="Q557" i="1" s="1"/>
  <c r="L557" i="1" s="1"/>
  <c r="P557" i="1" s="1"/>
  <c r="DK558" i="1"/>
  <c r="Q558" i="1" s="1"/>
  <c r="L558" i="1" s="1"/>
  <c r="P558" i="1" s="1"/>
  <c r="DK556" i="1" l="1"/>
  <c r="Q556" i="1" s="1"/>
  <c r="L556" i="1" s="1"/>
  <c r="P556" i="1" s="1"/>
  <c r="DK555" i="1"/>
  <c r="Q555" i="1" s="1"/>
  <c r="L555" i="1" s="1"/>
  <c r="P555" i="1" s="1"/>
  <c r="DK553" i="1" l="1"/>
  <c r="Q553" i="1" s="1"/>
  <c r="L553" i="1" s="1"/>
  <c r="P553" i="1" s="1"/>
  <c r="DK554" i="1"/>
  <c r="Q554" i="1" s="1"/>
  <c r="L554" i="1" s="1"/>
  <c r="P554" i="1" s="1"/>
  <c r="DK552" i="1" l="1"/>
  <c r="Q552" i="1" s="1"/>
  <c r="L552" i="1" s="1"/>
  <c r="P552" i="1" s="1"/>
  <c r="DK551" i="1"/>
  <c r="Q551" i="1" s="1"/>
  <c r="L551" i="1" s="1"/>
  <c r="P551" i="1" s="1"/>
  <c r="DK549" i="1" l="1"/>
  <c r="Q549" i="1" s="1"/>
  <c r="L549" i="1" s="1"/>
  <c r="P549" i="1" s="1"/>
  <c r="DK550" i="1"/>
  <c r="Q550" i="1" s="1"/>
  <c r="L550" i="1" s="1"/>
  <c r="P550" i="1" s="1"/>
  <c r="DK548" i="1" l="1"/>
  <c r="Q548" i="1" s="1"/>
  <c r="L548" i="1" s="1"/>
  <c r="P548" i="1" s="1"/>
  <c r="DK547" i="1"/>
  <c r="Q547" i="1" s="1"/>
  <c r="L547" i="1" s="1"/>
  <c r="P547" i="1" s="1"/>
  <c r="DK545" i="1" l="1"/>
  <c r="Q545" i="1" s="1"/>
  <c r="L545" i="1" s="1"/>
  <c r="P545" i="1" s="1"/>
  <c r="DK546" i="1"/>
  <c r="Q546" i="1" s="1"/>
  <c r="L546" i="1" s="1"/>
  <c r="P546" i="1" s="1"/>
  <c r="DK544" i="1" l="1"/>
  <c r="Q544" i="1" s="1"/>
  <c r="L544" i="1" s="1"/>
  <c r="P544" i="1" s="1"/>
  <c r="DK543" i="1"/>
  <c r="Q543" i="1" s="1"/>
  <c r="L543" i="1" s="1"/>
  <c r="P543" i="1" s="1"/>
  <c r="DK541" i="1" l="1"/>
  <c r="Q541" i="1" s="1"/>
  <c r="L541" i="1" s="1"/>
  <c r="P541" i="1" s="1"/>
  <c r="DK542" i="1"/>
  <c r="Q542" i="1" s="1"/>
  <c r="L542" i="1" s="1"/>
  <c r="P542" i="1" s="1"/>
  <c r="DK540" i="1" l="1"/>
  <c r="Q540" i="1" s="1"/>
  <c r="L540" i="1" s="1"/>
  <c r="P540" i="1" s="1"/>
  <c r="DK539" i="1"/>
  <c r="Q539" i="1" s="1"/>
  <c r="L539" i="1" s="1"/>
  <c r="P539" i="1" s="1"/>
  <c r="DK537" i="1" l="1"/>
  <c r="Q537" i="1" s="1"/>
  <c r="L537" i="1" s="1"/>
  <c r="P537" i="1" s="1"/>
  <c r="DK538" i="1"/>
  <c r="Q538" i="1" s="1"/>
  <c r="L538" i="1" s="1"/>
  <c r="P538" i="1" s="1"/>
  <c r="DK536" i="1" l="1"/>
  <c r="Q536" i="1" s="1"/>
  <c r="L536" i="1" s="1"/>
  <c r="P536" i="1" s="1"/>
  <c r="DK535" i="1"/>
  <c r="Q535" i="1" s="1"/>
  <c r="L535" i="1" s="1"/>
  <c r="P535" i="1" s="1"/>
  <c r="DK533" i="1" l="1"/>
  <c r="Q533" i="1" s="1"/>
  <c r="L533" i="1" s="1"/>
  <c r="P533" i="1" s="1"/>
  <c r="DK534" i="1"/>
  <c r="Q534" i="1" s="1"/>
  <c r="L534" i="1" s="1"/>
  <c r="P534" i="1" s="1"/>
  <c r="DK532" i="1" l="1"/>
  <c r="Q532" i="1" s="1"/>
  <c r="L532" i="1" s="1"/>
  <c r="P532" i="1" s="1"/>
  <c r="DK531" i="1"/>
  <c r="Q531" i="1" s="1"/>
  <c r="L531" i="1" s="1"/>
  <c r="P531" i="1" s="1"/>
  <c r="DK529" i="1" l="1"/>
  <c r="Q529" i="1" s="1"/>
  <c r="L529" i="1" s="1"/>
  <c r="P529" i="1" s="1"/>
  <c r="DK530" i="1"/>
  <c r="Q530" i="1" s="1"/>
  <c r="L530" i="1" s="1"/>
  <c r="P530" i="1" s="1"/>
  <c r="DK528" i="1" l="1"/>
  <c r="Q528" i="1" s="1"/>
  <c r="L528" i="1" s="1"/>
  <c r="P528" i="1" s="1"/>
  <c r="DK527" i="1"/>
  <c r="Q527" i="1" s="1"/>
  <c r="L527" i="1" s="1"/>
  <c r="P527" i="1" s="1"/>
  <c r="DK525" i="1" l="1"/>
  <c r="Q525" i="1" s="1"/>
  <c r="L525" i="1" s="1"/>
  <c r="P525" i="1" s="1"/>
  <c r="DK526" i="1"/>
  <c r="Q526" i="1" s="1"/>
  <c r="L526" i="1" s="1"/>
  <c r="P526" i="1" s="1"/>
  <c r="DK524" i="1" l="1"/>
  <c r="Q524" i="1" s="1"/>
  <c r="L524" i="1" s="1"/>
  <c r="P524" i="1" s="1"/>
  <c r="DK523" i="1"/>
  <c r="Q523" i="1" s="1"/>
  <c r="L523" i="1" s="1"/>
  <c r="P523" i="1" s="1"/>
  <c r="DK521" i="1" l="1"/>
  <c r="Q521" i="1" s="1"/>
  <c r="L521" i="1" s="1"/>
  <c r="P521" i="1" s="1"/>
  <c r="DK522" i="1"/>
  <c r="Q522" i="1" s="1"/>
  <c r="L522" i="1" s="1"/>
  <c r="P522" i="1" s="1"/>
  <c r="DK520" i="1" l="1"/>
  <c r="Q520" i="1" s="1"/>
  <c r="L520" i="1" s="1"/>
  <c r="P520" i="1" s="1"/>
  <c r="DK519" i="1"/>
  <c r="Q519" i="1" s="1"/>
  <c r="L519" i="1" s="1"/>
  <c r="P519" i="1" s="1"/>
  <c r="DK517" i="1" l="1"/>
  <c r="Q517" i="1" s="1"/>
  <c r="L517" i="1" s="1"/>
  <c r="P517" i="1" s="1"/>
  <c r="DK518" i="1"/>
  <c r="Q518" i="1" s="1"/>
  <c r="L518" i="1" s="1"/>
  <c r="P518" i="1" s="1"/>
  <c r="DK516" i="1" l="1"/>
  <c r="Q516" i="1" s="1"/>
  <c r="L516" i="1" s="1"/>
  <c r="P516" i="1" s="1"/>
  <c r="DK515" i="1"/>
  <c r="Q515" i="1" s="1"/>
  <c r="L515" i="1" s="1"/>
  <c r="P515" i="1" s="1"/>
  <c r="DK513" i="1" l="1"/>
  <c r="Q513" i="1" s="1"/>
  <c r="L513" i="1" s="1"/>
  <c r="P513" i="1" s="1"/>
  <c r="DK514" i="1"/>
  <c r="Q514" i="1" s="1"/>
  <c r="L514" i="1" s="1"/>
  <c r="P514" i="1" s="1"/>
  <c r="DK512" i="1" l="1"/>
  <c r="Q512" i="1" s="1"/>
  <c r="L512" i="1" s="1"/>
  <c r="P512" i="1" s="1"/>
  <c r="DK511" i="1"/>
  <c r="Q511" i="1" s="1"/>
  <c r="L511" i="1" s="1"/>
  <c r="P511" i="1" s="1"/>
  <c r="DK509" i="1" l="1"/>
  <c r="Q509" i="1" s="1"/>
  <c r="L509" i="1" s="1"/>
  <c r="P509" i="1" s="1"/>
  <c r="DK510" i="1"/>
  <c r="Q510" i="1" s="1"/>
  <c r="L510" i="1" s="1"/>
  <c r="P510" i="1" s="1"/>
  <c r="DK508" i="1" l="1"/>
  <c r="Q508" i="1" s="1"/>
  <c r="L508" i="1" s="1"/>
  <c r="P508" i="1" s="1"/>
  <c r="DK507" i="1"/>
  <c r="Q507" i="1" s="1"/>
  <c r="L507" i="1" s="1"/>
  <c r="P507" i="1" s="1"/>
  <c r="DK505" i="1" l="1"/>
  <c r="Q505" i="1" s="1"/>
  <c r="L505" i="1" s="1"/>
  <c r="P505" i="1" s="1"/>
  <c r="DK506" i="1"/>
  <c r="Q506" i="1" s="1"/>
  <c r="L506" i="1" s="1"/>
  <c r="P506" i="1" s="1"/>
  <c r="DK504" i="1" l="1"/>
  <c r="Q504" i="1" s="1"/>
  <c r="L504" i="1" s="1"/>
  <c r="P504" i="1" s="1"/>
  <c r="DK503" i="1"/>
  <c r="Q503" i="1" s="1"/>
  <c r="L503" i="1" s="1"/>
  <c r="P503" i="1" s="1"/>
  <c r="DK501" i="1" l="1"/>
  <c r="Q501" i="1" s="1"/>
  <c r="L501" i="1" s="1"/>
  <c r="P501" i="1" s="1"/>
  <c r="DK502" i="1"/>
  <c r="Q502" i="1" s="1"/>
  <c r="L502" i="1" s="1"/>
  <c r="P502" i="1" s="1"/>
  <c r="DK500" i="1" l="1"/>
  <c r="Q500" i="1" s="1"/>
  <c r="L500" i="1" s="1"/>
  <c r="P500" i="1" s="1"/>
  <c r="DK499" i="1"/>
  <c r="Q499" i="1" s="1"/>
  <c r="L499" i="1" s="1"/>
  <c r="P499" i="1" s="1"/>
  <c r="DK497" i="1" l="1"/>
  <c r="Q497" i="1" s="1"/>
  <c r="L497" i="1" s="1"/>
  <c r="P497" i="1" s="1"/>
  <c r="DK498" i="1"/>
  <c r="Q498" i="1" s="1"/>
  <c r="L498" i="1" s="1"/>
  <c r="P498" i="1" s="1"/>
  <c r="DK496" i="1" l="1"/>
  <c r="Q496" i="1" s="1"/>
  <c r="L496" i="1" s="1"/>
  <c r="P496" i="1" s="1"/>
  <c r="DK495" i="1"/>
  <c r="Q495" i="1" s="1"/>
  <c r="L495" i="1" s="1"/>
  <c r="P495" i="1" s="1"/>
  <c r="DK493" i="1" l="1"/>
  <c r="Q493" i="1" s="1"/>
  <c r="L493" i="1" s="1"/>
  <c r="P493" i="1" s="1"/>
  <c r="DK494" i="1"/>
  <c r="Q494" i="1" s="1"/>
  <c r="L494" i="1" s="1"/>
  <c r="P494" i="1" s="1"/>
  <c r="DK492" i="1" l="1"/>
  <c r="Q492" i="1" s="1"/>
  <c r="L492" i="1" s="1"/>
  <c r="P492" i="1" s="1"/>
  <c r="DK491" i="1"/>
  <c r="Q491" i="1" s="1"/>
  <c r="L491" i="1" s="1"/>
  <c r="P491" i="1" s="1"/>
  <c r="DK489" i="1" l="1"/>
  <c r="Q489" i="1" s="1"/>
  <c r="L489" i="1" s="1"/>
  <c r="P489" i="1" s="1"/>
  <c r="DK490" i="1"/>
  <c r="Q490" i="1" s="1"/>
  <c r="L490" i="1" s="1"/>
  <c r="P490" i="1" s="1"/>
  <c r="DK488" i="1" l="1"/>
  <c r="Q488" i="1" s="1"/>
  <c r="L488" i="1" s="1"/>
  <c r="P488" i="1" s="1"/>
  <c r="DK487" i="1"/>
  <c r="Q487" i="1" s="1"/>
  <c r="L487" i="1" s="1"/>
  <c r="P487" i="1" s="1"/>
  <c r="DK485" i="1" l="1"/>
  <c r="Q485" i="1" s="1"/>
  <c r="L485" i="1" s="1"/>
  <c r="P485" i="1" s="1"/>
  <c r="DK486" i="1"/>
  <c r="Q486" i="1" s="1"/>
  <c r="L486" i="1" s="1"/>
  <c r="P486" i="1" s="1"/>
  <c r="DK484" i="1" l="1"/>
  <c r="Q484" i="1" s="1"/>
  <c r="L484" i="1" s="1"/>
  <c r="P484" i="1" s="1"/>
  <c r="DK483" i="1"/>
  <c r="Q483" i="1" s="1"/>
  <c r="L483" i="1" s="1"/>
  <c r="P483" i="1" s="1"/>
  <c r="DK481" i="1" l="1"/>
  <c r="Q481" i="1" s="1"/>
  <c r="L481" i="1" s="1"/>
  <c r="P481" i="1" s="1"/>
  <c r="DK482" i="1"/>
  <c r="Q482" i="1" s="1"/>
  <c r="L482" i="1" s="1"/>
  <c r="P482" i="1" s="1"/>
  <c r="DK480" i="1" l="1"/>
  <c r="Q480" i="1" s="1"/>
  <c r="L480" i="1" s="1"/>
  <c r="P480" i="1" s="1"/>
  <c r="DK479" i="1"/>
  <c r="Q479" i="1" s="1"/>
  <c r="L479" i="1" s="1"/>
  <c r="P479" i="1" s="1"/>
  <c r="DK477" i="1" l="1"/>
  <c r="Q477" i="1" s="1"/>
  <c r="L477" i="1" s="1"/>
  <c r="P477" i="1" s="1"/>
  <c r="DK478" i="1"/>
  <c r="Q478" i="1" s="1"/>
  <c r="L478" i="1" s="1"/>
  <c r="P478" i="1" s="1"/>
  <c r="DK476" i="1" l="1"/>
  <c r="Q476" i="1" s="1"/>
  <c r="L476" i="1" s="1"/>
  <c r="P476" i="1" s="1"/>
  <c r="DK475" i="1"/>
  <c r="Q475" i="1" s="1"/>
  <c r="L475" i="1" s="1"/>
  <c r="P475" i="1" s="1"/>
  <c r="DK473" i="1" l="1"/>
  <c r="Q473" i="1" s="1"/>
  <c r="L473" i="1" s="1"/>
  <c r="P473" i="1" s="1"/>
  <c r="DK474" i="1"/>
  <c r="Q474" i="1" s="1"/>
  <c r="L474" i="1" s="1"/>
  <c r="P474" i="1" s="1"/>
  <c r="DK472" i="1" l="1"/>
  <c r="Q472" i="1" s="1"/>
  <c r="L472" i="1" s="1"/>
  <c r="P472" i="1" s="1"/>
  <c r="DK471" i="1"/>
  <c r="Q471" i="1" s="1"/>
  <c r="L471" i="1" s="1"/>
  <c r="P471" i="1" s="1"/>
  <c r="DK469" i="1" l="1"/>
  <c r="Q469" i="1" s="1"/>
  <c r="L469" i="1" s="1"/>
  <c r="P469" i="1" s="1"/>
  <c r="DK470" i="1"/>
  <c r="Q470" i="1" s="1"/>
  <c r="L470" i="1" s="1"/>
  <c r="P470" i="1" s="1"/>
  <c r="DK468" i="1" l="1"/>
  <c r="Q468" i="1" s="1"/>
  <c r="L468" i="1" s="1"/>
  <c r="P468" i="1" s="1"/>
  <c r="DK467" i="1"/>
  <c r="Q467" i="1" s="1"/>
  <c r="L467" i="1" s="1"/>
  <c r="P467" i="1" s="1"/>
  <c r="DK465" i="1" l="1"/>
  <c r="Q465" i="1" s="1"/>
  <c r="L465" i="1" s="1"/>
  <c r="P465" i="1" s="1"/>
  <c r="DK466" i="1"/>
  <c r="Q466" i="1" s="1"/>
  <c r="L466" i="1" s="1"/>
  <c r="P466" i="1" s="1"/>
  <c r="DK464" i="1" l="1"/>
  <c r="Q464" i="1" s="1"/>
  <c r="L464" i="1" s="1"/>
  <c r="P464" i="1" s="1"/>
  <c r="DK463" i="1"/>
  <c r="Q463" i="1" s="1"/>
  <c r="L463" i="1" s="1"/>
  <c r="P463" i="1" s="1"/>
  <c r="DK461" i="1" l="1"/>
  <c r="Q461" i="1" s="1"/>
  <c r="L461" i="1" s="1"/>
  <c r="P461" i="1" s="1"/>
  <c r="DK462" i="1"/>
  <c r="Q462" i="1" s="1"/>
  <c r="L462" i="1" s="1"/>
  <c r="P462" i="1" s="1"/>
  <c r="DK460" i="1" l="1"/>
  <c r="Q460" i="1" s="1"/>
  <c r="L460" i="1" s="1"/>
  <c r="P460" i="1" s="1"/>
  <c r="DK459" i="1"/>
  <c r="Q459" i="1" s="1"/>
  <c r="L459" i="1" s="1"/>
  <c r="P459" i="1" s="1"/>
  <c r="DK457" i="1" l="1"/>
  <c r="Q457" i="1" s="1"/>
  <c r="L457" i="1" s="1"/>
  <c r="P457" i="1" s="1"/>
  <c r="DK458" i="1"/>
  <c r="Q458" i="1" s="1"/>
  <c r="L458" i="1" s="1"/>
  <c r="P458" i="1" s="1"/>
  <c r="DK456" i="1" l="1"/>
  <c r="Q456" i="1" s="1"/>
  <c r="L456" i="1" s="1"/>
  <c r="P456" i="1" s="1"/>
  <c r="DK455" i="1"/>
  <c r="Q455" i="1" s="1"/>
  <c r="L455" i="1" s="1"/>
  <c r="P455" i="1" s="1"/>
  <c r="DK453" i="1" l="1"/>
  <c r="Q453" i="1" s="1"/>
  <c r="L453" i="1" s="1"/>
  <c r="P453" i="1" s="1"/>
  <c r="DK454" i="1"/>
  <c r="Q454" i="1" s="1"/>
  <c r="L454" i="1" s="1"/>
  <c r="P454" i="1" s="1"/>
  <c r="DK452" i="1" l="1"/>
  <c r="Q452" i="1" s="1"/>
  <c r="L452" i="1" s="1"/>
  <c r="P452" i="1" s="1"/>
  <c r="DK451" i="1"/>
  <c r="Q451" i="1" s="1"/>
  <c r="L451" i="1" s="1"/>
  <c r="P451" i="1" s="1"/>
  <c r="DK449" i="1" l="1"/>
  <c r="Q449" i="1" s="1"/>
  <c r="L449" i="1" s="1"/>
  <c r="P449" i="1" s="1"/>
  <c r="DK450" i="1"/>
  <c r="Q450" i="1" s="1"/>
  <c r="L450" i="1" s="1"/>
  <c r="P450" i="1" s="1"/>
  <c r="DK448" i="1" l="1"/>
  <c r="Q448" i="1" s="1"/>
  <c r="L448" i="1" s="1"/>
  <c r="P448" i="1" s="1"/>
  <c r="DK447" i="1"/>
  <c r="Q447" i="1" s="1"/>
  <c r="L447" i="1" s="1"/>
  <c r="P447" i="1" s="1"/>
  <c r="DK445" i="1" l="1"/>
  <c r="Q445" i="1" s="1"/>
  <c r="L445" i="1" s="1"/>
  <c r="P445" i="1" s="1"/>
  <c r="DK446" i="1"/>
  <c r="Q446" i="1" s="1"/>
  <c r="L446" i="1" s="1"/>
  <c r="P446" i="1" s="1"/>
  <c r="DK444" i="1" l="1"/>
  <c r="Q444" i="1" s="1"/>
  <c r="L444" i="1" s="1"/>
  <c r="P444" i="1" s="1"/>
  <c r="DK443" i="1"/>
  <c r="Q443" i="1" s="1"/>
  <c r="L443" i="1" s="1"/>
  <c r="P443" i="1" s="1"/>
  <c r="DK441" i="1" l="1"/>
  <c r="Q441" i="1" s="1"/>
  <c r="L441" i="1" s="1"/>
  <c r="P441" i="1" s="1"/>
  <c r="DK442" i="1"/>
  <c r="Q442" i="1" s="1"/>
  <c r="L442" i="1" s="1"/>
  <c r="P442" i="1" s="1"/>
  <c r="DK440" i="1" l="1"/>
  <c r="Q440" i="1" s="1"/>
  <c r="L440" i="1" s="1"/>
  <c r="P440" i="1" s="1"/>
  <c r="DK439" i="1"/>
  <c r="Q439" i="1" s="1"/>
  <c r="L439" i="1" s="1"/>
  <c r="P439" i="1" s="1"/>
  <c r="DK437" i="1" l="1"/>
  <c r="Q437" i="1" s="1"/>
  <c r="L437" i="1" s="1"/>
  <c r="P437" i="1" s="1"/>
  <c r="DK438" i="1"/>
  <c r="Q438" i="1" s="1"/>
  <c r="L438" i="1" s="1"/>
  <c r="P438" i="1" s="1"/>
  <c r="DK436" i="1" l="1"/>
  <c r="Q436" i="1" s="1"/>
  <c r="L436" i="1" s="1"/>
  <c r="P436" i="1" s="1"/>
  <c r="DK435" i="1"/>
  <c r="Q435" i="1" s="1"/>
  <c r="L435" i="1" s="1"/>
  <c r="P435" i="1" s="1"/>
  <c r="DK433" i="1" l="1"/>
  <c r="Q433" i="1" s="1"/>
  <c r="L433" i="1" s="1"/>
  <c r="P433" i="1" s="1"/>
  <c r="DK434" i="1"/>
  <c r="Q434" i="1" s="1"/>
  <c r="L434" i="1" s="1"/>
  <c r="P434" i="1" s="1"/>
  <c r="DK432" i="1" l="1"/>
  <c r="Q432" i="1" s="1"/>
  <c r="L432" i="1" s="1"/>
  <c r="P432" i="1" s="1"/>
  <c r="DK431" i="1"/>
  <c r="Q431" i="1" s="1"/>
  <c r="L431" i="1" s="1"/>
  <c r="P431" i="1" s="1"/>
  <c r="DK429" i="1" l="1"/>
  <c r="Q429" i="1" s="1"/>
  <c r="L429" i="1" s="1"/>
  <c r="P429" i="1" s="1"/>
  <c r="DK430" i="1"/>
  <c r="Q430" i="1" s="1"/>
  <c r="L430" i="1" s="1"/>
  <c r="P430" i="1" s="1"/>
  <c r="DK428" i="1" l="1"/>
  <c r="Q428" i="1" s="1"/>
  <c r="L428" i="1" s="1"/>
  <c r="P428" i="1" s="1"/>
  <c r="DK427" i="1"/>
  <c r="Q427" i="1" s="1"/>
  <c r="L427" i="1" s="1"/>
  <c r="P427" i="1" s="1"/>
  <c r="DK425" i="1" l="1"/>
  <c r="Q425" i="1" s="1"/>
  <c r="L425" i="1" s="1"/>
  <c r="P425" i="1" s="1"/>
  <c r="DK426" i="1"/>
  <c r="Q426" i="1" s="1"/>
  <c r="L426" i="1" s="1"/>
  <c r="P426" i="1" s="1"/>
  <c r="DK424" i="1" l="1"/>
  <c r="Q424" i="1" s="1"/>
  <c r="L424" i="1" s="1"/>
  <c r="P424" i="1" s="1"/>
  <c r="DK423" i="1"/>
  <c r="Q423" i="1" s="1"/>
  <c r="L423" i="1" s="1"/>
  <c r="P423" i="1" s="1"/>
  <c r="DK421" i="1" l="1"/>
  <c r="Q421" i="1" s="1"/>
  <c r="L421" i="1" s="1"/>
  <c r="P421" i="1" s="1"/>
  <c r="DK422" i="1"/>
  <c r="Q422" i="1" s="1"/>
  <c r="L422" i="1" s="1"/>
  <c r="P422" i="1" s="1"/>
  <c r="DK420" i="1" l="1"/>
  <c r="Q420" i="1" s="1"/>
  <c r="L420" i="1" s="1"/>
  <c r="P420" i="1" s="1"/>
  <c r="DK419" i="1"/>
  <c r="Q419" i="1" s="1"/>
  <c r="L419" i="1" s="1"/>
  <c r="P419" i="1" s="1"/>
  <c r="DK417" i="1" l="1"/>
  <c r="Q417" i="1" s="1"/>
  <c r="L417" i="1" s="1"/>
  <c r="P417" i="1" s="1"/>
  <c r="DK418" i="1"/>
  <c r="Q418" i="1" s="1"/>
  <c r="L418" i="1" s="1"/>
  <c r="P418" i="1" s="1"/>
  <c r="DK416" i="1" l="1"/>
  <c r="Q416" i="1" s="1"/>
  <c r="L416" i="1" s="1"/>
  <c r="P416" i="1" s="1"/>
  <c r="DK415" i="1"/>
  <c r="Q415" i="1" s="1"/>
  <c r="L415" i="1" s="1"/>
  <c r="P415" i="1" s="1"/>
  <c r="DK413" i="1" l="1"/>
  <c r="Q413" i="1" s="1"/>
  <c r="L413" i="1" s="1"/>
  <c r="P413" i="1" s="1"/>
  <c r="DK414" i="1"/>
  <c r="Q414" i="1" s="1"/>
  <c r="L414" i="1" s="1"/>
  <c r="P414" i="1" s="1"/>
  <c r="DK412" i="1" l="1"/>
  <c r="Q412" i="1" s="1"/>
  <c r="L412" i="1" s="1"/>
  <c r="P412" i="1" s="1"/>
  <c r="DK411" i="1"/>
  <c r="Q411" i="1" s="1"/>
  <c r="L411" i="1" s="1"/>
  <c r="P411" i="1" s="1"/>
  <c r="DK409" i="1" l="1"/>
  <c r="Q409" i="1" s="1"/>
  <c r="L409" i="1" s="1"/>
  <c r="P409" i="1" s="1"/>
  <c r="DK410" i="1"/>
  <c r="Q410" i="1" s="1"/>
  <c r="L410" i="1" s="1"/>
  <c r="P410" i="1" s="1"/>
  <c r="DK408" i="1" l="1"/>
  <c r="Q408" i="1" s="1"/>
  <c r="L408" i="1" s="1"/>
  <c r="P408" i="1" s="1"/>
  <c r="DK407" i="1"/>
  <c r="Q407" i="1" s="1"/>
  <c r="L407" i="1" s="1"/>
  <c r="P407" i="1" s="1"/>
  <c r="DK405" i="1" l="1"/>
  <c r="Q405" i="1" s="1"/>
  <c r="L405" i="1" s="1"/>
  <c r="P405" i="1" s="1"/>
  <c r="DK406" i="1"/>
  <c r="Q406" i="1" s="1"/>
  <c r="L406" i="1" s="1"/>
  <c r="P406" i="1" s="1"/>
  <c r="DK404" i="1" l="1"/>
  <c r="Q404" i="1" s="1"/>
  <c r="L404" i="1" s="1"/>
  <c r="P404" i="1" s="1"/>
  <c r="DK403" i="1"/>
  <c r="Q403" i="1" s="1"/>
  <c r="L403" i="1" s="1"/>
  <c r="P403" i="1" s="1"/>
  <c r="DK401" i="1" l="1"/>
  <c r="Q401" i="1" s="1"/>
  <c r="L401" i="1" s="1"/>
  <c r="P401" i="1" s="1"/>
  <c r="DK402" i="1"/>
  <c r="Q402" i="1" s="1"/>
  <c r="L402" i="1" s="1"/>
  <c r="P402" i="1" s="1"/>
  <c r="DK400" i="1" l="1"/>
  <c r="Q400" i="1" s="1"/>
  <c r="L400" i="1" s="1"/>
  <c r="P400" i="1" s="1"/>
  <c r="DK399" i="1"/>
  <c r="Q399" i="1" s="1"/>
  <c r="L399" i="1" s="1"/>
  <c r="P399" i="1" s="1"/>
  <c r="DK397" i="1" l="1"/>
  <c r="Q397" i="1" s="1"/>
  <c r="L397" i="1" s="1"/>
  <c r="P397" i="1" s="1"/>
  <c r="DK398" i="1"/>
  <c r="Q398" i="1" s="1"/>
  <c r="L398" i="1" s="1"/>
  <c r="P398" i="1" s="1"/>
  <c r="DK396" i="1" l="1"/>
  <c r="Q396" i="1" s="1"/>
  <c r="L396" i="1" s="1"/>
  <c r="P396" i="1" s="1"/>
  <c r="DK395" i="1"/>
  <c r="Q395" i="1" s="1"/>
  <c r="L395" i="1" s="1"/>
  <c r="P395" i="1" s="1"/>
  <c r="DK393" i="1" l="1"/>
  <c r="Q393" i="1" s="1"/>
  <c r="L393" i="1" s="1"/>
  <c r="P393" i="1" s="1"/>
  <c r="DK394" i="1"/>
  <c r="Q394" i="1" s="1"/>
  <c r="L394" i="1" s="1"/>
  <c r="P394" i="1" s="1"/>
  <c r="DK392" i="1" l="1"/>
  <c r="Q392" i="1" s="1"/>
  <c r="L392" i="1" s="1"/>
  <c r="P392" i="1" s="1"/>
  <c r="DK391" i="1"/>
  <c r="Q391" i="1" s="1"/>
  <c r="L391" i="1" s="1"/>
  <c r="P391" i="1" s="1"/>
  <c r="DK389" i="1" l="1"/>
  <c r="Q389" i="1" s="1"/>
  <c r="L389" i="1" s="1"/>
  <c r="P389" i="1" s="1"/>
  <c r="DK390" i="1"/>
  <c r="Q390" i="1" s="1"/>
  <c r="L390" i="1" s="1"/>
  <c r="P390" i="1" s="1"/>
  <c r="DK388" i="1" l="1"/>
  <c r="Q388" i="1" s="1"/>
  <c r="L388" i="1" s="1"/>
  <c r="P388" i="1" s="1"/>
  <c r="DK387" i="1"/>
  <c r="Q387" i="1" s="1"/>
  <c r="L387" i="1" s="1"/>
  <c r="P387" i="1" s="1"/>
  <c r="DK385" i="1" l="1"/>
  <c r="Q385" i="1" s="1"/>
  <c r="L385" i="1" s="1"/>
  <c r="P385" i="1" s="1"/>
  <c r="DK386" i="1"/>
  <c r="Q386" i="1" s="1"/>
  <c r="L386" i="1" s="1"/>
  <c r="P386" i="1" s="1"/>
  <c r="DK384" i="1" l="1"/>
  <c r="Q384" i="1" s="1"/>
  <c r="L384" i="1" s="1"/>
  <c r="P384" i="1" s="1"/>
  <c r="DK383" i="1"/>
  <c r="Q383" i="1" s="1"/>
  <c r="L383" i="1" s="1"/>
  <c r="P383" i="1" s="1"/>
  <c r="DK381" i="1" l="1"/>
  <c r="Q381" i="1" s="1"/>
  <c r="L381" i="1" s="1"/>
  <c r="P381" i="1" s="1"/>
  <c r="DK382" i="1"/>
  <c r="Q382" i="1" s="1"/>
  <c r="L382" i="1" s="1"/>
  <c r="P382" i="1" s="1"/>
  <c r="DK380" i="1" l="1"/>
  <c r="Q380" i="1" s="1"/>
  <c r="L380" i="1" s="1"/>
  <c r="P380" i="1" s="1"/>
  <c r="DK379" i="1"/>
  <c r="Q379" i="1" s="1"/>
  <c r="L379" i="1" s="1"/>
  <c r="P379" i="1" s="1"/>
  <c r="DK377" i="1" l="1"/>
  <c r="Q377" i="1" s="1"/>
  <c r="L377" i="1" s="1"/>
  <c r="P377" i="1" s="1"/>
  <c r="DK378" i="1"/>
  <c r="Q378" i="1" s="1"/>
  <c r="L378" i="1" s="1"/>
  <c r="P378" i="1" s="1"/>
  <c r="DK376" i="1" l="1"/>
  <c r="Q376" i="1" s="1"/>
  <c r="L376" i="1" s="1"/>
  <c r="P376" i="1" s="1"/>
  <c r="DK375" i="1"/>
  <c r="Q375" i="1" s="1"/>
  <c r="L375" i="1" s="1"/>
  <c r="P375" i="1" s="1"/>
  <c r="DK373" i="1" l="1"/>
  <c r="Q373" i="1" s="1"/>
  <c r="L373" i="1" s="1"/>
  <c r="P373" i="1" s="1"/>
  <c r="DK374" i="1"/>
  <c r="Q374" i="1" s="1"/>
  <c r="L374" i="1" s="1"/>
  <c r="P374" i="1" s="1"/>
  <c r="DK372" i="1" l="1"/>
  <c r="Q372" i="1" s="1"/>
  <c r="L372" i="1" s="1"/>
  <c r="P372" i="1" s="1"/>
  <c r="DK371" i="1"/>
  <c r="Q371" i="1" s="1"/>
  <c r="L371" i="1" s="1"/>
  <c r="P371" i="1" s="1"/>
  <c r="DK369" i="1" l="1"/>
  <c r="Q369" i="1" s="1"/>
  <c r="L369" i="1" s="1"/>
  <c r="P369" i="1" s="1"/>
  <c r="DK370" i="1"/>
  <c r="Q370" i="1" s="1"/>
  <c r="L370" i="1" s="1"/>
  <c r="P370" i="1" s="1"/>
  <c r="DK368" i="1" l="1"/>
  <c r="Q368" i="1" s="1"/>
  <c r="L368" i="1" s="1"/>
  <c r="P368" i="1" s="1"/>
  <c r="DK367" i="1"/>
  <c r="Q367" i="1" s="1"/>
  <c r="L367" i="1" s="1"/>
  <c r="P367" i="1" s="1"/>
  <c r="DK365" i="1" l="1"/>
  <c r="Q365" i="1" s="1"/>
  <c r="L365" i="1" s="1"/>
  <c r="P365" i="1" s="1"/>
  <c r="DK366" i="1"/>
  <c r="Q366" i="1" s="1"/>
  <c r="L366" i="1" s="1"/>
  <c r="P366" i="1" s="1"/>
  <c r="DK364" i="1" l="1"/>
  <c r="Q364" i="1" s="1"/>
  <c r="L364" i="1" s="1"/>
  <c r="P364" i="1" s="1"/>
  <c r="DK363" i="1"/>
  <c r="Q363" i="1" s="1"/>
  <c r="L363" i="1" s="1"/>
  <c r="P363" i="1" s="1"/>
  <c r="DK361" i="1" l="1"/>
  <c r="Q361" i="1" s="1"/>
  <c r="L361" i="1" s="1"/>
  <c r="P361" i="1" s="1"/>
  <c r="DK362" i="1"/>
  <c r="Q362" i="1" s="1"/>
  <c r="L362" i="1" s="1"/>
  <c r="P362" i="1" s="1"/>
  <c r="DK360" i="1" l="1"/>
  <c r="Q360" i="1" s="1"/>
  <c r="L360" i="1" s="1"/>
  <c r="P360" i="1" s="1"/>
  <c r="DK359" i="1"/>
  <c r="Q359" i="1" s="1"/>
  <c r="L359" i="1" s="1"/>
  <c r="P359" i="1" s="1"/>
  <c r="DK357" i="1" l="1"/>
  <c r="Q357" i="1" s="1"/>
  <c r="L357" i="1" s="1"/>
  <c r="P357" i="1" s="1"/>
  <c r="DK358" i="1"/>
  <c r="Q358" i="1" s="1"/>
  <c r="L358" i="1" s="1"/>
  <c r="P358" i="1" s="1"/>
  <c r="DK356" i="1" l="1"/>
  <c r="Q356" i="1" s="1"/>
  <c r="L356" i="1" s="1"/>
  <c r="P356" i="1" s="1"/>
  <c r="DK355" i="1"/>
  <c r="Q355" i="1" s="1"/>
  <c r="L355" i="1" s="1"/>
  <c r="P355" i="1" s="1"/>
  <c r="DK353" i="1" l="1"/>
  <c r="Q353" i="1" s="1"/>
  <c r="L353" i="1" s="1"/>
  <c r="P353" i="1" s="1"/>
  <c r="DK354" i="1"/>
  <c r="Q354" i="1" s="1"/>
  <c r="L354" i="1" s="1"/>
  <c r="P354" i="1" s="1"/>
  <c r="DK352" i="1" l="1"/>
  <c r="Q352" i="1" s="1"/>
  <c r="L352" i="1" s="1"/>
  <c r="P352" i="1" s="1"/>
  <c r="DK351" i="1"/>
  <c r="Q351" i="1" s="1"/>
  <c r="L351" i="1" s="1"/>
  <c r="P351" i="1" s="1"/>
  <c r="DK349" i="1" l="1"/>
  <c r="Q349" i="1" s="1"/>
  <c r="L349" i="1" s="1"/>
  <c r="P349" i="1" s="1"/>
  <c r="DK350" i="1"/>
  <c r="Q350" i="1" s="1"/>
  <c r="L350" i="1" s="1"/>
  <c r="P350" i="1" s="1"/>
  <c r="DK348" i="1" l="1"/>
  <c r="Q348" i="1" s="1"/>
  <c r="L348" i="1" s="1"/>
  <c r="P348" i="1" s="1"/>
  <c r="DK347" i="1"/>
  <c r="Q347" i="1" s="1"/>
  <c r="L347" i="1" s="1"/>
  <c r="P347" i="1" s="1"/>
  <c r="DK345" i="1" l="1"/>
  <c r="Q345" i="1" s="1"/>
  <c r="L345" i="1" s="1"/>
  <c r="P345" i="1" s="1"/>
  <c r="DK346" i="1"/>
  <c r="Q346" i="1" s="1"/>
  <c r="L346" i="1" s="1"/>
  <c r="P346" i="1" s="1"/>
  <c r="DK344" i="1" l="1"/>
  <c r="Q344" i="1" s="1"/>
  <c r="L344" i="1" s="1"/>
  <c r="P344" i="1" s="1"/>
  <c r="DK343" i="1"/>
  <c r="Q343" i="1" s="1"/>
  <c r="L343" i="1" s="1"/>
  <c r="P343" i="1" s="1"/>
  <c r="DK341" i="1" l="1"/>
  <c r="Q341" i="1" s="1"/>
  <c r="L341" i="1" s="1"/>
  <c r="P341" i="1" s="1"/>
  <c r="DK342" i="1"/>
  <c r="Q342" i="1" s="1"/>
  <c r="L342" i="1" s="1"/>
  <c r="P342" i="1" s="1"/>
  <c r="DK340" i="1" l="1"/>
  <c r="Q340" i="1" s="1"/>
  <c r="L340" i="1" s="1"/>
  <c r="P340" i="1" s="1"/>
  <c r="DK339" i="1"/>
  <c r="Q339" i="1" s="1"/>
  <c r="L339" i="1" s="1"/>
  <c r="P339" i="1" s="1"/>
  <c r="DK337" i="1" l="1"/>
  <c r="Q337" i="1" s="1"/>
  <c r="L337" i="1" s="1"/>
  <c r="P337" i="1" s="1"/>
  <c r="DK338" i="1"/>
  <c r="Q338" i="1" s="1"/>
  <c r="L338" i="1" s="1"/>
  <c r="P338" i="1" s="1"/>
  <c r="DK336" i="1" l="1"/>
  <c r="Q336" i="1" s="1"/>
  <c r="L336" i="1" s="1"/>
  <c r="P336" i="1" s="1"/>
  <c r="DK335" i="1"/>
  <c r="Q335" i="1" s="1"/>
  <c r="L335" i="1" s="1"/>
  <c r="P335" i="1" s="1"/>
  <c r="DK333" i="1" l="1"/>
  <c r="Q333" i="1" s="1"/>
  <c r="L333" i="1" s="1"/>
  <c r="P333" i="1" s="1"/>
  <c r="DK334" i="1"/>
  <c r="Q334" i="1" s="1"/>
  <c r="L334" i="1" s="1"/>
  <c r="P334" i="1" s="1"/>
  <c r="DK332" i="1" l="1"/>
  <c r="Q332" i="1" s="1"/>
  <c r="L332" i="1" s="1"/>
  <c r="P332" i="1" s="1"/>
  <c r="DK331" i="1"/>
  <c r="Q331" i="1" s="1"/>
  <c r="L331" i="1" s="1"/>
  <c r="P331" i="1" s="1"/>
  <c r="DK329" i="1" l="1"/>
  <c r="Q329" i="1" s="1"/>
  <c r="L329" i="1" s="1"/>
  <c r="P329" i="1" s="1"/>
  <c r="DK330" i="1"/>
  <c r="Q330" i="1" s="1"/>
  <c r="L330" i="1" s="1"/>
  <c r="P330" i="1" s="1"/>
  <c r="DK328" i="1" l="1"/>
  <c r="Q328" i="1" s="1"/>
  <c r="L328" i="1" s="1"/>
  <c r="P328" i="1" s="1"/>
  <c r="DK327" i="1"/>
  <c r="Q327" i="1" s="1"/>
  <c r="L327" i="1" s="1"/>
  <c r="P327" i="1" s="1"/>
  <c r="DK325" i="1" l="1"/>
  <c r="Q325" i="1" s="1"/>
  <c r="L325" i="1" s="1"/>
  <c r="P325" i="1" s="1"/>
  <c r="DK326" i="1"/>
  <c r="Q326" i="1" s="1"/>
  <c r="L326" i="1" s="1"/>
  <c r="P326" i="1" s="1"/>
  <c r="DK324" i="1" l="1"/>
  <c r="Q324" i="1" s="1"/>
  <c r="L324" i="1" s="1"/>
  <c r="P324" i="1" s="1"/>
  <c r="DK323" i="1"/>
  <c r="Q323" i="1" s="1"/>
  <c r="L323" i="1" s="1"/>
  <c r="P323" i="1" s="1"/>
  <c r="DK321" i="1" l="1"/>
  <c r="Q321" i="1" s="1"/>
  <c r="L321" i="1" s="1"/>
  <c r="P321" i="1" s="1"/>
  <c r="DK322" i="1"/>
  <c r="Q322" i="1" s="1"/>
  <c r="L322" i="1" s="1"/>
  <c r="P322" i="1" s="1"/>
  <c r="DK320" i="1" l="1"/>
  <c r="Q320" i="1" s="1"/>
  <c r="L320" i="1" s="1"/>
  <c r="P320" i="1" s="1"/>
  <c r="DK319" i="1"/>
  <c r="Q319" i="1" s="1"/>
  <c r="L319" i="1" s="1"/>
  <c r="P319" i="1" s="1"/>
  <c r="DK317" i="1" l="1"/>
  <c r="Q317" i="1" s="1"/>
  <c r="L317" i="1" s="1"/>
  <c r="P317" i="1" s="1"/>
  <c r="DK318" i="1"/>
  <c r="Q318" i="1" s="1"/>
  <c r="L318" i="1" s="1"/>
  <c r="P318" i="1" s="1"/>
  <c r="DK316" i="1" l="1"/>
  <c r="Q316" i="1" s="1"/>
  <c r="L316" i="1" s="1"/>
  <c r="P316" i="1" s="1"/>
  <c r="DK315" i="1"/>
  <c r="Q315" i="1" s="1"/>
  <c r="L315" i="1" s="1"/>
  <c r="P315" i="1" s="1"/>
  <c r="DK313" i="1" l="1"/>
  <c r="Q313" i="1" s="1"/>
  <c r="L313" i="1" s="1"/>
  <c r="P313" i="1" s="1"/>
  <c r="DK314" i="1"/>
  <c r="Q314" i="1" s="1"/>
  <c r="L314" i="1" s="1"/>
  <c r="P314" i="1" s="1"/>
  <c r="DK312" i="1" l="1"/>
  <c r="Q312" i="1" s="1"/>
  <c r="L312" i="1" s="1"/>
  <c r="P312" i="1" s="1"/>
  <c r="DK311" i="1"/>
  <c r="Q311" i="1" s="1"/>
  <c r="L311" i="1" s="1"/>
  <c r="P311" i="1" s="1"/>
  <c r="DK309" i="1" l="1"/>
  <c r="Q309" i="1" s="1"/>
  <c r="L309" i="1" s="1"/>
  <c r="P309" i="1" s="1"/>
  <c r="DK310" i="1"/>
  <c r="Q310" i="1" s="1"/>
  <c r="L310" i="1" s="1"/>
  <c r="P310" i="1" s="1"/>
  <c r="DK308" i="1" l="1"/>
  <c r="Q308" i="1" s="1"/>
  <c r="L308" i="1" s="1"/>
  <c r="P308" i="1" s="1"/>
  <c r="DK307" i="1"/>
  <c r="Q307" i="1" s="1"/>
  <c r="L307" i="1" s="1"/>
  <c r="P307" i="1" s="1"/>
  <c r="DK305" i="1" l="1"/>
  <c r="Q305" i="1" s="1"/>
  <c r="L305" i="1" s="1"/>
  <c r="P305" i="1" s="1"/>
  <c r="DK306" i="1"/>
  <c r="Q306" i="1" s="1"/>
  <c r="L306" i="1" s="1"/>
  <c r="P306" i="1" s="1"/>
  <c r="DK304" i="1" l="1"/>
  <c r="Q304" i="1" s="1"/>
  <c r="L304" i="1" s="1"/>
  <c r="P304" i="1" s="1"/>
  <c r="DK303" i="1"/>
  <c r="Q303" i="1" s="1"/>
  <c r="L303" i="1" s="1"/>
  <c r="P303" i="1" s="1"/>
  <c r="DK301" i="1" l="1"/>
  <c r="Q301" i="1" s="1"/>
  <c r="L301" i="1" s="1"/>
  <c r="P301" i="1" s="1"/>
  <c r="DK302" i="1"/>
  <c r="Q302" i="1" s="1"/>
  <c r="L302" i="1" s="1"/>
  <c r="P302" i="1" s="1"/>
  <c r="DK300" i="1" l="1"/>
  <c r="Q300" i="1" s="1"/>
  <c r="L300" i="1" s="1"/>
  <c r="P300" i="1" s="1"/>
  <c r="DK299" i="1"/>
  <c r="Q299" i="1" s="1"/>
  <c r="L299" i="1" s="1"/>
  <c r="P299" i="1" s="1"/>
  <c r="DK297" i="1" l="1"/>
  <c r="Q297" i="1" s="1"/>
  <c r="L297" i="1" s="1"/>
  <c r="P297" i="1" s="1"/>
  <c r="DK298" i="1"/>
  <c r="Q298" i="1" s="1"/>
  <c r="L298" i="1" s="1"/>
  <c r="P298" i="1" s="1"/>
  <c r="DK296" i="1" l="1"/>
  <c r="Q296" i="1" s="1"/>
  <c r="L296" i="1" s="1"/>
  <c r="P296" i="1" s="1"/>
  <c r="DK295" i="1"/>
  <c r="Q295" i="1" s="1"/>
  <c r="L295" i="1" s="1"/>
  <c r="P295" i="1" s="1"/>
  <c r="DK293" i="1" l="1"/>
  <c r="Q293" i="1" s="1"/>
  <c r="L293" i="1" s="1"/>
  <c r="P293" i="1" s="1"/>
  <c r="DK294" i="1"/>
  <c r="Q294" i="1" s="1"/>
  <c r="L294" i="1" s="1"/>
  <c r="P294" i="1" s="1"/>
  <c r="DK292" i="1" l="1"/>
  <c r="Q292" i="1" s="1"/>
  <c r="L292" i="1" s="1"/>
  <c r="P292" i="1" s="1"/>
  <c r="DK291" i="1"/>
  <c r="Q291" i="1" s="1"/>
  <c r="L291" i="1" s="1"/>
  <c r="P291" i="1" s="1"/>
  <c r="DK289" i="1" l="1"/>
  <c r="Q289" i="1" s="1"/>
  <c r="L289" i="1" s="1"/>
  <c r="P289" i="1" s="1"/>
  <c r="DK290" i="1"/>
  <c r="Q290" i="1" s="1"/>
  <c r="L290" i="1" s="1"/>
  <c r="P290" i="1" s="1"/>
  <c r="DK288" i="1" l="1"/>
  <c r="Q288" i="1" s="1"/>
  <c r="L288" i="1" s="1"/>
  <c r="P288" i="1" s="1"/>
  <c r="DK287" i="1"/>
  <c r="Q287" i="1" s="1"/>
  <c r="L287" i="1" s="1"/>
  <c r="P287" i="1" s="1"/>
  <c r="DK285" i="1" l="1"/>
  <c r="Q285" i="1" s="1"/>
  <c r="L285" i="1" s="1"/>
  <c r="P285" i="1" s="1"/>
  <c r="DK286" i="1"/>
  <c r="Q286" i="1" s="1"/>
  <c r="L286" i="1" s="1"/>
  <c r="P286" i="1" s="1"/>
  <c r="DK284" i="1" l="1"/>
  <c r="Q284" i="1" s="1"/>
  <c r="L284" i="1" s="1"/>
  <c r="P284" i="1" s="1"/>
  <c r="DK283" i="1"/>
  <c r="Q283" i="1" s="1"/>
  <c r="L283" i="1" s="1"/>
  <c r="P283" i="1" s="1"/>
  <c r="DK281" i="1" l="1"/>
  <c r="Q281" i="1" s="1"/>
  <c r="L281" i="1" s="1"/>
  <c r="P281" i="1" s="1"/>
  <c r="DK282" i="1"/>
  <c r="Q282" i="1" s="1"/>
  <c r="L282" i="1" s="1"/>
  <c r="P282" i="1" s="1"/>
  <c r="DK280" i="1" l="1"/>
  <c r="Q280" i="1" s="1"/>
  <c r="L280" i="1" s="1"/>
  <c r="P280" i="1" s="1"/>
  <c r="DK279" i="1"/>
  <c r="Q279" i="1" s="1"/>
  <c r="L279" i="1" s="1"/>
  <c r="P279" i="1" s="1"/>
  <c r="DK277" i="1" l="1"/>
  <c r="Q277" i="1" s="1"/>
  <c r="L277" i="1" s="1"/>
  <c r="P277" i="1" s="1"/>
  <c r="DK278" i="1"/>
  <c r="Q278" i="1" s="1"/>
  <c r="L278" i="1" s="1"/>
  <c r="P278" i="1" s="1"/>
  <c r="DK276" i="1" l="1"/>
  <c r="Q276" i="1" s="1"/>
  <c r="L276" i="1" s="1"/>
  <c r="P276" i="1" s="1"/>
  <c r="DK275" i="1"/>
  <c r="Q275" i="1" s="1"/>
  <c r="L275" i="1" s="1"/>
  <c r="P275" i="1" s="1"/>
  <c r="DK273" i="1" l="1"/>
  <c r="Q273" i="1" s="1"/>
  <c r="L273" i="1" s="1"/>
  <c r="P273" i="1" s="1"/>
  <c r="DK274" i="1"/>
  <c r="Q274" i="1" s="1"/>
  <c r="L274" i="1" s="1"/>
  <c r="P274" i="1" s="1"/>
  <c r="DK272" i="1" l="1"/>
  <c r="Q272" i="1" s="1"/>
  <c r="L272" i="1" s="1"/>
  <c r="P272" i="1" s="1"/>
  <c r="DK271" i="1"/>
  <c r="Q271" i="1" s="1"/>
  <c r="L271" i="1" s="1"/>
  <c r="P271" i="1" s="1"/>
  <c r="DK269" i="1" l="1"/>
  <c r="Q269" i="1" s="1"/>
  <c r="L269" i="1" s="1"/>
  <c r="P269" i="1" s="1"/>
  <c r="DK270" i="1"/>
  <c r="Q270" i="1" s="1"/>
  <c r="L270" i="1" s="1"/>
  <c r="P270" i="1" s="1"/>
  <c r="DK268" i="1" l="1"/>
  <c r="Q268" i="1" s="1"/>
  <c r="L268" i="1" s="1"/>
  <c r="P268" i="1" s="1"/>
  <c r="DK267" i="1"/>
  <c r="Q267" i="1" s="1"/>
  <c r="L267" i="1" s="1"/>
  <c r="P267" i="1" s="1"/>
  <c r="DK265" i="1" l="1"/>
  <c r="Q265" i="1" s="1"/>
  <c r="L265" i="1" s="1"/>
  <c r="P265" i="1" s="1"/>
  <c r="DK266" i="1"/>
  <c r="Q266" i="1" s="1"/>
  <c r="L266" i="1" s="1"/>
  <c r="P266" i="1" s="1"/>
  <c r="DK264" i="1" l="1"/>
  <c r="Q264" i="1" s="1"/>
  <c r="L264" i="1" s="1"/>
  <c r="P264" i="1" s="1"/>
  <c r="DK263" i="1"/>
  <c r="Q263" i="1" s="1"/>
  <c r="L263" i="1" s="1"/>
  <c r="P263" i="1" s="1"/>
  <c r="DK261" i="1" l="1"/>
  <c r="Q261" i="1" s="1"/>
  <c r="L261" i="1" s="1"/>
  <c r="P261" i="1" s="1"/>
  <c r="DK262" i="1"/>
  <c r="Q262" i="1" s="1"/>
  <c r="L262" i="1" s="1"/>
  <c r="P262" i="1" s="1"/>
  <c r="DK260" i="1" l="1"/>
  <c r="Q260" i="1" s="1"/>
  <c r="L260" i="1" s="1"/>
  <c r="P260" i="1" s="1"/>
  <c r="DK259" i="1"/>
  <c r="Q259" i="1" s="1"/>
  <c r="L259" i="1" s="1"/>
  <c r="P259" i="1" s="1"/>
  <c r="DK257" i="1" l="1"/>
  <c r="Q257" i="1" s="1"/>
  <c r="L257" i="1" s="1"/>
  <c r="P257" i="1" s="1"/>
  <c r="DK258" i="1"/>
  <c r="Q258" i="1" s="1"/>
  <c r="L258" i="1" s="1"/>
  <c r="P258" i="1" s="1"/>
  <c r="DK256" i="1" l="1"/>
  <c r="Q256" i="1" s="1"/>
  <c r="L256" i="1" s="1"/>
  <c r="P256" i="1" s="1"/>
  <c r="DK255" i="1"/>
  <c r="Q255" i="1" s="1"/>
  <c r="L255" i="1" s="1"/>
  <c r="P255" i="1" s="1"/>
  <c r="DK253" i="1" l="1"/>
  <c r="Q253" i="1" s="1"/>
  <c r="L253" i="1" s="1"/>
  <c r="P253" i="1" s="1"/>
  <c r="DK254" i="1"/>
  <c r="Q254" i="1" s="1"/>
  <c r="L254" i="1" s="1"/>
  <c r="P254" i="1" s="1"/>
  <c r="DK252" i="1" l="1"/>
  <c r="Q252" i="1" s="1"/>
  <c r="L252" i="1" s="1"/>
  <c r="P252" i="1" s="1"/>
  <c r="DK251" i="1"/>
  <c r="Q251" i="1" s="1"/>
  <c r="L251" i="1" s="1"/>
  <c r="P251" i="1" s="1"/>
  <c r="DK249" i="1" l="1"/>
  <c r="Q249" i="1" s="1"/>
  <c r="L249" i="1" s="1"/>
  <c r="P249" i="1" s="1"/>
  <c r="DK250" i="1"/>
  <c r="Q250" i="1" s="1"/>
  <c r="L250" i="1" s="1"/>
  <c r="P250" i="1" s="1"/>
  <c r="DK248" i="1" l="1"/>
  <c r="Q248" i="1" s="1"/>
  <c r="L248" i="1" s="1"/>
  <c r="P248" i="1" s="1"/>
  <c r="DK247" i="1"/>
  <c r="Q247" i="1" s="1"/>
  <c r="L247" i="1" s="1"/>
  <c r="P247" i="1" s="1"/>
  <c r="DK245" i="1" l="1"/>
  <c r="Q245" i="1" s="1"/>
  <c r="L245" i="1" s="1"/>
  <c r="P245" i="1" s="1"/>
  <c r="DK246" i="1"/>
  <c r="Q246" i="1" s="1"/>
  <c r="L246" i="1" s="1"/>
  <c r="P246" i="1" s="1"/>
  <c r="DK244" i="1" l="1"/>
  <c r="Q244" i="1" s="1"/>
  <c r="L244" i="1" s="1"/>
  <c r="P244" i="1" s="1"/>
  <c r="DK243" i="1"/>
  <c r="Q243" i="1" s="1"/>
  <c r="L243" i="1" s="1"/>
  <c r="P243" i="1" s="1"/>
  <c r="DK241" i="1" l="1"/>
  <c r="Q241" i="1" s="1"/>
  <c r="L241" i="1" s="1"/>
  <c r="P241" i="1" s="1"/>
  <c r="DK242" i="1"/>
  <c r="Q242" i="1" s="1"/>
  <c r="L242" i="1" s="1"/>
  <c r="P242" i="1" s="1"/>
  <c r="DK240" i="1" l="1"/>
  <c r="Q240" i="1" s="1"/>
  <c r="L240" i="1" s="1"/>
  <c r="P240" i="1" s="1"/>
  <c r="DK239" i="1"/>
  <c r="Q239" i="1" s="1"/>
  <c r="L239" i="1" s="1"/>
  <c r="P239" i="1" s="1"/>
  <c r="DK237" i="1" l="1"/>
  <c r="Q237" i="1" s="1"/>
  <c r="L237" i="1" s="1"/>
  <c r="P237" i="1" s="1"/>
  <c r="DK238" i="1"/>
  <c r="Q238" i="1" s="1"/>
  <c r="L238" i="1" s="1"/>
  <c r="P238" i="1" s="1"/>
  <c r="DK236" i="1" l="1"/>
  <c r="Q236" i="1" s="1"/>
  <c r="L236" i="1" s="1"/>
  <c r="P236" i="1" s="1"/>
  <c r="DK235" i="1"/>
  <c r="Q235" i="1" s="1"/>
  <c r="L235" i="1" s="1"/>
  <c r="P235" i="1" s="1"/>
  <c r="DK233" i="1" l="1"/>
  <c r="Q233" i="1" s="1"/>
  <c r="L233" i="1" s="1"/>
  <c r="P233" i="1" s="1"/>
  <c r="DK234" i="1"/>
  <c r="Q234" i="1" s="1"/>
  <c r="L234" i="1" s="1"/>
  <c r="P234" i="1" s="1"/>
  <c r="DK232" i="1" l="1"/>
  <c r="Q232" i="1" s="1"/>
  <c r="L232" i="1" s="1"/>
  <c r="P232" i="1" s="1"/>
  <c r="DK231" i="1"/>
  <c r="Q231" i="1" s="1"/>
  <c r="L231" i="1" s="1"/>
  <c r="P231" i="1" s="1"/>
  <c r="DK229" i="1" l="1"/>
  <c r="Q229" i="1" s="1"/>
  <c r="L229" i="1" s="1"/>
  <c r="P229" i="1" s="1"/>
  <c r="DK230" i="1"/>
  <c r="Q230" i="1" s="1"/>
  <c r="L230" i="1" s="1"/>
  <c r="P230" i="1" s="1"/>
  <c r="DK228" i="1" l="1"/>
  <c r="Q228" i="1" s="1"/>
  <c r="L228" i="1" s="1"/>
  <c r="P228" i="1" s="1"/>
  <c r="DK227" i="1"/>
  <c r="Q227" i="1" s="1"/>
  <c r="L227" i="1" s="1"/>
  <c r="P227" i="1" s="1"/>
  <c r="DK225" i="1" l="1"/>
  <c r="Q225" i="1" s="1"/>
  <c r="L225" i="1" s="1"/>
  <c r="P225" i="1" s="1"/>
  <c r="DK226" i="1"/>
  <c r="Q226" i="1" s="1"/>
  <c r="L226" i="1" s="1"/>
  <c r="P226" i="1" s="1"/>
  <c r="DK224" i="1" l="1"/>
  <c r="Q224" i="1" s="1"/>
  <c r="L224" i="1" s="1"/>
  <c r="P224" i="1" s="1"/>
  <c r="DK223" i="1"/>
  <c r="Q223" i="1" s="1"/>
  <c r="L223" i="1" s="1"/>
  <c r="P223" i="1" s="1"/>
  <c r="DK221" i="1" l="1"/>
  <c r="Q221" i="1" s="1"/>
  <c r="L221" i="1" s="1"/>
  <c r="P221" i="1" s="1"/>
  <c r="DK222" i="1"/>
  <c r="Q222" i="1" s="1"/>
  <c r="L222" i="1" s="1"/>
  <c r="P222" i="1" s="1"/>
  <c r="DK220" i="1" l="1"/>
  <c r="Q220" i="1" s="1"/>
  <c r="L220" i="1" s="1"/>
  <c r="P220" i="1" s="1"/>
  <c r="DK219" i="1"/>
  <c r="Q219" i="1" s="1"/>
  <c r="L219" i="1" s="1"/>
  <c r="P219" i="1" s="1"/>
  <c r="DK217" i="1" l="1"/>
  <c r="Q217" i="1" s="1"/>
  <c r="L217" i="1" s="1"/>
  <c r="P217" i="1" s="1"/>
  <c r="DK218" i="1"/>
  <c r="Q218" i="1" s="1"/>
  <c r="L218" i="1" s="1"/>
  <c r="P218" i="1" s="1"/>
  <c r="DK216" i="1" l="1"/>
  <c r="Q216" i="1" s="1"/>
  <c r="L216" i="1" s="1"/>
  <c r="P216" i="1" s="1"/>
  <c r="DK215" i="1"/>
  <c r="Q215" i="1" s="1"/>
  <c r="L215" i="1" s="1"/>
  <c r="P215" i="1" s="1"/>
  <c r="DK213" i="1" l="1"/>
  <c r="Q213" i="1" s="1"/>
  <c r="L213" i="1" s="1"/>
  <c r="P213" i="1" s="1"/>
  <c r="DK214" i="1"/>
  <c r="Q214" i="1" s="1"/>
  <c r="L214" i="1" s="1"/>
  <c r="P214" i="1" s="1"/>
  <c r="DK212" i="1" l="1"/>
  <c r="Q212" i="1" s="1"/>
  <c r="L212" i="1" s="1"/>
  <c r="P212" i="1" s="1"/>
  <c r="DK211" i="1"/>
  <c r="Q211" i="1" s="1"/>
  <c r="L211" i="1" s="1"/>
  <c r="P211" i="1" s="1"/>
  <c r="DK209" i="1" l="1"/>
  <c r="Q209" i="1" s="1"/>
  <c r="L209" i="1" s="1"/>
  <c r="P209" i="1" s="1"/>
  <c r="DK210" i="1"/>
  <c r="Q210" i="1" s="1"/>
  <c r="L210" i="1" s="1"/>
  <c r="P210" i="1" s="1"/>
  <c r="DK208" i="1" l="1"/>
  <c r="Q208" i="1" s="1"/>
  <c r="L208" i="1" s="1"/>
  <c r="P208" i="1" s="1"/>
  <c r="DK207" i="1"/>
  <c r="Q207" i="1" s="1"/>
  <c r="L207" i="1" s="1"/>
  <c r="P207" i="1" s="1"/>
  <c r="DK205" i="1" l="1"/>
  <c r="Q205" i="1" s="1"/>
  <c r="L205" i="1" s="1"/>
  <c r="P205" i="1" s="1"/>
  <c r="DK206" i="1"/>
  <c r="Q206" i="1" s="1"/>
  <c r="L206" i="1" s="1"/>
  <c r="P206" i="1" s="1"/>
  <c r="DK204" i="1" l="1"/>
  <c r="Q204" i="1" s="1"/>
  <c r="L204" i="1" s="1"/>
  <c r="P204" i="1" s="1"/>
  <c r="DK203" i="1"/>
  <c r="Q203" i="1" s="1"/>
  <c r="L203" i="1" s="1"/>
  <c r="P203" i="1" s="1"/>
  <c r="DK201" i="1" l="1"/>
  <c r="Q201" i="1" s="1"/>
  <c r="L201" i="1" s="1"/>
  <c r="P201" i="1" s="1"/>
  <c r="DK202" i="1"/>
  <c r="Q202" i="1" s="1"/>
  <c r="L202" i="1" s="1"/>
  <c r="P202" i="1" s="1"/>
  <c r="DK200" i="1" l="1"/>
  <c r="Q200" i="1" s="1"/>
  <c r="L200" i="1" s="1"/>
  <c r="P200" i="1" s="1"/>
  <c r="DK199" i="1"/>
  <c r="Q199" i="1" s="1"/>
  <c r="L199" i="1" s="1"/>
  <c r="P199" i="1" s="1"/>
  <c r="DK197" i="1" l="1"/>
  <c r="Q197" i="1" s="1"/>
  <c r="L197" i="1" s="1"/>
  <c r="P197" i="1" s="1"/>
  <c r="DK198" i="1"/>
  <c r="Q198" i="1" s="1"/>
  <c r="L198" i="1" s="1"/>
  <c r="P198" i="1" s="1"/>
  <c r="DK196" i="1" l="1"/>
  <c r="Q196" i="1" s="1"/>
  <c r="L196" i="1" s="1"/>
  <c r="P196" i="1" s="1"/>
  <c r="DK195" i="1"/>
  <c r="Q195" i="1" s="1"/>
  <c r="L195" i="1" s="1"/>
  <c r="P195" i="1" s="1"/>
  <c r="DK193" i="1" l="1"/>
  <c r="Q193" i="1" s="1"/>
  <c r="L193" i="1" s="1"/>
  <c r="P193" i="1" s="1"/>
  <c r="DK194" i="1"/>
  <c r="Q194" i="1" s="1"/>
  <c r="L194" i="1" s="1"/>
  <c r="P194" i="1" s="1"/>
  <c r="DK192" i="1" l="1"/>
  <c r="Q192" i="1" s="1"/>
  <c r="L192" i="1" s="1"/>
  <c r="P192" i="1" s="1"/>
  <c r="DK191" i="1"/>
  <c r="Q191" i="1" s="1"/>
  <c r="L191" i="1" s="1"/>
  <c r="P191" i="1" s="1"/>
  <c r="DK189" i="1" l="1"/>
  <c r="Q189" i="1" s="1"/>
  <c r="L189" i="1" s="1"/>
  <c r="P189" i="1" s="1"/>
  <c r="DK190" i="1"/>
  <c r="Q190" i="1" s="1"/>
  <c r="L190" i="1" s="1"/>
  <c r="P190" i="1" s="1"/>
  <c r="DK188" i="1" l="1"/>
  <c r="Q188" i="1" s="1"/>
  <c r="L188" i="1" s="1"/>
  <c r="P188" i="1" s="1"/>
  <c r="DK187" i="1"/>
  <c r="Q187" i="1" s="1"/>
  <c r="L187" i="1" s="1"/>
  <c r="P187" i="1" s="1"/>
  <c r="DK185" i="1" l="1"/>
  <c r="Q185" i="1" s="1"/>
  <c r="L185" i="1" s="1"/>
  <c r="P185" i="1" s="1"/>
  <c r="DK186" i="1"/>
  <c r="Q186" i="1" s="1"/>
  <c r="L186" i="1" s="1"/>
  <c r="P186" i="1" s="1"/>
  <c r="DK184" i="1" l="1"/>
  <c r="Q184" i="1" s="1"/>
  <c r="L184" i="1" s="1"/>
  <c r="P184" i="1" s="1"/>
  <c r="DK183" i="1"/>
  <c r="Q183" i="1" s="1"/>
  <c r="L183" i="1" s="1"/>
  <c r="P183" i="1" s="1"/>
  <c r="DK181" i="1" l="1"/>
  <c r="Q181" i="1" s="1"/>
  <c r="L181" i="1" s="1"/>
  <c r="P181" i="1" s="1"/>
  <c r="DK182" i="1"/>
  <c r="Q182" i="1" s="1"/>
  <c r="L182" i="1" s="1"/>
  <c r="P182" i="1" s="1"/>
  <c r="DK180" i="1" l="1"/>
  <c r="Q180" i="1" s="1"/>
  <c r="L180" i="1" s="1"/>
  <c r="P180" i="1" s="1"/>
  <c r="DK179" i="1"/>
  <c r="Q179" i="1" s="1"/>
  <c r="L179" i="1" s="1"/>
  <c r="P179" i="1" s="1"/>
  <c r="DK177" i="1" l="1"/>
  <c r="Q177" i="1" s="1"/>
  <c r="L177" i="1" s="1"/>
  <c r="P177" i="1" s="1"/>
  <c r="DK178" i="1"/>
  <c r="Q178" i="1" s="1"/>
  <c r="L178" i="1" s="1"/>
  <c r="P178" i="1" s="1"/>
  <c r="DK176" i="1" l="1"/>
  <c r="Q176" i="1" s="1"/>
  <c r="L176" i="1" s="1"/>
  <c r="P176" i="1" s="1"/>
  <c r="DK175" i="1"/>
  <c r="Q175" i="1" s="1"/>
  <c r="L175" i="1" s="1"/>
  <c r="P175" i="1" s="1"/>
  <c r="DK173" i="1" l="1"/>
  <c r="Q173" i="1" s="1"/>
  <c r="L173" i="1" s="1"/>
  <c r="P173" i="1" s="1"/>
  <c r="DK174" i="1"/>
  <c r="Q174" i="1" s="1"/>
  <c r="L174" i="1" s="1"/>
  <c r="P174" i="1" s="1"/>
  <c r="DK172" i="1" l="1"/>
  <c r="Q172" i="1" s="1"/>
  <c r="L172" i="1" s="1"/>
  <c r="P172" i="1" s="1"/>
  <c r="DK171" i="1"/>
  <c r="Q171" i="1" s="1"/>
  <c r="L171" i="1" s="1"/>
  <c r="P171" i="1" s="1"/>
  <c r="DK169" i="1" l="1"/>
  <c r="Q169" i="1" s="1"/>
  <c r="L169" i="1" s="1"/>
  <c r="P169" i="1" s="1"/>
  <c r="DK170" i="1"/>
  <c r="Q170" i="1" s="1"/>
  <c r="L170" i="1" s="1"/>
  <c r="P170" i="1" s="1"/>
  <c r="DK168" i="1" l="1"/>
  <c r="Q168" i="1" s="1"/>
  <c r="L168" i="1" s="1"/>
  <c r="P168" i="1" s="1"/>
  <c r="DK167" i="1"/>
  <c r="Q167" i="1" s="1"/>
  <c r="L167" i="1" s="1"/>
  <c r="P167" i="1" s="1"/>
  <c r="DK165" i="1" l="1"/>
  <c r="Q165" i="1" s="1"/>
  <c r="L165" i="1" s="1"/>
  <c r="P165" i="1" s="1"/>
  <c r="DK166" i="1"/>
  <c r="Q166" i="1" s="1"/>
  <c r="L166" i="1" s="1"/>
  <c r="P166" i="1" s="1"/>
  <c r="DK164" i="1" l="1"/>
  <c r="Q164" i="1" s="1"/>
  <c r="L164" i="1" s="1"/>
  <c r="P164" i="1" s="1"/>
  <c r="DK163" i="1"/>
  <c r="Q163" i="1" s="1"/>
  <c r="L163" i="1" s="1"/>
  <c r="P163" i="1" s="1"/>
  <c r="DK161" i="1" l="1"/>
  <c r="Q161" i="1" s="1"/>
  <c r="L161" i="1" s="1"/>
  <c r="P161" i="1" s="1"/>
  <c r="DK162" i="1"/>
  <c r="Q162" i="1" s="1"/>
  <c r="L162" i="1" s="1"/>
  <c r="P162" i="1" s="1"/>
  <c r="DK160" i="1" l="1"/>
  <c r="Q160" i="1" s="1"/>
  <c r="L160" i="1" s="1"/>
  <c r="P160" i="1" s="1"/>
  <c r="DK159" i="1"/>
  <c r="Q159" i="1" s="1"/>
  <c r="L159" i="1" s="1"/>
  <c r="P159" i="1" s="1"/>
  <c r="DK157" i="1" l="1"/>
  <c r="Q157" i="1" s="1"/>
  <c r="L157" i="1" s="1"/>
  <c r="P157" i="1" s="1"/>
  <c r="DK158" i="1"/>
  <c r="Q158" i="1" s="1"/>
  <c r="L158" i="1" s="1"/>
  <c r="P158" i="1" s="1"/>
  <c r="DK156" i="1" l="1"/>
  <c r="Q156" i="1" s="1"/>
  <c r="L156" i="1" s="1"/>
  <c r="P156" i="1" s="1"/>
  <c r="DK155" i="1"/>
  <c r="Q155" i="1" s="1"/>
  <c r="L155" i="1" s="1"/>
  <c r="P155" i="1" s="1"/>
  <c r="DK153" i="1" l="1"/>
  <c r="Q153" i="1" s="1"/>
  <c r="L153" i="1" s="1"/>
  <c r="P153" i="1" s="1"/>
  <c r="DK154" i="1"/>
  <c r="Q154" i="1" s="1"/>
  <c r="L154" i="1" s="1"/>
  <c r="P154" i="1" s="1"/>
  <c r="DK152" i="1" l="1"/>
  <c r="Q152" i="1" s="1"/>
  <c r="L152" i="1" s="1"/>
  <c r="P152" i="1" s="1"/>
  <c r="DK151" i="1"/>
  <c r="Q151" i="1" s="1"/>
  <c r="L151" i="1" s="1"/>
  <c r="P151" i="1" s="1"/>
  <c r="DK149" i="1" l="1"/>
  <c r="Q149" i="1" s="1"/>
  <c r="L149" i="1" s="1"/>
  <c r="P149" i="1" s="1"/>
  <c r="DK150" i="1"/>
  <c r="Q150" i="1" s="1"/>
  <c r="L150" i="1" s="1"/>
  <c r="P150" i="1" s="1"/>
  <c r="DK148" i="1" l="1"/>
  <c r="Q148" i="1" s="1"/>
  <c r="L148" i="1" s="1"/>
  <c r="P148" i="1" s="1"/>
  <c r="DK147" i="1"/>
  <c r="Q147" i="1" s="1"/>
  <c r="L147" i="1" s="1"/>
  <c r="P147" i="1" s="1"/>
  <c r="DK145" i="1" l="1"/>
  <c r="Q145" i="1" s="1"/>
  <c r="L145" i="1" s="1"/>
  <c r="P145" i="1" s="1"/>
  <c r="DK146" i="1"/>
  <c r="Q146" i="1" s="1"/>
  <c r="L146" i="1" s="1"/>
  <c r="P146" i="1" s="1"/>
  <c r="DK144" i="1" l="1"/>
  <c r="Q144" i="1" s="1"/>
  <c r="L144" i="1" s="1"/>
  <c r="P144" i="1" s="1"/>
  <c r="DK143" i="1"/>
  <c r="Q143" i="1" s="1"/>
  <c r="L143" i="1" s="1"/>
  <c r="P143" i="1" s="1"/>
  <c r="DK141" i="1" l="1"/>
  <c r="Q141" i="1" s="1"/>
  <c r="L141" i="1" s="1"/>
  <c r="P141" i="1" s="1"/>
  <c r="DK142" i="1"/>
  <c r="Q142" i="1" s="1"/>
  <c r="L142" i="1" s="1"/>
  <c r="P142" i="1" s="1"/>
  <c r="DK140" i="1" l="1"/>
  <c r="Q140" i="1" s="1"/>
  <c r="L140" i="1" s="1"/>
  <c r="P140" i="1" s="1"/>
  <c r="DK139" i="1"/>
  <c r="Q139" i="1" s="1"/>
  <c r="L139" i="1" s="1"/>
  <c r="P139" i="1" s="1"/>
  <c r="DK137" i="1" l="1"/>
  <c r="Q137" i="1" s="1"/>
  <c r="L137" i="1" s="1"/>
  <c r="P137" i="1" s="1"/>
  <c r="DK138" i="1"/>
  <c r="Q138" i="1" s="1"/>
  <c r="L138" i="1" s="1"/>
  <c r="P138" i="1" s="1"/>
  <c r="DK136" i="1" l="1"/>
  <c r="Q136" i="1" s="1"/>
  <c r="L136" i="1" s="1"/>
  <c r="P136" i="1" s="1"/>
  <c r="DK135" i="1"/>
  <c r="Q135" i="1" s="1"/>
  <c r="L135" i="1" s="1"/>
  <c r="P135" i="1" s="1"/>
  <c r="DK133" i="1" l="1"/>
  <c r="Q133" i="1" s="1"/>
  <c r="L133" i="1" s="1"/>
  <c r="P133" i="1" s="1"/>
  <c r="DK134" i="1"/>
  <c r="Q134" i="1" s="1"/>
  <c r="L134" i="1" s="1"/>
  <c r="P134" i="1" s="1"/>
  <c r="DK132" i="1" l="1"/>
  <c r="Q132" i="1" s="1"/>
  <c r="L132" i="1" s="1"/>
  <c r="P132" i="1" s="1"/>
  <c r="DK131" i="1"/>
  <c r="Q131" i="1" s="1"/>
  <c r="L131" i="1" s="1"/>
  <c r="P131" i="1" s="1"/>
  <c r="DK129" i="1" l="1"/>
  <c r="Q129" i="1" s="1"/>
  <c r="L129" i="1" s="1"/>
  <c r="P129" i="1" s="1"/>
  <c r="DK130" i="1"/>
  <c r="Q130" i="1" s="1"/>
  <c r="L130" i="1" s="1"/>
  <c r="P130" i="1" s="1"/>
  <c r="DK128" i="1" l="1"/>
  <c r="Q128" i="1" s="1"/>
  <c r="L128" i="1" s="1"/>
  <c r="P128" i="1" s="1"/>
  <c r="DK127" i="1"/>
  <c r="Q127" i="1" s="1"/>
  <c r="L127" i="1" s="1"/>
  <c r="P127" i="1" s="1"/>
  <c r="DK125" i="1" l="1"/>
  <c r="Q125" i="1" s="1"/>
  <c r="L125" i="1" s="1"/>
  <c r="P125" i="1" s="1"/>
  <c r="DK126" i="1"/>
  <c r="Q126" i="1" s="1"/>
  <c r="L126" i="1" s="1"/>
  <c r="P126" i="1" s="1"/>
  <c r="DK124" i="1" l="1"/>
  <c r="Q124" i="1" s="1"/>
  <c r="L124" i="1" s="1"/>
  <c r="P124" i="1" s="1"/>
  <c r="DK123" i="1"/>
  <c r="Q123" i="1" s="1"/>
  <c r="L123" i="1" s="1"/>
  <c r="P123" i="1" s="1"/>
  <c r="DK121" i="1" l="1"/>
  <c r="Q121" i="1" s="1"/>
  <c r="L121" i="1" s="1"/>
  <c r="P121" i="1" s="1"/>
  <c r="DK122" i="1"/>
  <c r="Q122" i="1" s="1"/>
  <c r="L122" i="1" s="1"/>
  <c r="P122" i="1" s="1"/>
  <c r="DK120" i="1" l="1"/>
  <c r="Q120" i="1" s="1"/>
  <c r="L120" i="1" s="1"/>
  <c r="P120" i="1" s="1"/>
  <c r="DK119" i="1"/>
  <c r="Q119" i="1" s="1"/>
  <c r="L119" i="1" s="1"/>
  <c r="P119" i="1" s="1"/>
  <c r="DK117" i="1" l="1"/>
  <c r="Q117" i="1" s="1"/>
  <c r="L117" i="1" s="1"/>
  <c r="P117" i="1" s="1"/>
  <c r="DK118" i="1"/>
  <c r="Q118" i="1" s="1"/>
  <c r="L118" i="1" s="1"/>
  <c r="P118" i="1" s="1"/>
  <c r="DK116" i="1" l="1"/>
  <c r="Q116" i="1" s="1"/>
  <c r="L116" i="1" s="1"/>
  <c r="P116" i="1" s="1"/>
  <c r="DK115" i="1"/>
  <c r="Q115" i="1" s="1"/>
  <c r="L115" i="1" s="1"/>
  <c r="P115" i="1" s="1"/>
  <c r="DK113" i="1" l="1"/>
  <c r="Q113" i="1" s="1"/>
  <c r="L113" i="1" s="1"/>
  <c r="P113" i="1" s="1"/>
  <c r="DK114" i="1"/>
  <c r="Q114" i="1" s="1"/>
  <c r="L114" i="1" s="1"/>
  <c r="P114" i="1" s="1"/>
  <c r="DK112" i="1" l="1"/>
  <c r="Q112" i="1" s="1"/>
  <c r="L112" i="1" s="1"/>
  <c r="P112" i="1" s="1"/>
  <c r="DK111" i="1"/>
  <c r="Q111" i="1" s="1"/>
  <c r="L111" i="1" s="1"/>
  <c r="P111" i="1" s="1"/>
  <c r="DK109" i="1" l="1"/>
  <c r="Q109" i="1" s="1"/>
  <c r="L109" i="1" s="1"/>
  <c r="P109" i="1" s="1"/>
  <c r="DK110" i="1"/>
  <c r="Q110" i="1" s="1"/>
  <c r="L110" i="1" s="1"/>
  <c r="P110" i="1" s="1"/>
  <c r="DK108" i="1" l="1"/>
  <c r="Q108" i="1" s="1"/>
  <c r="L108" i="1" s="1"/>
  <c r="P108" i="1" s="1"/>
  <c r="DK107" i="1"/>
  <c r="Q107" i="1" s="1"/>
  <c r="L107" i="1" s="1"/>
  <c r="P107" i="1" s="1"/>
  <c r="DK105" i="1" l="1"/>
  <c r="Q105" i="1" s="1"/>
  <c r="L105" i="1" s="1"/>
  <c r="P105" i="1" s="1"/>
  <c r="DK106" i="1"/>
  <c r="Q106" i="1" s="1"/>
  <c r="L106" i="1" s="1"/>
  <c r="P106" i="1" s="1"/>
  <c r="DK104" i="1" l="1"/>
  <c r="Q104" i="1" s="1"/>
  <c r="L104" i="1" s="1"/>
  <c r="P104" i="1" s="1"/>
  <c r="DK103" i="1"/>
  <c r="Q103" i="1" s="1"/>
  <c r="L103" i="1" s="1"/>
  <c r="P103" i="1" s="1"/>
  <c r="DK101" i="1" l="1"/>
  <c r="Q101" i="1" s="1"/>
  <c r="L101" i="1" s="1"/>
  <c r="P101" i="1" s="1"/>
  <c r="DK102" i="1"/>
  <c r="Q102" i="1" s="1"/>
  <c r="L102" i="1" s="1"/>
  <c r="P102" i="1" s="1"/>
  <c r="DK100" i="1" l="1"/>
  <c r="Q100" i="1" s="1"/>
  <c r="L100" i="1" s="1"/>
  <c r="P100" i="1" s="1"/>
  <c r="DK99" i="1"/>
  <c r="Q99" i="1" s="1"/>
  <c r="L99" i="1" s="1"/>
  <c r="P99" i="1" s="1"/>
  <c r="DK97" i="1" l="1"/>
  <c r="Q97" i="1" s="1"/>
  <c r="L97" i="1" s="1"/>
  <c r="P97" i="1" s="1"/>
  <c r="DK98" i="1"/>
  <c r="Q98" i="1" s="1"/>
  <c r="L98" i="1" s="1"/>
  <c r="P98" i="1" s="1"/>
  <c r="DK96" i="1" l="1"/>
  <c r="Q96" i="1" s="1"/>
  <c r="L96" i="1" s="1"/>
  <c r="P96" i="1" s="1"/>
  <c r="DK91" i="1"/>
  <c r="Q91" i="1" s="1"/>
  <c r="L91" i="1" s="1"/>
  <c r="P91" i="1" s="1"/>
  <c r="DK89" i="1" l="1"/>
  <c r="Q89" i="1" s="1"/>
  <c r="L89" i="1" s="1"/>
  <c r="P89" i="1" s="1"/>
  <c r="DK90" i="1"/>
  <c r="Q90" i="1" s="1"/>
  <c r="L90" i="1" s="1"/>
  <c r="P90" i="1" s="1"/>
  <c r="DK88" i="1" l="1"/>
  <c r="Q88" i="1" s="1"/>
  <c r="L88" i="1" s="1"/>
  <c r="P88" i="1" s="1"/>
  <c r="DK87" i="1"/>
  <c r="Q87" i="1" s="1"/>
  <c r="L87" i="1" s="1"/>
  <c r="P87" i="1" s="1"/>
  <c r="DK85" i="1" l="1"/>
  <c r="Q85" i="1" s="1"/>
  <c r="L85" i="1" s="1"/>
  <c r="P85" i="1" s="1"/>
  <c r="DK86" i="1"/>
  <c r="Q86" i="1" s="1"/>
  <c r="L86" i="1" s="1"/>
  <c r="P86" i="1" s="1"/>
  <c r="DK84" i="1" l="1"/>
  <c r="Q84" i="1" s="1"/>
  <c r="L84" i="1" s="1"/>
  <c r="P84" i="1" s="1"/>
  <c r="DK83" i="1"/>
  <c r="Q83" i="1" s="1"/>
  <c r="L83" i="1" s="1"/>
  <c r="P83" i="1" s="1"/>
  <c r="DK81" i="1" l="1"/>
  <c r="Q81" i="1" s="1"/>
  <c r="L81" i="1" s="1"/>
  <c r="P81" i="1" s="1"/>
  <c r="DK82" i="1"/>
  <c r="Q82" i="1" s="1"/>
  <c r="L82" i="1" s="1"/>
  <c r="P82" i="1" s="1"/>
  <c r="DK80" i="1" l="1"/>
  <c r="Q80" i="1" s="1"/>
  <c r="L80" i="1" s="1"/>
  <c r="P80" i="1" s="1"/>
  <c r="DK79" i="1"/>
  <c r="Q79" i="1" s="1"/>
  <c r="L79" i="1" s="1"/>
  <c r="P79" i="1" s="1"/>
  <c r="DK77" i="1" l="1"/>
  <c r="Q77" i="1" s="1"/>
  <c r="L77" i="1" s="1"/>
  <c r="P77" i="1" s="1"/>
  <c r="DK78" i="1"/>
  <c r="Q78" i="1" s="1"/>
  <c r="L78" i="1" s="1"/>
  <c r="P78" i="1" s="1"/>
  <c r="DK76" i="1" l="1"/>
  <c r="Q76" i="1" s="1"/>
  <c r="L76" i="1" s="1"/>
  <c r="P76" i="1" s="1"/>
  <c r="DK75" i="1"/>
  <c r="Q75" i="1" s="1"/>
  <c r="L75" i="1" s="1"/>
  <c r="P75" i="1" s="1"/>
  <c r="DK73" i="1" l="1"/>
  <c r="Q73" i="1" s="1"/>
  <c r="L73" i="1" s="1"/>
  <c r="P73" i="1" s="1"/>
  <c r="DK74" i="1"/>
  <c r="Q74" i="1" s="1"/>
  <c r="L74" i="1" s="1"/>
  <c r="P74" i="1" s="1"/>
  <c r="DK72" i="1" l="1"/>
  <c r="Q72" i="1" s="1"/>
  <c r="L72" i="1" s="1"/>
  <c r="P72" i="1" s="1"/>
  <c r="DK71" i="1"/>
  <c r="Q71" i="1" s="1"/>
  <c r="L71" i="1" s="1"/>
  <c r="P71" i="1" s="1"/>
  <c r="DK69" i="1" l="1"/>
  <c r="Q69" i="1" s="1"/>
  <c r="L69" i="1" s="1"/>
  <c r="P69" i="1" s="1"/>
  <c r="DK70" i="1"/>
  <c r="Q70" i="1" s="1"/>
  <c r="L70" i="1" s="1"/>
  <c r="P70" i="1" s="1"/>
  <c r="DK68" i="1" l="1"/>
  <c r="Q68" i="1" s="1"/>
  <c r="L68" i="1" s="1"/>
  <c r="P68" i="1" s="1"/>
  <c r="DK67" i="1"/>
  <c r="Q67" i="1" s="1"/>
  <c r="L67" i="1" s="1"/>
  <c r="P67" i="1" s="1"/>
  <c r="DK65" i="1" l="1"/>
  <c r="Q65" i="1" s="1"/>
  <c r="L65" i="1" s="1"/>
  <c r="P65" i="1" s="1"/>
  <c r="DK66" i="1"/>
  <c r="Q66" i="1" s="1"/>
  <c r="L66" i="1" s="1"/>
  <c r="P66" i="1" s="1"/>
  <c r="DK64" i="1" l="1"/>
  <c r="Q64" i="1" s="1"/>
  <c r="L64" i="1" s="1"/>
  <c r="P64" i="1" s="1"/>
  <c r="DK63" i="1"/>
  <c r="Q63" i="1" s="1"/>
  <c r="L63" i="1" s="1"/>
  <c r="P63" i="1" s="1"/>
  <c r="DK61" i="1" l="1"/>
  <c r="Q61" i="1" s="1"/>
  <c r="L61" i="1" s="1"/>
  <c r="P61" i="1" s="1"/>
  <c r="DK62" i="1"/>
  <c r="Q62" i="1" s="1"/>
  <c r="L62" i="1" s="1"/>
  <c r="P62" i="1" s="1"/>
  <c r="DK60" i="1" l="1"/>
  <c r="Q60" i="1" s="1"/>
  <c r="L60" i="1" s="1"/>
  <c r="P60" i="1" s="1"/>
  <c r="DK59" i="1"/>
  <c r="Q59" i="1" s="1"/>
  <c r="L59" i="1" s="1"/>
  <c r="P59" i="1" s="1"/>
  <c r="DK53" i="1" l="1"/>
  <c r="Q53" i="1" s="1"/>
  <c r="L53" i="1" s="1"/>
  <c r="P53" i="1" s="1"/>
  <c r="DK54" i="1"/>
  <c r="Q54" i="1" s="1"/>
  <c r="L54" i="1" s="1"/>
  <c r="P54" i="1" s="1"/>
  <c r="DK52" i="1" l="1"/>
  <c r="Q52" i="1" s="1"/>
  <c r="L52" i="1" s="1"/>
  <c r="P52" i="1" s="1"/>
  <c r="DK44" i="1"/>
  <c r="Q44" i="1" s="1"/>
  <c r="L44" i="1" s="1"/>
  <c r="P44" i="1" s="1"/>
  <c r="DK42" i="1" l="1"/>
  <c r="Q42" i="1" s="1"/>
  <c r="L42" i="1" s="1"/>
  <c r="P42" i="1" s="1"/>
  <c r="DK43" i="1"/>
  <c r="Q43" i="1" s="1"/>
  <c r="L43" i="1" s="1"/>
  <c r="P43" i="1" s="1"/>
  <c r="DK40" i="1" l="1"/>
  <c r="Q40" i="1" s="1"/>
  <c r="L40" i="1" s="1"/>
  <c r="P40" i="1" s="1"/>
  <c r="DK39" i="1"/>
  <c r="Q39" i="1" s="1"/>
  <c r="L39" i="1" s="1"/>
  <c r="P39" i="1" s="1"/>
  <c r="DK37" i="1" l="1"/>
  <c r="Q37" i="1" s="1"/>
  <c r="L37" i="1" s="1"/>
  <c r="P37" i="1" s="1"/>
  <c r="DK38" i="1"/>
  <c r="Q38" i="1" s="1"/>
  <c r="L38" i="1" s="1"/>
  <c r="P38" i="1" s="1"/>
  <c r="DK36" i="1" l="1"/>
  <c r="Q36" i="1" s="1"/>
  <c r="L36" i="1" s="1"/>
  <c r="P36" i="1" s="1"/>
  <c r="DK35" i="1"/>
  <c r="Q35" i="1" s="1"/>
  <c r="L35" i="1" s="1"/>
  <c r="P35" i="1" s="1"/>
  <c r="DK7" i="1" l="1"/>
  <c r="Q7" i="1" s="1"/>
  <c r="L7" i="1" s="1"/>
  <c r="P7" i="1" s="1"/>
  <c r="DK34" i="1"/>
  <c r="Q34" i="1" s="1"/>
  <c r="L34" i="1" s="1"/>
  <c r="P34" i="1" s="1"/>
  <c r="Q4" i="1" l="1"/>
  <c r="L4" i="1" s="1"/>
  <c r="P4" i="1" s="1"/>
  <c r="DK6" i="1"/>
  <c r="Q6" i="1" s="1"/>
  <c r="L6" i="1" s="1"/>
  <c r="P6" i="1" s="1"/>
  <c r="DK5" i="1"/>
  <c r="Q5" i="1" s="1"/>
  <c r="L5" i="1" s="1"/>
  <c r="P5" i="1" s="1"/>
  <c r="DK1" i="1" l="1"/>
  <c r="Q3" i="1"/>
  <c r="L3" i="1" l="1"/>
  <c r="Q1" i="1"/>
  <c r="B6" i="3" s="1"/>
  <c r="B7" i="3" l="1"/>
  <c r="B14" i="3" s="1"/>
  <c r="P3" i="1"/>
  <c r="P1" i="1" s="1"/>
  <c r="L1" i="1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tc={273DF534-9ED9-4890-851B-207FF725F2A7}</author>
    <author>tc={D0B7F87B-FD96-4FA6-8DA8-896C538BBE99}</author>
    <author>tc={356725F7-CDC0-4A68-A90D-4031BDDA5FD5}</author>
    <author>tc={A6EB55DB-0EEB-471C-A3B0-0FA903274E3A}</author>
    <author>tc={E62B2972-278F-40FA-832A-279AF172D424}</author>
    <author>tc={C4C46B44-4AFA-48D8-AF01-FE745B780066}</author>
    <author>tc={D3739AF3-9C13-4B34-912D-20E7EB12D3BC}</author>
    <author>tc={39330EFD-6468-4A57-AC26-B687B1092A8A}</author>
    <author>tc={9D875C9B-277A-4ED6-B708-377CB0A8ADAB}</author>
    <author>tc={0AEA8E6D-5CF8-4F7A-BE9F-F4D0325E000D}</author>
    <author>tc={019EB406-C68D-45E5-A1BC-541ECF1303CA}</author>
    <author>tc={3D2154BE-4DFF-4D0E-B381-A06211D07007}</author>
    <author>tc={F7871502-0C02-4391-8CE2-1C6BFD47B8B2}</author>
  </authors>
  <commentList>
    <comment ref="R384" authorId="0" shapeId="0" xr:uid="{273DF534-9ED9-4890-851B-207FF725F2A7}">
      <text>
        <t>[Threaded comment]
Your version of Excel allows you to read this threaded comment; however, any edits to it will get removed if the file is opened in a newer version of Excel. Learn more: https://go.microsoft.com/fwlink/?linkid=870924
Comment:
    42802 deducted from farmer payment in 05-11 July 24</t>
      </text>
    </comment>
    <comment ref="R754" authorId="1" shapeId="0" xr:uid="{D0B7F87B-FD96-4FA6-8DA8-896C538BBE99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Direct Shifted to Kradex</t>
      </text>
    </comment>
    <comment ref="O798" authorId="2" shapeId="0" xr:uid="{356725F7-CDC0-4A68-A90D-4031BDDA5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 K issued to Ali Hasan Ansari on 18/7/24 and same returned by them</t>
      </text>
    </comment>
    <comment ref="M814" authorId="3" shapeId="0" xr:uid="{A6EB55DB-0EEB-471C-A3B0-0FA90327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5" authorId="4" shapeId="0" xr:uid="{E62B2972-278F-40FA-832A-279AF172D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16" authorId="5" shapeId="0" xr:uid="{C4C46B44-4AFA-48D8-AF01-FE745B78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on Behalf of ITC and cleared</t>
      </text>
    </comment>
    <comment ref="M828" authorId="6" shapeId="0" xr:uid="{D3739AF3-9C13-4B34-912D-20E7EB12D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Rs 5400/- after deducteion of Rs 9600/- against deduction of 3 Cans</t>
      </text>
    </comment>
    <comment ref="M846" authorId="7" shapeId="0" xr:uid="{39330EFD-6468-4A57-AC26-B687B1092A8A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Supervisor</t>
      </text>
    </comment>
    <comment ref="M847" authorId="8" shapeId="0" xr:uid="{9D875C9B-277A-4ED6-B708-377CB0A8ADA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Goes to Dhirendra Shama</t>
      </text>
    </comment>
    <comment ref="M872" authorId="9" shapeId="0" xr:uid="{0AEA8E6D-5CF8-4F7A-BE9F-F4D0325E0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Rs 20000 Cheque issued on 30th March and cancilled</t>
      </text>
    </comment>
    <comment ref="N955" authorId="10" shapeId="0" xr:uid="{019EB406-C68D-45E5-A1BC-541ECF1303CA}">
      <text>
        <t>[Threaded comment]
Your version of Excel allows you to read this threaded comment; however, any edits to it will get removed if the file is opened in a newer version of Excel. Learn more: https://go.microsoft.com/fwlink/?linkid=870924
Comment:
    25 May 2023</t>
      </text>
    </comment>
    <comment ref="N958" authorId="11" shapeId="0" xr:uid="{3D2154BE-4DFF-4D0E-B381-A06211D0700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Payment Made 20/05/23</t>
      </text>
    </comment>
    <comment ref="N982" authorId="12" shapeId="0" xr:uid="{F7871502-0C02-4391-8CE2-1C6BFD47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09 Nov 23</t>
      </text>
    </comment>
  </commentList>
</comments>
</file>

<file path=xl/sharedStrings.xml><?xml version="1.0" encoding="utf-8"?>
<sst xmlns="http://schemas.openxmlformats.org/spreadsheetml/2006/main" count="7369" uniqueCount="3605">
  <si>
    <t>Owner</t>
  </si>
  <si>
    <t>MPG Code New</t>
  </si>
  <si>
    <t>MPG Name</t>
  </si>
  <si>
    <t>BMC</t>
  </si>
  <si>
    <t>Issue Date</t>
  </si>
  <si>
    <t>AMCU No</t>
  </si>
  <si>
    <t>Centre Status</t>
  </si>
  <si>
    <t>Assets Value</t>
  </si>
  <si>
    <t>Total Deduction</t>
  </si>
  <si>
    <t>Amount Returned</t>
  </si>
  <si>
    <t>Returned Date</t>
  </si>
  <si>
    <t>Recoverable Value</t>
  </si>
  <si>
    <t>EMI</t>
  </si>
  <si>
    <t>SD</t>
  </si>
  <si>
    <t>UTR/UPI</t>
  </si>
  <si>
    <t>Down Payment Date</t>
  </si>
  <si>
    <t>Old Deposit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</si>
  <si>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</si>
  <si>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</si>
  <si>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</si>
  <si>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</si>
  <si>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</si>
  <si>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</si>
  <si>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</si>
  <si>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</si>
  <si>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</si>
  <si>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</si>
  <si>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</si>
  <si>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</si>
  <si>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FY 22-23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</si>
  <si>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</si>
  <si>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</si>
  <si>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</si>
  <si>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</si>
  <si>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</si>
  <si>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</si>
  <si>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</si>
  <si>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</si>
  <si>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</si>
  <si>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</si>
  <si>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</si>
  <si>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</si>
  <si>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FY 23-24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</si>
  <si>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</si>
  <si>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</si>
  <si>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</si>
  <si>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</si>
  <si>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</si>
  <si>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</si>
  <si>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</si>
  <si>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</si>
  <si>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</si>
  <si>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</si>
  <si>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</si>
  <si>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</si>
  <si>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FY 24-25</t>
  </si>
  <si>
    <t>01170</t>
  </si>
  <si>
    <t>Halsi</t>
  </si>
  <si>
    <t>Active</t>
  </si>
  <si>
    <t>01186</t>
  </si>
  <si>
    <t>1187</t>
  </si>
  <si>
    <t>10020017</t>
  </si>
  <si>
    <t>Gomukh Ramchanderpur 2</t>
  </si>
  <si>
    <t>Laldiyara</t>
  </si>
  <si>
    <t>208683739594</t>
  </si>
  <si>
    <t>9719</t>
  </si>
  <si>
    <t>10110008</t>
  </si>
  <si>
    <t>Gomukh  Rahimpur</t>
  </si>
  <si>
    <t>209212563018</t>
  </si>
  <si>
    <t>9736</t>
  </si>
  <si>
    <t>10110013</t>
  </si>
  <si>
    <t>Gomukh Mohanpur</t>
  </si>
  <si>
    <t>209236129323</t>
  </si>
  <si>
    <t>9508</t>
  </si>
  <si>
    <t>10430001</t>
  </si>
  <si>
    <t>Gomukh Bariyarpur</t>
  </si>
  <si>
    <t>209784278518</t>
  </si>
  <si>
    <t>9521</t>
  </si>
  <si>
    <t>10110005</t>
  </si>
  <si>
    <t>NAYAGAW</t>
  </si>
  <si>
    <t>9502</t>
  </si>
  <si>
    <t>10110001</t>
  </si>
  <si>
    <t>Gomukh Mahendrapur</t>
  </si>
  <si>
    <t>2408</t>
  </si>
  <si>
    <t>Dumri</t>
  </si>
  <si>
    <t>Dumraon</t>
  </si>
  <si>
    <t>208550904942</t>
  </si>
  <si>
    <t>1284</t>
  </si>
  <si>
    <t>10060058</t>
  </si>
  <si>
    <t>Hussaina</t>
  </si>
  <si>
    <t>Cash</t>
  </si>
  <si>
    <t>2401</t>
  </si>
  <si>
    <t>10140001</t>
  </si>
  <si>
    <t>Dumri Purvi Tola</t>
  </si>
  <si>
    <t>208666614314</t>
  </si>
  <si>
    <t>2452</t>
  </si>
  <si>
    <t>10140035</t>
  </si>
  <si>
    <t>Harikisunpur</t>
  </si>
  <si>
    <t>300712780760</t>
  </si>
  <si>
    <t>2404</t>
  </si>
  <si>
    <t>10140002</t>
  </si>
  <si>
    <t>Simri</t>
  </si>
  <si>
    <t>208752936942</t>
  </si>
  <si>
    <t>2403</t>
  </si>
  <si>
    <t>10140009</t>
  </si>
  <si>
    <t>HITAN PARARI</t>
  </si>
  <si>
    <t>208913006605</t>
  </si>
  <si>
    <t>2402</t>
  </si>
  <si>
    <t>Dullahpur 1</t>
  </si>
  <si>
    <t>209088794945</t>
  </si>
  <si>
    <t>2407</t>
  </si>
  <si>
    <t>10140003</t>
  </si>
  <si>
    <t>Sahiyar</t>
  </si>
  <si>
    <t>209066920895</t>
  </si>
  <si>
    <t>2418</t>
  </si>
  <si>
    <t>10140006</t>
  </si>
  <si>
    <t>Ekauna</t>
  </si>
  <si>
    <t>209401602985</t>
  </si>
  <si>
    <t>2413</t>
  </si>
  <si>
    <t>10140005</t>
  </si>
  <si>
    <t>Nidhua</t>
  </si>
  <si>
    <t>209510373994</t>
  </si>
  <si>
    <t>2416</t>
  </si>
  <si>
    <t>10140012</t>
  </si>
  <si>
    <t>Gangauli</t>
  </si>
  <si>
    <t>209511765041</t>
  </si>
  <si>
    <t>9154</t>
  </si>
  <si>
    <t>Gomukh Ramdiri Tola Ramnagar</t>
  </si>
  <si>
    <t>2412</t>
  </si>
  <si>
    <t>Gomukh Manikpur</t>
  </si>
  <si>
    <t>209882768453</t>
  </si>
  <si>
    <t>2419</t>
  </si>
  <si>
    <t>10140007</t>
  </si>
  <si>
    <t>ENGLISH DUBAULI</t>
  </si>
  <si>
    <t>PUNBH22098518261</t>
  </si>
  <si>
    <t>2415</t>
  </si>
  <si>
    <t>10140008</t>
  </si>
  <si>
    <t>Ramo Bariya</t>
  </si>
  <si>
    <t>209814115322</t>
  </si>
  <si>
    <t>2417</t>
  </si>
  <si>
    <t>10140014</t>
  </si>
  <si>
    <t>Boxa</t>
  </si>
  <si>
    <t>PUNBF22094028284</t>
  </si>
  <si>
    <t>0315</t>
  </si>
  <si>
    <t>10120003</t>
  </si>
  <si>
    <t>Vrindavan</t>
  </si>
  <si>
    <t>2409</t>
  </si>
  <si>
    <t>10140004</t>
  </si>
  <si>
    <t>Majhwari</t>
  </si>
  <si>
    <t>211573463930</t>
  </si>
  <si>
    <t>2411</t>
  </si>
  <si>
    <t>10510002</t>
  </si>
  <si>
    <t>Diyaman</t>
  </si>
  <si>
    <t>209954694509</t>
  </si>
  <si>
    <t>2423</t>
  </si>
  <si>
    <t>10140010</t>
  </si>
  <si>
    <t>ARIAON</t>
  </si>
  <si>
    <t>211116442724</t>
  </si>
  <si>
    <t>2421</t>
  </si>
  <si>
    <t>10140011</t>
  </si>
  <si>
    <t>DULLAHPUR2</t>
  </si>
  <si>
    <t>4896693057</t>
  </si>
  <si>
    <t>2058</t>
  </si>
  <si>
    <t>10120046</t>
  </si>
  <si>
    <t>Ghato</t>
  </si>
  <si>
    <t>3.20689E+11</t>
  </si>
  <si>
    <t>2422</t>
  </si>
  <si>
    <t>10140013</t>
  </si>
  <si>
    <t>MATHURA DERA</t>
  </si>
  <si>
    <t>211173434713</t>
  </si>
  <si>
    <t>2434</t>
  </si>
  <si>
    <t>10140018</t>
  </si>
  <si>
    <t>NANDAN</t>
  </si>
  <si>
    <t>217313658607</t>
  </si>
  <si>
    <t>2111</t>
  </si>
  <si>
    <t>10120016</t>
  </si>
  <si>
    <t>Narhan (2111)</t>
  </si>
  <si>
    <t>Dalsinghsarai</t>
  </si>
  <si>
    <t>2428</t>
  </si>
  <si>
    <t>10510001</t>
  </si>
  <si>
    <t>Arak</t>
  </si>
  <si>
    <t>213643922652</t>
  </si>
  <si>
    <t>2083</t>
  </si>
  <si>
    <t>10120069</t>
  </si>
  <si>
    <t>Samsipiur</t>
  </si>
  <si>
    <t>4.3691E+11</t>
  </si>
  <si>
    <t>2429</t>
  </si>
  <si>
    <t>10140019</t>
  </si>
  <si>
    <t>GURUDEVNGAR</t>
  </si>
  <si>
    <t>213834443660</t>
  </si>
  <si>
    <t>2433</t>
  </si>
  <si>
    <t>10510003</t>
  </si>
  <si>
    <t>KATHAR</t>
  </si>
  <si>
    <t>216357387649</t>
  </si>
  <si>
    <t>2430</t>
  </si>
  <si>
    <t>10140015</t>
  </si>
  <si>
    <t>BHATWALIA</t>
  </si>
  <si>
    <t>BARBT22154303347</t>
  </si>
  <si>
    <t>1749</t>
  </si>
  <si>
    <t>10120019</t>
  </si>
  <si>
    <t>Bhusari</t>
  </si>
  <si>
    <t>10010073</t>
  </si>
  <si>
    <t>Gomukh Haiwatpur</t>
  </si>
  <si>
    <t>Manjhaul</t>
  </si>
  <si>
    <t>10140101</t>
  </si>
  <si>
    <t>Nirbhar Agro Farmers Producer Com.Ltd</t>
  </si>
  <si>
    <t>2512</t>
  </si>
  <si>
    <t>Gomukh mathila</t>
  </si>
  <si>
    <t>10140099</t>
  </si>
  <si>
    <t>Gomukh Dhakaich</t>
  </si>
  <si>
    <t>1311</t>
  </si>
  <si>
    <t>Gomukh Basaon</t>
  </si>
  <si>
    <t>Gomukh Dudhpura</t>
  </si>
  <si>
    <t>10010074</t>
  </si>
  <si>
    <t>Gomukh Meghaul</t>
  </si>
  <si>
    <t>10110076</t>
  </si>
  <si>
    <t>Gomukh Sri Nagar</t>
  </si>
  <si>
    <t>Sahebpur Kamal</t>
  </si>
  <si>
    <t>10140100</t>
  </si>
  <si>
    <t>Gomukh Bicchu ka Dera</t>
  </si>
  <si>
    <t>10140111</t>
  </si>
  <si>
    <t>GOMUKH BARUHAN</t>
  </si>
  <si>
    <t>10140112</t>
  </si>
  <si>
    <t>GOMUKH KURUTHIYA</t>
  </si>
  <si>
    <t>10120071</t>
  </si>
  <si>
    <t>Suratpur</t>
  </si>
  <si>
    <t>10120072</t>
  </si>
  <si>
    <t>Ballochak</t>
  </si>
  <si>
    <t>10120073</t>
  </si>
  <si>
    <t>Bangaraha</t>
  </si>
  <si>
    <t>10110078</t>
  </si>
  <si>
    <t>GOMUKH THATHA</t>
  </si>
  <si>
    <t>10110079</t>
  </si>
  <si>
    <t>GOMUKH GARHIYA</t>
  </si>
  <si>
    <t>10140108</t>
  </si>
  <si>
    <t>Gomukh Mathila Ka dera</t>
  </si>
  <si>
    <t>10480016</t>
  </si>
  <si>
    <t>Gomukh Lauwalagam</t>
  </si>
  <si>
    <t>10010075</t>
  </si>
  <si>
    <t>10140098</t>
  </si>
  <si>
    <t>Kulharia Agriculture Producer Company Limited</t>
  </si>
  <si>
    <t>2435</t>
  </si>
  <si>
    <t>10140022</t>
  </si>
  <si>
    <t>HEMDAPUR</t>
  </si>
  <si>
    <t>219644292969</t>
  </si>
  <si>
    <t>2436</t>
  </si>
  <si>
    <t>10140020</t>
  </si>
  <si>
    <t>RAJAPUR</t>
  </si>
  <si>
    <t>219626182618</t>
  </si>
  <si>
    <t>2438</t>
  </si>
  <si>
    <t>10140024</t>
  </si>
  <si>
    <t>MAHADAH</t>
  </si>
  <si>
    <t>220260914404</t>
  </si>
  <si>
    <t>2437</t>
  </si>
  <si>
    <t>10140023</t>
  </si>
  <si>
    <t>BALIHAR</t>
  </si>
  <si>
    <t>220944961790</t>
  </si>
  <si>
    <t>1190</t>
  </si>
  <si>
    <t>10090022</t>
  </si>
  <si>
    <t>BISANPUR</t>
  </si>
  <si>
    <t>18-04-2022</t>
  </si>
  <si>
    <t>208466299081</t>
  </si>
  <si>
    <t>9737</t>
  </si>
  <si>
    <t>Gomukh Laldiyara</t>
  </si>
  <si>
    <t>21-04-2022</t>
  </si>
  <si>
    <t>210092262330</t>
  </si>
  <si>
    <t>9742</t>
  </si>
  <si>
    <t>10110014</t>
  </si>
  <si>
    <t>Gomukh Raghunathpur</t>
  </si>
  <si>
    <t>29-04-2022</t>
  </si>
  <si>
    <t>Deposited cash</t>
  </si>
  <si>
    <t>9510</t>
  </si>
  <si>
    <t>10440001</t>
  </si>
  <si>
    <t>Gomukh Sadananpur</t>
  </si>
  <si>
    <t>NEFT UTR-UCBAH22103152399</t>
  </si>
  <si>
    <t>9748</t>
  </si>
  <si>
    <t>Gomukh Manserpur</t>
  </si>
  <si>
    <t>214055140657</t>
  </si>
  <si>
    <t>9732</t>
  </si>
  <si>
    <t>Gomukh Sahdeopur</t>
  </si>
  <si>
    <t>Transfer</t>
  </si>
  <si>
    <t>9532</t>
  </si>
  <si>
    <t>GOMUKH BISANPUR</t>
  </si>
  <si>
    <t>210450502734</t>
  </si>
  <si>
    <t>9741</t>
  </si>
  <si>
    <t>Gomukh Rahatpur</t>
  </si>
  <si>
    <t>210508561974</t>
  </si>
  <si>
    <t>9503</t>
  </si>
  <si>
    <t>10110002</t>
  </si>
  <si>
    <t>Gomukh Balahpur</t>
  </si>
  <si>
    <t>210563109419</t>
  </si>
  <si>
    <t>9512</t>
  </si>
  <si>
    <t>10110003</t>
  </si>
  <si>
    <t>Gomukh Bhairwar</t>
  </si>
  <si>
    <t>210547625195</t>
  </si>
  <si>
    <t>9146</t>
  </si>
  <si>
    <t>GomukhBihat</t>
  </si>
  <si>
    <t>Teghra</t>
  </si>
  <si>
    <t>211305947349,2112003898178</t>
  </si>
  <si>
    <t>2048</t>
  </si>
  <si>
    <t>Dashara</t>
  </si>
  <si>
    <t>309450054388</t>
  </si>
  <si>
    <t>9744</t>
  </si>
  <si>
    <t>10110015</t>
  </si>
  <si>
    <t>GomukhChhitraur</t>
  </si>
  <si>
    <t>211347141454</t>
  </si>
  <si>
    <t>9745</t>
  </si>
  <si>
    <t>10110016</t>
  </si>
  <si>
    <t>GomukhKhorampur Chakaur</t>
  </si>
  <si>
    <t>neft from SBI</t>
  </si>
  <si>
    <t>9147</t>
  </si>
  <si>
    <t>10080015</t>
  </si>
  <si>
    <t>GomukhBariyahi Chanan</t>
  </si>
  <si>
    <t>211527221266,212507225614</t>
  </si>
  <si>
    <t>9746</t>
  </si>
  <si>
    <t>KASIMPUR</t>
  </si>
  <si>
    <t>IMPS 211710510993</t>
  </si>
  <si>
    <t>9128</t>
  </si>
  <si>
    <t>GOMUKH BHARAUL</t>
  </si>
  <si>
    <t>211733376471</t>
  </si>
  <si>
    <t>1196</t>
  </si>
  <si>
    <t>10020021</t>
  </si>
  <si>
    <t>Mohanpur</t>
  </si>
  <si>
    <t>211685906192/211656510923</t>
  </si>
  <si>
    <t>1197</t>
  </si>
  <si>
    <t>10020022</t>
  </si>
  <si>
    <t>Gomukh Dariyapur</t>
  </si>
  <si>
    <t>213012119320</t>
  </si>
  <si>
    <t>1194</t>
  </si>
  <si>
    <t>10060022</t>
  </si>
  <si>
    <t>Farda Ravi tola</t>
  </si>
  <si>
    <t>211265894531</t>
  </si>
  <si>
    <t>2104</t>
  </si>
  <si>
    <t>Akdara</t>
  </si>
  <si>
    <t>1916</t>
  </si>
  <si>
    <t>9435</t>
  </si>
  <si>
    <t>Bagraha</t>
  </si>
  <si>
    <t>331410240529</t>
  </si>
  <si>
    <t>1195</t>
  </si>
  <si>
    <t>10060023</t>
  </si>
  <si>
    <t>Gomukh Puranidih 2</t>
  </si>
  <si>
    <t>210111093627</t>
  </si>
  <si>
    <t>0377</t>
  </si>
  <si>
    <t>10130018</t>
  </si>
  <si>
    <t>Harsingpur</t>
  </si>
  <si>
    <t>14-05-2022</t>
  </si>
  <si>
    <t>209512062169</t>
  </si>
  <si>
    <t>1919</t>
  </si>
  <si>
    <t>Dharmpur Bande</t>
  </si>
  <si>
    <t>Harpur Belwa</t>
  </si>
  <si>
    <t>210920497418</t>
  </si>
  <si>
    <t>1920</t>
  </si>
  <si>
    <t>10130019</t>
  </si>
  <si>
    <t>Chandsarai</t>
  </si>
  <si>
    <t>211332993719</t>
  </si>
  <si>
    <t>0381</t>
  </si>
  <si>
    <t>10120029</t>
  </si>
  <si>
    <t>RAMNATHPUR</t>
  </si>
  <si>
    <t>19-06-2022</t>
  </si>
  <si>
    <t>213911425091</t>
  </si>
  <si>
    <t>0303</t>
  </si>
  <si>
    <t>10130001</t>
  </si>
  <si>
    <t>Basadhiya</t>
  </si>
  <si>
    <t>1755</t>
  </si>
  <si>
    <t>10120031</t>
  </si>
  <si>
    <t>DESUA</t>
  </si>
  <si>
    <t>20-09-2022</t>
  </si>
  <si>
    <t>224195861912</t>
  </si>
  <si>
    <t>1924</t>
  </si>
  <si>
    <t>10130022</t>
  </si>
  <si>
    <t>SAMASPURA</t>
  </si>
  <si>
    <t>NA</t>
  </si>
  <si>
    <t>214313045154</t>
  </si>
  <si>
    <t>1926</t>
  </si>
  <si>
    <t>10130025</t>
  </si>
  <si>
    <t>MURTUJAPUR</t>
  </si>
  <si>
    <t>216418034521</t>
  </si>
  <si>
    <t>0380</t>
  </si>
  <si>
    <t>HARSINGPUR KOTHI</t>
  </si>
  <si>
    <t>215551827753</t>
  </si>
  <si>
    <t>0384</t>
  </si>
  <si>
    <t>10120030</t>
  </si>
  <si>
    <t>KEWAS JAGIR</t>
  </si>
  <si>
    <t>T2206101353109722840069</t>
  </si>
  <si>
    <t>1927</t>
  </si>
  <si>
    <t>10130024</t>
  </si>
  <si>
    <t>HARPUR</t>
  </si>
  <si>
    <t>217210141647</t>
  </si>
  <si>
    <t>1754</t>
  </si>
  <si>
    <t>10130023</t>
  </si>
  <si>
    <t>SIRDILPUR</t>
  </si>
  <si>
    <t>221194527489</t>
  </si>
  <si>
    <t>9747</t>
  </si>
  <si>
    <t>10110019</t>
  </si>
  <si>
    <t>Samastipur</t>
  </si>
  <si>
    <t>24-06-2022</t>
  </si>
  <si>
    <t>212909067434,213207702856</t>
  </si>
  <si>
    <t>9149</t>
  </si>
  <si>
    <t>Gomukh Bachhwara</t>
  </si>
  <si>
    <t>215916771272</t>
  </si>
  <si>
    <t>9753</t>
  </si>
  <si>
    <t>Gomukh Nayagawn Balhapur2</t>
  </si>
  <si>
    <t>through HDFC</t>
  </si>
  <si>
    <t>9754</t>
  </si>
  <si>
    <t>Gomukh Minapur</t>
  </si>
  <si>
    <t>214309436359</t>
  </si>
  <si>
    <t>9750</t>
  </si>
  <si>
    <t>10110021</t>
  </si>
  <si>
    <t>Gomukh Mathar Diyara</t>
  </si>
  <si>
    <t>214338953033</t>
  </si>
  <si>
    <t>9755</t>
  </si>
  <si>
    <t>Gomukh Sihma Barari</t>
  </si>
  <si>
    <t>214375473401</t>
  </si>
  <si>
    <t>9751</t>
  </si>
  <si>
    <t>10110020</t>
  </si>
  <si>
    <t>Gomukh Bharkhandi Tola</t>
  </si>
  <si>
    <t>214417968953</t>
  </si>
  <si>
    <t>9752</t>
  </si>
  <si>
    <t>Gomukh Kharhat</t>
  </si>
  <si>
    <t>214424460875,215511738266</t>
  </si>
  <si>
    <t>9756</t>
  </si>
  <si>
    <t>10110017</t>
  </si>
  <si>
    <t>Gomukh Jalapur Chhitraur</t>
  </si>
  <si>
    <t>214756916328</t>
  </si>
  <si>
    <t>1033</t>
  </si>
  <si>
    <t>10020004</t>
  </si>
  <si>
    <t>LAL DIYARA I</t>
  </si>
  <si>
    <t>21-06-2022</t>
  </si>
  <si>
    <t>2.14233E+11</t>
  </si>
  <si>
    <t>0092</t>
  </si>
  <si>
    <t>10020002</t>
  </si>
  <si>
    <t>PIPARIYA DIH II</t>
  </si>
  <si>
    <t>2.14252E+11</t>
  </si>
  <si>
    <t>1198</t>
  </si>
  <si>
    <t>10090023</t>
  </si>
  <si>
    <t>TETARHAT</t>
  </si>
  <si>
    <t>215228661736</t>
  </si>
  <si>
    <t>1202</t>
  </si>
  <si>
    <t>10020024</t>
  </si>
  <si>
    <t>Morwariya</t>
  </si>
  <si>
    <t>219924699526</t>
  </si>
  <si>
    <t>1201</t>
  </si>
  <si>
    <t>10020023</t>
  </si>
  <si>
    <t>Juwas</t>
  </si>
  <si>
    <t>22-07-2022</t>
  </si>
  <si>
    <t>219271753564</t>
  </si>
  <si>
    <t>9151</t>
  </si>
  <si>
    <t>10080018</t>
  </si>
  <si>
    <t>Gomukh Jagatpura</t>
  </si>
  <si>
    <t>Patm</t>
  </si>
  <si>
    <t>9724</t>
  </si>
  <si>
    <t>Gomukh Masudanpur</t>
  </si>
  <si>
    <t>30-07-2022</t>
  </si>
  <si>
    <t>219979571898</t>
  </si>
  <si>
    <t>9761</t>
  </si>
  <si>
    <t>Gomukh Gokhale Nagar Bishanpur</t>
  </si>
  <si>
    <t>220017743615</t>
  </si>
  <si>
    <t>9519</t>
  </si>
  <si>
    <t>10110004</t>
  </si>
  <si>
    <t>Gomukh Danauli</t>
  </si>
  <si>
    <t>220286907130</t>
  </si>
  <si>
    <t>9759</t>
  </si>
  <si>
    <t>10110022</t>
  </si>
  <si>
    <t>Gomukh Mathar Sukhdev babu tola</t>
  </si>
  <si>
    <t>220206717164</t>
  </si>
  <si>
    <t>9760</t>
  </si>
  <si>
    <t>10110046</t>
  </si>
  <si>
    <t>Gomukh English tola</t>
  </si>
  <si>
    <t>220411859198</t>
  </si>
  <si>
    <t>9763</t>
  </si>
  <si>
    <t>10110035</t>
  </si>
  <si>
    <t>21-01-2023</t>
  </si>
  <si>
    <t>223274057065</t>
  </si>
  <si>
    <t>9766</t>
  </si>
  <si>
    <t>10110024</t>
  </si>
  <si>
    <t>Gomukh Pachrukhi</t>
  </si>
  <si>
    <t>224634497452</t>
  </si>
  <si>
    <t>9511</t>
  </si>
  <si>
    <t>10450001</t>
  </si>
  <si>
    <t>BHADAPUR</t>
  </si>
  <si>
    <t>220906202186</t>
  </si>
  <si>
    <t>1209</t>
  </si>
  <si>
    <t>10020027</t>
  </si>
  <si>
    <t>Gomukh Repura</t>
  </si>
  <si>
    <t>231031710005</t>
  </si>
  <si>
    <t>1210</t>
  </si>
  <si>
    <t>10020030</t>
  </si>
  <si>
    <t>Gomukh Janpur</t>
  </si>
  <si>
    <t>229454422311</t>
  </si>
  <si>
    <t>1208</t>
  </si>
  <si>
    <t>10020026</t>
  </si>
  <si>
    <t>Gomukh Jhakhaur</t>
  </si>
  <si>
    <t>231044253795</t>
  </si>
  <si>
    <t>1211</t>
  </si>
  <si>
    <t>10020029</t>
  </si>
  <si>
    <t>Gomukh Virupur</t>
  </si>
  <si>
    <t>231022629106</t>
  </si>
  <si>
    <t>1204</t>
  </si>
  <si>
    <t>10060025</t>
  </si>
  <si>
    <t>Gomukh Pokhrama</t>
  </si>
  <si>
    <t>221448981186</t>
  </si>
  <si>
    <t>2446</t>
  </si>
  <si>
    <t>10140030</t>
  </si>
  <si>
    <t>Harnaha</t>
  </si>
  <si>
    <t>230836104949</t>
  </si>
  <si>
    <t>1207</t>
  </si>
  <si>
    <t>10020025</t>
  </si>
  <si>
    <t>Dumri 2</t>
  </si>
  <si>
    <t>229026352825</t>
  </si>
  <si>
    <t>1205</t>
  </si>
  <si>
    <t>10060026</t>
  </si>
  <si>
    <t>Gomukh Arma</t>
  </si>
  <si>
    <t>226956465864</t>
  </si>
  <si>
    <t>1216</t>
  </si>
  <si>
    <t>10020031</t>
  </si>
  <si>
    <t>Gomukh Turkaijani</t>
  </si>
  <si>
    <t>227034945279</t>
  </si>
  <si>
    <t>1217</t>
  </si>
  <si>
    <t>10090037</t>
  </si>
  <si>
    <t>Dhira</t>
  </si>
  <si>
    <t>IMPS-220911112157</t>
  </si>
  <si>
    <t>1206</t>
  </si>
  <si>
    <t>10060027</t>
  </si>
  <si>
    <t>Singhchak</t>
  </si>
  <si>
    <t>231363112596</t>
  </si>
  <si>
    <t>1212</t>
  </si>
  <si>
    <t>10020032</t>
  </si>
  <si>
    <t>Gomukh Diyarapipariya</t>
  </si>
  <si>
    <t>228747398265</t>
  </si>
  <si>
    <t>2441</t>
  </si>
  <si>
    <t>Kulhariya</t>
  </si>
  <si>
    <t>223711551830</t>
  </si>
  <si>
    <t>7110</t>
  </si>
  <si>
    <t>Gomukh Lalganj</t>
  </si>
  <si>
    <t>228384311798</t>
  </si>
  <si>
    <t>7111</t>
  </si>
  <si>
    <t>10480008</t>
  </si>
  <si>
    <t>Gomukh Sarswati nagar Nakdahri</t>
  </si>
  <si>
    <t>228534446165</t>
  </si>
  <si>
    <t>8570</t>
  </si>
  <si>
    <t>10100002</t>
  </si>
  <si>
    <t>Kabela</t>
  </si>
  <si>
    <t>228538543090</t>
  </si>
  <si>
    <t>7109</t>
  </si>
  <si>
    <t>10480006</t>
  </si>
  <si>
    <t>Gomukh Raju mandal Tola</t>
  </si>
  <si>
    <t>2.28517E+11</t>
  </si>
  <si>
    <t>2431</t>
  </si>
  <si>
    <t>10140016</t>
  </si>
  <si>
    <t>CHHOTKI BASAULI</t>
  </si>
  <si>
    <t>216159488393</t>
  </si>
  <si>
    <t>2444</t>
  </si>
  <si>
    <t>10140028</t>
  </si>
  <si>
    <t>Samhar</t>
  </si>
  <si>
    <t>223888033491</t>
  </si>
  <si>
    <t>2445</t>
  </si>
  <si>
    <t>10140029</t>
  </si>
  <si>
    <t>Chilahri</t>
  </si>
  <si>
    <t>225558098567</t>
  </si>
  <si>
    <t>2447</t>
  </si>
  <si>
    <t>10140031</t>
  </si>
  <si>
    <t>Bhabhuar</t>
  </si>
  <si>
    <t>228215156595</t>
  </si>
  <si>
    <t>2439</t>
  </si>
  <si>
    <t>10140025</t>
  </si>
  <si>
    <t>BADKA SIHANPURA</t>
  </si>
  <si>
    <t>2440</t>
  </si>
  <si>
    <t>10140097</t>
  </si>
  <si>
    <t>ASHA PARARI</t>
  </si>
  <si>
    <t>221283657345</t>
  </si>
  <si>
    <t>2442</t>
  </si>
  <si>
    <t>10140027</t>
  </si>
  <si>
    <t>Chatursal Ganj</t>
  </si>
  <si>
    <t>223642698815/226985243965</t>
  </si>
  <si>
    <t>1214</t>
  </si>
  <si>
    <t>10020028</t>
  </si>
  <si>
    <t>Gomukh Nijampur</t>
  </si>
  <si>
    <t>228794762534</t>
  </si>
  <si>
    <t>1223</t>
  </si>
  <si>
    <t>GUNSAGAR</t>
  </si>
  <si>
    <t>232623199101</t>
  </si>
  <si>
    <t>5114</t>
  </si>
  <si>
    <t>10460003</t>
  </si>
  <si>
    <t>MAHESHI</t>
  </si>
  <si>
    <t>Asarganj</t>
  </si>
  <si>
    <t>19-01-2023</t>
  </si>
  <si>
    <t>232842899648</t>
  </si>
  <si>
    <t>5112</t>
  </si>
  <si>
    <t>10460002</t>
  </si>
  <si>
    <t>OLD TILAKPUR</t>
  </si>
  <si>
    <t>232854441011</t>
  </si>
  <si>
    <t>0320</t>
  </si>
  <si>
    <t>10120005</t>
  </si>
  <si>
    <t>Basadhiya Kurni (320)</t>
  </si>
  <si>
    <t>0390</t>
  </si>
  <si>
    <t>10120037</t>
  </si>
  <si>
    <t>Chantona</t>
  </si>
  <si>
    <t>232876308922</t>
  </si>
  <si>
    <t>2448</t>
  </si>
  <si>
    <t>10140034</t>
  </si>
  <si>
    <t>Chotka Sihanpura</t>
  </si>
  <si>
    <t>233102985674</t>
  </si>
  <si>
    <t>5110</t>
  </si>
  <si>
    <t>10030015</t>
  </si>
  <si>
    <t>kamatpur</t>
  </si>
  <si>
    <t>233351414541</t>
  </si>
  <si>
    <t>233332551136</t>
  </si>
  <si>
    <t>1224</t>
  </si>
  <si>
    <t>10090032</t>
  </si>
  <si>
    <t>DHARSANDA</t>
  </si>
  <si>
    <t>233316541778</t>
  </si>
  <si>
    <t>7107</t>
  </si>
  <si>
    <t>10480004</t>
  </si>
  <si>
    <t>Gomukh Uchit Marar Tola</t>
  </si>
  <si>
    <t>-233412102530</t>
  </si>
  <si>
    <t>9155</t>
  </si>
  <si>
    <t>10080022</t>
  </si>
  <si>
    <t>Gomukh Bhakatpur</t>
  </si>
  <si>
    <t>233413858361</t>
  </si>
  <si>
    <t>7108</t>
  </si>
  <si>
    <t>10480005</t>
  </si>
  <si>
    <t>Gomukh Vijay lalganj</t>
  </si>
  <si>
    <t>233427162341</t>
  </si>
  <si>
    <t>9768</t>
  </si>
  <si>
    <t>Diha</t>
  </si>
  <si>
    <t>0391</t>
  </si>
  <si>
    <t>10120033</t>
  </si>
  <si>
    <t>Mordiwa</t>
  </si>
  <si>
    <t>232982271726</t>
  </si>
  <si>
    <t>1213</t>
  </si>
  <si>
    <t>10020036</t>
  </si>
  <si>
    <t>2449</t>
  </si>
  <si>
    <t>10140032</t>
  </si>
  <si>
    <t>Chaugain</t>
  </si>
  <si>
    <t>233683564452</t>
  </si>
  <si>
    <t>2450</t>
  </si>
  <si>
    <t>10140033</t>
  </si>
  <si>
    <t>Akalupur</t>
  </si>
  <si>
    <t>233611423997</t>
  </si>
  <si>
    <t>9769</t>
  </si>
  <si>
    <t>10110028</t>
  </si>
  <si>
    <t>Sakhau</t>
  </si>
  <si>
    <t>234430775244</t>
  </si>
  <si>
    <t>0392</t>
  </si>
  <si>
    <t>10120036</t>
  </si>
  <si>
    <t>Bhagwanpur</t>
  </si>
  <si>
    <t>234459098259</t>
  </si>
  <si>
    <t>5109</t>
  </si>
  <si>
    <t>10030014</t>
  </si>
  <si>
    <t>Sarifa</t>
  </si>
  <si>
    <t>233794800659</t>
  </si>
  <si>
    <t>1225</t>
  </si>
  <si>
    <t>10020037</t>
  </si>
  <si>
    <t>JAITPUR</t>
  </si>
  <si>
    <t>30-01-2023</t>
  </si>
  <si>
    <t>1226</t>
  </si>
  <si>
    <t>10020035</t>
  </si>
  <si>
    <t>Pathua</t>
  </si>
  <si>
    <t>1228</t>
  </si>
  <si>
    <t>10060029</t>
  </si>
  <si>
    <t>PAWAY</t>
  </si>
  <si>
    <t>1227</t>
  </si>
  <si>
    <t>10020038</t>
  </si>
  <si>
    <t>LODIYA</t>
  </si>
  <si>
    <t>301125032512</t>
  </si>
  <si>
    <t>9771</t>
  </si>
  <si>
    <t>Bhagatpur</t>
  </si>
  <si>
    <t>301934573938</t>
  </si>
  <si>
    <t>9770</t>
  </si>
  <si>
    <t>10110027</t>
  </si>
  <si>
    <t>Matunagar</t>
  </si>
  <si>
    <t>236343767619</t>
  </si>
  <si>
    <t>9340</t>
  </si>
  <si>
    <t>Gomukh Bakhanda</t>
  </si>
  <si>
    <t>305272606557</t>
  </si>
  <si>
    <t>9343</t>
  </si>
  <si>
    <t>Gomukh Yogidih</t>
  </si>
  <si>
    <t>304384988651</t>
  </si>
  <si>
    <t>9341</t>
  </si>
  <si>
    <t>Gomukh Rajopur</t>
  </si>
  <si>
    <t>304351198204</t>
  </si>
  <si>
    <t>9346</t>
  </si>
  <si>
    <t>10010005</t>
  </si>
  <si>
    <t>Gomukh Sakra</t>
  </si>
  <si>
    <t>05391454858</t>
  </si>
  <si>
    <t>1235</t>
  </si>
  <si>
    <t>10060030</t>
  </si>
  <si>
    <t>Ramsir</t>
  </si>
  <si>
    <t>22-02-2023</t>
  </si>
  <si>
    <t>303808055920</t>
  </si>
  <si>
    <t>1236</t>
  </si>
  <si>
    <t>10020041</t>
  </si>
  <si>
    <t>Adarsh Laxmipur</t>
  </si>
  <si>
    <t>304597268485</t>
  </si>
  <si>
    <t>5115</t>
  </si>
  <si>
    <t>10030017</t>
  </si>
  <si>
    <t>RATNI</t>
  </si>
  <si>
    <t>28-02-2023</t>
  </si>
  <si>
    <t>304115288465</t>
  </si>
  <si>
    <t>5116</t>
  </si>
  <si>
    <t>10030018</t>
  </si>
  <si>
    <t>DHAPRI</t>
  </si>
  <si>
    <t>303258823417</t>
  </si>
  <si>
    <t>5117</t>
  </si>
  <si>
    <t>10030013</t>
  </si>
  <si>
    <t>LOHRA</t>
  </si>
  <si>
    <t>303567668114</t>
  </si>
  <si>
    <t>5118</t>
  </si>
  <si>
    <t>10030019</t>
  </si>
  <si>
    <t>KHARUI</t>
  </si>
  <si>
    <t>303521454205</t>
  </si>
  <si>
    <t>5120</t>
  </si>
  <si>
    <t>10030021</t>
  </si>
  <si>
    <t>KHAIRA</t>
  </si>
  <si>
    <t>303552375638</t>
  </si>
  <si>
    <t>5123</t>
  </si>
  <si>
    <t>10030023</t>
  </si>
  <si>
    <t>BISAI</t>
  </si>
  <si>
    <t>303757589015</t>
  </si>
  <si>
    <t>5121</t>
  </si>
  <si>
    <t>10030022</t>
  </si>
  <si>
    <t>Shiwa</t>
  </si>
  <si>
    <t>272926394843</t>
  </si>
  <si>
    <t>5124</t>
  </si>
  <si>
    <t>10030024</t>
  </si>
  <si>
    <t>BARHARA</t>
  </si>
  <si>
    <t>303758172199</t>
  </si>
  <si>
    <t>1232</t>
  </si>
  <si>
    <t>10090031</t>
  </si>
  <si>
    <t>Billo</t>
  </si>
  <si>
    <t>13-02-2023</t>
  </si>
  <si>
    <t>303009186528</t>
  </si>
  <si>
    <t>9774</t>
  </si>
  <si>
    <t>Gomukh Raghunathpur Karari</t>
  </si>
  <si>
    <t>25-02-2023</t>
  </si>
  <si>
    <t>305356016343</t>
  </si>
  <si>
    <t>9775</t>
  </si>
  <si>
    <t>10110071</t>
  </si>
  <si>
    <t>Gomukh Sadpur</t>
  </si>
  <si>
    <t>305346757394</t>
  </si>
  <si>
    <t>1233</t>
  </si>
  <si>
    <t>10020039</t>
  </si>
  <si>
    <t>UFFRAUL</t>
  </si>
  <si>
    <t>303294065144</t>
  </si>
  <si>
    <t>9772</t>
  </si>
  <si>
    <t>10110030</t>
  </si>
  <si>
    <t>Gomukh Miralipur harijan tola</t>
  </si>
  <si>
    <t>302144675771</t>
  </si>
  <si>
    <t>9156</t>
  </si>
  <si>
    <t xml:space="preserve">Gomukh Bihat
</t>
  </si>
  <si>
    <t>302174004544</t>
  </si>
  <si>
    <t>9157</t>
  </si>
  <si>
    <t>302307713368</t>
  </si>
  <si>
    <t>9158</t>
  </si>
  <si>
    <t>10080059</t>
  </si>
  <si>
    <t>Gomukh Ganga prasad</t>
  </si>
  <si>
    <t>302553859037</t>
  </si>
  <si>
    <t>9773</t>
  </si>
  <si>
    <t>10110047</t>
  </si>
  <si>
    <t>302734541483</t>
  </si>
  <si>
    <t>8573</t>
  </si>
  <si>
    <t>10100003</t>
  </si>
  <si>
    <t>Gomukh Madhawpur</t>
  </si>
  <si>
    <t>15-02-2023</t>
  </si>
  <si>
    <t>303332135691</t>
  </si>
  <si>
    <t>8574</t>
  </si>
  <si>
    <t>10100004</t>
  </si>
  <si>
    <t>Gomukh Muradpur</t>
  </si>
  <si>
    <t>304233982806</t>
  </si>
  <si>
    <t>0352</t>
  </si>
  <si>
    <t>10130006</t>
  </si>
  <si>
    <t>Andaha</t>
  </si>
  <si>
    <t>9159</t>
  </si>
  <si>
    <t>Gomukh Chandaur</t>
  </si>
  <si>
    <t>9160</t>
  </si>
  <si>
    <t>10080020</t>
  </si>
  <si>
    <t>Gomukh Handalpur</t>
  </si>
  <si>
    <t>302945269385</t>
  </si>
  <si>
    <t>7099</t>
  </si>
  <si>
    <t>10480001</t>
  </si>
  <si>
    <t>Parspur Kadwa</t>
  </si>
  <si>
    <t>1218</t>
  </si>
  <si>
    <t>10020034</t>
  </si>
  <si>
    <t>Tajpur</t>
  </si>
  <si>
    <t>233801675226</t>
  </si>
  <si>
    <t>1050</t>
  </si>
  <si>
    <t>10090002</t>
  </si>
  <si>
    <t>Aure</t>
  </si>
  <si>
    <t>234712794900</t>
  </si>
  <si>
    <t>Kumar</t>
  </si>
  <si>
    <t>228669335077</t>
  </si>
  <si>
    <t>1237</t>
  </si>
  <si>
    <t>10020043</t>
  </si>
  <si>
    <t>KARARI PIPARIYA II</t>
  </si>
  <si>
    <t>15-03-2023</t>
  </si>
  <si>
    <t>305704348653</t>
  </si>
  <si>
    <t>5138</t>
  </si>
  <si>
    <t>10030038</t>
  </si>
  <si>
    <t>DULHAR</t>
  </si>
  <si>
    <t>316179648740</t>
  </si>
  <si>
    <t>1257</t>
  </si>
  <si>
    <t>10060034</t>
  </si>
  <si>
    <t>Devnagar Gogri</t>
  </si>
  <si>
    <t>317905877414</t>
  </si>
  <si>
    <t>1256</t>
  </si>
  <si>
    <t>10060036</t>
  </si>
  <si>
    <t>Urain</t>
  </si>
  <si>
    <t>317973272882/358616663616</t>
  </si>
  <si>
    <t>1239</t>
  </si>
  <si>
    <t>10090033</t>
  </si>
  <si>
    <t>SAND MAAF II</t>
  </si>
  <si>
    <t>305138107657</t>
  </si>
  <si>
    <t>1238</t>
  </si>
  <si>
    <t>10020042</t>
  </si>
  <si>
    <t>BHANPUR</t>
  </si>
  <si>
    <t>306435570046</t>
  </si>
  <si>
    <t>9350</t>
  </si>
  <si>
    <t>Gomukh Baharbanni</t>
  </si>
  <si>
    <t>14-03-2023</t>
  </si>
  <si>
    <t>307495962985</t>
  </si>
  <si>
    <t>9161</t>
  </si>
  <si>
    <t>10080023</t>
  </si>
  <si>
    <t>Gomukh Ramdiri</t>
  </si>
  <si>
    <t>306380727114</t>
  </si>
  <si>
    <t>9351</t>
  </si>
  <si>
    <t>10010006</t>
  </si>
  <si>
    <t>Gomukh Ghanharpur</t>
  </si>
  <si>
    <t>5125</t>
  </si>
  <si>
    <t>10030025</t>
  </si>
  <si>
    <t>SAJUA-1</t>
  </si>
  <si>
    <t>23-03-2023</t>
  </si>
  <si>
    <t>305189791866</t>
  </si>
  <si>
    <t>5126</t>
  </si>
  <si>
    <t>10030026</t>
  </si>
  <si>
    <t>SAJUA-2</t>
  </si>
  <si>
    <t>304995696258</t>
  </si>
  <si>
    <t>5127</t>
  </si>
  <si>
    <t>10030027</t>
  </si>
  <si>
    <t>CHORGAUN</t>
  </si>
  <si>
    <t>304902773110</t>
  </si>
  <si>
    <t>5128</t>
  </si>
  <si>
    <t>10030028</t>
  </si>
  <si>
    <t>PADARATHPUR</t>
  </si>
  <si>
    <t>307360262274</t>
  </si>
  <si>
    <t>5131</t>
  </si>
  <si>
    <t>10030032</t>
  </si>
  <si>
    <t>MAHDMADPUR</t>
  </si>
  <si>
    <t>307572636406</t>
  </si>
  <si>
    <t>5132</t>
  </si>
  <si>
    <t>10030030</t>
  </si>
  <si>
    <t>MACHIDIH</t>
  </si>
  <si>
    <t>308061239403</t>
  </si>
  <si>
    <t>5133</t>
  </si>
  <si>
    <t>10030031</t>
  </si>
  <si>
    <t>BADARKHA</t>
  </si>
  <si>
    <t>314359514805</t>
  </si>
  <si>
    <t>9352</t>
  </si>
  <si>
    <t>10010007</t>
  </si>
  <si>
    <t>Gomukh Birpur</t>
  </si>
  <si>
    <t>307417361046</t>
  </si>
  <si>
    <t>9162</t>
  </si>
  <si>
    <t>10080025</t>
  </si>
  <si>
    <t>Gomukh Bishanpur</t>
  </si>
  <si>
    <t>343024245005</t>
  </si>
  <si>
    <t>9163</t>
  </si>
  <si>
    <t>10080026</t>
  </si>
  <si>
    <t>Gomukh Sultanpur</t>
  </si>
  <si>
    <t>306337274055</t>
  </si>
  <si>
    <t>9353</t>
  </si>
  <si>
    <t>10010017</t>
  </si>
  <si>
    <t>Gomukh Amba</t>
  </si>
  <si>
    <t>9354</t>
  </si>
  <si>
    <t>Gomukh Parra</t>
  </si>
  <si>
    <t>18-03-2023</t>
  </si>
  <si>
    <t>307511306440</t>
  </si>
  <si>
    <t>9355</t>
  </si>
  <si>
    <t>10010008</t>
  </si>
  <si>
    <t>Gomukh Mubarakpur</t>
  </si>
  <si>
    <t>9356</t>
  </si>
  <si>
    <t>10010009</t>
  </si>
  <si>
    <t>Gomukh Bagwara</t>
  </si>
  <si>
    <t>307515232289</t>
  </si>
  <si>
    <t>9357</t>
  </si>
  <si>
    <t>Gomukh Binodpur</t>
  </si>
  <si>
    <t>309071397421</t>
  </si>
  <si>
    <t>9164</t>
  </si>
  <si>
    <t>10080027</t>
  </si>
  <si>
    <t>Gomukh Jamalpur</t>
  </si>
  <si>
    <t>345629966552</t>
  </si>
  <si>
    <t>9360</t>
  </si>
  <si>
    <t>10010013</t>
  </si>
  <si>
    <t>Gomukh Kumbhi</t>
  </si>
  <si>
    <t>9361</t>
  </si>
  <si>
    <t>Gomukh Maldah</t>
  </si>
  <si>
    <t>307246112314</t>
  </si>
  <si>
    <t>9362</t>
  </si>
  <si>
    <t>10010012</t>
  </si>
  <si>
    <t>Gomukh Kaura</t>
  </si>
  <si>
    <t>9363</t>
  </si>
  <si>
    <t>10010014</t>
  </si>
  <si>
    <t>9364</t>
  </si>
  <si>
    <t>10010015</t>
  </si>
  <si>
    <t>Gomukh Dihi</t>
  </si>
  <si>
    <t>8577</t>
  </si>
  <si>
    <t>10100006</t>
  </si>
  <si>
    <t>Gomukh Udaypur</t>
  </si>
  <si>
    <t>Parbatta</t>
  </si>
  <si>
    <t>306301174208</t>
  </si>
  <si>
    <t>8578</t>
  </si>
  <si>
    <t>10100007</t>
  </si>
  <si>
    <t>Gomukh Salarpur Uttari</t>
  </si>
  <si>
    <t>307625936765</t>
  </si>
  <si>
    <t>8579</t>
  </si>
  <si>
    <t>10100008</t>
  </si>
  <si>
    <t>Gomukh Teliya bathan purbi</t>
  </si>
  <si>
    <t>307790152298</t>
  </si>
  <si>
    <t>8582</t>
  </si>
  <si>
    <t>10100009</t>
  </si>
  <si>
    <t>Gomukh Kanhaiyachak Pachhim</t>
  </si>
  <si>
    <t>307256998764</t>
  </si>
  <si>
    <t>8584</t>
  </si>
  <si>
    <t>Gomukh Nayagawn siromani tola</t>
  </si>
  <si>
    <t>307258914679</t>
  </si>
  <si>
    <t>9781</t>
  </si>
  <si>
    <t>Gomukh Sanha Pachhim</t>
  </si>
  <si>
    <t>307589850728</t>
  </si>
  <si>
    <t>9777</t>
  </si>
  <si>
    <t>10110032</t>
  </si>
  <si>
    <t>Gomukh Kumar chakki</t>
  </si>
  <si>
    <t>307675415022</t>
  </si>
  <si>
    <t>9811</t>
  </si>
  <si>
    <t>10110073</t>
  </si>
  <si>
    <t>Nistatol</t>
  </si>
  <si>
    <t>9779</t>
  </si>
  <si>
    <t>10110033</t>
  </si>
  <si>
    <t>Gomukh Sanhatol</t>
  </si>
  <si>
    <t>307012142948</t>
  </si>
  <si>
    <t>9780</t>
  </si>
  <si>
    <t>10110072</t>
  </si>
  <si>
    <t>Gomukh Bisanpur Dandari</t>
  </si>
  <si>
    <t>307292537373</t>
  </si>
  <si>
    <t>7112</t>
  </si>
  <si>
    <t>Gomukh Dayalpur purbi</t>
  </si>
  <si>
    <t>Jhandapur( bagari)</t>
  </si>
  <si>
    <t>307324470028</t>
  </si>
  <si>
    <t>1240</t>
  </si>
  <si>
    <t>10090034</t>
  </si>
  <si>
    <t>BHATTA</t>
  </si>
  <si>
    <t>307752788305</t>
  </si>
  <si>
    <t>1241</t>
  </si>
  <si>
    <t>10090035</t>
  </si>
  <si>
    <t>SALAUNJA</t>
  </si>
  <si>
    <t>307779906634</t>
  </si>
  <si>
    <t>9367</t>
  </si>
  <si>
    <t>Parbanda</t>
  </si>
  <si>
    <t>9366</t>
  </si>
  <si>
    <t>10010018</t>
  </si>
  <si>
    <t>Lodhidih</t>
  </si>
  <si>
    <t>308412452411</t>
  </si>
  <si>
    <t>8586</t>
  </si>
  <si>
    <t>Gomukh Nayagawn Panchkhuti</t>
  </si>
  <si>
    <t>308247014880</t>
  </si>
  <si>
    <t>8587</t>
  </si>
  <si>
    <t>Gomukh Parbatta Purvi</t>
  </si>
  <si>
    <t>308582148489</t>
  </si>
  <si>
    <t>9369</t>
  </si>
  <si>
    <t>10010016</t>
  </si>
  <si>
    <t>Gomukh Bari Jana</t>
  </si>
  <si>
    <t>30-03-2023</t>
  </si>
  <si>
    <t>314491236652</t>
  </si>
  <si>
    <t>8588</t>
  </si>
  <si>
    <t>Gomukh Raka</t>
  </si>
  <si>
    <t>308972831543</t>
  </si>
  <si>
    <t>8589</t>
  </si>
  <si>
    <t>10100014</t>
  </si>
  <si>
    <t>Gomukh Sri Rampur Tuthhi</t>
  </si>
  <si>
    <t>308994085333</t>
  </si>
  <si>
    <t>8590</t>
  </si>
  <si>
    <t>10100015</t>
  </si>
  <si>
    <t>Gomukh Dumariya Bujurg</t>
  </si>
  <si>
    <t>308946604861</t>
  </si>
  <si>
    <t>8591</t>
  </si>
  <si>
    <t>10100016</t>
  </si>
  <si>
    <t>Gomukh Dumariya Bujurg Mdhay</t>
  </si>
  <si>
    <t>0396</t>
  </si>
  <si>
    <t>Gowanpur</t>
  </si>
  <si>
    <t>303126340609</t>
  </si>
  <si>
    <t>1220</t>
  </si>
  <si>
    <t>10090029</t>
  </si>
  <si>
    <t>Ramanagar</t>
  </si>
  <si>
    <t>234842471566</t>
  </si>
  <si>
    <t>2454</t>
  </si>
  <si>
    <t>10140038</t>
  </si>
  <si>
    <t>Jagadhra</t>
  </si>
  <si>
    <t>303247745977</t>
  </si>
  <si>
    <t>2459</t>
  </si>
  <si>
    <t>10140049</t>
  </si>
  <si>
    <t>Boksha Paschim</t>
  </si>
  <si>
    <t>304121001208</t>
  </si>
  <si>
    <t>2477</t>
  </si>
  <si>
    <t>10140055</t>
  </si>
  <si>
    <t>Puran Bhojpur</t>
  </si>
  <si>
    <t>313710687053</t>
  </si>
  <si>
    <t>2478</t>
  </si>
  <si>
    <t>10140058</t>
  </si>
  <si>
    <t>0399</t>
  </si>
  <si>
    <t>10130026</t>
  </si>
  <si>
    <t>Rasalpur</t>
  </si>
  <si>
    <t>304014123576</t>
  </si>
  <si>
    <t>9166</t>
  </si>
  <si>
    <t>10080029</t>
  </si>
  <si>
    <t>Kedrabad</t>
  </si>
  <si>
    <t>9374</t>
  </si>
  <si>
    <t>10010021</t>
  </si>
  <si>
    <t>Muradpur</t>
  </si>
  <si>
    <t>310127667457</t>
  </si>
  <si>
    <t>9375</t>
  </si>
  <si>
    <t>10010019</t>
  </si>
  <si>
    <t>Jagdar</t>
  </si>
  <si>
    <t>9373</t>
  </si>
  <si>
    <t>Gomukh Fardi</t>
  </si>
  <si>
    <t>8601</t>
  </si>
  <si>
    <t>10100024</t>
  </si>
  <si>
    <t>Aguani</t>
  </si>
  <si>
    <t>311880347522</t>
  </si>
  <si>
    <t>1243</t>
  </si>
  <si>
    <t>10020044</t>
  </si>
  <si>
    <t>DIYARA PIPARIYA-THANA</t>
  </si>
  <si>
    <t>311089464401</t>
  </si>
  <si>
    <t>1244</t>
  </si>
  <si>
    <t>10090036</t>
  </si>
  <si>
    <t>TAAL-SHAHARSHA</t>
  </si>
  <si>
    <t>310886846482</t>
  </si>
  <si>
    <t>1245</t>
  </si>
  <si>
    <t>10060031</t>
  </si>
  <si>
    <t>LAKHOCHAK</t>
  </si>
  <si>
    <t>1246</t>
  </si>
  <si>
    <t>10060032</t>
  </si>
  <si>
    <t>BATTA RAMPUR</t>
  </si>
  <si>
    <t>9385</t>
  </si>
  <si>
    <t>10010025</t>
  </si>
  <si>
    <t>Gomukh Bela</t>
  </si>
  <si>
    <t>9390</t>
  </si>
  <si>
    <t>10010029</t>
  </si>
  <si>
    <t>Gomukh Malpur</t>
  </si>
  <si>
    <t>350817969318</t>
  </si>
  <si>
    <t>9173</t>
  </si>
  <si>
    <t>Gomukh Dihpar</t>
  </si>
  <si>
    <t>9386</t>
  </si>
  <si>
    <t>Baripura</t>
  </si>
  <si>
    <t>356121260192</t>
  </si>
  <si>
    <t>8597</t>
  </si>
  <si>
    <t>10100021</t>
  </si>
  <si>
    <t>Gomukh Bandahera</t>
  </si>
  <si>
    <t>311719146043</t>
  </si>
  <si>
    <t>8598</t>
  </si>
  <si>
    <t>Gomukh Jhajhra</t>
  </si>
  <si>
    <t>311877943883</t>
  </si>
  <si>
    <t>8599</t>
  </si>
  <si>
    <t>Gomukh Purvi Araria</t>
  </si>
  <si>
    <t>311717385902</t>
  </si>
  <si>
    <t>8600</t>
  </si>
  <si>
    <t>Gomukh Khiradih</t>
  </si>
  <si>
    <t>311820817657</t>
  </si>
  <si>
    <t>5135</t>
  </si>
  <si>
    <t>10030037</t>
  </si>
  <si>
    <t>GOMUKH LAUNA</t>
  </si>
  <si>
    <t>313730017252</t>
  </si>
  <si>
    <t>5136</t>
  </si>
  <si>
    <t>10030034</t>
  </si>
  <si>
    <t>GOMUKH MUSKIPUR</t>
  </si>
  <si>
    <t>314340557758</t>
  </si>
  <si>
    <t>5137</t>
  </si>
  <si>
    <t>10030035</t>
  </si>
  <si>
    <t>GOMUKH NAYAGAUN</t>
  </si>
  <si>
    <t>314250776161</t>
  </si>
  <si>
    <t>1248</t>
  </si>
  <si>
    <t>10020045</t>
  </si>
  <si>
    <t>GOMUKH KHUSHAL-TOLA</t>
  </si>
  <si>
    <t>312132033902</t>
  </si>
  <si>
    <t>1250</t>
  </si>
  <si>
    <t>10090039</t>
  </si>
  <si>
    <t>GOMUKH SHARMA</t>
  </si>
  <si>
    <t>314523173618</t>
  </si>
  <si>
    <t>1251</t>
  </si>
  <si>
    <t>10090040</t>
  </si>
  <si>
    <t>GOMUKH BARHARA</t>
  </si>
  <si>
    <t>313686806150</t>
  </si>
  <si>
    <t>5134</t>
  </si>
  <si>
    <t>10030036</t>
  </si>
  <si>
    <t>Gomukh Udadhih</t>
  </si>
  <si>
    <t>311006607203</t>
  </si>
  <si>
    <t>8602</t>
  </si>
  <si>
    <t>10070013</t>
  </si>
  <si>
    <t>Gomukh Fatehpur</t>
  </si>
  <si>
    <t>314241334570</t>
  </si>
  <si>
    <t>8520</t>
  </si>
  <si>
    <t>10100001</t>
  </si>
  <si>
    <t>Gomukh Vishanpur</t>
  </si>
  <si>
    <t>304992064850</t>
  </si>
  <si>
    <t>2047</t>
  </si>
  <si>
    <t>10120039</t>
  </si>
  <si>
    <t>Gangsara</t>
  </si>
  <si>
    <t>304297941148</t>
  </si>
  <si>
    <t>2467</t>
  </si>
  <si>
    <t>10140050</t>
  </si>
  <si>
    <t>Gomukh Majhariya</t>
  </si>
  <si>
    <t>PUNBF23069000596</t>
  </si>
  <si>
    <t>2468</t>
  </si>
  <si>
    <t>10140051</t>
  </si>
  <si>
    <t>Kaithi Pachim</t>
  </si>
  <si>
    <t>307511257574</t>
  </si>
  <si>
    <t>2469</t>
  </si>
  <si>
    <t>10140052</t>
  </si>
  <si>
    <t>Balapur</t>
  </si>
  <si>
    <t>344149690461</t>
  </si>
  <si>
    <t>2473</t>
  </si>
  <si>
    <t>10140054</t>
  </si>
  <si>
    <t>Soan</t>
  </si>
  <si>
    <t>308654988908</t>
  </si>
  <si>
    <t>1757</t>
  </si>
  <si>
    <t>10130033</t>
  </si>
  <si>
    <t>murtjapur Purvi Tola</t>
  </si>
  <si>
    <t>313893866977</t>
  </si>
  <si>
    <t>1756</t>
  </si>
  <si>
    <t>10130032</t>
  </si>
  <si>
    <t>soharthi purvi tola</t>
  </si>
  <si>
    <t>313313408946</t>
  </si>
  <si>
    <t>2472</t>
  </si>
  <si>
    <t>Rampur Mathiya</t>
  </si>
  <si>
    <t>308776248660</t>
  </si>
  <si>
    <t>2474</t>
  </si>
  <si>
    <t>10510004</t>
  </si>
  <si>
    <t>Henha</t>
  </si>
  <si>
    <t>2471</t>
  </si>
  <si>
    <t>10140053</t>
  </si>
  <si>
    <t>Narayanpur</t>
  </si>
  <si>
    <t>308431479759</t>
  </si>
  <si>
    <t>2464</t>
  </si>
  <si>
    <t>10140047</t>
  </si>
  <si>
    <t>Dubki</t>
  </si>
  <si>
    <t>305907718197</t>
  </si>
  <si>
    <t>2466</t>
  </si>
  <si>
    <t>10140046</t>
  </si>
  <si>
    <t>Chotka Rajpur</t>
  </si>
  <si>
    <t>306111683397</t>
  </si>
  <si>
    <t>2465</t>
  </si>
  <si>
    <t>10140045</t>
  </si>
  <si>
    <t>Ragi Dera</t>
  </si>
  <si>
    <t>306395100037</t>
  </si>
  <si>
    <t>2456</t>
  </si>
  <si>
    <t>10140039</t>
  </si>
  <si>
    <t>Dharauli</t>
  </si>
  <si>
    <t>303242917441</t>
  </si>
  <si>
    <t>2457</t>
  </si>
  <si>
    <t>Jagdishpur</t>
  </si>
  <si>
    <t>303469972568</t>
  </si>
  <si>
    <t>2458</t>
  </si>
  <si>
    <t>10140037</t>
  </si>
  <si>
    <t>Dalsagar</t>
  </si>
  <si>
    <t>302888520662</t>
  </si>
  <si>
    <t>2455</t>
  </si>
  <si>
    <t>Mahdah 2</t>
  </si>
  <si>
    <t>303100502462</t>
  </si>
  <si>
    <t>2451</t>
  </si>
  <si>
    <t>10140040</t>
  </si>
  <si>
    <t>Baruna</t>
  </si>
  <si>
    <t>301614869608</t>
  </si>
  <si>
    <t>8593</t>
  </si>
  <si>
    <t>Gomukh Sirajpur</t>
  </si>
  <si>
    <t>310210782879</t>
  </si>
  <si>
    <t>8594</t>
  </si>
  <si>
    <t>10100019</t>
  </si>
  <si>
    <t>Gomukh Badi Lagar</t>
  </si>
  <si>
    <t>310556916155</t>
  </si>
  <si>
    <t>8595</t>
  </si>
  <si>
    <t>10100017</t>
  </si>
  <si>
    <t>Gomukh Pipara</t>
  </si>
  <si>
    <t>310704351001</t>
  </si>
  <si>
    <t>2050</t>
  </si>
  <si>
    <t>10130030</t>
  </si>
  <si>
    <t>chhuchhipur</t>
  </si>
  <si>
    <t>309012859370</t>
  </si>
  <si>
    <t>2460</t>
  </si>
  <si>
    <t>10140043</t>
  </si>
  <si>
    <t>Kaithi</t>
  </si>
  <si>
    <t>305242550755</t>
  </si>
  <si>
    <t>2462</t>
  </si>
  <si>
    <t>10140044</t>
  </si>
  <si>
    <t>Chakaura</t>
  </si>
  <si>
    <t>304943260893</t>
  </si>
  <si>
    <t>0393</t>
  </si>
  <si>
    <t>10120034</t>
  </si>
  <si>
    <t>Matiyar</t>
  </si>
  <si>
    <t>235317864902-</t>
  </si>
  <si>
    <t>0388</t>
  </si>
  <si>
    <t>10120035</t>
  </si>
  <si>
    <t>Telgama</t>
  </si>
  <si>
    <t>234015392537</t>
  </si>
  <si>
    <t>8604</t>
  </si>
  <si>
    <t>10070016</t>
  </si>
  <si>
    <t>Gomukh Gauchhari</t>
  </si>
  <si>
    <t>315888601380</t>
  </si>
  <si>
    <t>8605</t>
  </si>
  <si>
    <t>10070015</t>
  </si>
  <si>
    <t>Gomukh Gamghatta</t>
  </si>
  <si>
    <t>9384</t>
  </si>
  <si>
    <t>10010024</t>
  </si>
  <si>
    <t>Gomukh Badiya</t>
  </si>
  <si>
    <t>312406222795</t>
  </si>
  <si>
    <t>9389</t>
  </si>
  <si>
    <t>10010028</t>
  </si>
  <si>
    <t>Gomukh Paroriya Pokhar tola</t>
  </si>
  <si>
    <t>PUNBH23131794429</t>
  </si>
  <si>
    <t>9387</t>
  </si>
  <si>
    <t>10010027</t>
  </si>
  <si>
    <t>Gomukh Paroriya</t>
  </si>
  <si>
    <t>PUNBH23131792554</t>
  </si>
  <si>
    <t>9391</t>
  </si>
  <si>
    <t>10010030</t>
  </si>
  <si>
    <t>Gomukh Phulhara</t>
  </si>
  <si>
    <t>313515680294</t>
  </si>
  <si>
    <t>9378</t>
  </si>
  <si>
    <t>Gomukh Shitalrampur</t>
  </si>
  <si>
    <t>1254</t>
  </si>
  <si>
    <t>10060033</t>
  </si>
  <si>
    <t>Gomukh Dadhisir</t>
  </si>
  <si>
    <t>317869498961</t>
  </si>
  <si>
    <t>9394</t>
  </si>
  <si>
    <t>Gomukh Maujitan</t>
  </si>
  <si>
    <t>9783</t>
  </si>
  <si>
    <t>Gomukh Shreepur</t>
  </si>
  <si>
    <t>321798744089</t>
  </si>
  <si>
    <t>9784</t>
  </si>
  <si>
    <t>10110048</t>
  </si>
  <si>
    <t>Gomukh Rampur</t>
  </si>
  <si>
    <t>9402</t>
  </si>
  <si>
    <t>GOMUKH SAHURI</t>
  </si>
  <si>
    <t>9403</t>
  </si>
  <si>
    <t>10010043</t>
  </si>
  <si>
    <t>GOMUKH KHAMHAR</t>
  </si>
  <si>
    <t>321900540470</t>
  </si>
  <si>
    <t>9180</t>
  </si>
  <si>
    <t>10080032</t>
  </si>
  <si>
    <t>GOMUKH BEGAMSARAI</t>
  </si>
  <si>
    <t>322190951534</t>
  </si>
  <si>
    <t>9790</t>
  </si>
  <si>
    <t>10110039</t>
  </si>
  <si>
    <t>GOMUKH SHAADPUR</t>
  </si>
  <si>
    <t>2080</t>
  </si>
  <si>
    <t>10120066</t>
  </si>
  <si>
    <t>Piparpanti</t>
  </si>
  <si>
    <t>335011757389</t>
  </si>
  <si>
    <t>310206494835</t>
  </si>
  <si>
    <t>8603</t>
  </si>
  <si>
    <t>10070014</t>
  </si>
  <si>
    <t>Nauranga</t>
  </si>
  <si>
    <t>314620097954</t>
  </si>
  <si>
    <t>choraciya mpg गोमुख</t>
  </si>
  <si>
    <t>315938669204</t>
  </si>
  <si>
    <t>8650</t>
  </si>
  <si>
    <t>10100037</t>
  </si>
  <si>
    <t>Tehai</t>
  </si>
  <si>
    <t>368416443061</t>
  </si>
  <si>
    <t>319547383155</t>
  </si>
  <si>
    <t>2479</t>
  </si>
  <si>
    <t>10140057</t>
  </si>
  <si>
    <t>Tilakray ka hatta</t>
  </si>
  <si>
    <t>320077859342/318969834240</t>
  </si>
  <si>
    <t>2082</t>
  </si>
  <si>
    <t>Malpur</t>
  </si>
  <si>
    <t>371612421130</t>
  </si>
  <si>
    <t>320053763760</t>
  </si>
  <si>
    <t>2470</t>
  </si>
  <si>
    <t>Chunni Dera</t>
  </si>
  <si>
    <t>9393</t>
  </si>
  <si>
    <t>10010033</t>
  </si>
  <si>
    <t>Gomukh pakdi</t>
  </si>
  <si>
    <t>Basuchak</t>
  </si>
  <si>
    <t>9208</t>
  </si>
  <si>
    <t>10080053</t>
  </si>
  <si>
    <t>GOMUKH FATEHA</t>
  </si>
  <si>
    <t>9206</t>
  </si>
  <si>
    <t>10080060</t>
  </si>
  <si>
    <t>GOMUKH TARA</t>
  </si>
  <si>
    <t>9207</t>
  </si>
  <si>
    <t>10080052</t>
  </si>
  <si>
    <t>GOMUKH NONPUR</t>
  </si>
  <si>
    <t>9202</t>
  </si>
  <si>
    <t>GOMUKH DOHTA MUKHTIYARPUR</t>
  </si>
  <si>
    <t>9200</t>
  </si>
  <si>
    <t>10080047</t>
  </si>
  <si>
    <t>GOMUKH BHIKHAM CHAK</t>
  </si>
  <si>
    <t>7118</t>
  </si>
  <si>
    <t>50100325952580</t>
  </si>
  <si>
    <t>7117</t>
  </si>
  <si>
    <t>dhobinya basa</t>
  </si>
  <si>
    <t>331507007215</t>
  </si>
  <si>
    <t>334704476999</t>
  </si>
  <si>
    <t>8654</t>
  </si>
  <si>
    <t>10070042</t>
  </si>
  <si>
    <t>Sapha</t>
  </si>
  <si>
    <t>401061460276</t>
  </si>
  <si>
    <t>7115</t>
  </si>
  <si>
    <t>Bhatgama</t>
  </si>
  <si>
    <t>8641</t>
  </si>
  <si>
    <t>328720059020</t>
  </si>
  <si>
    <t>2516</t>
  </si>
  <si>
    <t>10140083</t>
  </si>
  <si>
    <t>Gomukh Murar</t>
  </si>
  <si>
    <t>2453</t>
  </si>
  <si>
    <t>10140041</t>
  </si>
  <si>
    <t>Simari Ramopatti</t>
  </si>
  <si>
    <t>2518</t>
  </si>
  <si>
    <t>10140095</t>
  </si>
  <si>
    <t>Gomukh Ekauni karuwaj</t>
  </si>
  <si>
    <t>2499</t>
  </si>
  <si>
    <t>10140094</t>
  </si>
  <si>
    <t>Gomukh Badkarajpur</t>
  </si>
  <si>
    <t>2463</t>
  </si>
  <si>
    <t>10140048</t>
  </si>
  <si>
    <t>Sonvarsa</t>
  </si>
  <si>
    <t>5111</t>
  </si>
  <si>
    <t>10030016</t>
  </si>
  <si>
    <t>Giridharpur</t>
  </si>
  <si>
    <t>1222</t>
  </si>
  <si>
    <t>10090028</t>
  </si>
  <si>
    <t>9148</t>
  </si>
  <si>
    <t>10080016</t>
  </si>
  <si>
    <t>Gehuni</t>
  </si>
  <si>
    <t>2503</t>
  </si>
  <si>
    <t>10140078</t>
  </si>
  <si>
    <t>Gomukh Jawahi</t>
  </si>
  <si>
    <t>8645</t>
  </si>
  <si>
    <t>10100035</t>
  </si>
  <si>
    <t>Gomukh Fudkichak</t>
  </si>
  <si>
    <t>9211</t>
  </si>
  <si>
    <t>10080065</t>
  </si>
  <si>
    <t>GOMUKH HADIPUR</t>
  </si>
  <si>
    <t>9182</t>
  </si>
  <si>
    <t>GOMUKH PAKHTAUL</t>
  </si>
  <si>
    <t>8649</t>
  </si>
  <si>
    <t>10100036</t>
  </si>
  <si>
    <t>Gomukh Bishauni</t>
  </si>
  <si>
    <t>9215</t>
  </si>
  <si>
    <t>10080063</t>
  </si>
  <si>
    <t>Gomukh Bacchwara</t>
  </si>
  <si>
    <t>9210</t>
  </si>
  <si>
    <t>10080064</t>
  </si>
  <si>
    <t>GOMUKH KHARMOLI</t>
  </si>
  <si>
    <t>9205</t>
  </si>
  <si>
    <t>10080051</t>
  </si>
  <si>
    <t>Gomukh Ramchandarpur</t>
  </si>
  <si>
    <t>9201</t>
  </si>
  <si>
    <t>10080048</t>
  </si>
  <si>
    <t>GOMUKH RANI 3</t>
  </si>
  <si>
    <t>9812</t>
  </si>
  <si>
    <t>10110053</t>
  </si>
  <si>
    <t>GOMUKH KATAHRI</t>
  </si>
  <si>
    <t>9814</t>
  </si>
  <si>
    <t>Gomukh Fulwariya</t>
  </si>
  <si>
    <t>9813</t>
  </si>
  <si>
    <t>GOMUKH Rahatpur</t>
  </si>
  <si>
    <t>7122</t>
  </si>
  <si>
    <t>10480012</t>
  </si>
  <si>
    <t>Gomukh Krishna Dairy Tulsipur</t>
  </si>
  <si>
    <t>2519</t>
  </si>
  <si>
    <t>10140096</t>
  </si>
  <si>
    <t>Gomukh Kanpura</t>
  </si>
  <si>
    <t>2505</t>
  </si>
  <si>
    <t>10140080</t>
  </si>
  <si>
    <t>Gomukh East Harpur</t>
  </si>
  <si>
    <t>9807</t>
  </si>
  <si>
    <t>Gomukh Shadipur</t>
  </si>
  <si>
    <t>9810</t>
  </si>
  <si>
    <t>10110069</t>
  </si>
  <si>
    <t>GOMUKH Salemabad</t>
  </si>
  <si>
    <t>2070</t>
  </si>
  <si>
    <t>Sahpur Barar</t>
  </si>
  <si>
    <t>2517</t>
  </si>
  <si>
    <t>10140087</t>
  </si>
  <si>
    <t>Gomukh Churamanpur</t>
  </si>
  <si>
    <t>2509</t>
  </si>
  <si>
    <t>10140085</t>
  </si>
  <si>
    <t>Gomukh Nenuwa</t>
  </si>
  <si>
    <t>1776</t>
  </si>
  <si>
    <t>10130052</t>
  </si>
  <si>
    <t>Songar</t>
  </si>
  <si>
    <t>1777</t>
  </si>
  <si>
    <t>10130053</t>
  </si>
  <si>
    <t>Chakpahar</t>
  </si>
  <si>
    <t>1778</t>
  </si>
  <si>
    <t>10130054</t>
  </si>
  <si>
    <t>Rampur Maheshpur</t>
  </si>
  <si>
    <t>1775</t>
  </si>
  <si>
    <t>10130051</t>
  </si>
  <si>
    <t>Kamtaul</t>
  </si>
  <si>
    <t>1321</t>
  </si>
  <si>
    <t>10090052</t>
  </si>
  <si>
    <t>Lachhuar</t>
  </si>
  <si>
    <t>1320</t>
  </si>
  <si>
    <t>10090051</t>
  </si>
  <si>
    <t>Manpur</t>
  </si>
  <si>
    <t>1319</t>
  </si>
  <si>
    <t>10060064</t>
  </si>
  <si>
    <t>BELDARIYA</t>
  </si>
  <si>
    <t>5162</t>
  </si>
  <si>
    <t>10030060</t>
  </si>
  <si>
    <t>Kamarduh</t>
  </si>
  <si>
    <t>5159</t>
  </si>
  <si>
    <t>10030057</t>
  </si>
  <si>
    <t>BHITTHI</t>
  </si>
  <si>
    <t>5160</t>
  </si>
  <si>
    <t>10030058</t>
  </si>
  <si>
    <t>DOMO-DHI</t>
  </si>
  <si>
    <t>5161</t>
  </si>
  <si>
    <t>10030059</t>
  </si>
  <si>
    <t>Jhajha</t>
  </si>
  <si>
    <t>5163</t>
  </si>
  <si>
    <t>10030061</t>
  </si>
  <si>
    <t>Barsabad</t>
  </si>
  <si>
    <t>2515</t>
  </si>
  <si>
    <t>10140093</t>
  </si>
  <si>
    <t>Gomukh Kesath</t>
  </si>
  <si>
    <t>2513</t>
  </si>
  <si>
    <t>10140092</t>
  </si>
  <si>
    <t>Gomukh Budhaila</t>
  </si>
  <si>
    <t>2511</t>
  </si>
  <si>
    <t>10140089</t>
  </si>
  <si>
    <t>Gomukh Piria</t>
  </si>
  <si>
    <t>2510</t>
  </si>
  <si>
    <t>10140082</t>
  </si>
  <si>
    <t>Gomukh Purushotampur</t>
  </si>
  <si>
    <t>2507</t>
  </si>
  <si>
    <t>10140088</t>
  </si>
  <si>
    <t>Gomukh Baksara</t>
  </si>
  <si>
    <t>2514</t>
  </si>
  <si>
    <t>10140086</t>
  </si>
  <si>
    <t>Gomukh Makundpur</t>
  </si>
  <si>
    <t>1779</t>
  </si>
  <si>
    <t>10130055</t>
  </si>
  <si>
    <t>Naua Chak</t>
  </si>
  <si>
    <t>2504</t>
  </si>
  <si>
    <t>10140079</t>
  </si>
  <si>
    <t>Gomukh Harpur South</t>
  </si>
  <si>
    <t>9212</t>
  </si>
  <si>
    <t>10080057</t>
  </si>
  <si>
    <t>GOMUKH ADHARPUR</t>
  </si>
  <si>
    <t>9217</t>
  </si>
  <si>
    <t>10080067</t>
  </si>
  <si>
    <t>Gomukh Harichak</t>
  </si>
  <si>
    <t>9209</t>
  </si>
  <si>
    <t>10080056</t>
  </si>
  <si>
    <t>GOMUKH RAMDIRI LABHARCHAK</t>
  </si>
  <si>
    <t>9820</t>
  </si>
  <si>
    <t>10110059</t>
  </si>
  <si>
    <t>Gomukh Aho ghat</t>
  </si>
  <si>
    <t>9821</t>
  </si>
  <si>
    <t>10110060</t>
  </si>
  <si>
    <t>Gomukh Nayatola</t>
  </si>
  <si>
    <t>9442</t>
  </si>
  <si>
    <t>10010071</t>
  </si>
  <si>
    <t>Gomukh Sherpur</t>
  </si>
  <si>
    <t>9441</t>
  </si>
  <si>
    <t>10010069</t>
  </si>
  <si>
    <t>Gomukh Bharwari</t>
  </si>
  <si>
    <t>9440</t>
  </si>
  <si>
    <t>10010068</t>
  </si>
  <si>
    <t>Gomukh Simri</t>
  </si>
  <si>
    <t>9823</t>
  </si>
  <si>
    <t>10110062</t>
  </si>
  <si>
    <t>Gomukh Jalim babu Tola</t>
  </si>
  <si>
    <t>9824</t>
  </si>
  <si>
    <t>10110063</t>
  </si>
  <si>
    <t>Gomukh Mansi Gharari</t>
  </si>
  <si>
    <t>9827</t>
  </si>
  <si>
    <t>10110066</t>
  </si>
  <si>
    <t>Gomukh Bakiya</t>
  </si>
  <si>
    <t>9826</t>
  </si>
  <si>
    <t>10110065</t>
  </si>
  <si>
    <t>Gomukh Chaidha</t>
  </si>
  <si>
    <t>9828</t>
  </si>
  <si>
    <t>10110067</t>
  </si>
  <si>
    <t>Gomukh Tikapur</t>
  </si>
  <si>
    <t>9815</t>
  </si>
  <si>
    <t>9817</t>
  </si>
  <si>
    <t>10110056</t>
  </si>
  <si>
    <t>GOMUKH Chowki</t>
  </si>
  <si>
    <t>9818</t>
  </si>
  <si>
    <t>10110057</t>
  </si>
  <si>
    <t>GOMUKH Tartor 2</t>
  </si>
  <si>
    <t>9816</t>
  </si>
  <si>
    <t>10110055</t>
  </si>
  <si>
    <t>GOMUKH Mathar Ward 10</t>
  </si>
  <si>
    <t>9437</t>
  </si>
  <si>
    <t>10010065</t>
  </si>
  <si>
    <t>Gomukh Kharaj</t>
  </si>
  <si>
    <t>2049</t>
  </si>
  <si>
    <t>10130044</t>
  </si>
  <si>
    <t>Lakshmipur Western Tol - Rajeev</t>
  </si>
  <si>
    <t>9216</t>
  </si>
  <si>
    <t>10080066</t>
  </si>
  <si>
    <t>Gomukh Salempur</t>
  </si>
  <si>
    <t>Rahimpur</t>
  </si>
  <si>
    <t>328370164835</t>
  </si>
  <si>
    <t>8642</t>
  </si>
  <si>
    <t>10100033</t>
  </si>
  <si>
    <t>Basudeopur</t>
  </si>
  <si>
    <t>328775898273</t>
  </si>
  <si>
    <t>8647</t>
  </si>
  <si>
    <t>10070029</t>
  </si>
  <si>
    <t>Gomukh Devri</t>
  </si>
  <si>
    <t>328898661281</t>
  </si>
  <si>
    <t>temtha</t>
  </si>
  <si>
    <t>328984392144</t>
  </si>
  <si>
    <t>korma sakra</t>
  </si>
  <si>
    <t>313053334847</t>
  </si>
  <si>
    <t>2052</t>
  </si>
  <si>
    <t>10120041</t>
  </si>
  <si>
    <t>Harail</t>
  </si>
  <si>
    <t>313909735180</t>
  </si>
  <si>
    <t>2053</t>
  </si>
  <si>
    <t>10120042</t>
  </si>
  <si>
    <t>Musapur Purvi tol</t>
  </si>
  <si>
    <t>313921062080</t>
  </si>
  <si>
    <t>2054</t>
  </si>
  <si>
    <t>10120043</t>
  </si>
  <si>
    <t>Tatarpur</t>
  </si>
  <si>
    <t>317600221790</t>
  </si>
  <si>
    <t>Loma</t>
  </si>
  <si>
    <t>318944953608</t>
  </si>
  <si>
    <t>2057</t>
  </si>
  <si>
    <t>10120044</t>
  </si>
  <si>
    <t>Samda</t>
  </si>
  <si>
    <t>320528678343</t>
  </si>
  <si>
    <t>2059</t>
  </si>
  <si>
    <t>Bolwari</t>
  </si>
  <si>
    <t>357171982790</t>
  </si>
  <si>
    <t>1763</t>
  </si>
  <si>
    <t>Chande</t>
  </si>
  <si>
    <t>321916253626</t>
  </si>
  <si>
    <t>317452329452</t>
  </si>
  <si>
    <t>Gaspur</t>
  </si>
  <si>
    <t>329175317016</t>
  </si>
  <si>
    <t>1280</t>
  </si>
  <si>
    <t>10020049</t>
  </si>
  <si>
    <t>pachmahalla</t>
  </si>
  <si>
    <t>320846650466</t>
  </si>
  <si>
    <t>1281</t>
  </si>
  <si>
    <t>10020050</t>
  </si>
  <si>
    <t>GADHTOLA</t>
  </si>
  <si>
    <t>322423072488</t>
  </si>
  <si>
    <t>5141</t>
  </si>
  <si>
    <t>10030010</t>
  </si>
  <si>
    <t>KATHNI</t>
  </si>
  <si>
    <t>360119142280</t>
  </si>
  <si>
    <t>1289</t>
  </si>
  <si>
    <t>10090042</t>
  </si>
  <si>
    <t>RABAY</t>
  </si>
  <si>
    <t>325279126392</t>
  </si>
  <si>
    <t>9400</t>
  </si>
  <si>
    <t>10010038</t>
  </si>
  <si>
    <t>Goriyaro</t>
  </si>
  <si>
    <t>319687596588</t>
  </si>
  <si>
    <t>9399</t>
  </si>
  <si>
    <t>10010035</t>
  </si>
  <si>
    <t>Goha</t>
  </si>
  <si>
    <t>319809203484</t>
  </si>
  <si>
    <t>9405</t>
  </si>
  <si>
    <t>10010039</t>
  </si>
  <si>
    <t>Mangalgarh</t>
  </si>
  <si>
    <t>320098805037/320010687264</t>
  </si>
  <si>
    <t>9414</t>
  </si>
  <si>
    <t>10010050</t>
  </si>
  <si>
    <t>Ekamba</t>
  </si>
  <si>
    <t>320131124793</t>
  </si>
  <si>
    <t>1283</t>
  </si>
  <si>
    <t>10060057</t>
  </si>
  <si>
    <t>SAMBHO</t>
  </si>
  <si>
    <t>1285</t>
  </si>
  <si>
    <t>10020062</t>
  </si>
  <si>
    <t>GOVIND-BIGHA</t>
  </si>
  <si>
    <t>1286</t>
  </si>
  <si>
    <t>10020063</t>
  </si>
  <si>
    <t>MALPUR</t>
  </si>
  <si>
    <t>1287</t>
  </si>
  <si>
    <t>10090048</t>
  </si>
  <si>
    <t>NOMA</t>
  </si>
  <si>
    <t>1288</t>
  </si>
  <si>
    <t>10090049</t>
  </si>
  <si>
    <t>LAHUARA</t>
  </si>
  <si>
    <t>1290</t>
  </si>
  <si>
    <t>10090050</t>
  </si>
  <si>
    <t>KHEVSAR</t>
  </si>
  <si>
    <t>1303</t>
  </si>
  <si>
    <t>10090043</t>
  </si>
  <si>
    <t>BAKHIYA</t>
  </si>
  <si>
    <t>1304</t>
  </si>
  <si>
    <t>10090044</t>
  </si>
  <si>
    <t>JALAY</t>
  </si>
  <si>
    <t>1305</t>
  </si>
  <si>
    <t>10090045</t>
  </si>
  <si>
    <t>MANJOS</t>
  </si>
  <si>
    <t>1306</t>
  </si>
  <si>
    <t>10090046</t>
  </si>
  <si>
    <t>RATA</t>
  </si>
  <si>
    <t>1307</t>
  </si>
  <si>
    <t>10090047</t>
  </si>
  <si>
    <t>BARUI</t>
  </si>
  <si>
    <t>1308</t>
  </si>
  <si>
    <t>10020057</t>
  </si>
  <si>
    <t>KANHARPUR-2</t>
  </si>
  <si>
    <t>1309</t>
  </si>
  <si>
    <t>10020058</t>
  </si>
  <si>
    <t>BASAUNA</t>
  </si>
  <si>
    <t>1310</t>
  </si>
  <si>
    <t>10020059</t>
  </si>
  <si>
    <t>GANGA-SARAI</t>
  </si>
  <si>
    <t>1312</t>
  </si>
  <si>
    <t>10060049</t>
  </si>
  <si>
    <t>MALIYA</t>
  </si>
  <si>
    <t>1313</t>
  </si>
  <si>
    <t>10060050</t>
  </si>
  <si>
    <t>MAHULIYA</t>
  </si>
  <si>
    <t>1316</t>
  </si>
  <si>
    <t>10060053</t>
  </si>
  <si>
    <t>BASUACHAK</t>
  </si>
  <si>
    <t>1759</t>
  </si>
  <si>
    <t>10130048</t>
  </si>
  <si>
    <t>Gomukh Raipur</t>
  </si>
  <si>
    <t>Musaridharari</t>
  </si>
  <si>
    <t>319325643718</t>
  </si>
  <si>
    <t>1771</t>
  </si>
  <si>
    <t>10130046</t>
  </si>
  <si>
    <t>Jahangipur Salkhanni</t>
  </si>
  <si>
    <t>2065</t>
  </si>
  <si>
    <t>10120051</t>
  </si>
  <si>
    <t>Narenpur</t>
  </si>
  <si>
    <t>329570827279</t>
  </si>
  <si>
    <t>2066</t>
  </si>
  <si>
    <t>10120052</t>
  </si>
  <si>
    <t>Mordiba</t>
  </si>
  <si>
    <t>329286663755</t>
  </si>
  <si>
    <t>2067</t>
  </si>
  <si>
    <t>10120053</t>
  </si>
  <si>
    <t>Jagdispur</t>
  </si>
  <si>
    <t>329351122951</t>
  </si>
  <si>
    <t>2068</t>
  </si>
  <si>
    <t>10120054</t>
  </si>
  <si>
    <t>Baruna Rasalpur</t>
  </si>
  <si>
    <t>329675211587</t>
  </si>
  <si>
    <t>2069</t>
  </si>
  <si>
    <t>10120055</t>
  </si>
  <si>
    <t>Siura</t>
  </si>
  <si>
    <t>328007572102</t>
  </si>
  <si>
    <t>5151</t>
  </si>
  <si>
    <t>10030049</t>
  </si>
  <si>
    <t>SRIRAMPUR</t>
  </si>
  <si>
    <t>5152</t>
  </si>
  <si>
    <t>10030050</t>
  </si>
  <si>
    <t>PAIN</t>
  </si>
  <si>
    <t>5153</t>
  </si>
  <si>
    <t>10030051</t>
  </si>
  <si>
    <t>MOTICHAK</t>
  </si>
  <si>
    <t>5154</t>
  </si>
  <si>
    <t>10030052</t>
  </si>
  <si>
    <t>NASOPUR</t>
  </si>
  <si>
    <t>5155</t>
  </si>
  <si>
    <t>10030053</t>
  </si>
  <si>
    <t>MIRATTHI</t>
  </si>
  <si>
    <t>5156</t>
  </si>
  <si>
    <t>10030054</t>
  </si>
  <si>
    <t>GANGAPUR</t>
  </si>
  <si>
    <t>5157</t>
  </si>
  <si>
    <t>10030055</t>
  </si>
  <si>
    <t>DAULATPUR</t>
  </si>
  <si>
    <t>5158</t>
  </si>
  <si>
    <t>10030056</t>
  </si>
  <si>
    <t>MOHADDIPUR</t>
  </si>
  <si>
    <t>8611</t>
  </si>
  <si>
    <t>Gomukh Madhavpur Purbi</t>
  </si>
  <si>
    <t>323379325076</t>
  </si>
  <si>
    <t>9425</t>
  </si>
  <si>
    <t>10010054</t>
  </si>
  <si>
    <t>330074041895</t>
  </si>
  <si>
    <t>9427</t>
  </si>
  <si>
    <t>10010060</t>
  </si>
  <si>
    <t>1770</t>
  </si>
  <si>
    <t>10130045</t>
  </si>
  <si>
    <t>Gomukh Mahipura 2</t>
  </si>
  <si>
    <t>329422515886</t>
  </si>
  <si>
    <t>9408</t>
  </si>
  <si>
    <t>10010055</t>
  </si>
  <si>
    <t>GOMUKH BIRPUR PASCHIM</t>
  </si>
  <si>
    <t>9421</t>
  </si>
  <si>
    <t>10010059</t>
  </si>
  <si>
    <t>Gomukh Menhan</t>
  </si>
  <si>
    <t>9420</t>
  </si>
  <si>
    <t>10010058</t>
  </si>
  <si>
    <t>Gomukh Sugharan</t>
  </si>
  <si>
    <t>9396</t>
  </si>
  <si>
    <t>10010034</t>
  </si>
  <si>
    <t>Gomukh Laxmipur</t>
  </si>
  <si>
    <t>358114877205</t>
  </si>
  <si>
    <t>9392</t>
  </si>
  <si>
    <t>Suceel Nagar</t>
  </si>
  <si>
    <t>9184</t>
  </si>
  <si>
    <t>10080055</t>
  </si>
  <si>
    <t>Gomukh Rani</t>
  </si>
  <si>
    <t>Teghara</t>
  </si>
  <si>
    <t>327951887721</t>
  </si>
  <si>
    <t>9797</t>
  </si>
  <si>
    <t>10110051</t>
  </si>
  <si>
    <t>Gomukh Kutlupur</t>
  </si>
  <si>
    <t>327988146522</t>
  </si>
  <si>
    <t>9185</t>
  </si>
  <si>
    <t>Gomukh Chamuban</t>
  </si>
  <si>
    <t>9186</t>
  </si>
  <si>
    <t>Gomukh Barahra</t>
  </si>
  <si>
    <t>9792</t>
  </si>
  <si>
    <t>Gomukh Tulsitol</t>
  </si>
  <si>
    <t>326211889847</t>
  </si>
  <si>
    <t>9795</t>
  </si>
  <si>
    <t>10110050</t>
  </si>
  <si>
    <t>326823611632</t>
  </si>
  <si>
    <t>9794</t>
  </si>
  <si>
    <t>10110049</t>
  </si>
  <si>
    <t>Gomukh Kalyanpur</t>
  </si>
  <si>
    <t>327676831539</t>
  </si>
  <si>
    <t>9793</t>
  </si>
  <si>
    <t>Gomukh Chak</t>
  </si>
  <si>
    <t>328181366682</t>
  </si>
  <si>
    <t>9798</t>
  </si>
  <si>
    <t>Gomukh Prashant Nagar</t>
  </si>
  <si>
    <t>330166484019</t>
  </si>
  <si>
    <t>9407</t>
  </si>
  <si>
    <t>10010040</t>
  </si>
  <si>
    <t>Gomukh sahuri-2</t>
  </si>
  <si>
    <t>9183</t>
  </si>
  <si>
    <t>10080034</t>
  </si>
  <si>
    <t>Pidauli 2</t>
  </si>
  <si>
    <t>9791</t>
  </si>
  <si>
    <t>10110011</t>
  </si>
  <si>
    <t>Gomukh Partarpur</t>
  </si>
  <si>
    <t>2490</t>
  </si>
  <si>
    <t>10140068</t>
  </si>
  <si>
    <t>Gomukh Naat</t>
  </si>
  <si>
    <t>2492</t>
  </si>
  <si>
    <t>Gomukh Bithalpur</t>
  </si>
  <si>
    <t>2488</t>
  </si>
  <si>
    <t>10140066</t>
  </si>
  <si>
    <t>Gomukh Kant</t>
  </si>
  <si>
    <t>2498</t>
  </si>
  <si>
    <t>10140075</t>
  </si>
  <si>
    <t>2484</t>
  </si>
  <si>
    <t>10140060</t>
  </si>
  <si>
    <t>Gomukh Rakshanagar</t>
  </si>
  <si>
    <t>2485</t>
  </si>
  <si>
    <t>10140061</t>
  </si>
  <si>
    <t>Gomukh Niyazipur</t>
  </si>
  <si>
    <t>2079</t>
  </si>
  <si>
    <t>10120065</t>
  </si>
  <si>
    <t>334932919932</t>
  </si>
  <si>
    <t>2483</t>
  </si>
  <si>
    <t>10140059</t>
  </si>
  <si>
    <t>Gomukh Rahthua</t>
  </si>
  <si>
    <t>2506</t>
  </si>
  <si>
    <t>10140081</t>
  </si>
  <si>
    <t>Gomukh Basudhar</t>
  </si>
  <si>
    <t>2501</t>
  </si>
  <si>
    <t>2500</t>
  </si>
  <si>
    <t>Gomukh Khekhsi</t>
  </si>
  <si>
    <t>2486</t>
  </si>
  <si>
    <t>10140064</t>
  </si>
  <si>
    <t>Gomukh Athar</t>
  </si>
  <si>
    <t>2487</t>
  </si>
  <si>
    <t>10140065</t>
  </si>
  <si>
    <t>Gomukh Garani</t>
  </si>
  <si>
    <t>2489</t>
  </si>
  <si>
    <t>10140067</t>
  </si>
  <si>
    <t>Gomukh Ekauna dera</t>
  </si>
  <si>
    <t>2491</t>
  </si>
  <si>
    <t>10140069</t>
  </si>
  <si>
    <t>1772</t>
  </si>
  <si>
    <t>10130047</t>
  </si>
  <si>
    <t>Sekhpura</t>
  </si>
  <si>
    <t>329436828348</t>
  </si>
  <si>
    <t>9415</t>
  </si>
  <si>
    <t>10010051</t>
  </si>
  <si>
    <t>Gomukh Dunahi</t>
  </si>
  <si>
    <t>327267471596</t>
  </si>
  <si>
    <t>9416</t>
  </si>
  <si>
    <t>10010052</t>
  </si>
  <si>
    <t>Gomukh Rajaur</t>
  </si>
  <si>
    <t>363809996299</t>
  </si>
  <si>
    <t>9423</t>
  </si>
  <si>
    <t>Gomukh Gandhinagar Gamharia</t>
  </si>
  <si>
    <t>9424</t>
  </si>
  <si>
    <t>Gomukh Baraipura Malpur</t>
  </si>
  <si>
    <t>9426</t>
  </si>
  <si>
    <t>Gomukh Gamharia</t>
  </si>
  <si>
    <t>329610682008</t>
  </si>
  <si>
    <t>9428</t>
  </si>
  <si>
    <t>Gomukh Rajopur Pachimi</t>
  </si>
  <si>
    <t>9429</t>
  </si>
  <si>
    <t>Gomukh Chadpura</t>
  </si>
  <si>
    <t>9430</t>
  </si>
  <si>
    <t>Gomukh Navtoliya Rahimpur</t>
  </si>
  <si>
    <t>9431</t>
  </si>
  <si>
    <t>Gomukh Sikendrpur</t>
  </si>
  <si>
    <t>9432</t>
  </si>
  <si>
    <t>10010061</t>
  </si>
  <si>
    <t>Gomukh Parna</t>
  </si>
  <si>
    <t>9433</t>
  </si>
  <si>
    <t>Gomukh Sankh</t>
  </si>
  <si>
    <t>9434</t>
  </si>
  <si>
    <t>Gomukh Tulsipur</t>
  </si>
  <si>
    <t>9436</t>
  </si>
  <si>
    <t>10010056</t>
  </si>
  <si>
    <t>Gomukh Harigiridham</t>
  </si>
  <si>
    <t>336394268005</t>
  </si>
  <si>
    <t>8612</t>
  </si>
  <si>
    <t>10070032</t>
  </si>
  <si>
    <t>Gomukh Dumariya Khurd</t>
  </si>
  <si>
    <t>326335299120/327365374846</t>
  </si>
  <si>
    <t>8613</t>
  </si>
  <si>
    <t>10070033</t>
  </si>
  <si>
    <t>Gomukh Kabela</t>
  </si>
  <si>
    <t>325793494085</t>
  </si>
  <si>
    <t>8614</t>
  </si>
  <si>
    <t>10070034</t>
  </si>
  <si>
    <t>Gomukh karna</t>
  </si>
  <si>
    <t>325857176284</t>
  </si>
  <si>
    <t>8615</t>
  </si>
  <si>
    <t>Gomukh choti Lagar</t>
  </si>
  <si>
    <t>326674475057</t>
  </si>
  <si>
    <t>8617</t>
  </si>
  <si>
    <t>10070036</t>
  </si>
  <si>
    <t>Gomukh navlolya</t>
  </si>
  <si>
    <t>325647677035</t>
  </si>
  <si>
    <t>8619</t>
  </si>
  <si>
    <t>Gomukh pakrail</t>
  </si>
  <si>
    <t>325939817220</t>
  </si>
  <si>
    <t>1774</t>
  </si>
  <si>
    <t>Akwahi</t>
  </si>
  <si>
    <t>335375907402</t>
  </si>
  <si>
    <t>8620</t>
  </si>
  <si>
    <t>10070039</t>
  </si>
  <si>
    <t>Gomukh malpa uttari</t>
  </si>
  <si>
    <t>326873182198</t>
  </si>
  <si>
    <t>8644</t>
  </si>
  <si>
    <t>10100034</t>
  </si>
  <si>
    <t>Gomukh Babuchackla</t>
  </si>
  <si>
    <t>328764955549</t>
  </si>
  <si>
    <t>9799</t>
  </si>
  <si>
    <t>10110041</t>
  </si>
  <si>
    <t>Gomukh Maniappa</t>
  </si>
  <si>
    <t>Sahebpurkamal</t>
  </si>
  <si>
    <t>366111088944</t>
  </si>
  <si>
    <t>9800</t>
  </si>
  <si>
    <t>10110042</t>
  </si>
  <si>
    <t>Gomukh Sonapur</t>
  </si>
  <si>
    <t>329553741079</t>
  </si>
  <si>
    <t>9801</t>
  </si>
  <si>
    <t>Gomukh Pasla</t>
  </si>
  <si>
    <t>9802</t>
  </si>
  <si>
    <t>Gomukh Bhagwanpur</t>
  </si>
  <si>
    <t>9803</t>
  </si>
  <si>
    <t>10110052</t>
  </si>
  <si>
    <t>Gomukh Bakhadda</t>
  </si>
  <si>
    <t>9804</t>
  </si>
  <si>
    <t>10110043</t>
  </si>
  <si>
    <t>Gomukh Barkhandi 2</t>
  </si>
  <si>
    <t>330174651514</t>
  </si>
  <si>
    <t>9805</t>
  </si>
  <si>
    <t>10110044</t>
  </si>
  <si>
    <t>Gomukh Sahibpur</t>
  </si>
  <si>
    <t>366709982340</t>
  </si>
  <si>
    <t>1276</t>
  </si>
  <si>
    <t>10060011</t>
  </si>
  <si>
    <t>BALHAPUR</t>
  </si>
  <si>
    <t>320613915199</t>
  </si>
  <si>
    <t>1278</t>
  </si>
  <si>
    <t>10060038</t>
  </si>
  <si>
    <t>DHARAMPUR</t>
  </si>
  <si>
    <t>321382243969</t>
  </si>
  <si>
    <t>9410</t>
  </si>
  <si>
    <t>10010045</t>
  </si>
  <si>
    <t>Gomukh Garhpura-1</t>
  </si>
  <si>
    <t>322138122309</t>
  </si>
  <si>
    <t>9409</t>
  </si>
  <si>
    <t>10010044</t>
  </si>
  <si>
    <t>Gomukh Kanausi</t>
  </si>
  <si>
    <t>358824266766</t>
  </si>
  <si>
    <t>SARMATSPUR</t>
  </si>
  <si>
    <t>216981530963</t>
  </si>
  <si>
    <t>Unkown</t>
  </si>
  <si>
    <t>309217927185</t>
  </si>
  <si>
    <t>Gomukh Pakra</t>
  </si>
  <si>
    <t>Gomukh Paharpur</t>
  </si>
  <si>
    <t>305409222330</t>
  </si>
  <si>
    <t>2420</t>
  </si>
  <si>
    <t>MAJHARIYA</t>
  </si>
  <si>
    <t>Returned</t>
  </si>
  <si>
    <t>Guddi Devi</t>
  </si>
  <si>
    <t>Priti Kumari</t>
  </si>
  <si>
    <t>Sudhir Kumar Ray</t>
  </si>
  <si>
    <t>5113</t>
  </si>
  <si>
    <t>DINDAYALPUR</t>
  </si>
  <si>
    <t>5119</t>
  </si>
  <si>
    <t>5139</t>
  </si>
  <si>
    <t>PARVARA</t>
  </si>
  <si>
    <t>1259</t>
  </si>
  <si>
    <t>Kiranpur</t>
  </si>
  <si>
    <t>5129</t>
  </si>
  <si>
    <t>Gomukh KIRANPUR</t>
  </si>
  <si>
    <t>5130</t>
  </si>
  <si>
    <t>AMAIYA</t>
  </si>
  <si>
    <t>9789</t>
  </si>
  <si>
    <t>GOMUKH SAKARPURA</t>
  </si>
  <si>
    <t>9788</t>
  </si>
  <si>
    <t>GOMUKH PANSALLA</t>
  </si>
  <si>
    <t>9782</t>
  </si>
  <si>
    <t>Gomukh Bishanpur Dihtola</t>
  </si>
  <si>
    <t>9758</t>
  </si>
  <si>
    <t>Gomukh Karumandal Tola</t>
  </si>
  <si>
    <t>9169</t>
  </si>
  <si>
    <t>GomukhGehuni</t>
  </si>
  <si>
    <t>9381</t>
  </si>
  <si>
    <t>Kirmodi tola pansala</t>
  </si>
  <si>
    <t>9380</t>
  </si>
  <si>
    <t>Sawant mointola</t>
  </si>
  <si>
    <t>1219</t>
  </si>
  <si>
    <t>Makdumpur</t>
  </si>
  <si>
    <t>1221</t>
  </si>
  <si>
    <t>Bajitpur</t>
  </si>
  <si>
    <t>9371</t>
  </si>
  <si>
    <t>Gomukh Pirnagar</t>
  </si>
  <si>
    <t>9150</t>
  </si>
  <si>
    <t>Gomukh Rachiyahi purana tola</t>
  </si>
  <si>
    <t>9370</t>
  </si>
  <si>
    <t>Gomukh Malipur</t>
  </si>
  <si>
    <t>9368</t>
  </si>
  <si>
    <t>Gomukh Narayanpipper</t>
  </si>
  <si>
    <t>9359</t>
  </si>
  <si>
    <t>Gomukh Kumharson</t>
  </si>
  <si>
    <t>9358</t>
  </si>
  <si>
    <t>Gomukh Sonma</t>
  </si>
  <si>
    <t>9348</t>
  </si>
  <si>
    <t>Gomukh Dumari</t>
  </si>
  <si>
    <t>9347</t>
  </si>
  <si>
    <t>Gomukh Koriama</t>
  </si>
  <si>
    <t>9345</t>
  </si>
  <si>
    <t>Gomukh Karor</t>
  </si>
  <si>
    <t>1189</t>
  </si>
  <si>
    <t>KHARAGWARA</t>
  </si>
  <si>
    <t>9339</t>
  </si>
  <si>
    <t>Gomukh Kalenarpat Nagar</t>
  </si>
  <si>
    <t>8651</t>
  </si>
  <si>
    <t>Arariya Ward NO 9</t>
  </si>
  <si>
    <t>8596</t>
  </si>
  <si>
    <t>Gomukh Thebhay</t>
  </si>
  <si>
    <t>8592</t>
  </si>
  <si>
    <t>Gomukh Bhrsho</t>
  </si>
  <si>
    <t>8585</t>
  </si>
  <si>
    <t>Gomukh Temtha Raka</t>
  </si>
  <si>
    <t>8581</t>
  </si>
  <si>
    <t>Gomukh Salarpur</t>
  </si>
  <si>
    <t>DUKH-HARAN TOLA</t>
  </si>
  <si>
    <t>7113</t>
  </si>
  <si>
    <t>Gomukh Chorhar</t>
  </si>
  <si>
    <t>9365</t>
  </si>
  <si>
    <t>Maida</t>
  </si>
  <si>
    <t>2461</t>
  </si>
  <si>
    <t>Gaogura</t>
  </si>
  <si>
    <t>9372</t>
  </si>
  <si>
    <t>Barhara</t>
  </si>
  <si>
    <t>9165</t>
  </si>
  <si>
    <t>9167</t>
  </si>
  <si>
    <t>Navtol</t>
  </si>
  <si>
    <t>9168</t>
  </si>
  <si>
    <t>Shibutol</t>
  </si>
  <si>
    <t>9170</t>
  </si>
  <si>
    <t>Gomukh Gaura</t>
  </si>
  <si>
    <t>9171</t>
  </si>
  <si>
    <t>Gomukh pasopur</t>
  </si>
  <si>
    <t>1918</t>
  </si>
  <si>
    <t>Bisanpur Govind</t>
  </si>
  <si>
    <t>2071</t>
  </si>
  <si>
    <t>Kursaha</t>
  </si>
  <si>
    <t>9404</t>
  </si>
  <si>
    <t>GOMUKH BHEETH</t>
  </si>
  <si>
    <t>1234</t>
  </si>
  <si>
    <t>SHARMA-TAAL</t>
  </si>
  <si>
    <t>0397</t>
  </si>
  <si>
    <t>Chandsarai Yadav Toal</t>
  </si>
  <si>
    <t>9778</t>
  </si>
  <si>
    <t>Gomukh Hiratol</t>
  </si>
  <si>
    <t>2020</t>
  </si>
  <si>
    <t>Balthara</t>
  </si>
  <si>
    <t>1175</t>
  </si>
  <si>
    <t>Bishnupur</t>
  </si>
  <si>
    <t>0334</t>
  </si>
  <si>
    <t>0339</t>
  </si>
  <si>
    <t>0398</t>
  </si>
  <si>
    <t>Jandaha</t>
  </si>
  <si>
    <t>0378</t>
  </si>
  <si>
    <t>Mahisari</t>
  </si>
  <si>
    <t>Jartadih</t>
  </si>
  <si>
    <t>0325</t>
  </si>
  <si>
    <t>Old</t>
  </si>
  <si>
    <t>0394</t>
  </si>
  <si>
    <t>Mog</t>
  </si>
  <si>
    <t>8643</t>
  </si>
  <si>
    <t>Balha</t>
  </si>
  <si>
    <t>Mishroliya</t>
  </si>
  <si>
    <t>Sonbarsha pachim</t>
  </si>
  <si>
    <t>2060</t>
  </si>
  <si>
    <t>Raygadh</t>
  </si>
  <si>
    <t>8575</t>
  </si>
  <si>
    <t>Gomukh Enlish Lagar</t>
  </si>
  <si>
    <t>8583</t>
  </si>
  <si>
    <t>Gomukh Kanhaiyachak Purbi</t>
  </si>
  <si>
    <t>0389</t>
  </si>
  <si>
    <t>Jalalpur</t>
  </si>
  <si>
    <t>Nandan</t>
  </si>
  <si>
    <t>Chak Sikandar</t>
  </si>
  <si>
    <t>Nirbhay Agro</t>
  </si>
  <si>
    <t>Kulharia Agriculture  Producer Company Lt</t>
  </si>
  <si>
    <t>9776</t>
  </si>
  <si>
    <t>0382</t>
  </si>
  <si>
    <t>GARH SISAI PATHAK TOLA</t>
  </si>
  <si>
    <t>1921</t>
  </si>
  <si>
    <t>Darba</t>
  </si>
  <si>
    <t>1748</t>
  </si>
  <si>
    <t>2102</t>
  </si>
  <si>
    <t>1753</t>
  </si>
  <si>
    <t>HARI LOCHANPUR TISWARA</t>
  </si>
  <si>
    <t>1923</t>
  </si>
  <si>
    <t>JALALPUR MAHTO TOLA</t>
  </si>
  <si>
    <t>8576</t>
  </si>
  <si>
    <t>Gomukh Parbatta</t>
  </si>
  <si>
    <t>2425</t>
  </si>
  <si>
    <t>RANGI DERA</t>
  </si>
  <si>
    <t>9349</t>
  </si>
  <si>
    <t>Gomukh Garhpura</t>
  </si>
  <si>
    <t>8618</t>
  </si>
  <si>
    <t>Gomukh malpa dakshin</t>
  </si>
  <si>
    <t>Kursha</t>
  </si>
  <si>
    <t>9764</t>
  </si>
  <si>
    <t>Gomukh Tazpur</t>
  </si>
  <si>
    <t>2405</t>
  </si>
  <si>
    <t>Tekman yadav ke dera</t>
  </si>
  <si>
    <t>2426</t>
  </si>
  <si>
    <t>BARKA RAJPUR</t>
  </si>
  <si>
    <t>0395</t>
  </si>
  <si>
    <t>1203</t>
  </si>
  <si>
    <t>Chananiya</t>
  </si>
  <si>
    <t>8580</t>
  </si>
  <si>
    <t>Gomukh Navtoliya</t>
  </si>
  <si>
    <t>9765</t>
  </si>
  <si>
    <t>Gomukh Nanhkutol</t>
  </si>
  <si>
    <t>9344</t>
  </si>
  <si>
    <t>Gomukh Ekmba</t>
  </si>
  <si>
    <t>1922</t>
  </si>
  <si>
    <t>SAHPUR BARATH</t>
  </si>
  <si>
    <t>0138</t>
  </si>
  <si>
    <t>Kharra</t>
  </si>
  <si>
    <t>1230</t>
  </si>
  <si>
    <t>MAA-BHAGWATI</t>
  </si>
  <si>
    <t>0387</t>
  </si>
  <si>
    <t>SAMSA</t>
  </si>
  <si>
    <t>0385</t>
  </si>
  <si>
    <t>BHUSARI KALI STHAN</t>
  </si>
  <si>
    <t>0383</t>
  </si>
  <si>
    <t>HARI SHANKAR PUR</t>
  </si>
  <si>
    <t>9757</t>
  </si>
  <si>
    <t>Gomukh  Mahendrapur-2</t>
  </si>
  <si>
    <t>9767</t>
  </si>
  <si>
    <t>Gomukh Godargama</t>
  </si>
  <si>
    <t>9749</t>
  </si>
  <si>
    <t>Gomukh Govindpur</t>
  </si>
  <si>
    <t>Rani 3</t>
  </si>
  <si>
    <t>9762</t>
  </si>
  <si>
    <t>Gomukh Jangali mandal tola Karari</t>
  </si>
  <si>
    <t>2410</t>
  </si>
  <si>
    <t>Mahrauli</t>
  </si>
  <si>
    <t>Rampur Dumra</t>
  </si>
  <si>
    <t>2427</t>
  </si>
  <si>
    <t>PRATAPSAGAR</t>
  </si>
  <si>
    <t>1231</t>
  </si>
  <si>
    <t>Rampur</t>
  </si>
  <si>
    <t>1247</t>
  </si>
  <si>
    <t>GOMUKH PRAYAG-TOLA</t>
  </si>
  <si>
    <t>0379</t>
  </si>
  <si>
    <t>Madhaipur Tada</t>
  </si>
  <si>
    <t>9153</t>
  </si>
  <si>
    <t>Gomukh Simariya 1</t>
  </si>
  <si>
    <t>1188</t>
  </si>
  <si>
    <t>KHAIRRI</t>
  </si>
  <si>
    <t>1199</t>
  </si>
  <si>
    <t>PARTAPUR</t>
  </si>
  <si>
    <t>1215</t>
  </si>
  <si>
    <t>Gomukh Girdharpur</t>
  </si>
  <si>
    <t>1249</t>
  </si>
  <si>
    <t>GOMUKH NAURANGA</t>
  </si>
  <si>
    <t>5122</t>
  </si>
  <si>
    <t>SATKHARIYA</t>
  </si>
  <si>
    <t>1242</t>
  </si>
  <si>
    <t>BARARE</t>
  </si>
  <si>
    <t>2443</t>
  </si>
  <si>
    <t>Suraundha</t>
  </si>
  <si>
    <t>9388</t>
  </si>
  <si>
    <t>Gomukh Mangalgarh</t>
  </si>
  <si>
    <t>9342</t>
  </si>
  <si>
    <t>Dharmpur</t>
  </si>
  <si>
    <t>2046</t>
  </si>
  <si>
    <t>Manda</t>
  </si>
  <si>
    <t>2045</t>
  </si>
  <si>
    <t>Dalwar</t>
  </si>
  <si>
    <t>0386</t>
  </si>
  <si>
    <t>KURSAHA BICHLA TOL</t>
  </si>
  <si>
    <t>2475</t>
  </si>
  <si>
    <t>Pokhrahi</t>
  </si>
  <si>
    <t>2424</t>
  </si>
  <si>
    <t>MATHURA BABA KA DERA</t>
  </si>
  <si>
    <t>2432</t>
  </si>
  <si>
    <t>GOMUKH JAGDISHPUR</t>
  </si>
  <si>
    <t>2406</t>
  </si>
  <si>
    <t>Nawadera</t>
  </si>
  <si>
    <t>9738</t>
  </si>
  <si>
    <t>Gomukh Balaha</t>
  </si>
  <si>
    <t>Gomukh Bhawanandpur</t>
  </si>
  <si>
    <t>Dullapur</t>
  </si>
  <si>
    <t>Gomukh Safapur</t>
  </si>
  <si>
    <t>Gomukh Uatri Barkhandi Tola</t>
  </si>
  <si>
    <t>8616</t>
  </si>
  <si>
    <t>Charghariya Lagar</t>
  </si>
  <si>
    <t>9548</t>
  </si>
  <si>
    <t>Gomukh Aahoghat</t>
  </si>
  <si>
    <t>9524</t>
  </si>
  <si>
    <t>Katarmala</t>
  </si>
  <si>
    <t>Simiriya 1</t>
  </si>
  <si>
    <t>210187919042</t>
  </si>
  <si>
    <t>232829359719</t>
  </si>
  <si>
    <t>317458152467</t>
  </si>
  <si>
    <t>318961562911</t>
  </si>
  <si>
    <t>305952828771</t>
  </si>
  <si>
    <t>307438415616</t>
  </si>
  <si>
    <t>308033353803</t>
  </si>
  <si>
    <t>219981233897</t>
  </si>
  <si>
    <t>211602523478,HDFCxx5682</t>
  </si>
  <si>
    <t>234065588283</t>
  </si>
  <si>
    <t>234866502615</t>
  </si>
  <si>
    <t>215139412953,215108661318</t>
  </si>
  <si>
    <t>208241246841</t>
  </si>
  <si>
    <t>329845264499</t>
  </si>
  <si>
    <t>311483127862</t>
  </si>
  <si>
    <t>307875156748</t>
  </si>
  <si>
    <t>307220200265</t>
  </si>
  <si>
    <t>CH</t>
  </si>
  <si>
    <t>305242377119</t>
  </si>
  <si>
    <t>321238785498</t>
  </si>
  <si>
    <t>210665166296</t>
  </si>
  <si>
    <t>329384759943</t>
  </si>
  <si>
    <t>IOBAN23065151994</t>
  </si>
  <si>
    <t>210115303821</t>
  </si>
  <si>
    <t>309717296988</t>
  </si>
  <si>
    <t>234988149149</t>
  </si>
  <si>
    <t>328617860533/328603722876</t>
  </si>
  <si>
    <t>221423626276</t>
  </si>
  <si>
    <t>353323670274</t>
  </si>
  <si>
    <t>357371743902</t>
  </si>
  <si>
    <t>306134717893</t>
  </si>
  <si>
    <t>233234185342</t>
  </si>
  <si>
    <t>307991385972</t>
  </si>
  <si>
    <t>234534213264</t>
  </si>
  <si>
    <t>406142648000</t>
  </si>
  <si>
    <t>442864364966</t>
  </si>
  <si>
    <t>213784498199</t>
  </si>
  <si>
    <t>6308053052</t>
  </si>
  <si>
    <t>228426724057</t>
  </si>
  <si>
    <t>215343157627</t>
  </si>
  <si>
    <t>307563788890</t>
  </si>
  <si>
    <t>212316498707</t>
  </si>
  <si>
    <t>306279589196</t>
  </si>
  <si>
    <t>329266985574</t>
  </si>
  <si>
    <t>221962652781</t>
  </si>
  <si>
    <t>208927393306</t>
  </si>
  <si>
    <t>212361563407</t>
  </si>
  <si>
    <t>218115884715</t>
  </si>
  <si>
    <t>307814100884</t>
  </si>
  <si>
    <t>221813316558</t>
  </si>
  <si>
    <t>214472943576</t>
  </si>
  <si>
    <t>Ch-</t>
  </si>
  <si>
    <t>223078807171</t>
  </si>
  <si>
    <t>216691070456</t>
  </si>
  <si>
    <t>218547976447</t>
  </si>
  <si>
    <t>228686127484</t>
  </si>
  <si>
    <t>214144256104</t>
  </si>
  <si>
    <t>2084413311142/11311590177</t>
  </si>
  <si>
    <t>220729129113</t>
  </si>
  <si>
    <t>208441331114</t>
  </si>
  <si>
    <t>224612500692</t>
  </si>
  <si>
    <t>213562162026</t>
  </si>
  <si>
    <t>312148531517</t>
  </si>
  <si>
    <t>211638534759</t>
  </si>
  <si>
    <t>223859527054</t>
  </si>
  <si>
    <t>Cash Deposite Through HDFC Bank</t>
  </si>
  <si>
    <t>215229194859</t>
  </si>
  <si>
    <t>313202312850</t>
  </si>
  <si>
    <t>308051094085</t>
  </si>
  <si>
    <t>223709619350</t>
  </si>
  <si>
    <t>314428768490</t>
  </si>
  <si>
    <t>219783021793</t>
  </si>
  <si>
    <t>307982346053</t>
  </si>
  <si>
    <t>216067755216</t>
  </si>
  <si>
    <t>208783488504</t>
  </si>
  <si>
    <t>210370578479</t>
  </si>
  <si>
    <t>220833913588</t>
  </si>
  <si>
    <t>223286104811</t>
  </si>
  <si>
    <t>223390878671</t>
  </si>
  <si>
    <t>229748849815</t>
  </si>
  <si>
    <t>209535760066</t>
  </si>
  <si>
    <t>2022041368998844</t>
  </si>
  <si>
    <t>213352787362</t>
  </si>
  <si>
    <t>234814416927</t>
  </si>
  <si>
    <t>302517163878</t>
  </si>
  <si>
    <t>219216941984</t>
  </si>
  <si>
    <t>227116931862</t>
  </si>
  <si>
    <t>303757600633</t>
  </si>
  <si>
    <t>303059733319</t>
  </si>
  <si>
    <t>304585236397</t>
  </si>
  <si>
    <t>304178926043</t>
  </si>
  <si>
    <t>326520055352</t>
  </si>
  <si>
    <t>Security Status of EMI Model (Wef 01/03/2022)</t>
  </si>
  <si>
    <t>Particulars</t>
  </si>
  <si>
    <t>Amount</t>
  </si>
  <si>
    <t>Receved as security</t>
  </si>
  <si>
    <t>Unreconciled Security</t>
  </si>
  <si>
    <t>EMI Deduction</t>
  </si>
  <si>
    <t>Total</t>
  </si>
  <si>
    <t>Retun to MPGs</t>
  </si>
  <si>
    <t>Yet to Map</t>
  </si>
  <si>
    <t>Paid to PRAVAH</t>
  </si>
  <si>
    <t>Net Balance with Daya</t>
  </si>
  <si>
    <t>Reco</t>
  </si>
  <si>
    <t>Ledger Name</t>
  </si>
  <si>
    <t>Amt</t>
  </si>
  <si>
    <t>AMCU Down Payment</t>
  </si>
  <si>
    <t>New Assets EMI</t>
  </si>
  <si>
    <t>Diff</t>
  </si>
  <si>
    <t>10090030</t>
  </si>
  <si>
    <t>PRAVAH NEW</t>
  </si>
  <si>
    <t>KredeX</t>
  </si>
  <si>
    <t>ITC</t>
  </si>
  <si>
    <t>PRAVAH OLD</t>
  </si>
  <si>
    <t>Araria</t>
  </si>
  <si>
    <t>10480007</t>
  </si>
  <si>
    <t>10010041</t>
  </si>
  <si>
    <t>10110038</t>
  </si>
  <si>
    <t>10010031</t>
  </si>
  <si>
    <t>10010022</t>
  </si>
  <si>
    <t>10100018</t>
  </si>
  <si>
    <t>10140036</t>
  </si>
  <si>
    <t>10140042</t>
  </si>
  <si>
    <t>10100023</t>
  </si>
  <si>
    <t>10070012</t>
  </si>
  <si>
    <t>10100022</t>
  </si>
  <si>
    <t>10010026</t>
  </si>
  <si>
    <t>10010023</t>
  </si>
  <si>
    <t>10100013</t>
  </si>
  <si>
    <t>10100012</t>
  </si>
  <si>
    <t>10100011</t>
  </si>
  <si>
    <t>10080058</t>
  </si>
  <si>
    <t>10110034</t>
  </si>
  <si>
    <t>10100010</t>
  </si>
  <si>
    <t>10010011</t>
  </si>
  <si>
    <t>10010010</t>
  </si>
  <si>
    <t>10080019</t>
  </si>
  <si>
    <t>10080021</t>
  </si>
  <si>
    <t>10110031</t>
  </si>
  <si>
    <t>10010002</t>
  </si>
  <si>
    <t>10010046</t>
  </si>
  <si>
    <t>10010001</t>
  </si>
  <si>
    <t>10110029</t>
  </si>
  <si>
    <t>10110026</t>
  </si>
  <si>
    <t>10110023</t>
  </si>
  <si>
    <t>10110009</t>
  </si>
  <si>
    <t>10110018</t>
  </si>
  <si>
    <t>10080017</t>
  </si>
  <si>
    <t>10130021</t>
  </si>
  <si>
    <t>10140091</t>
  </si>
  <si>
    <t>10120068</t>
  </si>
  <si>
    <t>326238917455</t>
  </si>
  <si>
    <t>UCBAH23263187745</t>
  </si>
  <si>
    <t>325192240283</t>
  </si>
  <si>
    <t>325141682076</t>
  </si>
  <si>
    <t>325648695834</t>
  </si>
  <si>
    <t>325683487374</t>
  </si>
  <si>
    <t>325926914963</t>
  </si>
  <si>
    <t>326591500611</t>
  </si>
  <si>
    <t>327389238426</t>
  </si>
  <si>
    <t>327372030111</t>
  </si>
  <si>
    <t>327780249430</t>
  </si>
  <si>
    <t>PUNBH23279216414</t>
  </si>
  <si>
    <t>327998447396</t>
  </si>
  <si>
    <t>329018457959</t>
  </si>
  <si>
    <t>330598136640</t>
  </si>
  <si>
    <t>330762238604</t>
  </si>
  <si>
    <t>331054940236</t>
  </si>
  <si>
    <t>334170837900</t>
  </si>
  <si>
    <t>334180369582</t>
  </si>
  <si>
    <t>334174503699</t>
  </si>
  <si>
    <t>335365452880</t>
  </si>
  <si>
    <t>335374897494</t>
  </si>
  <si>
    <t>372925881710</t>
  </si>
  <si>
    <t>336513207173</t>
  </si>
  <si>
    <t>402372923882</t>
  </si>
  <si>
    <t>404539452824</t>
  </si>
  <si>
    <t>405814147035</t>
  </si>
  <si>
    <t>405909495553</t>
  </si>
  <si>
    <t>406009615223</t>
  </si>
  <si>
    <t>10060065</t>
  </si>
  <si>
    <t>Puranidih 3</t>
  </si>
  <si>
    <t>405906358418</t>
  </si>
  <si>
    <t>AXSK241070012854</t>
  </si>
  <si>
    <t>Bhojpur Jaddi Farmers Producer Com. Ltd</t>
  </si>
  <si>
    <t>IDIBH24107261938</t>
  </si>
  <si>
    <t>10140102</t>
  </si>
  <si>
    <t>10140105</t>
  </si>
  <si>
    <t>AASARFI DWARIKA AGRICULTURE PRODUCER COMPANY LTD BHADA</t>
  </si>
  <si>
    <t>SBIN424127120714</t>
  </si>
  <si>
    <t>10060066</t>
  </si>
  <si>
    <t xml:space="preserve">Nista </t>
  </si>
  <si>
    <t>413584696788</t>
  </si>
  <si>
    <t>10140107</t>
  </si>
  <si>
    <t>Gomukh Chhapra</t>
  </si>
  <si>
    <t>414366099984</t>
  </si>
  <si>
    <t>10120080</t>
  </si>
  <si>
    <t>Maniktol</t>
  </si>
  <si>
    <t>414828546269</t>
  </si>
  <si>
    <t>414957823713</t>
  </si>
  <si>
    <t>10130065</t>
  </si>
  <si>
    <t>Jahakhra Ram</t>
  </si>
  <si>
    <t>451627098429</t>
  </si>
  <si>
    <t>415186101431</t>
  </si>
  <si>
    <t>AXSK240960010876</t>
  </si>
  <si>
    <t>336133184982</t>
  </si>
  <si>
    <t>372134336432</t>
  </si>
  <si>
    <t>414882757681</t>
  </si>
  <si>
    <t>Stolen</t>
  </si>
  <si>
    <t>SABIKPUR</t>
  </si>
  <si>
    <t>CHETAN-TOLA-KHUTHA</t>
  </si>
  <si>
    <t>RANGAUN</t>
  </si>
  <si>
    <t>GONAI</t>
  </si>
  <si>
    <t>SHIKARITOLA</t>
  </si>
  <si>
    <t>SHINGARPUR</t>
  </si>
  <si>
    <t>NANDNAMA-2</t>
  </si>
  <si>
    <t>0</t>
  </si>
  <si>
    <t>Not issued</t>
  </si>
  <si>
    <t>Not Deposited Due to FPO</t>
  </si>
  <si>
    <t>410182080858/449314166135</t>
  </si>
  <si>
    <t>PRAVAH/ITC</t>
  </si>
  <si>
    <t>ITC New (K)</t>
  </si>
  <si>
    <t>PRAVAH</t>
  </si>
  <si>
    <t>Kradex</t>
  </si>
  <si>
    <t>ITC New</t>
  </si>
  <si>
    <t>MPG Code</t>
  </si>
  <si>
    <t>10060068</t>
  </si>
  <si>
    <t>BASUHAR</t>
  </si>
  <si>
    <t>417688906193</t>
  </si>
  <si>
    <t>417155708010</t>
  </si>
  <si>
    <t>10480017</t>
  </si>
  <si>
    <t>Gomukh Kamla Kund</t>
  </si>
  <si>
    <t>416629875176</t>
  </si>
  <si>
    <t>10480018</t>
  </si>
  <si>
    <t>Gomukh Kashimpur</t>
  </si>
  <si>
    <t>416580603531</t>
  </si>
  <si>
    <t>10480020</t>
  </si>
  <si>
    <t>Gomukh Gopalpur</t>
  </si>
  <si>
    <t>416502999194</t>
  </si>
  <si>
    <t>10140113</t>
  </si>
  <si>
    <t>Gomukh Bhadwar</t>
  </si>
  <si>
    <t>454427472772</t>
  </si>
  <si>
    <t>10480019</t>
  </si>
  <si>
    <t>Gomukh Dimha</t>
  </si>
  <si>
    <t>416507207524</t>
  </si>
  <si>
    <t>10100044</t>
  </si>
  <si>
    <t>Gomukh Buddhnagar</t>
  </si>
  <si>
    <t>416481570715</t>
  </si>
  <si>
    <t>10100045</t>
  </si>
  <si>
    <t>Gomukh Krochaka Dudhela</t>
  </si>
  <si>
    <t>416458289652</t>
  </si>
  <si>
    <t>415647127177</t>
  </si>
  <si>
    <t>415776163231</t>
  </si>
  <si>
    <t>416031427629</t>
  </si>
  <si>
    <t>415050284668</t>
  </si>
  <si>
    <t>Gomukh Chhoti telauchh</t>
  </si>
  <si>
    <t>415017404568</t>
  </si>
  <si>
    <t>414369866850</t>
  </si>
  <si>
    <t>335204881544</t>
  </si>
  <si>
    <t>323694897945</t>
  </si>
  <si>
    <t>GOMUKH SONAPUR</t>
  </si>
  <si>
    <t>GOMUKH INIYAR</t>
  </si>
  <si>
    <t>GOMUKH CHIRANJIVIPUR</t>
  </si>
  <si>
    <t>GOMUKH BHEEM TOLA</t>
  </si>
  <si>
    <t>GOMUKH BANARASI TOLA</t>
  </si>
  <si>
    <t>GOMUKH RACHIHAI PURANA TOLA</t>
  </si>
  <si>
    <t>GOMUKH SANHA NAYATOLA</t>
  </si>
  <si>
    <t>10080071</t>
  </si>
  <si>
    <t>10080072</t>
  </si>
  <si>
    <t>10110081</t>
  </si>
  <si>
    <t>10110082</t>
  </si>
  <si>
    <t>10110083</t>
  </si>
  <si>
    <t>10110084</t>
  </si>
  <si>
    <t>10110085</t>
  </si>
  <si>
    <t>417211547093</t>
  </si>
  <si>
    <t>454054914113</t>
  </si>
  <si>
    <t>417990470247/416798971181</t>
  </si>
  <si>
    <t>416541042832</t>
  </si>
  <si>
    <t>Gomukh Amghatta Sripur</t>
  </si>
  <si>
    <t>405090370838</t>
  </si>
  <si>
    <t>Farmer Payment</t>
  </si>
  <si>
    <t>Benificery Name</t>
  </si>
  <si>
    <t>Dhirendra Kumar Sharma</t>
  </si>
  <si>
    <t xml:space="preserve">Raviraj Kumar </t>
  </si>
  <si>
    <t>Amit Kumar</t>
  </si>
  <si>
    <t>Brajesh Kumar</t>
  </si>
  <si>
    <t>Ankesh Kumar</t>
  </si>
  <si>
    <t>2502</t>
  </si>
  <si>
    <t>MPG Kirani</t>
  </si>
  <si>
    <t xml:space="preserve">Md Parwez Alam </t>
  </si>
  <si>
    <t>ANAND KUMAR</t>
  </si>
  <si>
    <t>KUNDAN KUMAR</t>
  </si>
  <si>
    <t>AJAY KUMAR</t>
  </si>
  <si>
    <t>GANITA DEVI</t>
  </si>
  <si>
    <t>RINA DEVI</t>
  </si>
  <si>
    <t>BAMBAM SINGH</t>
  </si>
  <si>
    <t>SONAM DEVI</t>
  </si>
  <si>
    <t>MANISH KUMAR</t>
  </si>
  <si>
    <t>Gayatri Devi</t>
  </si>
  <si>
    <t>Mantosh Kumar Yadav</t>
  </si>
  <si>
    <t xml:space="preserve">Vina Devi </t>
  </si>
  <si>
    <t>Santosh Kumar</t>
  </si>
  <si>
    <t>Rajesh Kumar</t>
  </si>
  <si>
    <t>Manoj Kumar</t>
  </si>
  <si>
    <t>Asutosh kumar</t>
  </si>
  <si>
    <t>Ram babu Yadav</t>
  </si>
  <si>
    <t xml:space="preserve">Sandeep Kumar Jha </t>
  </si>
  <si>
    <t xml:space="preserve">Amar Kumar </t>
  </si>
  <si>
    <t xml:space="preserve">Chandani Kumari </t>
  </si>
  <si>
    <t xml:space="preserve">Anupam Kumari </t>
  </si>
  <si>
    <t>Yogesh Yadav</t>
  </si>
  <si>
    <t>RAJENDRA YADAV</t>
  </si>
  <si>
    <t>8657</t>
  </si>
  <si>
    <t xml:space="preserve">Anshu Kumar </t>
  </si>
  <si>
    <t>Saroj Kumar</t>
  </si>
  <si>
    <t xml:space="preserve">Rinku Kumari </t>
  </si>
  <si>
    <t>2108</t>
  </si>
  <si>
    <t>RANJIT KUMAR MAHTO</t>
  </si>
  <si>
    <t>0365</t>
  </si>
  <si>
    <t>Girish Yadav</t>
  </si>
  <si>
    <t xml:space="preserve">Pawan Kumar  </t>
  </si>
  <si>
    <t>0359</t>
  </si>
  <si>
    <t xml:space="preserve">Vipin Kumar </t>
  </si>
  <si>
    <t>satyaketu kumar</t>
  </si>
  <si>
    <t>krishna kumar choudhary</t>
  </si>
  <si>
    <t>SHANAM KUMARI</t>
  </si>
  <si>
    <t>MUKESH YADAV</t>
  </si>
  <si>
    <t>Date</t>
  </si>
  <si>
    <t>Purpose</t>
  </si>
  <si>
    <t>Battery</t>
  </si>
  <si>
    <t>AMCU</t>
  </si>
  <si>
    <t>Vch Type</t>
  </si>
  <si>
    <t>Vch No.</t>
  </si>
  <si>
    <t>Debit</t>
  </si>
  <si>
    <t>13/9/23</t>
  </si>
  <si>
    <t>3718</t>
  </si>
  <si>
    <t>28/9/23</t>
  </si>
  <si>
    <t>10000</t>
  </si>
  <si>
    <t>20000</t>
  </si>
  <si>
    <t>Cr</t>
  </si>
  <si>
    <t>HDFC Bank Ltd. - 50100063899098</t>
  </si>
  <si>
    <t>Payment</t>
  </si>
  <si>
    <t>84</t>
  </si>
  <si>
    <t>124</t>
  </si>
  <si>
    <t>145</t>
  </si>
  <si>
    <t>212</t>
  </si>
  <si>
    <t>248</t>
  </si>
  <si>
    <t>269</t>
  </si>
  <si>
    <t>270</t>
  </si>
  <si>
    <t>Revert</t>
  </si>
  <si>
    <t>Amit 2nd lot</t>
  </si>
  <si>
    <t>10010080</t>
  </si>
  <si>
    <t>10010081</t>
  </si>
  <si>
    <t>Gomukh Paguraha</t>
  </si>
  <si>
    <t>Gomukh Dharampur</t>
  </si>
  <si>
    <t>418307415897</t>
  </si>
  <si>
    <t>Gomukh Kukurha</t>
  </si>
  <si>
    <t>Gomukh Mahila</t>
  </si>
  <si>
    <t>420052338682</t>
  </si>
  <si>
    <t>420841036862</t>
  </si>
  <si>
    <t>10480014</t>
  </si>
  <si>
    <t>10020068</t>
  </si>
  <si>
    <t>10020069</t>
  </si>
  <si>
    <t>10140115</t>
  </si>
  <si>
    <t>10140116</t>
  </si>
  <si>
    <t>Gomukh Durgapur</t>
  </si>
  <si>
    <t>Gomukh Barkhandi tol</t>
  </si>
  <si>
    <t>Gomukh Shakarpura</t>
  </si>
  <si>
    <t>421106128085</t>
  </si>
  <si>
    <t>421166179047</t>
  </si>
  <si>
    <t>421319426851</t>
  </si>
  <si>
    <t>Gomukh Ahiyarpur</t>
  </si>
  <si>
    <t>Gomukh Jagdishmandal tol</t>
  </si>
  <si>
    <t>418454665163</t>
  </si>
  <si>
    <t>419163855170</t>
  </si>
  <si>
    <t>10080074</t>
  </si>
  <si>
    <t>Desu Balo Tol</t>
  </si>
  <si>
    <t>Chaksikandar East</t>
  </si>
  <si>
    <t>Beri</t>
  </si>
  <si>
    <t>Mahmmadipur</t>
  </si>
  <si>
    <t>418174803337</t>
  </si>
  <si>
    <t>419955970127</t>
  </si>
  <si>
    <t>420756614181</t>
  </si>
  <si>
    <t>422352735514</t>
  </si>
  <si>
    <t>10060067</t>
  </si>
  <si>
    <t xml:space="preserve"> Shivji Singh</t>
  </si>
  <si>
    <t xml:space="preserve"> Rajnish Kumar</t>
  </si>
  <si>
    <t>Mahila Re issue Cheque</t>
  </si>
  <si>
    <t>Shivam Kumar</t>
  </si>
  <si>
    <t>Ritu kumari</t>
  </si>
  <si>
    <t>Check cancilled</t>
  </si>
  <si>
    <t>EIPL</t>
  </si>
  <si>
    <t>Pravah</t>
  </si>
  <si>
    <t>302540249335</t>
  </si>
  <si>
    <t>303122791120</t>
  </si>
  <si>
    <t>301118379154</t>
  </si>
  <si>
    <t>301345306533</t>
  </si>
  <si>
    <t>301270518796</t>
  </si>
  <si>
    <t>303166246084</t>
  </si>
  <si>
    <t>303366507716</t>
  </si>
  <si>
    <t>303757584254</t>
  </si>
  <si>
    <t>PUNBF23059068473</t>
  </si>
  <si>
    <t>330582344852</t>
  </si>
  <si>
    <t>326901144526</t>
  </si>
  <si>
    <t>322181109235</t>
  </si>
  <si>
    <t>321755621205</t>
  </si>
  <si>
    <t>308721563401</t>
  </si>
  <si>
    <t>401868537857</t>
  </si>
  <si>
    <t>332895101137</t>
  </si>
  <si>
    <t>452956864188</t>
  </si>
  <si>
    <t>372778923996</t>
  </si>
  <si>
    <t xml:space="preserve">Saurav Kumar </t>
  </si>
  <si>
    <t xml:space="preserve">Saday Kumar </t>
  </si>
  <si>
    <t>Mukesh Kumar</t>
  </si>
  <si>
    <t>Sanjeev Kumar</t>
  </si>
  <si>
    <t>336277087745</t>
  </si>
  <si>
    <t>308921773753/309794692478</t>
  </si>
  <si>
    <t>320614030142</t>
  </si>
  <si>
    <t>322967412353</t>
  </si>
  <si>
    <t>324002171753</t>
  </si>
  <si>
    <t>325114059590</t>
  </si>
  <si>
    <t>326064256442</t>
  </si>
  <si>
    <t>323663602695/327146994287</t>
  </si>
  <si>
    <t>364817678661</t>
  </si>
  <si>
    <t>366296016742</t>
  </si>
  <si>
    <t>329843788141</t>
  </si>
  <si>
    <t>10140090</t>
  </si>
  <si>
    <t>Kirani</t>
  </si>
  <si>
    <t>330364605873</t>
  </si>
  <si>
    <t>330231453159/330445560962</t>
  </si>
  <si>
    <t>330440623758</t>
  </si>
  <si>
    <t>367473346373</t>
  </si>
  <si>
    <t>331507093279/332814942665</t>
  </si>
  <si>
    <t>370156351803</t>
  </si>
  <si>
    <t>333614424549</t>
  </si>
  <si>
    <t>334276356026</t>
  </si>
  <si>
    <t>334530474783</t>
  </si>
  <si>
    <t>Mahila</t>
  </si>
  <si>
    <t>371269514726</t>
  </si>
  <si>
    <t>336135871726</t>
  </si>
  <si>
    <t>333112238486/400316677027</t>
  </si>
  <si>
    <t>404649256524</t>
  </si>
  <si>
    <t>406692560618</t>
  </si>
  <si>
    <t>407558202808</t>
  </si>
  <si>
    <t xml:space="preserve">Vinod Kumar </t>
  </si>
  <si>
    <t>Ram Bilas Mahto</t>
  </si>
  <si>
    <t>Doli Devi</t>
  </si>
  <si>
    <t>Deavari uTARRI</t>
  </si>
  <si>
    <t>400136355007</t>
  </si>
  <si>
    <t>10030062</t>
  </si>
  <si>
    <t>10030063</t>
  </si>
  <si>
    <t>10090054</t>
  </si>
  <si>
    <t>10120082</t>
  </si>
  <si>
    <t>10130070</t>
  </si>
  <si>
    <t>10120083</t>
  </si>
  <si>
    <t>10120084</t>
  </si>
  <si>
    <t>10110086</t>
  </si>
  <si>
    <t>10110087</t>
  </si>
  <si>
    <t>10110088</t>
  </si>
  <si>
    <t>10030064</t>
  </si>
  <si>
    <t xml:space="preserve">Ramesh Kumar </t>
  </si>
  <si>
    <t xml:space="preserve">Manikant Kumar </t>
  </si>
  <si>
    <t>Sikendra Singh</t>
  </si>
  <si>
    <t xml:space="preserve">Shanti Kumari </t>
  </si>
  <si>
    <t xml:space="preserve">Vijay Shankar Singh </t>
  </si>
  <si>
    <t>Kalpana Devi</t>
  </si>
  <si>
    <t>Kirn Devi</t>
  </si>
  <si>
    <t>Rita Devi</t>
  </si>
  <si>
    <t>1714</t>
  </si>
  <si>
    <t>1718</t>
  </si>
  <si>
    <t>Abhijeet Kuar Ray</t>
  </si>
  <si>
    <t>OLD AMCUs</t>
  </si>
  <si>
    <t>Gomukh Birpur Nayagaun</t>
  </si>
  <si>
    <t>Gomukh govind our</t>
  </si>
  <si>
    <t>Gomukh Sondiha</t>
  </si>
  <si>
    <t>423852297888</t>
  </si>
  <si>
    <t>10100047</t>
  </si>
  <si>
    <t>Gomukh Mahdipur</t>
  </si>
  <si>
    <t>422220372026</t>
  </si>
  <si>
    <t>10060069</t>
  </si>
  <si>
    <t>BHANDAR</t>
  </si>
  <si>
    <t>421761117934</t>
  </si>
  <si>
    <t>10100048</t>
  </si>
  <si>
    <t>Gomukh Ganga nagar</t>
  </si>
  <si>
    <t>420907332747</t>
  </si>
  <si>
    <t>ok</t>
  </si>
  <si>
    <t>Machine not issued</t>
  </si>
  <si>
    <t>10130034</t>
  </si>
  <si>
    <t>Leawar</t>
  </si>
  <si>
    <t>313766801703/315953915482</t>
  </si>
  <si>
    <t>10070004</t>
  </si>
  <si>
    <t>Chaityana</t>
  </si>
  <si>
    <t>10010076</t>
  </si>
  <si>
    <t>10080061</t>
  </si>
  <si>
    <t>10110080</t>
  </si>
  <si>
    <t>10080062</t>
  </si>
  <si>
    <t>8606</t>
  </si>
  <si>
    <t>Gomukh Bhith-02</t>
  </si>
  <si>
    <t>414903656780</t>
  </si>
  <si>
    <t>Gomukh ID Pipara</t>
  </si>
  <si>
    <t xml:space="preserve">GOMUKH SADANANDPUR 2 </t>
  </si>
  <si>
    <t>GOMUKH ROOPNAGAR</t>
  </si>
  <si>
    <t>331955188050</t>
  </si>
  <si>
    <t>Kursaha East</t>
  </si>
  <si>
    <t>Dagarua</t>
  </si>
  <si>
    <t>Chakmilki</t>
  </si>
  <si>
    <t>Adalpur</t>
  </si>
  <si>
    <t>423927807622</t>
  </si>
  <si>
    <t>425072741056</t>
  </si>
  <si>
    <t>427186721112/422989902305</t>
  </si>
  <si>
    <t>425044282121</t>
  </si>
  <si>
    <t>423500048838/521071136884</t>
  </si>
  <si>
    <t>404840151938</t>
  </si>
  <si>
    <t>404458220960</t>
  </si>
  <si>
    <t>Gomukh Sharmatola Sahuri</t>
  </si>
  <si>
    <t>Niraj Kumar</t>
  </si>
  <si>
    <t>10010082</t>
  </si>
  <si>
    <t>426496921266</t>
  </si>
  <si>
    <t>10140125</t>
  </si>
  <si>
    <t>10140124</t>
  </si>
  <si>
    <t>Gomukh Dullahpur Niyajipur</t>
  </si>
  <si>
    <t>Gomukh Barathi</t>
  </si>
  <si>
    <t>427123622077</t>
  </si>
  <si>
    <t>427254354498</t>
  </si>
  <si>
    <t>10140126</t>
  </si>
  <si>
    <t>Gomukh Dafadihari</t>
  </si>
  <si>
    <t>424004577376</t>
  </si>
  <si>
    <t>Gomukh Badkagaon</t>
  </si>
  <si>
    <t>Gomukh Basaon Kalan</t>
  </si>
  <si>
    <t>Gomukh Mangolpur</t>
  </si>
  <si>
    <t>10140129</t>
  </si>
  <si>
    <t>10140130</t>
  </si>
  <si>
    <t>10140131</t>
  </si>
  <si>
    <t>10140132</t>
  </si>
  <si>
    <t>422904336199</t>
  </si>
  <si>
    <t>423313349027</t>
  </si>
  <si>
    <t>423096965008</t>
  </si>
  <si>
    <t>423538639922</t>
  </si>
  <si>
    <t>20-26 Sep</t>
  </si>
  <si>
    <t>Saidpur</t>
  </si>
  <si>
    <t>Mahesh</t>
  </si>
  <si>
    <t>Laxmipur</t>
  </si>
  <si>
    <t>426460320748</t>
  </si>
  <si>
    <t>427038861641</t>
  </si>
  <si>
    <t>704964821746</t>
  </si>
  <si>
    <t>basis</t>
  </si>
  <si>
    <t>No Machine Issue</t>
  </si>
  <si>
    <t>443714575696</t>
  </si>
  <si>
    <t>MB01173046040T15194301</t>
  </si>
  <si>
    <t>27-03 Oct</t>
  </si>
  <si>
    <t>10140133</t>
  </si>
  <si>
    <t>Gomukh Bhadsari Dera</t>
  </si>
  <si>
    <t>460115251632</t>
  </si>
  <si>
    <t>Bittu Kumar</t>
  </si>
  <si>
    <t>Kunal Kumar</t>
  </si>
  <si>
    <t>Vishunpur Purvi</t>
  </si>
  <si>
    <t>Gomukh Lawalagam Purbi</t>
  </si>
  <si>
    <t>427204928706</t>
  </si>
  <si>
    <t>427154283749</t>
  </si>
  <si>
    <t>Gomukh singhpur balahpur</t>
  </si>
  <si>
    <t>423987845346</t>
  </si>
  <si>
    <t>10070008</t>
  </si>
  <si>
    <t>10100050</t>
  </si>
  <si>
    <t>10100051</t>
  </si>
  <si>
    <t>10100049</t>
  </si>
  <si>
    <t>10110089</t>
  </si>
  <si>
    <t>Gomukh Dhanipur</t>
  </si>
  <si>
    <t>429226516292</t>
  </si>
  <si>
    <t>11-17 Oct</t>
  </si>
  <si>
    <t>18-24</t>
  </si>
  <si>
    <t>429267038565</t>
  </si>
  <si>
    <t>10010086</t>
  </si>
  <si>
    <t>Gomukh Garhi Bisanpur</t>
  </si>
  <si>
    <t>429745860202</t>
  </si>
  <si>
    <t>25-31</t>
  </si>
  <si>
    <t>10080077</t>
  </si>
  <si>
    <t>Gomukh Amarpur</t>
  </si>
  <si>
    <t>429000966486/716131861944</t>
  </si>
  <si>
    <t>05-11 Oct</t>
  </si>
  <si>
    <t>Umakant</t>
  </si>
  <si>
    <t>10140137</t>
  </si>
  <si>
    <t>Rakshanagar_tola</t>
  </si>
  <si>
    <t>971372896789</t>
  </si>
  <si>
    <t>409541333302</t>
  </si>
  <si>
    <t>08-14 Nov</t>
  </si>
  <si>
    <t>01-07 Nov</t>
  </si>
  <si>
    <t>10060073</t>
  </si>
  <si>
    <t>10060074</t>
  </si>
  <si>
    <t>JANKIDIH</t>
  </si>
  <si>
    <t>BASMATIYA</t>
  </si>
  <si>
    <t>467512926078</t>
  </si>
  <si>
    <t>468615070384</t>
  </si>
  <si>
    <t>10140139</t>
  </si>
  <si>
    <t>Gomukh Nadaon</t>
  </si>
  <si>
    <t>468601723731</t>
  </si>
  <si>
    <t>327112353418</t>
  </si>
  <si>
    <t>10110093</t>
  </si>
  <si>
    <t>Koniya</t>
  </si>
  <si>
    <t>938216000709</t>
  </si>
  <si>
    <t>10110094</t>
  </si>
  <si>
    <t>Rahua</t>
  </si>
  <si>
    <t>MANOJ KUMAR SAH</t>
  </si>
  <si>
    <t>10110095</t>
  </si>
  <si>
    <t>615972810602</t>
  </si>
  <si>
    <t>BAIKUNTHPUR</t>
  </si>
  <si>
    <t>KAITHA</t>
  </si>
  <si>
    <t>MIRATHI 2</t>
  </si>
  <si>
    <t>DORAI</t>
  </si>
  <si>
    <t>PUNADIH</t>
  </si>
  <si>
    <t>813595898589</t>
  </si>
  <si>
    <t>631650279486</t>
  </si>
  <si>
    <t>111221797105</t>
  </si>
  <si>
    <t>421706728290</t>
  </si>
  <si>
    <t>10030065</t>
  </si>
  <si>
    <t>10030066</t>
  </si>
  <si>
    <t>10030067</t>
  </si>
  <si>
    <t>10030068</t>
  </si>
  <si>
    <t>10060075</t>
  </si>
  <si>
    <t>10060070</t>
  </si>
  <si>
    <t>10100052</t>
  </si>
  <si>
    <t>10110091</t>
  </si>
  <si>
    <t>10120087</t>
  </si>
  <si>
    <t>10130073</t>
  </si>
  <si>
    <t>10130074</t>
  </si>
  <si>
    <t>10130075</t>
  </si>
  <si>
    <t>15-21 Nov</t>
  </si>
  <si>
    <t>10110097</t>
  </si>
  <si>
    <t>10110098</t>
  </si>
  <si>
    <t>10110099</t>
  </si>
  <si>
    <t>10110100</t>
  </si>
  <si>
    <t>10110101</t>
  </si>
  <si>
    <t>GOMUKH BACHOTA</t>
  </si>
  <si>
    <t>GOMUKH CHATAR</t>
  </si>
  <si>
    <t>GOMUKH ICHARUA</t>
  </si>
  <si>
    <t>GOMUKH BATHNAMA</t>
  </si>
  <si>
    <t>GOMUKH TILAK NAGAR</t>
  </si>
  <si>
    <t>432713298840</t>
  </si>
  <si>
    <t>432510594306</t>
  </si>
  <si>
    <t>692972201516</t>
  </si>
  <si>
    <t>430320045232</t>
  </si>
  <si>
    <t>10080079</t>
  </si>
  <si>
    <t>Gomukh Barauni 3</t>
  </si>
  <si>
    <t>69741081408</t>
  </si>
  <si>
    <t>Gomukh Jhaura Tabhka</t>
  </si>
  <si>
    <t>Gomukh Kewasnijamat</t>
  </si>
  <si>
    <t>Gomukh Akaha</t>
  </si>
  <si>
    <t>Salempur</t>
  </si>
  <si>
    <t>Vishnupur Kowahi</t>
  </si>
  <si>
    <t>10120089</t>
  </si>
  <si>
    <t>10120090</t>
  </si>
  <si>
    <t>10130077</t>
  </si>
  <si>
    <t>10130078</t>
  </si>
  <si>
    <t>10130079</t>
  </si>
  <si>
    <t>432706645745</t>
  </si>
  <si>
    <t>426972490300</t>
  </si>
  <si>
    <t>330652206818</t>
  </si>
  <si>
    <t>991981712515</t>
  </si>
  <si>
    <t>496999074926</t>
  </si>
  <si>
    <t>22-28 Nov</t>
  </si>
  <si>
    <t>Gomukh Pokhraha</t>
  </si>
  <si>
    <t>Gomukh Koransarai</t>
  </si>
  <si>
    <t>10140145</t>
  </si>
  <si>
    <t>10140146</t>
  </si>
  <si>
    <t>858841606399</t>
  </si>
  <si>
    <t>441226673479</t>
  </si>
  <si>
    <t>29-05 Dec</t>
  </si>
  <si>
    <t>10090056</t>
  </si>
  <si>
    <t>10480022</t>
  </si>
  <si>
    <t>10070045</t>
  </si>
  <si>
    <t>001765254646</t>
  </si>
  <si>
    <t>10070046</t>
  </si>
  <si>
    <t>AKHA KURHA</t>
  </si>
  <si>
    <t>TILATHI</t>
  </si>
  <si>
    <t>BANNUBAGICHA</t>
  </si>
  <si>
    <t>10060076</t>
  </si>
  <si>
    <t>10060077</t>
  </si>
  <si>
    <t>10060078</t>
  </si>
  <si>
    <t>466269621656</t>
  </si>
  <si>
    <t>430703023077</t>
  </si>
  <si>
    <t>434634151259</t>
  </si>
  <si>
    <t>10020070</t>
  </si>
  <si>
    <t>10060071</t>
  </si>
  <si>
    <t>10480021</t>
  </si>
  <si>
    <t>10140135</t>
  </si>
  <si>
    <t>06-12 Dec</t>
  </si>
  <si>
    <t>326420264545</t>
  </si>
  <si>
    <t>10120091</t>
  </si>
  <si>
    <t>10130084</t>
  </si>
  <si>
    <t>10130085</t>
  </si>
  <si>
    <t>Gomukh Gangapur</t>
  </si>
  <si>
    <t>435313810238</t>
  </si>
  <si>
    <t>727389915218</t>
  </si>
  <si>
    <t>816334895945</t>
  </si>
  <si>
    <t>Gomukh Dalsagar Pachhim</t>
  </si>
  <si>
    <t>435652187109</t>
  </si>
  <si>
    <t>10140148</t>
  </si>
  <si>
    <t>Gomukh Mathila</t>
  </si>
  <si>
    <t>Gomukh Jigina</t>
  </si>
  <si>
    <t>Gomukh Kuwan</t>
  </si>
  <si>
    <t>10140149</t>
  </si>
  <si>
    <t>10140150</t>
  </si>
  <si>
    <t>10140151</t>
  </si>
  <si>
    <t>461592960202</t>
  </si>
  <si>
    <t>436033265241</t>
  </si>
  <si>
    <t>436119267797</t>
  </si>
  <si>
    <t>Gomukh Badkagaon Yamunatola</t>
  </si>
  <si>
    <t>435567225433</t>
  </si>
  <si>
    <t>10140152</t>
  </si>
  <si>
    <t>Gomukh Thebhay B</t>
  </si>
  <si>
    <t>Gomukh kolwara</t>
  </si>
  <si>
    <t>Gomukh Kaithi</t>
  </si>
  <si>
    <t>472298912928</t>
  </si>
  <si>
    <t>912682829333</t>
  </si>
  <si>
    <t>678292075638/193674126005</t>
  </si>
  <si>
    <t>Gomukh Baisa</t>
  </si>
  <si>
    <t>Gomukh Shreepur madhay</t>
  </si>
  <si>
    <t>914995190480</t>
  </si>
  <si>
    <t>435417831253</t>
  </si>
  <si>
    <t>Gopal Kumar</t>
  </si>
  <si>
    <t>Ram Kunal</t>
  </si>
  <si>
    <t>madan Mohan</t>
  </si>
  <si>
    <t>Gautam Kumar</t>
  </si>
  <si>
    <t>ASHA KUMARI </t>
  </si>
  <si>
    <t>13-19 Dec</t>
  </si>
  <si>
    <t>Gomukh Raipur Buzurg</t>
  </si>
  <si>
    <t>Gomukh Bochaha</t>
  </si>
  <si>
    <t>Gomukh Terganj</t>
  </si>
  <si>
    <t>12/22/24</t>
  </si>
  <si>
    <t>596482471266</t>
  </si>
  <si>
    <t>639444342969</t>
  </si>
  <si>
    <t>451366671878</t>
  </si>
  <si>
    <t>Fund tr to 51 AMCU purchase</t>
  </si>
  <si>
    <t>27 Dec -02 Jan</t>
  </si>
  <si>
    <t>20-26 Dec</t>
  </si>
  <si>
    <t>10100054</t>
  </si>
  <si>
    <t>10100055</t>
  </si>
  <si>
    <t>10100060</t>
  </si>
  <si>
    <t>10480023</t>
  </si>
  <si>
    <t>10100056</t>
  </si>
  <si>
    <t>GOMUKH RON</t>
  </si>
  <si>
    <t>GOMUKH KAMATHAN</t>
  </si>
  <si>
    <t>459299204482</t>
  </si>
  <si>
    <t>435368727369</t>
  </si>
  <si>
    <t>10110103</t>
  </si>
  <si>
    <t>10110104</t>
  </si>
  <si>
    <t>Mukesh</t>
  </si>
  <si>
    <t>navneet</t>
  </si>
  <si>
    <t>03-09 Jan</t>
  </si>
  <si>
    <t>Gomukh Bramhpur</t>
  </si>
  <si>
    <t>Gomukh Garhtakhurd</t>
  </si>
  <si>
    <t>Gomukh Rajpur Naurang Rai Dera</t>
  </si>
  <si>
    <t>404083753894</t>
  </si>
  <si>
    <t>922317767513</t>
  </si>
  <si>
    <t>934354246127</t>
  </si>
  <si>
    <t>10140153</t>
  </si>
  <si>
    <t>10140154</t>
  </si>
  <si>
    <t>10140155</t>
  </si>
  <si>
    <t>10-16 Jan</t>
  </si>
  <si>
    <t>Brahesh</t>
  </si>
  <si>
    <t>Gomukh Salarpur East</t>
  </si>
  <si>
    <t>Gomukh Kamala Kund Babu Tola</t>
  </si>
  <si>
    <t>10070047</t>
  </si>
  <si>
    <t>10480024</t>
  </si>
  <si>
    <t>592415774791</t>
  </si>
  <si>
    <t>954129837086</t>
  </si>
  <si>
    <t>Gomukh Jhangara B</t>
  </si>
  <si>
    <t>Gomukh Sondiha Uttri</t>
  </si>
  <si>
    <t>Gomukh Adawari</t>
  </si>
  <si>
    <t>702098421902</t>
  </si>
  <si>
    <t>34276637737</t>
  </si>
  <si>
    <t>486979796336</t>
  </si>
  <si>
    <t>10090057</t>
  </si>
  <si>
    <t>10090058</t>
  </si>
  <si>
    <t>10090059</t>
  </si>
  <si>
    <t>10090060</t>
  </si>
  <si>
    <t>BELLORI</t>
  </si>
  <si>
    <t>NAWKADIH</t>
  </si>
  <si>
    <t>CHOTAHA</t>
  </si>
  <si>
    <t>KHARAGWADA </t>
  </si>
  <si>
    <t>575583914134</t>
  </si>
  <si>
    <t>740595549508</t>
  </si>
  <si>
    <t>701643277565</t>
  </si>
  <si>
    <t>538548474688</t>
  </si>
  <si>
    <t>407203418551</t>
  </si>
  <si>
    <t>Gomukh Amarpur paschim</t>
  </si>
  <si>
    <t>Gomukh Thatha Purvi</t>
  </si>
  <si>
    <t>Gomukh rahimpur dakshin</t>
  </si>
  <si>
    <t>Gomukh pansalva</t>
  </si>
  <si>
    <t>956184766924</t>
  </si>
  <si>
    <t>765805971976</t>
  </si>
  <si>
    <t>501756617344</t>
  </si>
  <si>
    <t>707550358878</t>
  </si>
  <si>
    <t>10080084</t>
  </si>
  <si>
    <t>Gomukh Sawna</t>
  </si>
  <si>
    <t>Gomukh Kaudesari</t>
  </si>
  <si>
    <t>10140158</t>
  </si>
  <si>
    <t>10140159</t>
  </si>
  <si>
    <t>502002985432</t>
  </si>
  <si>
    <t>745452463507</t>
  </si>
  <si>
    <t>Sangrampur</t>
  </si>
  <si>
    <t>10060090</t>
  </si>
  <si>
    <t>501031750040</t>
  </si>
  <si>
    <t>Hansraj</t>
  </si>
  <si>
    <t>Prashant</t>
  </si>
  <si>
    <t>Chaitynya</t>
  </si>
  <si>
    <t>Gomukh Dahivar kothiya</t>
  </si>
  <si>
    <t>10140160</t>
  </si>
  <si>
    <t>620491592233</t>
  </si>
  <si>
    <t>Kalyanpur</t>
  </si>
  <si>
    <t>Gomukh Gograha Tola</t>
  </si>
  <si>
    <t>Gomukh Patsara</t>
  </si>
  <si>
    <t>10530007</t>
  </si>
  <si>
    <t>10530008</t>
  </si>
  <si>
    <t>042413434079</t>
  </si>
  <si>
    <t>502213894979</t>
  </si>
  <si>
    <t>10530001</t>
  </si>
  <si>
    <t>10530002</t>
  </si>
  <si>
    <t>10530003</t>
  </si>
  <si>
    <t>10530004</t>
  </si>
  <si>
    <t>10530005</t>
  </si>
  <si>
    <t>10530006</t>
  </si>
  <si>
    <t>Gomukh CHANDAULI</t>
  </si>
  <si>
    <t>GOMUKH HATHA</t>
  </si>
  <si>
    <t>GOMUKH VADEYA</t>
  </si>
  <si>
    <t>GOMUKH GORAI</t>
  </si>
  <si>
    <t>GOMUKH CHANDPURA</t>
  </si>
  <si>
    <t>GOMUKH BARGAMA</t>
  </si>
  <si>
    <t>148223942892</t>
  </si>
  <si>
    <t>766435339183/266204800615</t>
  </si>
  <si>
    <t>501214408543</t>
  </si>
  <si>
    <t>500556023627</t>
  </si>
  <si>
    <t>436115307568</t>
  </si>
  <si>
    <t>206217869448</t>
  </si>
  <si>
    <t>17-23 Jan</t>
  </si>
  <si>
    <t>24-30 Jan</t>
  </si>
  <si>
    <t>10070052</t>
  </si>
  <si>
    <t>10120094</t>
  </si>
  <si>
    <t>10120093</t>
  </si>
  <si>
    <t>Gomukh Pachkhutti Jorabarpur</t>
  </si>
  <si>
    <t>968721147892/661185388700</t>
  </si>
  <si>
    <t>Gomukh Akowahi Purvi Tol</t>
  </si>
  <si>
    <t>Gomukh Nipur</t>
  </si>
  <si>
    <t>762705310927</t>
  </si>
  <si>
    <t>514028343243</t>
  </si>
  <si>
    <t>10130090</t>
  </si>
  <si>
    <t>10130091</t>
  </si>
  <si>
    <t>Gomukh Surha</t>
  </si>
  <si>
    <t>Gomukh Goha-02</t>
  </si>
  <si>
    <t>Gomukh Chandpura Neema</t>
  </si>
  <si>
    <t>Gomukh Cheria Bariarpur</t>
  </si>
  <si>
    <t>Gomukh Rahul Nagar</t>
  </si>
  <si>
    <t>10010094</t>
  </si>
  <si>
    <t>10010095</t>
  </si>
  <si>
    <t>10010096</t>
  </si>
  <si>
    <t>10010097</t>
  </si>
  <si>
    <t>10010098</t>
  </si>
  <si>
    <t>371081150718</t>
  </si>
  <si>
    <t>435565124151</t>
  </si>
  <si>
    <t>436238933419</t>
  </si>
  <si>
    <t>500696044713</t>
  </si>
  <si>
    <t>401059144389</t>
  </si>
  <si>
    <t>Morkahi</t>
  </si>
  <si>
    <t>502021351927</t>
  </si>
  <si>
    <t>10110109</t>
  </si>
  <si>
    <t>10110108</t>
  </si>
  <si>
    <t>0-06 Feb</t>
  </si>
  <si>
    <t>10030071</t>
  </si>
  <si>
    <t>KORIYA</t>
  </si>
  <si>
    <t>CHANNAYA</t>
  </si>
  <si>
    <t>10060093</t>
  </si>
  <si>
    <t>720863668487</t>
  </si>
  <si>
    <t>454922796768</t>
  </si>
  <si>
    <t>BANGAMA</t>
  </si>
  <si>
    <t>522722494395</t>
  </si>
  <si>
    <t>10030070</t>
  </si>
  <si>
    <t>Gomukh Bharatkhand Purbi</t>
  </si>
  <si>
    <t>826842850339/025694338540</t>
  </si>
  <si>
    <t>10070057</t>
  </si>
  <si>
    <t>Gomukh Bhagli Basha</t>
  </si>
  <si>
    <t>Gomukh Gosain Gaon</t>
  </si>
  <si>
    <t>Gomukh Dharahara</t>
  </si>
  <si>
    <t>188353172591</t>
  </si>
  <si>
    <t>258188886307</t>
  </si>
  <si>
    <t>394895145282</t>
  </si>
  <si>
    <t>10480025</t>
  </si>
  <si>
    <t>10480026</t>
  </si>
  <si>
    <t>10480027</t>
  </si>
  <si>
    <t>GOMUKH SIHMA 2</t>
  </si>
  <si>
    <t>GOMUKH FATEHA SALEMPUR</t>
  </si>
  <si>
    <t>GOMUKH HANSPUR</t>
  </si>
  <si>
    <t>GOMUKH NAYAGAON 2</t>
  </si>
  <si>
    <t>GOMUKH ALOLI</t>
  </si>
  <si>
    <t>10080085</t>
  </si>
  <si>
    <t>10080086</t>
  </si>
  <si>
    <t>10110110</t>
  </si>
  <si>
    <t>10110111</t>
  </si>
  <si>
    <t>10110112</t>
  </si>
  <si>
    <t>503216300182</t>
  </si>
  <si>
    <t>326112682583</t>
  </si>
  <si>
    <t>837640078787</t>
  </si>
  <si>
    <t>SBINN52025021000393316</t>
  </si>
  <si>
    <t>SBINN52025021000394157</t>
  </si>
  <si>
    <t>07-13 Feb</t>
  </si>
  <si>
    <t>10110113</t>
  </si>
  <si>
    <t>10110114</t>
  </si>
  <si>
    <t>10110115</t>
  </si>
  <si>
    <t>10110116</t>
  </si>
  <si>
    <t>10110117</t>
  </si>
  <si>
    <t>GOMUKH SONVARSA</t>
  </si>
  <si>
    <t>GOMUKH LABHGAON</t>
  </si>
  <si>
    <t>GOMUKH TATRABAD</t>
  </si>
  <si>
    <t>GOMUKH KASBA DIYARA</t>
  </si>
  <si>
    <t>094174349311/313660483663</t>
  </si>
  <si>
    <t>131965919618</t>
  </si>
  <si>
    <t>813153468893</t>
  </si>
  <si>
    <t>536820647871</t>
  </si>
  <si>
    <t>520027384349</t>
  </si>
  <si>
    <t>14-20 Feb</t>
  </si>
  <si>
    <t>10010099</t>
  </si>
  <si>
    <t>10010100</t>
  </si>
  <si>
    <t>Gomukh Bagraha-01</t>
  </si>
  <si>
    <t>Gomukh Maida Babhangama</t>
  </si>
  <si>
    <t>505911445694</t>
  </si>
  <si>
    <t>100733604195</t>
  </si>
  <si>
    <t>21-27 Feb</t>
  </si>
  <si>
    <t>28-06 Mar</t>
  </si>
  <si>
    <t>10080087</t>
  </si>
  <si>
    <t>GOMUKH GEHUNI 2</t>
  </si>
  <si>
    <t>487308013070</t>
  </si>
  <si>
    <t>Gomukh Khanjapur Bangali Tola</t>
  </si>
  <si>
    <t>Gomukh Shobhaipura</t>
  </si>
  <si>
    <t>10010102</t>
  </si>
  <si>
    <t>10010103</t>
  </si>
  <si>
    <t>480795627587</t>
  </si>
  <si>
    <t>298421826235</t>
  </si>
  <si>
    <t>Gomukh Chhatauna East</t>
  </si>
  <si>
    <t>Gomukh Bharav</t>
  </si>
  <si>
    <t>Gomukh Harpur</t>
  </si>
  <si>
    <t>Gomukh Fulhatta</t>
  </si>
  <si>
    <t>10120101</t>
  </si>
  <si>
    <t>10530032</t>
  </si>
  <si>
    <t>10530033</t>
  </si>
  <si>
    <t>10530034</t>
  </si>
  <si>
    <t>Dalsingh Sarai</t>
  </si>
  <si>
    <t>100871988674</t>
  </si>
  <si>
    <t>369795983189</t>
  </si>
  <si>
    <t>506363382095</t>
  </si>
  <si>
    <t>RAMDEV TOLA</t>
  </si>
  <si>
    <t>SAITHNAN</t>
  </si>
  <si>
    <t>BIHRAURA</t>
  </si>
  <si>
    <t>SONVARSHA</t>
  </si>
  <si>
    <t>10060098</t>
  </si>
  <si>
    <t>10060100</t>
  </si>
  <si>
    <t>10090062</t>
  </si>
  <si>
    <t>10090063</t>
  </si>
  <si>
    <t>636062254855</t>
  </si>
  <si>
    <t>219957891360</t>
  </si>
  <si>
    <t>761317682897</t>
  </si>
  <si>
    <t>Gomukh Birauli Khurd</t>
  </si>
  <si>
    <t>10530035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</si>
  <si>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</si>
  <si>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</si>
  <si>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</si>
  <si>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</si>
  <si>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</si>
  <si>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</si>
  <si>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</si>
  <si>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GOMUKH MALHIPUR</t>
  </si>
  <si>
    <t>10110118</t>
  </si>
  <si>
    <t>10110119</t>
  </si>
  <si>
    <t>10110120</t>
  </si>
  <si>
    <t>10110121</t>
  </si>
  <si>
    <t>10110122</t>
  </si>
  <si>
    <t>10110123</t>
  </si>
  <si>
    <t>10110124</t>
  </si>
  <si>
    <t>10080088</t>
  </si>
  <si>
    <t>170317835631</t>
  </si>
  <si>
    <t>505019862843</t>
  </si>
  <si>
    <t>753869182476</t>
  </si>
  <si>
    <t>505658450006</t>
  </si>
  <si>
    <t>505195119587</t>
  </si>
  <si>
    <t>842134952311</t>
  </si>
  <si>
    <t>543060251386</t>
  </si>
  <si>
    <t>100913360808</t>
  </si>
  <si>
    <t>507830227925</t>
  </si>
  <si>
    <t>Gomukh Milki</t>
  </si>
  <si>
    <t>Gomukh Kharaiya Sultanpur</t>
  </si>
  <si>
    <t>533265447920</t>
  </si>
  <si>
    <t>101570870041</t>
  </si>
  <si>
    <t>10010104</t>
  </si>
  <si>
    <t>10010105</t>
  </si>
  <si>
    <t>Gomukh Khanua</t>
  </si>
  <si>
    <t>10530040</t>
  </si>
  <si>
    <t>GOMUKH SHUMBHA</t>
  </si>
  <si>
    <t>GOMUKH BAGINGAMA</t>
  </si>
  <si>
    <t>GOMUKH SANJHOTI</t>
  </si>
  <si>
    <t>GOMUKH MANIAPPA</t>
  </si>
  <si>
    <t>572862742738</t>
  </si>
  <si>
    <t>113232859455</t>
  </si>
  <si>
    <t>507649909472</t>
  </si>
  <si>
    <t>Cheque</t>
  </si>
  <si>
    <t>507609428623</t>
  </si>
  <si>
    <t>Kapil dev Singh</t>
  </si>
  <si>
    <t>Suro Maondal</t>
  </si>
  <si>
    <t>50200041274195</t>
  </si>
  <si>
    <t>Suro</t>
  </si>
  <si>
    <t>Tinku</t>
  </si>
  <si>
    <t>babul</t>
  </si>
  <si>
    <t>228814748870/302581939737</t>
  </si>
  <si>
    <t> Chaitanya Pranshu</t>
  </si>
  <si>
    <t>Rajesh kumar</t>
  </si>
  <si>
    <t>lalan Kumar</t>
  </si>
  <si>
    <t>chaitnaya</t>
  </si>
  <si>
    <t xml:space="preserve">Pappu Singh </t>
  </si>
  <si>
    <t>Mithun Kumar</t>
  </si>
  <si>
    <t>Anshu Kumar</t>
  </si>
  <si>
    <t>Ajay Kumar Choudhary</t>
  </si>
  <si>
    <t xml:space="preserve">Vipul Kumar </t>
  </si>
  <si>
    <t>Chandan kumar</t>
  </si>
  <si>
    <t>Status as on 28th Feb 25</t>
  </si>
  <si>
    <t>10140163</t>
  </si>
  <si>
    <t>10140164</t>
  </si>
  <si>
    <t>10140165</t>
  </si>
  <si>
    <t>Gomukh Ramgardh Dera</t>
  </si>
  <si>
    <t>Gomukh Bharkhar</t>
  </si>
  <si>
    <t>143421012154</t>
  </si>
  <si>
    <t>220138468722</t>
  </si>
  <si>
    <t>719746818887</t>
  </si>
  <si>
    <t>Gomukh KritSagar</t>
  </si>
  <si>
    <t>10140166</t>
  </si>
  <si>
    <t>733076249227</t>
  </si>
  <si>
    <t>Gomukh Nabtolia Latra</t>
  </si>
  <si>
    <t>Gomukh Borba Naya tola </t>
  </si>
  <si>
    <t>Pakra</t>
  </si>
  <si>
    <t>10480030</t>
  </si>
  <si>
    <t>10480031</t>
  </si>
  <si>
    <t>426744213342</t>
  </si>
  <si>
    <t>943077379932</t>
  </si>
  <si>
    <t>10070062</t>
  </si>
  <si>
    <t>10480032</t>
  </si>
  <si>
    <t>Gomukh Gogri</t>
  </si>
  <si>
    <t>Gomukh Nawada</t>
  </si>
  <si>
    <t>Arariya</t>
  </si>
  <si>
    <t>991160574841</t>
  </si>
  <si>
    <t>507997896258</t>
  </si>
  <si>
    <t>GOMUKH D SANJHAUTI</t>
  </si>
  <si>
    <t>GOMUKH KASAHA</t>
  </si>
  <si>
    <t>GOMUKH KAMALPUR</t>
  </si>
  <si>
    <t>072593380170</t>
  </si>
  <si>
    <t>595820013270</t>
  </si>
  <si>
    <t>288534550265</t>
  </si>
  <si>
    <t>LADHAUNA</t>
  </si>
  <si>
    <t>SHIJHORI</t>
  </si>
  <si>
    <t>853370603529</t>
  </si>
  <si>
    <t>77864</t>
  </si>
  <si>
    <t>GOMUKH DHUSMURI BISHANPUR</t>
  </si>
  <si>
    <t>GOMUKH ANANDPUR PARAS</t>
  </si>
  <si>
    <t>GOMUKH BISHANPUR</t>
  </si>
  <si>
    <t>GOMUKH BISHANPUR 2</t>
  </si>
  <si>
    <t>520575206741</t>
  </si>
  <si>
    <t>761516577266</t>
  </si>
  <si>
    <t>435321537741</t>
  </si>
  <si>
    <t>734077193477</t>
  </si>
  <si>
    <t>404758993146</t>
  </si>
  <si>
    <t>Pawan Ojha</t>
  </si>
  <si>
    <t>10140162</t>
  </si>
  <si>
    <t>mahnmad</t>
  </si>
  <si>
    <t>10010106</t>
  </si>
  <si>
    <t>10010107</t>
  </si>
  <si>
    <t>Gomukh Fajilpur</t>
  </si>
  <si>
    <t>Majhaul(Gadhpura)</t>
  </si>
  <si>
    <t>1020 7504 4341</t>
  </si>
  <si>
    <t>279939381245/545502308997</t>
  </si>
  <si>
    <t>GHAMARIYA</t>
  </si>
  <si>
    <t>MEGHAUNA</t>
  </si>
  <si>
    <t>SIRSIYA</t>
  </si>
  <si>
    <t>AURA</t>
  </si>
  <si>
    <t>BEHORBA</t>
  </si>
  <si>
    <t>GOMUKH SONAPUR BHARAT</t>
  </si>
  <si>
    <t>BARIARPUR</t>
  </si>
  <si>
    <t>SAIDPUR SAMASTIPUR</t>
  </si>
  <si>
    <t>342259970412</t>
  </si>
  <si>
    <t>666960447023</t>
  </si>
  <si>
    <t>588755727200</t>
  </si>
  <si>
    <t>546382130281</t>
  </si>
  <si>
    <t>324939948431</t>
  </si>
  <si>
    <t>510128545849</t>
  </si>
  <si>
    <t>510115394258</t>
  </si>
  <si>
    <t>993254311858</t>
  </si>
  <si>
    <t>Gomukh Bandehra Purbi</t>
  </si>
  <si>
    <t>Gomukh Tila tol</t>
  </si>
  <si>
    <t>10070064</t>
  </si>
  <si>
    <t>10070063</t>
  </si>
  <si>
    <t>724283998452</t>
  </si>
  <si>
    <t>Gomukh Mukhiyadera </t>
  </si>
  <si>
    <t>Gomukh Laxman Dera</t>
  </si>
  <si>
    <t>Gumukh Gayghat</t>
  </si>
  <si>
    <t>Gomukh Shivpur</t>
  </si>
  <si>
    <t>497838707260</t>
  </si>
  <si>
    <t>547480793069</t>
  </si>
  <si>
    <t>606646595853</t>
  </si>
  <si>
    <t>429976796190</t>
  </si>
  <si>
    <t>10070048</t>
  </si>
  <si>
    <t>10070049</t>
  </si>
  <si>
    <t>10070050</t>
  </si>
  <si>
    <t>10090064</t>
  </si>
  <si>
    <t>10110129</t>
  </si>
  <si>
    <t>10110130</t>
  </si>
  <si>
    <t>10060103</t>
  </si>
  <si>
    <t>10110131</t>
  </si>
  <si>
    <t>10110132</t>
  </si>
  <si>
    <t>10110133</t>
  </si>
  <si>
    <t>10110134</t>
  </si>
  <si>
    <t>10110135</t>
  </si>
  <si>
    <t>10110105</t>
  </si>
  <si>
    <t>10110106</t>
  </si>
  <si>
    <t>10110107</t>
  </si>
  <si>
    <t>10110125</t>
  </si>
  <si>
    <t>10110126</t>
  </si>
  <si>
    <t>10110127</t>
  </si>
  <si>
    <t>10110128</t>
  </si>
  <si>
    <t>10120095</t>
  </si>
  <si>
    <t>07-13 Mar</t>
  </si>
  <si>
    <t>14-20 Mar</t>
  </si>
  <si>
    <t>21-27 Mar</t>
  </si>
  <si>
    <t>28-31 Mar</t>
  </si>
  <si>
    <t>Gomukh Mordiwa East</t>
  </si>
  <si>
    <t>Musrigharari</t>
  </si>
  <si>
    <t>10110141</t>
  </si>
  <si>
    <t>10140171</t>
  </si>
  <si>
    <t>10140172</t>
  </si>
  <si>
    <t>10140173</t>
  </si>
  <si>
    <t>10140174</t>
  </si>
  <si>
    <t>10120104</t>
  </si>
  <si>
    <t>10130099</t>
  </si>
  <si>
    <t>10110140</t>
  </si>
  <si>
    <t>10110142</t>
  </si>
  <si>
    <t>10110143</t>
  </si>
  <si>
    <t>10110144</t>
  </si>
  <si>
    <t>10110145</t>
  </si>
  <si>
    <t>10110147</t>
  </si>
  <si>
    <t>10110146</t>
  </si>
  <si>
    <t>576224653620</t>
  </si>
  <si>
    <t>10010108</t>
  </si>
  <si>
    <t>Gomukh Pirauna</t>
  </si>
  <si>
    <t>510145840868</t>
  </si>
  <si>
    <t>Sunil Kumar</t>
  </si>
  <si>
    <t>01-03 Apr</t>
  </si>
  <si>
    <t>4-10 Apr</t>
  </si>
  <si>
    <t>11-17 Apr</t>
  </si>
  <si>
    <t>18-24 Apr</t>
  </si>
  <si>
    <t>FY 25-26</t>
  </si>
  <si>
    <t>Apr-25</t>
  </si>
  <si>
    <t>10110151</t>
  </si>
  <si>
    <t>GOMUKH MINAPUR</t>
  </si>
  <si>
    <t>GOMUKH HANUMAN NAGAR</t>
  </si>
  <si>
    <t>GOMUKH HARPUR W-13</t>
  </si>
  <si>
    <t>Gomukh Ratwara</t>
  </si>
  <si>
    <t>10120105</t>
  </si>
  <si>
    <t>10530055</t>
  </si>
  <si>
    <t>10530058</t>
  </si>
  <si>
    <t>170034267096</t>
  </si>
  <si>
    <t>156766497886</t>
  </si>
  <si>
    <t>272612128444</t>
  </si>
  <si>
    <t>Barauni Bariyarpur</t>
  </si>
  <si>
    <t>Kaji Rasalpur</t>
  </si>
  <si>
    <t>Jaynagar</t>
  </si>
  <si>
    <t>Amba-2</t>
  </si>
  <si>
    <t>10080093</t>
  </si>
  <si>
    <t>10080094</t>
  </si>
  <si>
    <t>10080095</t>
  </si>
  <si>
    <t>10080096</t>
  </si>
  <si>
    <t>098883718517</t>
  </si>
  <si>
    <t>10530027</t>
  </si>
  <si>
    <t>10530044</t>
  </si>
  <si>
    <t>10530046</t>
  </si>
  <si>
    <t>10530045</t>
  </si>
  <si>
    <t>10530047</t>
  </si>
  <si>
    <t>10530048</t>
  </si>
  <si>
    <t xml:space="preserve">Kolwara </t>
  </si>
  <si>
    <t>Gomukh Punas</t>
  </si>
  <si>
    <t>Loharkha</t>
  </si>
  <si>
    <t>Bandara</t>
  </si>
  <si>
    <t>Gomukh Dighra</t>
  </si>
  <si>
    <t>Basuwari</t>
  </si>
  <si>
    <t>GOMUKH JALALPUR</t>
  </si>
  <si>
    <t>Gomukh Saidpur</t>
  </si>
  <si>
    <t>10120098</t>
  </si>
  <si>
    <t>10130095</t>
  </si>
  <si>
    <t>10130093</t>
  </si>
  <si>
    <t>Gomukh Sherpur Narsari East</t>
  </si>
  <si>
    <t>10130098</t>
  </si>
  <si>
    <t>Gomukh Gaopur Bhagwatpur</t>
  </si>
  <si>
    <t>00000000</t>
  </si>
  <si>
    <t>10110074</t>
  </si>
  <si>
    <t>10480013</t>
  </si>
  <si>
    <t>10110070</t>
  </si>
  <si>
    <t>10120045</t>
  </si>
  <si>
    <t>10130039</t>
  </si>
  <si>
    <t>10080049</t>
  </si>
  <si>
    <t>10080033</t>
  </si>
  <si>
    <t>10110054</t>
  </si>
  <si>
    <t>10110045</t>
  </si>
  <si>
    <t>10100043</t>
  </si>
  <si>
    <t>10010037</t>
  </si>
  <si>
    <t>10110040</t>
  </si>
  <si>
    <t>10140084</t>
  </si>
  <si>
    <t>10140077</t>
  </si>
  <si>
    <t>10140076</t>
  </si>
  <si>
    <t>10010070</t>
  </si>
  <si>
    <t>10010064</t>
  </si>
  <si>
    <t>10010063</t>
  </si>
  <si>
    <t>10010062</t>
  </si>
  <si>
    <t>10070035</t>
  </si>
  <si>
    <t>10130049</t>
  </si>
  <si>
    <t>10500002</t>
  </si>
  <si>
    <t>10030020</t>
  </si>
  <si>
    <t>10030039</t>
  </si>
  <si>
    <t>10060024</t>
  </si>
  <si>
    <t>10030033</t>
  </si>
  <si>
    <t>10030029</t>
  </si>
  <si>
    <t>10020033</t>
  </si>
  <si>
    <t>10010003</t>
  </si>
  <si>
    <t>10090020</t>
  </si>
  <si>
    <t>10100038</t>
  </si>
  <si>
    <t>10100020</t>
  </si>
  <si>
    <t>10100042</t>
  </si>
  <si>
    <t>10100041</t>
  </si>
  <si>
    <t>10020060</t>
  </si>
  <si>
    <t>10080028</t>
  </si>
  <si>
    <t>10080030</t>
  </si>
  <si>
    <t>10120057</t>
  </si>
  <si>
    <t>10010042</t>
  </si>
  <si>
    <t>10020040</t>
  </si>
  <si>
    <t>10120028</t>
  </si>
  <si>
    <t>10120040</t>
  </si>
  <si>
    <t>10120032</t>
  </si>
  <si>
    <t>10120056</t>
  </si>
  <si>
    <t>10100040</t>
  </si>
  <si>
    <t>10100005</t>
  </si>
  <si>
    <t>10010004</t>
  </si>
  <si>
    <t>10070037</t>
  </si>
  <si>
    <t>10060042</t>
  </si>
  <si>
    <t>10020046</t>
  </si>
  <si>
    <t>10140168</t>
  </si>
  <si>
    <t>Gomukh Suraundha</t>
  </si>
  <si>
    <t>buxar</t>
  </si>
  <si>
    <t>10140169</t>
  </si>
  <si>
    <t>Gomukh Semra Nandpur</t>
  </si>
  <si>
    <t>Buxar</t>
  </si>
  <si>
    <t>10140156</t>
  </si>
  <si>
    <t>Gomukh Mashariya</t>
  </si>
  <si>
    <t>10140120</t>
  </si>
  <si>
    <t>Gomukh Sikraul lakh</t>
  </si>
  <si>
    <t>10140119</t>
  </si>
  <si>
    <t>Gomukh Banswar</t>
  </si>
  <si>
    <t>25-01 May</t>
  </si>
  <si>
    <t>Sumit</t>
  </si>
  <si>
    <t>335211616703</t>
  </si>
  <si>
    <t>GOMUKH ANANDPUR PARAS 2</t>
  </si>
  <si>
    <t>GOMUKH SHYAM GHARARI</t>
  </si>
  <si>
    <t>10540003</t>
  </si>
  <si>
    <t>10540004</t>
  </si>
  <si>
    <t>Alauli</t>
  </si>
  <si>
    <t>530411531031</t>
  </si>
  <si>
    <t>357173218053</t>
  </si>
  <si>
    <t>PIPARPATI</t>
  </si>
  <si>
    <t>GOWAR NAGAR</t>
  </si>
  <si>
    <t>10060106</t>
  </si>
  <si>
    <t>10090065</t>
  </si>
  <si>
    <t>511165904815</t>
  </si>
  <si>
    <t>880291229135</t>
  </si>
  <si>
    <t>Gomukh Ramaiya</t>
  </si>
  <si>
    <t>Gomukh Rajwara</t>
  </si>
  <si>
    <t>GOMUKH Gopalpur Thahara</t>
  </si>
  <si>
    <t>Gomukh Malinagar East</t>
  </si>
  <si>
    <t>10120107</t>
  </si>
  <si>
    <t>10130100</t>
  </si>
  <si>
    <t>10530061</t>
  </si>
  <si>
    <t>10530062</t>
  </si>
  <si>
    <t>Sumit Kumar Suman</t>
  </si>
  <si>
    <t>Abhishek Kumar </t>
  </si>
  <si>
    <t>Gomukh Chaksihama</t>
  </si>
  <si>
    <t>Gomukh Tiyar</t>
  </si>
  <si>
    <t>Gomukh Rajpur</t>
  </si>
  <si>
    <t>10140178</t>
  </si>
  <si>
    <t>10140179</t>
  </si>
  <si>
    <t>252667001659</t>
  </si>
  <si>
    <t>GOMUKH GADBANNI</t>
  </si>
  <si>
    <t>GOMUKH AMBA</t>
  </si>
  <si>
    <t>GOMUKH GORIYAMI</t>
  </si>
  <si>
    <t>305429278180</t>
  </si>
  <si>
    <t>924823190609</t>
  </si>
  <si>
    <t>550550496098</t>
  </si>
  <si>
    <t>753384965934</t>
  </si>
  <si>
    <t>10140177</t>
  </si>
  <si>
    <t>Gomukh Giridhar Baraw</t>
  </si>
  <si>
    <t>666539780403</t>
  </si>
  <si>
    <t>02-08 May</t>
  </si>
  <si>
    <t>09-15 May</t>
  </si>
  <si>
    <t>May-25</t>
  </si>
  <si>
    <t>Mar-26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</si>
  <si>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</si>
  <si>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</si>
  <si>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</si>
  <si>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</si>
  <si>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</si>
  <si>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</si>
  <si>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</si>
  <si>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</si>
  <si>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</si>
  <si>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402765973394</t>
  </si>
  <si>
    <t>10080099</t>
  </si>
  <si>
    <t>Bihat - Chakballi</t>
  </si>
  <si>
    <t>104891278164</t>
  </si>
  <si>
    <t>GOMUKH NIKASPUR</t>
  </si>
  <si>
    <t>GOMUKH MANIYARPUR</t>
  </si>
  <si>
    <t>GOMUKH DIGHRA W-6</t>
  </si>
  <si>
    <t>10130102</t>
  </si>
  <si>
    <t>10530064</t>
  </si>
  <si>
    <t>10530065</t>
  </si>
  <si>
    <t>477588599192</t>
  </si>
  <si>
    <t>336404387194</t>
  </si>
  <si>
    <t>PUNBN62025053050061804</t>
  </si>
  <si>
    <t>10080098</t>
  </si>
  <si>
    <t>Rani Panchwati</t>
  </si>
  <si>
    <t>284703126001</t>
  </si>
  <si>
    <t>10140180</t>
  </si>
  <si>
    <t>Gomukh Gangauli Dubha</t>
  </si>
  <si>
    <t>846061232899</t>
  </si>
  <si>
    <t>10070070</t>
  </si>
  <si>
    <t>10070071</t>
  </si>
  <si>
    <t>10070072</t>
  </si>
  <si>
    <t>10070073</t>
  </si>
  <si>
    <t>Gomukh English Lagar</t>
  </si>
  <si>
    <t>Gomukh Prem Nagar</t>
  </si>
  <si>
    <t>Gomukh purani tola</t>
  </si>
  <si>
    <t>Gomukh Bari Malia</t>
  </si>
  <si>
    <t>408221501602</t>
  </si>
  <si>
    <t>644440853982</t>
  </si>
  <si>
    <t>730267044972</t>
  </si>
  <si>
    <t>924130673113</t>
  </si>
  <si>
    <t>16-22 May</t>
  </si>
  <si>
    <t>23-29 May</t>
  </si>
  <si>
    <t>Brajesh Lumar</t>
  </si>
  <si>
    <t>184904309393</t>
  </si>
  <si>
    <t>282553634463</t>
  </si>
  <si>
    <t>953340644063</t>
  </si>
  <si>
    <t>102126051799</t>
  </si>
  <si>
    <t>508775521883</t>
  </si>
  <si>
    <t>063554611471</t>
  </si>
  <si>
    <t>928070659100</t>
  </si>
  <si>
    <t>10060109</t>
  </si>
  <si>
    <t>10060110</t>
  </si>
  <si>
    <t>10060111</t>
  </si>
  <si>
    <t>PACHRUKHI</t>
  </si>
  <si>
    <t>ORABAGICHA</t>
  </si>
  <si>
    <t>KHAJURIYA</t>
  </si>
  <si>
    <t>sonvarsha</t>
  </si>
  <si>
    <t>105668245033</t>
  </si>
  <si>
    <t>105604215713</t>
  </si>
  <si>
    <t>624874214920</t>
  </si>
  <si>
    <t>HARLACHAK</t>
  </si>
  <si>
    <t>KHIRDIH</t>
  </si>
  <si>
    <t>10030072</t>
  </si>
  <si>
    <t>10030073</t>
  </si>
  <si>
    <t>Date of Purchase</t>
  </si>
  <si>
    <t>10540008</t>
  </si>
  <si>
    <t>10540009</t>
  </si>
  <si>
    <t>GOMUKH PARRI</t>
  </si>
  <si>
    <t>GOMUKH BHIKHARI GHAT</t>
  </si>
  <si>
    <t>105321869290</t>
  </si>
  <si>
    <t>AC - 167600, DPU, 1021611, Coller - 5138, Furnture - 21000, Lab Equipment - 41536, laptop - 33800.</t>
  </si>
  <si>
    <t>10540005</t>
  </si>
  <si>
    <t>10540006</t>
  </si>
  <si>
    <t>10540007</t>
  </si>
  <si>
    <t>GOMUKH PARAN 2</t>
  </si>
  <si>
    <t>GOMUKH KHARAGPUR</t>
  </si>
  <si>
    <t>10530070</t>
  </si>
  <si>
    <t>10530071</t>
  </si>
  <si>
    <t>10140183</t>
  </si>
  <si>
    <t>Gomukh Uttardahan</t>
  </si>
  <si>
    <t>022405583427</t>
  </si>
  <si>
    <t>10530074</t>
  </si>
  <si>
    <t>GOMUKH BALAHA W-9</t>
  </si>
  <si>
    <t>374860488193</t>
  </si>
  <si>
    <t>Mina Devi</t>
  </si>
  <si>
    <t>Subhash Kumar</t>
  </si>
  <si>
    <t>Rajesh Kumar Yadav</t>
  </si>
  <si>
    <t>Manju Devi</t>
  </si>
  <si>
    <t>MANO 2</t>
  </si>
  <si>
    <t>KRAUTA</t>
  </si>
  <si>
    <t>KHEVSAR2</t>
  </si>
  <si>
    <t>10060114</t>
  </si>
  <si>
    <t>10090066</t>
  </si>
  <si>
    <t>10090067</t>
  </si>
  <si>
    <t>864784788811</t>
  </si>
  <si>
    <t>513934245236</t>
  </si>
  <si>
    <t>GOMUKH CHOWKI 2</t>
  </si>
  <si>
    <t>GOMUKH MOHABA</t>
  </si>
  <si>
    <t>10110158</t>
  </si>
  <si>
    <t>10110159</t>
  </si>
  <si>
    <t>S kamal</t>
  </si>
  <si>
    <t>516276355328</t>
  </si>
  <si>
    <t>516760882866</t>
  </si>
  <si>
    <t>Sibutol Naya Tola</t>
  </si>
  <si>
    <t>572989707262</t>
  </si>
  <si>
    <t>10080100</t>
  </si>
  <si>
    <t>Hasnraj</t>
  </si>
  <si>
    <t>30-05 Jun</t>
  </si>
  <si>
    <t>06-12 Jun</t>
  </si>
  <si>
    <t>13-18 Jun</t>
  </si>
  <si>
    <t>19-26 Jun</t>
  </si>
  <si>
    <t>10140182</t>
  </si>
  <si>
    <t>Gomukh Pandeypur</t>
  </si>
  <si>
    <t>398060379840</t>
  </si>
  <si>
    <t>10120108</t>
  </si>
  <si>
    <t>GOMUKH MANIKA EAST</t>
  </si>
  <si>
    <t>10530067</t>
  </si>
  <si>
    <t>GOMUKH BANDRA W-6</t>
  </si>
  <si>
    <t>dalsingsarai</t>
  </si>
  <si>
    <t>335796218875</t>
  </si>
  <si>
    <t>336123168249</t>
  </si>
  <si>
    <t>SD Payment Status</t>
  </si>
  <si>
    <t>Apr</t>
  </si>
  <si>
    <t>May</t>
  </si>
  <si>
    <t>Jun</t>
  </si>
  <si>
    <t>Comm Down Paymnet</t>
  </si>
  <si>
    <t>Total Down Payment</t>
  </si>
  <si>
    <t>Jul</t>
  </si>
  <si>
    <t>Aug</t>
  </si>
  <si>
    <t>Sep</t>
  </si>
  <si>
    <t>Oct</t>
  </si>
  <si>
    <t>Oct-252</t>
  </si>
  <si>
    <t>Sep-252</t>
  </si>
  <si>
    <t>Aug-252</t>
  </si>
  <si>
    <t>Jul-252</t>
  </si>
  <si>
    <t>Jun-252</t>
  </si>
  <si>
    <t>May-252</t>
  </si>
  <si>
    <t>GOMUKH Kisanpur Tabhka</t>
  </si>
  <si>
    <t>Apr-252</t>
  </si>
  <si>
    <t>Jan</t>
  </si>
  <si>
    <t>Gomukh Bhitiyarahi</t>
  </si>
  <si>
    <t>Gomukh Gandhinagar</t>
  </si>
  <si>
    <t>PACHAM</t>
  </si>
  <si>
    <t>BANSIPUR</t>
  </si>
  <si>
    <t>GODIH</t>
  </si>
  <si>
    <t>SINGARPUR</t>
  </si>
  <si>
    <t>Champanagar</t>
  </si>
  <si>
    <t>Sitarampur</t>
  </si>
  <si>
    <t>GOMUKH GANGIYA</t>
  </si>
  <si>
    <t>Hajipur</t>
  </si>
  <si>
    <t>GOMUKH DADHIYA-2</t>
  </si>
  <si>
    <t>Gomukh Baltara</t>
  </si>
  <si>
    <t>Nov</t>
  </si>
  <si>
    <t>Dec</t>
  </si>
  <si>
    <t>Feb</t>
  </si>
  <si>
    <t>Pending Payment for Payment</t>
  </si>
  <si>
    <t>Due</t>
  </si>
  <si>
    <t>Mar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</si>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</sst>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"/>
    <numFmt numFmtId="165" formatCode="d&quot;-&quot;mmm&quot;-&quot;yyyy"/>
    <numFmt numFmtId="166" formatCode="_ [$₹-4009]\ * #,##0.00_ ;_ [$₹-4009]\ * \-#,##0.00_ ;_ [$₹-4009]\ * &quot;-&quot;??_ ;_ @_ "/>
    <numFmt numFmtId="167" formatCode="_ * #,##0_ ;_ * \-#,##0_ ;_ * &quot;-&quot;??_ ;_ @_ "/>
    <numFmt numFmtId="168" formatCode="&quot;&quot;0.00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u/>
      <sz val="11"/>
      <color theme="1"/>
      <name val="Arial"/>
      <family val="2"/>
      <scheme val="minor"/>
    </font>
    <font>
      <b/>
      <sz val="8"/>
      <color theme="2"/>
      <name val="Arial"/>
      <family val="2"/>
      <scheme val="minor"/>
    </font>
    <font>
      <b/>
      <sz val="8"/>
      <color theme="2"/>
      <name val="Calibri"/>
      <family val="2"/>
    </font>
    <font>
      <sz val="8"/>
      <color theme="1"/>
      <name val="Arial"/>
      <family val="2"/>
      <scheme val="minor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8F9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8">
    <xf numFmtId="0" fontId="0" fillId="0" borderId="0" xfId="0"/>
    <xf numFmtId="0" fontId="1" fillId="0" borderId="0" xfId="0" applyFont="1" applyAlignment="1">
      <alignment horizontal="center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wrapText="1"/>
    </xf>
    <xf numFmtId="49" fontId="0" fillId="0" borderId="0" xfId="0" applyNumberFormat="1"/>
    <xf numFmtId="1" fontId="2" fillId="2" borderId="0" xfId="0" applyNumberFormat="1" applyFont="1" applyFill="1" applyAlignment="1">
      <alignment horizontal="center" vertical="top" wrapText="1"/>
    </xf>
    <xf numFmtId="15" fontId="0" fillId="0" borderId="0" xfId="0" applyNumberFormat="1"/>
    <xf numFmtId="0" fontId="5" fillId="0" borderId="0" xfId="0" applyFont="1"/>
    <xf numFmtId="0" fontId="4" fillId="7" borderId="0" xfId="0" applyFont="1" applyFill="1"/>
    <xf numFmtId="166" fontId="0" fillId="0" borderId="0" xfId="0" applyNumberFormat="1"/>
    <xf numFmtId="0" fontId="4" fillId="8" borderId="0" xfId="0" applyFont="1" applyFill="1"/>
    <xf numFmtId="166" fontId="4" fillId="8" borderId="0" xfId="0" applyNumberFormat="1" applyFont="1" applyFill="1"/>
    <xf numFmtId="166" fontId="4" fillId="0" borderId="0" xfId="0" applyNumberFormat="1" applyFont="1"/>
    <xf numFmtId="43" fontId="0" fillId="0" borderId="0" xfId="0" applyNumberFormat="1"/>
    <xf numFmtId="0" fontId="4" fillId="9" borderId="1" xfId="0" applyFont="1" applyFill="1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8" borderId="1" xfId="0" applyFill="1" applyBorder="1"/>
    <xf numFmtId="43" fontId="4" fillId="8" borderId="1" xfId="1" applyFont="1" applyFill="1" applyBorder="1"/>
    <xf numFmtId="0" fontId="10" fillId="0" borderId="0" xfId="0" applyFont="1" applyAlignment="1">
      <alignment horizont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top" wrapText="1"/>
    </xf>
    <xf numFmtId="49" fontId="7" fillId="6" borderId="3" xfId="0" applyNumberFormat="1" applyFont="1" applyFill="1" applyBorder="1" applyAlignment="1">
      <alignment horizontal="center" vertical="top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5" fontId="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0" fontId="12" fillId="0" borderId="1" xfId="0" applyFont="1" applyBorder="1"/>
    <xf numFmtId="0" fontId="3" fillId="0" borderId="1" xfId="0" applyFont="1" applyBorder="1"/>
    <xf numFmtId="16" fontId="0" fillId="0" borderId="0" xfId="0" applyNumberFormat="1"/>
    <xf numFmtId="0" fontId="3" fillId="0" borderId="7" xfId="0" applyFont="1" applyBorder="1"/>
    <xf numFmtId="49" fontId="13" fillId="0" borderId="8" xfId="0" applyNumberFormat="1" applyFont="1" applyBorder="1" applyAlignment="1">
      <alignment horizontal="right" vertical="top"/>
    </xf>
    <xf numFmtId="49" fontId="13" fillId="0" borderId="8" xfId="0" applyNumberFormat="1" applyFont="1" applyBorder="1" applyAlignment="1">
      <alignment vertical="top"/>
    </xf>
    <xf numFmtId="49" fontId="14" fillId="0" borderId="8" xfId="0" applyNumberFormat="1" applyFont="1" applyBorder="1" applyAlignment="1">
      <alignment horizontal="right" vertical="top"/>
    </xf>
    <xf numFmtId="49" fontId="13" fillId="0" borderId="0" xfId="0" applyNumberFormat="1" applyFont="1" applyAlignment="1">
      <alignment horizontal="right" vertical="top"/>
    </xf>
    <xf numFmtId="49" fontId="14" fillId="0" borderId="0" xfId="0" applyNumberFormat="1" applyFont="1" applyAlignment="1">
      <alignment horizontal="left" vertical="top" indent="6"/>
    </xf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horizontal="right" vertical="top"/>
    </xf>
    <xf numFmtId="15" fontId="13" fillId="0" borderId="0" xfId="0" applyNumberFormat="1" applyFont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168" fontId="15" fillId="0" borderId="0" xfId="0" applyNumberFormat="1" applyFont="1" applyAlignment="1">
      <alignment horizontal="right" vertical="top"/>
    </xf>
    <xf numFmtId="0" fontId="3" fillId="0" borderId="0" xfId="0" applyFont="1"/>
    <xf numFmtId="0" fontId="12" fillId="0" borderId="0" xfId="0" applyFont="1"/>
    <xf numFmtId="4" fontId="0" fillId="0" borderId="0" xfId="0" applyNumberFormat="1"/>
    <xf numFmtId="49" fontId="1" fillId="0" borderId="0" xfId="0" applyNumberFormat="1" applyFont="1" applyAlignment="1">
      <alignment horizontal="center" wrapText="1"/>
    </xf>
    <xf numFmtId="167" fontId="8" fillId="0" borderId="3" xfId="0" applyNumberFormat="1" applyFont="1" applyBorder="1" applyAlignment="1">
      <alignment horizontal="center" vertical="center"/>
    </xf>
    <xf numFmtId="49" fontId="6" fillId="4" borderId="3" xfId="0" applyNumberFormat="1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17" fontId="6" fillId="4" borderId="3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top" wrapText="1"/>
    </xf>
    <xf numFmtId="49" fontId="7" fillId="6" borderId="1" xfId="0" applyNumberFormat="1" applyFont="1" applyFill="1" applyBorder="1" applyAlignment="1">
      <alignment horizontal="center" vertical="top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vertical="center"/>
    </xf>
    <xf numFmtId="3" fontId="8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/>
    </xf>
    <xf numFmtId="1" fontId="8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vertical="center"/>
    </xf>
    <xf numFmtId="3" fontId="8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49" fontId="7" fillId="5" borderId="9" xfId="0" applyNumberFormat="1" applyFont="1" applyFill="1" applyBorder="1" applyAlignment="1">
      <alignment horizontal="center" vertical="top" wrapText="1"/>
    </xf>
    <xf numFmtId="167" fontId="0" fillId="0" borderId="0" xfId="1" applyNumberFormat="1" applyFont="1"/>
    <xf numFmtId="167" fontId="12" fillId="0" borderId="0" xfId="0" applyNumberFormat="1" applyFont="1"/>
    <xf numFmtId="17" fontId="0" fillId="0" borderId="0" xfId="0" applyNumberFormat="1"/>
    <xf numFmtId="0" fontId="8" fillId="12" borderId="1" xfId="0" applyFont="1" applyFill="1" applyBorder="1" applyAlignment="1">
      <alignment horizontal="center" vertical="center"/>
    </xf>
    <xf numFmtId="3" fontId="9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vertical="center"/>
    </xf>
    <xf numFmtId="3" fontId="8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0" fillId="13" borderId="0" xfId="0" applyFill="1"/>
    <xf numFmtId="167" fontId="0" fillId="13" borderId="0" xfId="1" applyNumberFormat="1" applyFont="1" applyFill="1"/>
    <xf numFmtId="17" fontId="6" fillId="4" borderId="1" xfId="0" applyNumberFormat="1" applyFont="1" applyFill="1" applyBorder="1" applyAlignment="1">
      <alignment wrapText="1"/>
    </xf>
    <xf numFmtId="167" fontId="8" fillId="10" borderId="3" xfId="0" applyNumberFormat="1" applyFont="1" applyFill="1" applyBorder="1" applyAlignment="1">
      <alignment horizontal="center" vertical="center"/>
    </xf>
    <xf numFmtId="167" fontId="0" fillId="0" borderId="0" xfId="0" applyNumberFormat="1"/>
    <xf numFmtId="17" fontId="6" fillId="4" borderId="1" xfId="0" quotePrefix="1" applyNumberFormat="1" applyFont="1" applyFill="1" applyBorder="1" applyAlignment="1">
      <alignment wrapText="1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167" fontId="3" fillId="0" borderId="0" xfId="1" applyNumberFormat="1" applyFont="1"/>
    <xf numFmtId="0" fontId="0" fillId="0" borderId="0" xfId="0" applyAlignment="1">
      <alignment wrapText="1"/>
    </xf>
    <xf numFmtId="49" fontId="7" fillId="5" borderId="0" xfId="0" applyNumberFormat="1" applyFont="1" applyFill="1" applyAlignment="1">
      <alignment horizontal="center" vertical="top" wrapText="1"/>
    </xf>
    <xf numFmtId="167" fontId="8" fillId="1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49" fontId="14" fillId="0" borderId="8" xfId="0" applyNumberFormat="1" applyFont="1" applyBorder="1" applyAlignment="1">
      <alignment horizontal="left" vertical="top" indent="6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numFmt numFmtId="167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67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65" formatCode="d&quot;-&quot;mmm&quot;-&quot;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2"/>
      </font>
      <fill>
        <patternFill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MCU Details-style" pivot="0" count="3" xr9:uid="{00000000-0011-0000-FFFF-FFFF00000000}">
      <tableStyleElement type="headerRow" dxfId="158"/>
      <tableStyleElement type="firstRowStripe" dxfId="157"/>
      <tableStyleElement type="secondRowStripe" dxfId="1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64DBF47C-B251-40AF-849A-6891DA9ACB43}" userId="6ac75b1ada5cc9c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K1004" headerRowDxfId="155" dataDxfId="153" totalsRowDxfId="151" headerRowBorderDxfId="154" tableBorderDxfId="152">
  <autoFilter ref="A2:DK1004" xr:uid="{00000000-000C-0000-FFFF-FFFF00000000}">
    <filterColumn colId="8">
      <filters>
        <filter val="No Payment"/>
        <filter val="Partial Payment"/>
      </filters>
    </filterColumn>
    <filterColumn colId="9">
      <filters>
        <filter val="Active"/>
      </filters>
    </filterColumn>
  </autoFilter>
  <sortState xmlns:xlrd2="http://schemas.microsoft.com/office/spreadsheetml/2017/richdata2" ref="A3:CK1004">
    <sortCondition ref="J2:J1004"/>
  </sortState>
  <tableColumns count="115">
    <tableColumn id="1" xr3:uid="{00000000-0010-0000-0000-000001000000}" name="Owner" dataDxfId="150"/>
    <tableColumn id="2" xr3:uid="{00000000-0010-0000-0000-000002000000}" name="MPG Code" dataDxfId="149"/>
    <tableColumn id="3" xr3:uid="{00000000-0010-0000-0000-000003000000}" name="MPG Code New" dataDxfId="148"/>
    <tableColumn id="4" xr3:uid="{00000000-0010-0000-0000-000004000000}" name="MPG Name" dataDxfId="147"/>
    <tableColumn id="5" xr3:uid="{00000000-0010-0000-0000-000005000000}" name="BMC" dataDxfId="146"/>
    <tableColumn id="111" xr3:uid="{F08C136D-1A25-4CAB-A774-0730099EE97A}" name="Date of Purchase" dataDxfId="145"/>
    <tableColumn id="6" xr3:uid="{00000000-0010-0000-0000-000006000000}" name="Issue Date" dataDxfId="144"/>
    <tableColumn id="7" xr3:uid="{00000000-0010-0000-0000-000007000000}" name="AMCU No" dataDxfId="143"/>
    <tableColumn id="110" xr3:uid="{B683FEF7-3187-453F-96D7-06AC4F990534}" name="SD Payment Status" dataDxfId="142">
      <calculatedColumnFormula>IF(Table1[[#This Row],[Centre Status]]="Returned","NA",IF(Table1[[#This Row],[SD]]&gt;19000,"Full Payment",IF(Table1[[#This Row],[SD]]&lt;1,"No Payment","Partial Payment")))</calculatedColumnFormula>
    </tableColumn>
    <tableColumn id="8" xr3:uid="{00000000-0010-0000-0000-000008000000}" name="Centre Status" dataDxfId="141"/>
    <tableColumn id="9" xr3:uid="{00000000-0010-0000-0000-000009000000}" name="Assets Value" dataDxfId="140"/>
    <tableColumn id="10" xr3:uid="{00000000-0010-0000-0000-00000A000000}" name="Total Deduction" dataDxfId="139">
      <calculatedColumnFormula>Q3+R3+U3+Table1[[#This Row],[Farmer Payment]]</calculatedColumnFormula>
    </tableColumn>
    <tableColumn id="11" xr3:uid="{00000000-0010-0000-0000-00000B000000}" name="Amount Returned" dataDxfId="138"/>
    <tableColumn id="12" xr3:uid="{00000000-0010-0000-0000-00000C000000}" name="Returned Date" dataDxfId="137"/>
    <tableColumn id="60" xr3:uid="{30DA0931-5A34-4A35-A4A6-6404F0E01A0C}" name="Benificery Name" dataDxfId="136"/>
    <tableColumn id="13" xr3:uid="{00000000-0010-0000-0000-00000D000000}" name="Recoverable Value" dataDxfId="135">
      <calculatedColumnFormula>K3-L3+M3</calculatedColumnFormula>
    </tableColumn>
    <tableColumn id="14" xr3:uid="{00000000-0010-0000-0000-00000E000000}" name="EMI" dataDxfId="134">
      <calculatedColumnFormula>AI3+AV3+CK3+Table1[[#This Row],[FY 25-26]]</calculatedColumnFormula>
    </tableColumn>
    <tableColumn id="15" xr3:uid="{00000000-0010-0000-0000-00000F000000}" name="SD" dataDxfId="133"/>
    <tableColumn id="16" xr3:uid="{00000000-0010-0000-0000-000010000000}" name="UTR/UPI" dataDxfId="132"/>
    <tableColumn id="17" xr3:uid="{00000000-0010-0000-0000-000011000000}" name="Down Payment Date" dataDxfId="131"/>
    <tableColumn id="18" xr3:uid="{00000000-0010-0000-0000-000012000000}" name="Old Deposit" dataDxfId="130"/>
    <tableColumn id="58" xr3:uid="{17E7B213-F5B0-447E-A09E-672D7DE983CF}" name="Farmer Payment" dataDxfId="129"/>
    <tableColumn id="19" xr3:uid="{00000000-0010-0000-0000-000013000000}" name="Apr-22" dataDxfId="128" dataCellStyle="Comma"/>
    <tableColumn id="20" xr3:uid="{00000000-0010-0000-0000-000014000000}" name="May-22" dataDxfId="127" dataCellStyle="Comma"/>
    <tableColumn id="21" xr3:uid="{00000000-0010-0000-0000-000015000000}" name="Jun-22" dataDxfId="126" dataCellStyle="Comma"/>
    <tableColumn id="22" xr3:uid="{00000000-0010-0000-0000-000016000000}" name="Jul-22" dataDxfId="125" dataCellStyle="Comma"/>
    <tableColumn id="23" xr3:uid="{00000000-0010-0000-0000-000017000000}" name="Aug-22" dataDxfId="124" dataCellStyle="Comma"/>
    <tableColumn id="24" xr3:uid="{00000000-0010-0000-0000-000018000000}" name="SEp-22" dataDxfId="123" dataCellStyle="Comma"/>
    <tableColumn id="25" xr3:uid="{00000000-0010-0000-0000-000019000000}" name="Oct-22" dataDxfId="122" dataCellStyle="Comma"/>
    <tableColumn id="26" xr3:uid="{00000000-0010-0000-0000-00001A000000}" name="Nov-22" dataDxfId="121" dataCellStyle="Comma"/>
    <tableColumn id="27" xr3:uid="{00000000-0010-0000-0000-00001B000000}" name="Dec-22" dataDxfId="120" dataCellStyle="Comma"/>
    <tableColumn id="28" xr3:uid="{00000000-0010-0000-0000-00001C000000}" name="Jan-23" dataDxfId="119" dataCellStyle="Comma"/>
    <tableColumn id="29" xr3:uid="{00000000-0010-0000-0000-00001D000000}" name="Feb-23" dataDxfId="118" dataCellStyle="Comma"/>
    <tableColumn id="30" xr3:uid="{00000000-0010-0000-0000-00001E000000}" name="Mar-23" dataDxfId="117" dataCellStyle="Comma"/>
    <tableColumn id="31" xr3:uid="{00000000-0010-0000-0000-00001F000000}" name="FY 22-23" dataDxfId="116" dataCellStyle="Comma">
      <calculatedColumnFormula>SUM(W3:AH3)</calculatedColumnFormula>
    </tableColumn>
    <tableColumn id="32" xr3:uid="{00000000-0010-0000-0000-000020000000}" name="Apr-23" dataDxfId="115"/>
    <tableColumn id="33" xr3:uid="{00000000-0010-0000-0000-000021000000}" name="May-23" dataDxfId="114"/>
    <tableColumn id="34" xr3:uid="{00000000-0010-0000-0000-000022000000}" name="Jun-23" dataDxfId="113"/>
    <tableColumn id="35" xr3:uid="{00000000-0010-0000-0000-000023000000}" name="Jul-23" dataDxfId="112"/>
    <tableColumn id="36" xr3:uid="{00000000-0010-0000-0000-000024000000}" name="Aug-23" dataDxfId="111"/>
    <tableColumn id="37" xr3:uid="{00000000-0010-0000-0000-000025000000}" name="SEp-23" dataDxfId="110"/>
    <tableColumn id="38" xr3:uid="{00000000-0010-0000-0000-000026000000}" name="Oct-23" dataDxfId="109"/>
    <tableColumn id="39" xr3:uid="{00000000-0010-0000-0000-000027000000}" name="Nov-23" dataDxfId="108"/>
    <tableColumn id="40" xr3:uid="{00000000-0010-0000-0000-000028000000}" name="Dec-23" dataDxfId="107"/>
    <tableColumn id="41" xr3:uid="{00000000-0010-0000-0000-000029000000}" name="Jan-24" dataDxfId="106"/>
    <tableColumn id="42" xr3:uid="{00000000-0010-0000-0000-00002A000000}" name="Feb-24" dataDxfId="105"/>
    <tableColumn id="43" xr3:uid="{00000000-0010-0000-0000-00002B000000}" name="Mar-24" dataDxfId="104"/>
    <tableColumn id="44" xr3:uid="{00000000-0010-0000-0000-00002C000000}" name="FY 23-24" dataDxfId="103">
      <calculatedColumnFormula>SUM(AJ3:AU3)</calculatedColumnFormula>
    </tableColumn>
    <tableColumn id="45" xr3:uid="{00000000-0010-0000-0000-00002D000000}" name="Apr-24" dataDxfId="102"/>
    <tableColumn id="46" xr3:uid="{00000000-0010-0000-0000-00002E000000}" name="May-24" dataDxfId="101"/>
    <tableColumn id="47" xr3:uid="{00000000-0010-0000-0000-00002F000000}" name="Jun-24" dataDxfId="100"/>
    <tableColumn id="48" xr3:uid="{00000000-0010-0000-0000-000030000000}" name="Jul-24" dataDxfId="99"/>
    <tableColumn id="49" xr3:uid="{00000000-0010-0000-0000-000031000000}" name="Aug-24" dataDxfId="98"/>
    <tableColumn id="59" xr3:uid="{A5744820-3728-4165-AD42-B9208EDE0BA2}" name="20-26 Sep" dataDxfId="97"/>
    <tableColumn id="50" xr3:uid="{00000000-0010-0000-0000-000032000000}" name="SEp-24" dataDxfId="96"/>
    <tableColumn id="61" xr3:uid="{B676493D-8E04-4D38-8E4F-9F9EC696A324}" name="27-03 Oct" dataDxfId="95"/>
    <tableColumn id="64" xr3:uid="{C2CB7BDA-DD7C-4170-B771-2202905F5AA8}" name="05-11 Oct" dataDxfId="94"/>
    <tableColumn id="62" xr3:uid="{F23D815A-5865-49BB-9879-2EACC2438D0F}" name="11-17 Oct" dataDxfId="93"/>
    <tableColumn id="63" xr3:uid="{C95DD17F-0D4E-4CCD-AB0F-98619C2E2EB9}" name="18-24" dataDxfId="92"/>
    <tableColumn id="65" xr3:uid="{AC45EB0D-F38B-40EE-8BFA-70F7A6A7860E}" name="25-31" dataDxfId="91"/>
    <tableColumn id="51" xr3:uid="{00000000-0010-0000-0000-000033000000}" name="Oct-24" dataDxfId="90"/>
    <tableColumn id="66" xr3:uid="{A1451B68-472A-4239-A539-C50D406930B8}" name="01-07 Nov" dataDxfId="89"/>
    <tableColumn id="67" xr3:uid="{DB5A4A62-422C-4514-9715-CD2D04690FED}" name="08-14 Nov" dataDxfId="88"/>
    <tableColumn id="68" xr3:uid="{72AB2A52-42B5-4B49-97C1-3BCC914B9C74}" name="15-21 Nov" dataDxfId="87"/>
    <tableColumn id="69" xr3:uid="{F7098C28-A0AC-40E3-BAA2-355D6D636297}" name="22-28 Nov" dataDxfId="86"/>
    <tableColumn id="52" xr3:uid="{00000000-0010-0000-0000-000034000000}" name="Nov-24" dataDxfId="85"/>
    <tableColumn id="70" xr3:uid="{A7A5A38B-3F33-4164-9C8D-8EDCB398C313}" name="29-05 Dec" dataDxfId="84"/>
    <tableColumn id="71" xr3:uid="{F84F03BD-117A-41A9-89BB-334037675995}" name="06-12 Dec" dataDxfId="83"/>
    <tableColumn id="72" xr3:uid="{9F9E31F5-A885-4D44-8B55-6E80407822A0}" name="13-19 Dec" dataDxfId="82"/>
    <tableColumn id="74" xr3:uid="{184A1135-E41C-4DAC-8C1E-C70FA6E56E07}" name="20-26 Dec" dataDxfId="81"/>
    <tableColumn id="53" xr3:uid="{00000000-0010-0000-0000-000035000000}" name="Dec-24" dataDxfId="80"/>
    <tableColumn id="73" xr3:uid="{2864B7D7-532E-4DEF-96A6-166522B77FA1}" name="27 Dec -02 Jan" dataDxfId="79"/>
    <tableColumn id="75" xr3:uid="{4F97A9DE-0B71-482D-BAE2-8162A1F094D8}" name="03-09 Jan" dataDxfId="78"/>
    <tableColumn id="76" xr3:uid="{7BD04E50-F491-4E6C-905D-CE4D092A29A3}" name="10-16 Jan" dataDxfId="77"/>
    <tableColumn id="78" xr3:uid="{C1977BD7-198A-4ED0-9969-3490D77BC69E}" name="17-23 Jan" dataDxfId="76"/>
    <tableColumn id="77" xr3:uid="{94EF9954-68EC-4FB0-B42C-7B783354CAD0}" name="24-30 Jan" dataDxfId="75"/>
    <tableColumn id="54" xr3:uid="{00000000-0010-0000-0000-000036000000}" name="Jan-25" dataDxfId="74"/>
    <tableColumn id="79" xr3:uid="{3F5B9BF4-7BE5-40BB-B160-90E4ACFFF7CA}" name="0-06 Feb" dataDxfId="73"/>
    <tableColumn id="80" xr3:uid="{6EEC4BE1-FA93-4A19-B1DC-0BD85E6A4CC3}" name="07-13 Feb" dataDxfId="72"/>
    <tableColumn id="81" xr3:uid="{39A3B8BE-73A8-400B-AC26-0F656C6F1D4C}" name="14-20 Feb" dataDxfId="71"/>
    <tableColumn id="82" xr3:uid="{BA9C1404-E184-4CA9-8447-D9C555210823}" name="21-27 Feb" dataDxfId="70"/>
    <tableColumn id="55" xr3:uid="{00000000-0010-0000-0000-000037000000}" name="Feb-25" dataDxfId="69"/>
    <tableColumn id="83" xr3:uid="{4D294788-1044-41FE-9128-CD7781D96853}" name="28-06 Mar" dataDxfId="68"/>
    <tableColumn id="86" xr3:uid="{B8A1FABA-ED8D-468F-BA7B-2BD09A372021}" name="07-13 Mar" dataDxfId="67"/>
    <tableColumn id="85" xr3:uid="{226ADBAC-A065-4A09-9C57-13BA4941481E}" name="14-20 Mar" dataDxfId="66"/>
    <tableColumn id="84" xr3:uid="{ACCE9076-37E7-4EF0-BF05-033E05A80B4A}" name="21-27 Mar" dataDxfId="65"/>
    <tableColumn id="87" xr3:uid="{1B90C457-73C6-4F4F-AAFB-4A03BB8B663E}" name="28-31 Mar" dataDxfId="64"/>
    <tableColumn id="56" xr3:uid="{00000000-0010-0000-0000-000038000000}" name="Mar-25" dataDxfId="63"/>
    <tableColumn id="57" xr3:uid="{00000000-0010-0000-0000-000039000000}" name="FY 24-25" dataDxfId="62">
      <calculatedColumnFormula>SUM(AW3:CJ3)</calculatedColumnFormula>
    </tableColumn>
    <tableColumn id="88" xr3:uid="{8FDA7FA2-B742-43DE-9F2D-1B9DD8C6BDB1}" name="01-03 Apr" dataDxfId="61" totalsRowDxfId="60"/>
    <tableColumn id="89" xr3:uid="{00DDB656-0E76-4B84-979A-87F03772718C}" name="4-10 Apr" dataDxfId="59" totalsRowDxfId="58"/>
    <tableColumn id="90" xr3:uid="{B0AB10B0-B647-4822-AA84-8C6706759C02}" name="11-17 Apr" dataDxfId="57" totalsRowDxfId="56"/>
    <tableColumn id="91" xr3:uid="{26F97288-47C5-4BB5-907D-611FD977FD7B}" name="18-24 Apr" dataDxfId="55" totalsRowDxfId="54"/>
    <tableColumn id="98" xr3:uid="{FDBBFA6A-A2C9-4A5D-952B-777AC65D90B3}" name="Apr-25" dataDxfId="53" totalsRowDxfId="52"/>
    <tableColumn id="96" xr3:uid="{11F6C8CE-580C-4B8C-9D5A-F64DF2AED575}" name="25-01 May" dataDxfId="51" totalsRowDxfId="50"/>
    <tableColumn id="95" xr3:uid="{89B40736-E9A4-44D8-919B-99167C0EFED5}" name="02-08 May" dataDxfId="49" totalsRowDxfId="48"/>
    <tableColumn id="94" xr3:uid="{56E35C1F-D306-438E-86E1-734FC6158A54}" name="09-15 May" dataDxfId="47" totalsRowDxfId="46"/>
    <tableColumn id="108" xr3:uid="{C74135EB-6BA0-4AEF-9473-EFA90C7D6D24}" name="16-22 May" dataDxfId="45" totalsRowDxfId="44"/>
    <tableColumn id="109" xr3:uid="{686F97B5-4AEA-42B1-8BD3-11F31AB50614}" name="23-29 May" dataDxfId="43" totalsRowDxfId="42"/>
    <tableColumn id="107" xr3:uid="{162DBAA0-9424-446E-ADCA-88AE281F2003}" name="May-25" dataDxfId="41" totalsRowDxfId="40"/>
    <tableColumn id="116" xr3:uid="{FFAFC65E-CA73-43E6-BF1C-1D2E25A9765A}" name="30-05 Jun" dataDxfId="39" totalsRowDxfId="38"/>
    <tableColumn id="115" xr3:uid="{70EC0BD7-774C-4AD6-AA9B-C9C5164A9D47}" name="06-12 Jun" dataDxfId="37" totalsRowDxfId="36"/>
    <tableColumn id="114" xr3:uid="{D2FA1344-C032-4AD1-AC59-DEBF3DE14C1C}" name="13-18 Jun" dataDxfId="35" totalsRowDxfId="34"/>
    <tableColumn id="117" xr3:uid="{004EB75F-33FF-4716-9602-77E63B88A8B5}" name="19-26 Jun" dataDxfId="33" totalsRowDxfId="32"/>
    <tableColumn id="106" xr3:uid="{D5842A42-6DE2-4BAB-A249-BBA08DEDB057}" name="Jun-25" dataDxfId="31" totalsRowDxfId="30"/>
    <tableColumn id="105" xr3:uid="{DCAB3C36-A89F-4BE0-934F-C9F948912549}" name="Jul-25" dataDxfId="29" totalsRowDxfId="28"/>
    <tableColumn id="104" xr3:uid="{B5770529-D8EC-4741-8601-327BAC5A3A9D}" name="Aug-25" dataDxfId="27" totalsRowDxfId="26"/>
    <tableColumn id="103" xr3:uid="{7BED063A-D46E-4E77-8CF5-575E63B1FC7F}" name="Sep-25" dataDxfId="25" totalsRowDxfId="24"/>
    <tableColumn id="102" xr3:uid="{49191277-C949-4A84-A89F-CFFFA4C94260}" name="Oct-25" dataDxfId="23" totalsRowDxfId="22"/>
    <tableColumn id="101" xr3:uid="{B4978A4C-C444-4519-86D1-808542B3C9F5}" name="Nov-25" dataDxfId="21" totalsRowDxfId="20"/>
    <tableColumn id="100" xr3:uid="{119FFDBD-ACB0-4848-AB3F-6DE8D162D923}" name="Dec-25" dataDxfId="19" totalsRowDxfId="18"/>
    <tableColumn id="99" xr3:uid="{724CD209-62C5-4CE1-B690-0AA1671A45E6}" name="Jan-26" dataDxfId="17" totalsRowDxfId="16"/>
    <tableColumn id="97" xr3:uid="{700A2829-0BE2-46AA-885F-2E4BD9353763}" name="Feb-26" dataDxfId="15" totalsRowDxfId="14"/>
    <tableColumn id="93" xr3:uid="{D56BB2E6-03CD-49F9-A943-C129C1A56CA0}" name="Mar-26" dataDxfId="13" totalsRowDxfId="12"/>
    <tableColumn id="92" xr3:uid="{0A0B32B8-1DD0-41F6-A6DC-66B027D759EE}" name="FY 25-26" dataDxfId="11" totalsRowDxfId="10">
      <calculatedColumnFormula>SUM(Table1[[#This Row],[01-03 Apr]:[Mar-26]])</calculatedColumnFormula>
    </tableColumn>
  </tableColumns>
  <tableStyleInfo name="AMCU Detai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84" dT="2024-07-17T10:59:39.06" personId="{64DBF47C-B251-40AF-849A-6891DA9ACB43}" id="{273DF534-9ED9-4890-851B-207FF725F2A7}">
    <text>42802 deducted from farmer payment in 05-11 July 24</text>
  </threadedComment>
  <threadedComment ref="R754" dT="2024-07-24T07:36:53.49" personId="{64DBF47C-B251-40AF-849A-6891DA9ACB43}" id="{D0B7F87B-FD96-4FA6-8DA8-896C538BBE99}">
    <text>Amount Direct Shifted to Kradex</text>
  </threadedComment>
  <threadedComment ref="O798" dT="2024-09-23T05:46:45.07" personId="{64DBF47C-B251-40AF-849A-6891DA9ACB43}" id="{356725F7-CDC0-4A68-A90D-4031BDDA5FD5}">
    <text>Rs 20 K issued to Ali Hasan Ansari on 18/7/24 and same returned by them</text>
  </threadedComment>
  <threadedComment ref="M814" dT="2024-09-13T07:47:57.08" personId="{64DBF47C-B251-40AF-849A-6891DA9ACB43}" id="{A6EB55DB-0EEB-471C-A3B0-0FA903274E3A}">
    <text>Paid on Behalf of ITC and cleared</text>
  </threadedComment>
  <threadedComment ref="M815" dT="2024-09-13T07:47:57.08" personId="{64DBF47C-B251-40AF-849A-6891DA9ACB43}" id="{E62B2972-278F-40FA-832A-279AF172D424}">
    <text>Paid on Behalf of ITC and cleared</text>
  </threadedComment>
  <threadedComment ref="M816" dT="2024-09-13T07:47:57.08" personId="{64DBF47C-B251-40AF-849A-6891DA9ACB43}" id="{C4C46B44-4AFA-48D8-AF01-FE745B780066}">
    <text>Paid on Behalf of ITC and cleared</text>
  </threadedComment>
  <threadedComment ref="M828" dT="2024-09-23T05:50:56.79" personId="{64DBF47C-B251-40AF-849A-6891DA9ACB43}" id="{D3739AF3-9C13-4B34-912D-20E7EB12D3BC}">
    <text>Paid Rs 5400/- after deducteion of Rs 9600/- against deduction of 3 Cans</text>
  </threadedComment>
  <threadedComment ref="M846" dT="2024-07-08T05:35:30.76" personId="{64DBF47C-B251-40AF-849A-6891DA9ACB43}" id="{39330EFD-6468-4A57-AC26-B687B1092A8A}">
    <text>Via Supervisor</text>
  </threadedComment>
  <threadedComment ref="M847" dT="2024-07-24T07:41:09.04" personId="{64DBF47C-B251-40AF-849A-6891DA9ACB43}" id="{9D875C9B-277A-4ED6-B708-377CB0A8ADAB}">
    <text>Amount Goes to Dhirendra Shama</text>
  </threadedComment>
  <threadedComment ref="M872" dT="2024-07-24T07:33:18.48" personId="{64DBF47C-B251-40AF-849A-6891DA9ACB43}" id="{0AEA8E6D-5CF8-4F7A-BE9F-F4D0325E000D}">
    <text>Rs 20000 Cheque issued on 30th March and cancilled</text>
  </threadedComment>
  <threadedComment ref="N955" dT="2024-07-24T10:29:42.35" personId="{64DBF47C-B251-40AF-849A-6891DA9ACB43}" id="{019EB406-C68D-45E5-A1BC-541ECF1303CA}">
    <text>25 May 2023</text>
  </threadedComment>
  <threadedComment ref="N958" dT="2024-07-24T10:28:16.57" personId="{64DBF47C-B251-40AF-849A-6891DA9ACB43}" id="{3D2154BE-4DFF-4D0E-B381-A06211D07007}">
    <text>Two Payment Made 20/05/23</text>
  </threadedComment>
  <threadedComment ref="N982" dT="2024-07-24T10:48:38.74" personId="{64DBF47C-B251-40AF-849A-6891DA9ACB43}" id="{F7871502-0C02-4391-8CE2-1C6BFD47B8B2}">
    <text>09 Nov 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ED1007"/>
  <sheetViews>
    <sheetView topLeftCell="K1" workbookViewId="0">
      <pane ySplit="2" topLeftCell="A704" activePane="bottomLeft" state="frozen"/>
      <selection pane="bottomLeft" activeCell="C2" sqref="C2:R836"/>
    </sheetView>
  </sheetViews>
  <sheetFormatPr defaultColWidth="12.7109375" defaultRowHeight="12.75" x14ac:dyDescent="0.2"/>
  <cols>
    <col min="1" max="1" width="13.42578125" bestFit="1" customWidth="1"/>
    <col min="2" max="2" width="19.85546875" bestFit="1" customWidth="1"/>
    <col min="3" max="3" width="16.28515625" style="5" bestFit="1" customWidth="1"/>
    <col min="4" max="4" width="50.5703125" bestFit="1" customWidth="1"/>
    <col min="5" max="5" width="12.5703125" bestFit="1" customWidth="1"/>
    <col min="6" max="6" width="12.5703125" customWidth="1"/>
    <col min="7" max="7" width="12.42578125" customWidth="1"/>
    <col min="8" max="9" width="11.7109375" customWidth="1"/>
    <col min="10" max="10" width="14.7109375" customWidth="1"/>
    <col min="11" max="11" width="12.85546875" customWidth="1"/>
    <col min="12" max="12" width="14.7109375" customWidth="1"/>
    <col min="13" max="13" width="16.28515625" customWidth="1"/>
    <col min="14" max="14" width="14.28515625" customWidth="1"/>
    <col min="15" max="15" width="17.28515625" customWidth="1"/>
    <col min="16" max="16" width="16.42578125" customWidth="1"/>
    <col min="17" max="17" width="11.5703125" customWidth="1"/>
    <col min="18" max="18" width="10.42578125" customWidth="1"/>
    <col min="19" max="19" width="24.28515625" customWidth="1"/>
    <col min="20" max="20" width="17.85546875" style="7" customWidth="1"/>
    <col min="21" max="22" width="12.28515625" customWidth="1"/>
    <col min="23" max="23" width="9.7109375" customWidth="1"/>
    <col min="24" max="24" width="10.140625" customWidth="1"/>
    <col min="25" max="25" width="9.7109375" customWidth="1"/>
    <col min="26" max="26" width="9.28515625" customWidth="1"/>
    <col min="27" max="28" width="10" customWidth="1"/>
    <col min="29" max="29" width="9.5703125" customWidth="1"/>
    <col min="30" max="31" width="9.85546875" customWidth="1"/>
    <col min="32" max="32" width="9.7109375" customWidth="1"/>
    <col min="33" max="34" width="9.85546875" customWidth="1"/>
    <col min="35" max="35" width="11" customWidth="1"/>
    <col min="36" max="36" width="9.7109375" customWidth="1"/>
    <col min="37" max="37" width="10.140625" customWidth="1"/>
    <col min="38" max="38" width="9.7109375" customWidth="1"/>
    <col min="39" max="39" width="9.28515625" customWidth="1"/>
    <col min="40" max="41" width="10" customWidth="1"/>
    <col min="42" max="42" width="9.5703125" customWidth="1"/>
    <col min="43" max="44" width="9.85546875" customWidth="1"/>
    <col min="45" max="45" width="9.7109375" customWidth="1"/>
    <col min="46" max="47" width="9.85546875" customWidth="1"/>
    <col min="48" max="48" width="11" customWidth="1"/>
    <col min="49" max="49" width="9.7109375" customWidth="1"/>
    <col min="50" max="50" width="10.140625" customWidth="1"/>
    <col min="51" max="51" width="9.7109375" customWidth="1"/>
    <col min="52" max="52" width="9.28515625" customWidth="1"/>
    <col min="53" max="60" width="10" customWidth="1"/>
    <col min="61" max="65" width="9.5703125" customWidth="1"/>
    <col min="66" max="76" width="9.85546875" customWidth="1"/>
    <col min="77" max="81" width="9.7109375" customWidth="1"/>
    <col min="82" max="88" width="9.85546875" customWidth="1"/>
    <col min="89" max="89" width="12.5703125" customWidth="1"/>
    <col min="90" max="122" width="12.7109375" customWidth="1"/>
    <col min="123" max="123" width="6" bestFit="1" customWidth="1"/>
  </cols>
  <sheetData>
    <row r="1" spans="1:134" ht="15" x14ac:dyDescent="0.2">
      <c r="A1" s="1"/>
      <c r="B1" s="1"/>
      <c r="C1" s="65"/>
      <c r="D1" s="1"/>
      <c r="E1" s="21"/>
      <c r="F1" s="21"/>
      <c r="G1" s="1"/>
      <c r="H1" s="1"/>
      <c r="I1" s="1"/>
      <c r="J1" s="1"/>
      <c r="K1" s="2">
        <f>SUBTOTAL(9,K3:K1197)</f>
        <v>31721992</v>
      </c>
      <c r="L1" s="2">
        <f>SUBTOTAL(9,L3:L1197)</f>
        <v>9535101.0532129575</v>
      </c>
      <c r="M1" s="2">
        <f>SUBTOTAL(9,M3:M1197)</f>
        <v>30000</v>
      </c>
      <c r="N1" s="2"/>
      <c r="O1" s="2"/>
      <c r="P1" s="2">
        <f>SUBTOTAL(9,P3:P1197)</f>
        <v>22216890.946787041</v>
      </c>
      <c r="Q1" s="2">
        <f>SUBTOTAL(9,Q3:Q1197)</f>
        <v>7284344.053212963</v>
      </c>
      <c r="R1" s="2">
        <f>SUBTOTAL(9,R3:R1197)</f>
        <v>1985000</v>
      </c>
      <c r="S1" s="3"/>
      <c r="T1" s="3"/>
      <c r="U1" s="6">
        <f t="shared" ref="U1:AZ1" si="0">SUBTOTAL(9,U3:U1197)</f>
        <v>190328</v>
      </c>
      <c r="V1" s="6">
        <f t="shared" si="0"/>
        <v>75429</v>
      </c>
      <c r="W1" s="6">
        <f t="shared" si="0"/>
        <v>7897.0655999999999</v>
      </c>
      <c r="X1" s="6">
        <f t="shared" si="0"/>
        <v>11825.473999999998</v>
      </c>
      <c r="Y1" s="6">
        <f t="shared" si="0"/>
        <v>19528.991399999999</v>
      </c>
      <c r="Z1" s="6">
        <f t="shared" si="0"/>
        <v>19478.036</v>
      </c>
      <c r="AA1" s="6">
        <f t="shared" si="0"/>
        <v>26919.932799999999</v>
      </c>
      <c r="AB1" s="6">
        <f t="shared" si="0"/>
        <v>19517.205000000002</v>
      </c>
      <c r="AC1" s="6">
        <f t="shared" si="0"/>
        <v>20904.431</v>
      </c>
      <c r="AD1" s="6">
        <f t="shared" si="0"/>
        <v>32494.278599999998</v>
      </c>
      <c r="AE1" s="6">
        <f t="shared" si="0"/>
        <v>36355.508199999997</v>
      </c>
      <c r="AF1" s="6">
        <f t="shared" si="0"/>
        <v>47945.955000000002</v>
      </c>
      <c r="AG1" s="6">
        <f t="shared" si="0"/>
        <v>73298.127800000002</v>
      </c>
      <c r="AH1" s="6">
        <f t="shared" si="0"/>
        <v>92802.018000000011</v>
      </c>
      <c r="AI1" s="6">
        <f t="shared" si="0"/>
        <v>408967.02339999995</v>
      </c>
      <c r="AJ1" s="6">
        <f t="shared" si="0"/>
        <v>108506.52486000719</v>
      </c>
      <c r="AK1" s="6">
        <f t="shared" si="0"/>
        <v>137588.90600000002</v>
      </c>
      <c r="AL1" s="6">
        <f t="shared" si="0"/>
        <v>125445.37080000002</v>
      </c>
      <c r="AM1" s="6">
        <f t="shared" si="0"/>
        <v>160571.75859999997</v>
      </c>
      <c r="AN1" s="6">
        <f t="shared" si="0"/>
        <v>158012.9258</v>
      </c>
      <c r="AO1" s="6">
        <f t="shared" si="0"/>
        <v>161139.58599999998</v>
      </c>
      <c r="AP1" s="6">
        <f t="shared" si="0"/>
        <v>187240.23680000001</v>
      </c>
      <c r="AQ1" s="6">
        <f t="shared" si="0"/>
        <v>173186.15839999999</v>
      </c>
      <c r="AR1" s="6">
        <f t="shared" si="0"/>
        <v>232508.08380000005</v>
      </c>
      <c r="AS1" s="6">
        <f t="shared" si="0"/>
        <v>318808.5560000001</v>
      </c>
      <c r="AT1" s="6">
        <f t="shared" si="0"/>
        <v>329419.69554708485</v>
      </c>
      <c r="AU1" s="6">
        <f t="shared" si="0"/>
        <v>338523.04940000008</v>
      </c>
      <c r="AV1" s="6">
        <f t="shared" si="0"/>
        <v>2430950.8520070901</v>
      </c>
      <c r="AW1" s="6">
        <f t="shared" si="0"/>
        <v>325796.73476409056</v>
      </c>
      <c r="AX1" s="6">
        <f t="shared" si="0"/>
        <v>269113.11900924426</v>
      </c>
      <c r="AY1" s="6">
        <f t="shared" si="0"/>
        <v>245580.22931699696</v>
      </c>
      <c r="AZ1" s="6">
        <f t="shared" si="0"/>
        <v>271603.92602247588</v>
      </c>
      <c r="BA1" s="6">
        <f t="shared" ref="BA1:CF1" si="1">SUBTOTAL(9,BA3:BA1197)</f>
        <v>217865.85184269355</v>
      </c>
      <c r="BB1" s="6">
        <f t="shared" si="1"/>
        <v>37500</v>
      </c>
      <c r="BC1" s="6">
        <f t="shared" si="1"/>
        <v>275011.88626458944</v>
      </c>
      <c r="BD1" s="6">
        <f t="shared" si="1"/>
        <v>36580</v>
      </c>
      <c r="BE1" s="6">
        <f t="shared" si="1"/>
        <v>25311</v>
      </c>
      <c r="BF1" s="6">
        <f t="shared" si="1"/>
        <v>26500</v>
      </c>
      <c r="BG1" s="6">
        <f t="shared" si="1"/>
        <v>25319</v>
      </c>
      <c r="BH1" s="6">
        <f t="shared" si="1"/>
        <v>25108</v>
      </c>
      <c r="BI1" s="6">
        <f t="shared" si="1"/>
        <v>213724.8558816397</v>
      </c>
      <c r="BJ1" s="6">
        <f t="shared" si="1"/>
        <v>23153</v>
      </c>
      <c r="BK1" s="6">
        <f t="shared" si="1"/>
        <v>24552</v>
      </c>
      <c r="BL1" s="6">
        <f t="shared" si="1"/>
        <v>33000</v>
      </c>
      <c r="BM1" s="6">
        <f t="shared" si="1"/>
        <v>33000</v>
      </c>
      <c r="BN1" s="6">
        <f t="shared" si="1"/>
        <v>179271.01031010368</v>
      </c>
      <c r="BO1" s="6">
        <f t="shared" si="1"/>
        <v>31824</v>
      </c>
      <c r="BP1" s="6">
        <f t="shared" si="1"/>
        <v>30743</v>
      </c>
      <c r="BQ1" s="6">
        <f t="shared" si="1"/>
        <v>32500</v>
      </c>
      <c r="BR1" s="6">
        <f t="shared" si="1"/>
        <v>33500</v>
      </c>
      <c r="BS1" s="6">
        <f t="shared" si="1"/>
        <v>259330.89507308346</v>
      </c>
      <c r="BT1" s="6">
        <f t="shared" si="1"/>
        <v>30450</v>
      </c>
      <c r="BU1" s="6">
        <f t="shared" si="1"/>
        <v>30428</v>
      </c>
      <c r="BV1" s="6">
        <f t="shared" si="1"/>
        <v>22500</v>
      </c>
      <c r="BW1" s="6">
        <f t="shared" si="1"/>
        <v>21000</v>
      </c>
      <c r="BX1" s="6">
        <f t="shared" si="1"/>
        <v>20000</v>
      </c>
      <c r="BY1" s="6">
        <f t="shared" si="1"/>
        <v>224590.01629601471</v>
      </c>
      <c r="BZ1" s="6">
        <f t="shared" si="1"/>
        <v>21500</v>
      </c>
      <c r="CA1" s="6">
        <f t="shared" si="1"/>
        <v>23286</v>
      </c>
      <c r="CB1" s="6">
        <f t="shared" si="1"/>
        <v>20000</v>
      </c>
      <c r="CC1" s="6">
        <f t="shared" si="1"/>
        <v>19500</v>
      </c>
      <c r="CD1" s="6">
        <f t="shared" si="1"/>
        <v>269437.58721963962</v>
      </c>
      <c r="CE1" s="6">
        <f t="shared" si="1"/>
        <v>17500</v>
      </c>
      <c r="CF1" s="6">
        <f t="shared" si="1"/>
        <v>18000</v>
      </c>
      <c r="CG1" s="6">
        <f t="shared" ref="CG1:DK1" si="2">SUBTOTAL(9,CG3:CG1197)</f>
        <v>18000</v>
      </c>
      <c r="CH1" s="6">
        <f t="shared" si="2"/>
        <v>18000</v>
      </c>
      <c r="CI1" s="6">
        <f t="shared" si="2"/>
        <v>20000</v>
      </c>
      <c r="CJ1" s="6">
        <f t="shared" si="2"/>
        <v>323334.37699705077</v>
      </c>
      <c r="CK1" s="6">
        <f t="shared" si="2"/>
        <v>3793414.4889976201</v>
      </c>
      <c r="CL1" s="6">
        <f t="shared" si="2"/>
        <v>0</v>
      </c>
      <c r="CM1" s="6">
        <f t="shared" si="2"/>
        <v>20500</v>
      </c>
      <c r="CN1" s="6">
        <f t="shared" si="2"/>
        <v>21000</v>
      </c>
      <c r="CO1" s="6">
        <f t="shared" si="2"/>
        <v>20000</v>
      </c>
      <c r="CP1" s="6">
        <f t="shared" si="2"/>
        <v>220398.3282073614</v>
      </c>
      <c r="CQ1" s="6">
        <f t="shared" si="2"/>
        <v>19783</v>
      </c>
      <c r="CR1" s="6">
        <f t="shared" si="2"/>
        <v>20000</v>
      </c>
      <c r="CS1" s="6">
        <f t="shared" si="2"/>
        <v>13817</v>
      </c>
      <c r="CT1" s="6">
        <f t="shared" si="2"/>
        <v>18000</v>
      </c>
      <c r="CU1" s="6">
        <f t="shared" si="2"/>
        <v>13206</v>
      </c>
      <c r="CV1" s="6">
        <f t="shared" si="2"/>
        <v>216307.36060088172</v>
      </c>
      <c r="CW1" s="6">
        <f t="shared" si="2"/>
        <v>16500</v>
      </c>
      <c r="CX1" s="6">
        <f t="shared" si="2"/>
        <v>17000</v>
      </c>
      <c r="CY1" s="6">
        <f t="shared" si="2"/>
        <v>17500</v>
      </c>
      <c r="CZ1" s="6">
        <f t="shared" si="2"/>
        <v>17000</v>
      </c>
      <c r="DA1" s="6">
        <f t="shared" si="2"/>
        <v>0</v>
      </c>
      <c r="DB1" s="6">
        <f t="shared" si="2"/>
        <v>0</v>
      </c>
      <c r="DC1" s="6">
        <f t="shared" si="2"/>
        <v>0</v>
      </c>
      <c r="DD1" s="6">
        <f t="shared" si="2"/>
        <v>0</v>
      </c>
      <c r="DE1" s="6">
        <f t="shared" si="2"/>
        <v>0</v>
      </c>
      <c r="DF1" s="6">
        <f t="shared" si="2"/>
        <v>0</v>
      </c>
      <c r="DG1" s="6">
        <f t="shared" si="2"/>
        <v>0</v>
      </c>
      <c r="DH1" s="6">
        <f t="shared" si="2"/>
        <v>0</v>
      </c>
      <c r="DI1" s="6">
        <f t="shared" si="2"/>
        <v>0</v>
      </c>
      <c r="DJ1" s="6">
        <f t="shared" si="2"/>
        <v>0</v>
      </c>
      <c r="DK1" s="6">
        <f t="shared" si="2"/>
        <v>651011.68880824314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</row>
    <row r="2" spans="1:134" ht="22.5" x14ac:dyDescent="0.2">
      <c r="A2" s="22" t="s">
        <v>0</v>
      </c>
      <c r="B2" s="23" t="s">
        <v>2368</v>
      </c>
      <c r="C2" s="26" t="s">
        <v>1</v>
      </c>
      <c r="D2" s="23" t="s">
        <v>2</v>
      </c>
      <c r="E2" s="23" t="s">
        <v>3</v>
      </c>
      <c r="F2" s="23" t="s">
        <v>3509</v>
      </c>
      <c r="G2" s="23" t="s">
        <v>4</v>
      </c>
      <c r="H2" s="23" t="s">
        <v>5</v>
      </c>
      <c r="I2" s="23" t="s">
        <v>3566</v>
      </c>
      <c r="J2" s="23" t="s">
        <v>6</v>
      </c>
      <c r="K2" s="24" t="s">
        <v>7</v>
      </c>
      <c r="L2" s="25" t="s">
        <v>8</v>
      </c>
      <c r="M2" s="24" t="s">
        <v>9</v>
      </c>
      <c r="N2" s="24" t="s">
        <v>10</v>
      </c>
      <c r="O2" s="24" t="s">
        <v>2424</v>
      </c>
      <c r="P2" s="25" t="s">
        <v>11</v>
      </c>
      <c r="Q2" s="24" t="s">
        <v>12</v>
      </c>
      <c r="R2" s="24" t="s">
        <v>13</v>
      </c>
      <c r="S2" s="25" t="s">
        <v>14</v>
      </c>
      <c r="T2" s="25" t="s">
        <v>15</v>
      </c>
      <c r="U2" s="25" t="s">
        <v>16</v>
      </c>
      <c r="V2" s="25" t="s">
        <v>2423</v>
      </c>
      <c r="W2" s="26" t="s">
        <v>17</v>
      </c>
      <c r="X2" s="26" t="s">
        <v>18</v>
      </c>
      <c r="Y2" s="26" t="s">
        <v>19</v>
      </c>
      <c r="Z2" s="26" t="s">
        <v>20</v>
      </c>
      <c r="AA2" s="26" t="s">
        <v>21</v>
      </c>
      <c r="AB2" s="26" t="s">
        <v>22</v>
      </c>
      <c r="AC2" s="26" t="s">
        <v>23</v>
      </c>
      <c r="AD2" s="26" t="s">
        <v>24</v>
      </c>
      <c r="AE2" s="26" t="s">
        <v>25</v>
      </c>
      <c r="AF2" s="26" t="s">
        <v>26</v>
      </c>
      <c r="AG2" s="26" t="s">
        <v>27</v>
      </c>
      <c r="AH2" s="23" t="s">
        <v>28</v>
      </c>
      <c r="AI2" s="23" t="s">
        <v>29</v>
      </c>
      <c r="AJ2" s="26" t="s">
        <v>30</v>
      </c>
      <c r="AK2" s="26" t="s">
        <v>31</v>
      </c>
      <c r="AL2" s="26" t="s">
        <v>32</v>
      </c>
      <c r="AM2" s="26" t="s">
        <v>33</v>
      </c>
      <c r="AN2" s="26" t="s">
        <v>34</v>
      </c>
      <c r="AO2" s="26" t="s">
        <v>35</v>
      </c>
      <c r="AP2" s="26" t="s">
        <v>36</v>
      </c>
      <c r="AQ2" s="26" t="s">
        <v>37</v>
      </c>
      <c r="AR2" s="26" t="s">
        <v>38</v>
      </c>
      <c r="AS2" s="26" t="s">
        <v>39</v>
      </c>
      <c r="AT2" s="26" t="s">
        <v>40</v>
      </c>
      <c r="AU2" s="23" t="s">
        <v>41</v>
      </c>
      <c r="AV2" s="23" t="s">
        <v>42</v>
      </c>
      <c r="AW2" s="26" t="s">
        <v>43</v>
      </c>
      <c r="AX2" s="26" t="s">
        <v>44</v>
      </c>
      <c r="AY2" s="26" t="s">
        <v>45</v>
      </c>
      <c r="AZ2" s="26" t="s">
        <v>46</v>
      </c>
      <c r="BA2" s="26" t="s">
        <v>47</v>
      </c>
      <c r="BB2" s="26" t="s">
        <v>2681</v>
      </c>
      <c r="BC2" s="26" t="s">
        <v>48</v>
      </c>
      <c r="BD2" s="26" t="s">
        <v>2692</v>
      </c>
      <c r="BE2" s="26" t="s">
        <v>2721</v>
      </c>
      <c r="BF2" s="26" t="s">
        <v>2711</v>
      </c>
      <c r="BG2" s="26" t="s">
        <v>2712</v>
      </c>
      <c r="BH2" s="26" t="s">
        <v>2717</v>
      </c>
      <c r="BI2" s="26" t="s">
        <v>49</v>
      </c>
      <c r="BJ2" s="26" t="s">
        <v>2728</v>
      </c>
      <c r="BK2" s="26" t="s">
        <v>2727</v>
      </c>
      <c r="BL2" s="26" t="s">
        <v>2768</v>
      </c>
      <c r="BM2" s="26" t="s">
        <v>2801</v>
      </c>
      <c r="BN2" s="26" t="s">
        <v>50</v>
      </c>
      <c r="BO2" s="26" t="s">
        <v>2808</v>
      </c>
      <c r="BP2" s="26" t="s">
        <v>2827</v>
      </c>
      <c r="BQ2" s="26" t="s">
        <v>2866</v>
      </c>
      <c r="BR2" s="26" t="s">
        <v>2876</v>
      </c>
      <c r="BS2" s="26" t="s">
        <v>51</v>
      </c>
      <c r="BT2" s="26" t="s">
        <v>2875</v>
      </c>
      <c r="BU2" s="26" t="s">
        <v>2890</v>
      </c>
      <c r="BV2" s="26" t="s">
        <v>2900</v>
      </c>
      <c r="BW2" s="26" t="s">
        <v>2976</v>
      </c>
      <c r="BX2" s="26" t="s">
        <v>2977</v>
      </c>
      <c r="BY2" s="26" t="s">
        <v>52</v>
      </c>
      <c r="BZ2" s="26" t="s">
        <v>3008</v>
      </c>
      <c r="CA2" s="26" t="s">
        <v>3045</v>
      </c>
      <c r="CB2" s="26" t="s">
        <v>3060</v>
      </c>
      <c r="CC2" s="26" t="s">
        <v>3067</v>
      </c>
      <c r="CD2" s="26" t="s">
        <v>53</v>
      </c>
      <c r="CE2" s="26" t="s">
        <v>3068</v>
      </c>
      <c r="CF2" s="26" t="s">
        <v>3265</v>
      </c>
      <c r="CG2" s="26" t="s">
        <v>3266</v>
      </c>
      <c r="CH2" s="26" t="s">
        <v>3267</v>
      </c>
      <c r="CI2" s="26" t="s">
        <v>3268</v>
      </c>
      <c r="CJ2" s="23" t="s">
        <v>54</v>
      </c>
      <c r="CK2" s="27" t="s">
        <v>55</v>
      </c>
      <c r="CL2" s="67" t="s">
        <v>3290</v>
      </c>
      <c r="CM2" s="68" t="s">
        <v>3291</v>
      </c>
      <c r="CN2" s="68" t="s">
        <v>3292</v>
      </c>
      <c r="CO2" s="68" t="s">
        <v>3293</v>
      </c>
      <c r="CP2" s="69" t="s">
        <v>3295</v>
      </c>
      <c r="CQ2" s="69" t="s">
        <v>3399</v>
      </c>
      <c r="CR2" s="69" t="s">
        <v>3441</v>
      </c>
      <c r="CS2" s="69" t="s">
        <v>3442</v>
      </c>
      <c r="CT2" s="69" t="s">
        <v>3485</v>
      </c>
      <c r="CU2" s="69" t="s">
        <v>3486</v>
      </c>
      <c r="CV2" s="69" t="s">
        <v>3443</v>
      </c>
      <c r="CW2" s="69" t="s">
        <v>3552</v>
      </c>
      <c r="CX2" s="69" t="s">
        <v>3553</v>
      </c>
      <c r="CY2" s="69" t="s">
        <v>3554</v>
      </c>
      <c r="CZ2" s="69" t="s">
        <v>3555</v>
      </c>
      <c r="DA2" s="69" t="s">
        <v>3453</v>
      </c>
      <c r="DB2" s="69" t="s">
        <v>3452</v>
      </c>
      <c r="DC2" s="69" t="s">
        <v>3451</v>
      </c>
      <c r="DD2" s="69" t="s">
        <v>3450</v>
      </c>
      <c r="DE2" s="69" t="s">
        <v>3449</v>
      </c>
      <c r="DF2" s="69" t="s">
        <v>3448</v>
      </c>
      <c r="DG2" s="69" t="s">
        <v>3447</v>
      </c>
      <c r="DH2" s="69" t="s">
        <v>3446</v>
      </c>
      <c r="DI2" s="69" t="s">
        <v>3445</v>
      </c>
      <c r="DJ2" s="69" t="s">
        <v>3444</v>
      </c>
      <c r="DK2" s="23" t="s">
        <v>3294</v>
      </c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x14ac:dyDescent="0.2">
      <c r="A3" s="28" t="s">
        <v>2363</v>
      </c>
      <c r="B3" s="29" t="s">
        <v>56</v>
      </c>
      <c r="C3" s="29" t="s">
        <v>3336</v>
      </c>
      <c r="D3" s="30" t="e">
        <v>#N/A</v>
      </c>
      <c r="E3" s="30" t="s">
        <v>57</v>
      </c>
      <c r="F3" s="30"/>
      <c r="G3" s="31">
        <v>44595</v>
      </c>
      <c r="H3" s="30"/>
      <c r="I3" s="30" t="str">
        <f>IF(Table1[[#This Row],[Centre Status]]="Returned","NA",IF(Table1[[#This Row],[SD]]&gt;19000,"Full Payment",IF(Table1[[#This Row],[SD]]&lt;1,"No Payment","Partial Payment")))</f>
        <v>No Payment</v>
      </c>
      <c r="J3" s="30" t="s">
        <v>58</v>
      </c>
      <c r="K3" s="32">
        <v>64000</v>
      </c>
      <c r="L3" s="33">
        <f>Q3+R3+U3+Table1[[#This Row],[Farmer Payment]]</f>
        <v>1567</v>
      </c>
      <c r="M3" s="30"/>
      <c r="N3" s="34"/>
      <c r="O3" s="34"/>
      <c r="P3" s="35">
        <f t="shared" ref="P3:P44" si="3">K3-L3+M3</f>
        <v>62433</v>
      </c>
      <c r="Q3" s="33">
        <f>AI3+AV3+CK3+Table1[[#This Row],[FY 25-26]]</f>
        <v>1567</v>
      </c>
      <c r="R3" s="36"/>
      <c r="S3" s="37"/>
      <c r="T3" s="38"/>
      <c r="U3" s="39"/>
      <c r="V3" s="39"/>
      <c r="W3" s="40">
        <v>0</v>
      </c>
      <c r="X3" s="40">
        <v>0</v>
      </c>
      <c r="Y3" s="40">
        <v>783</v>
      </c>
      <c r="Z3" s="40">
        <v>784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1">
        <f t="shared" ref="AI3:AI44" si="4">SUM(W3:AH3)</f>
        <v>1567</v>
      </c>
      <c r="AJ3" s="42">
        <v>0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f t="shared" ref="AV3:AV44" si="5">SUM(AJ3:AU3)</f>
        <v>0</v>
      </c>
      <c r="AW3" s="42">
        <v>0</v>
      </c>
      <c r="AX3" s="42">
        <v>0</v>
      </c>
      <c r="AY3" s="42">
        <v>0</v>
      </c>
      <c r="AZ3" s="42">
        <v>0</v>
      </c>
      <c r="BA3" s="42">
        <v>0</v>
      </c>
      <c r="BB3" s="42">
        <v>0</v>
      </c>
      <c r="BC3" s="42">
        <v>0</v>
      </c>
      <c r="BD3" s="42">
        <v>0</v>
      </c>
      <c r="BE3" s="42">
        <v>0</v>
      </c>
      <c r="BF3" s="42">
        <v>0</v>
      </c>
      <c r="BG3" s="42">
        <v>0</v>
      </c>
      <c r="BH3" s="42">
        <v>0</v>
      </c>
      <c r="BI3" s="42">
        <v>0</v>
      </c>
      <c r="BJ3" s="42">
        <v>0</v>
      </c>
      <c r="BK3" s="42">
        <v>0</v>
      </c>
      <c r="BL3" s="42">
        <v>0</v>
      </c>
      <c r="BM3" s="42">
        <v>0</v>
      </c>
      <c r="BN3" s="42">
        <v>0</v>
      </c>
      <c r="BO3" s="42">
        <v>0</v>
      </c>
      <c r="BP3" s="42">
        <v>0</v>
      </c>
      <c r="BQ3" s="42">
        <v>0</v>
      </c>
      <c r="BR3" s="42">
        <v>0</v>
      </c>
      <c r="BS3" s="42">
        <v>0</v>
      </c>
      <c r="BT3" s="42">
        <v>0</v>
      </c>
      <c r="BU3" s="42">
        <v>0</v>
      </c>
      <c r="BV3" s="42">
        <v>0</v>
      </c>
      <c r="BW3" s="42">
        <v>0</v>
      </c>
      <c r="BX3" s="42">
        <v>0</v>
      </c>
      <c r="BY3" s="42">
        <v>0</v>
      </c>
      <c r="BZ3" s="42">
        <v>0</v>
      </c>
      <c r="CA3" s="42">
        <v>0</v>
      </c>
      <c r="CB3" s="42">
        <v>0</v>
      </c>
      <c r="CC3" s="42">
        <v>0</v>
      </c>
      <c r="CD3" s="42">
        <v>0</v>
      </c>
      <c r="CE3" s="42">
        <v>0</v>
      </c>
      <c r="CF3" s="42">
        <v>0</v>
      </c>
      <c r="CG3" s="42">
        <v>0</v>
      </c>
      <c r="CH3" s="42">
        <v>0</v>
      </c>
      <c r="CI3" s="42">
        <v>0</v>
      </c>
      <c r="CJ3" s="42">
        <v>0</v>
      </c>
      <c r="CK3" s="43">
        <f t="shared" ref="CK3:CK44" si="6">SUM(AW3:CJ3)</f>
        <v>0</v>
      </c>
      <c r="CL3" s="66"/>
      <c r="CM3" s="66">
        <v>0</v>
      </c>
      <c r="CN3" s="66">
        <v>0</v>
      </c>
      <c r="CO3" s="66">
        <v>0</v>
      </c>
      <c r="CP3" s="66">
        <v>0</v>
      </c>
      <c r="CQ3" s="66">
        <v>0</v>
      </c>
      <c r="CR3" s="66">
        <v>0</v>
      </c>
      <c r="CS3" s="66">
        <v>0</v>
      </c>
      <c r="CT3" s="66">
        <v>0</v>
      </c>
      <c r="CU3" s="66">
        <v>0</v>
      </c>
      <c r="CV3" s="66">
        <v>0</v>
      </c>
      <c r="CW3" s="66">
        <v>0</v>
      </c>
      <c r="CX3" s="66">
        <v>0</v>
      </c>
      <c r="CY3" s="66">
        <v>0</v>
      </c>
      <c r="CZ3" s="66">
        <v>0</v>
      </c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>
        <f>SUM(Table1[[#This Row],[01-03 Apr]:[Mar-26]])</f>
        <v>0</v>
      </c>
    </row>
    <row r="4" spans="1:134" x14ac:dyDescent="0.2">
      <c r="A4" s="28" t="s">
        <v>2363</v>
      </c>
      <c r="B4" s="29" t="s">
        <v>59</v>
      </c>
      <c r="C4" s="29" t="s">
        <v>3336</v>
      </c>
      <c r="D4" s="30" t="e">
        <v>#N/A</v>
      </c>
      <c r="E4" s="30" t="s">
        <v>57</v>
      </c>
      <c r="F4" s="30"/>
      <c r="G4" s="31">
        <v>44595</v>
      </c>
      <c r="H4" s="30">
        <v>277356</v>
      </c>
      <c r="I4" s="30" t="str">
        <f>IF(Table1[[#This Row],[Centre Status]]="Returned","NA",IF(Table1[[#This Row],[SD]]&gt;19000,"Full Payment",IF(Table1[[#This Row],[SD]]&lt;1,"No Payment","Partial Payment")))</f>
        <v>No Payment</v>
      </c>
      <c r="J4" s="30" t="s">
        <v>58</v>
      </c>
      <c r="K4" s="32">
        <v>64000</v>
      </c>
      <c r="L4" s="33">
        <f>Q4+R4+U4+Table1[[#This Row],[Farmer Payment]]</f>
        <v>5896.4322000000002</v>
      </c>
      <c r="M4" s="30"/>
      <c r="N4" s="34"/>
      <c r="O4" s="34"/>
      <c r="P4" s="35">
        <f t="shared" si="3"/>
        <v>58103.567799999997</v>
      </c>
      <c r="Q4" s="33">
        <f>AI4+AV4+CK4+Table1[[#This Row],[FY 25-26]]</f>
        <v>5896.4322000000002</v>
      </c>
      <c r="R4" s="36"/>
      <c r="S4" s="37"/>
      <c r="T4" s="38"/>
      <c r="U4" s="39"/>
      <c r="V4" s="39"/>
      <c r="W4" s="40">
        <v>0</v>
      </c>
      <c r="X4" s="40">
        <v>0</v>
      </c>
      <c r="Y4" s="40">
        <v>1861</v>
      </c>
      <c r="Z4" s="40">
        <v>1861</v>
      </c>
      <c r="AA4" s="40">
        <v>2174.4322000000002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1">
        <f t="shared" si="4"/>
        <v>5896.4322000000002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0</v>
      </c>
      <c r="AU4" s="42">
        <v>0</v>
      </c>
      <c r="AV4" s="42">
        <f t="shared" si="5"/>
        <v>0</v>
      </c>
      <c r="AW4" s="42">
        <v>0</v>
      </c>
      <c r="AX4" s="42">
        <v>0</v>
      </c>
      <c r="AY4" s="42">
        <v>0</v>
      </c>
      <c r="AZ4" s="42">
        <v>0</v>
      </c>
      <c r="BA4" s="42">
        <v>0</v>
      </c>
      <c r="BB4" s="42">
        <v>0</v>
      </c>
      <c r="BC4" s="42">
        <v>0</v>
      </c>
      <c r="BD4" s="42">
        <v>0</v>
      </c>
      <c r="BE4" s="42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42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2">
        <v>0</v>
      </c>
      <c r="BS4" s="42">
        <v>0</v>
      </c>
      <c r="BT4" s="42">
        <v>0</v>
      </c>
      <c r="BU4" s="42">
        <v>0</v>
      </c>
      <c r="BV4" s="42">
        <v>0</v>
      </c>
      <c r="BW4" s="42">
        <v>0</v>
      </c>
      <c r="BX4" s="42">
        <v>0</v>
      </c>
      <c r="BY4" s="42">
        <v>0</v>
      </c>
      <c r="BZ4" s="42">
        <v>0</v>
      </c>
      <c r="CA4" s="42">
        <v>0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2">
        <v>0</v>
      </c>
      <c r="CI4" s="42">
        <v>0</v>
      </c>
      <c r="CJ4" s="42">
        <v>0</v>
      </c>
      <c r="CK4" s="43">
        <f t="shared" si="6"/>
        <v>0</v>
      </c>
      <c r="CL4" s="66"/>
      <c r="CM4" s="66">
        <v>0</v>
      </c>
      <c r="CN4" s="66">
        <v>0</v>
      </c>
      <c r="CO4" s="66">
        <v>0</v>
      </c>
      <c r="CP4" s="66">
        <v>0</v>
      </c>
      <c r="CQ4" s="66">
        <v>0</v>
      </c>
      <c r="CR4" s="66">
        <v>0</v>
      </c>
      <c r="CS4" s="66">
        <v>0</v>
      </c>
      <c r="CT4" s="66">
        <v>0</v>
      </c>
      <c r="CU4" s="66">
        <v>0</v>
      </c>
      <c r="CV4" s="66">
        <v>0</v>
      </c>
      <c r="CW4" s="66">
        <v>0</v>
      </c>
      <c r="CX4" s="66">
        <v>0</v>
      </c>
      <c r="CY4" s="66">
        <v>0</v>
      </c>
      <c r="CZ4" s="66">
        <v>0</v>
      </c>
      <c r="DA4" s="66"/>
      <c r="DB4" s="66"/>
      <c r="DC4" s="66"/>
      <c r="DD4" s="66"/>
      <c r="DE4" s="66"/>
      <c r="DF4" s="66"/>
      <c r="DG4" s="66"/>
      <c r="DH4" s="66"/>
      <c r="DI4" s="66"/>
      <c r="DJ4" s="66"/>
      <c r="DK4" s="66">
        <f>SUM(Table1[[#This Row],[01-03 Apr]:[Mar-26]])</f>
        <v>0</v>
      </c>
    </row>
    <row r="5" spans="1:134" hidden="1" x14ac:dyDescent="0.2">
      <c r="A5" s="28" t="s">
        <v>2363</v>
      </c>
      <c r="B5" s="29" t="s">
        <v>60</v>
      </c>
      <c r="C5" s="29" t="s">
        <v>61</v>
      </c>
      <c r="D5" s="30" t="s">
        <v>62</v>
      </c>
      <c r="E5" s="30" t="s">
        <v>63</v>
      </c>
      <c r="F5" s="30"/>
      <c r="G5" s="31">
        <v>44565</v>
      </c>
      <c r="H5" s="30">
        <v>274122</v>
      </c>
      <c r="I5" s="30" t="str">
        <f>IF(Table1[[#This Row],[Centre Status]]="Returned","NA",IF(Table1[[#This Row],[SD]]&gt;19000,"Full Payment",IF(Table1[[#This Row],[SD]]&lt;1,"No Payment","Partial Payment")))</f>
        <v>Full Payment</v>
      </c>
      <c r="J5" s="30" t="s">
        <v>58</v>
      </c>
      <c r="K5" s="32">
        <v>64000</v>
      </c>
      <c r="L5" s="33">
        <f>Q5+R5+U5+Table1[[#This Row],[Farmer Payment]]</f>
        <v>64000</v>
      </c>
      <c r="M5" s="30"/>
      <c r="N5" s="34"/>
      <c r="O5" s="34"/>
      <c r="P5" s="35">
        <f t="shared" si="3"/>
        <v>0</v>
      </c>
      <c r="Q5" s="33">
        <f>AI5+AV5+CK5+Table1[[#This Row],[FY 25-26]]</f>
        <v>44000</v>
      </c>
      <c r="R5" s="36">
        <v>20000</v>
      </c>
      <c r="S5" s="37" t="s">
        <v>64</v>
      </c>
      <c r="T5" s="38">
        <v>44647</v>
      </c>
      <c r="U5" s="39"/>
      <c r="V5" s="39"/>
      <c r="W5" s="40">
        <v>3603.8126000000002</v>
      </c>
      <c r="X5" s="40">
        <v>0</v>
      </c>
      <c r="Y5" s="40">
        <v>13546.712200000002</v>
      </c>
      <c r="Z5" s="40">
        <v>10993.009599999999</v>
      </c>
      <c r="AA5" s="40">
        <v>15399.012799999999</v>
      </c>
      <c r="AB5" s="40">
        <v>457.45279999999912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1">
        <f t="shared" si="4"/>
        <v>44000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42">
        <v>0</v>
      </c>
      <c r="AV5" s="42">
        <f t="shared" si="5"/>
        <v>0</v>
      </c>
      <c r="AW5" s="42">
        <v>0</v>
      </c>
      <c r="AX5" s="42">
        <v>0</v>
      </c>
      <c r="AY5" s="42">
        <v>0</v>
      </c>
      <c r="AZ5" s="42">
        <v>0</v>
      </c>
      <c r="BA5" s="42">
        <v>0</v>
      </c>
      <c r="BB5" s="42">
        <v>0</v>
      </c>
      <c r="BC5" s="42">
        <v>0</v>
      </c>
      <c r="BD5" s="42">
        <v>0</v>
      </c>
      <c r="BE5" s="42">
        <v>0</v>
      </c>
      <c r="BF5" s="42">
        <v>0</v>
      </c>
      <c r="BG5" s="42">
        <v>0</v>
      </c>
      <c r="BH5" s="42">
        <v>0</v>
      </c>
      <c r="BI5" s="42">
        <v>0</v>
      </c>
      <c r="BJ5" s="42">
        <v>0</v>
      </c>
      <c r="BK5" s="42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2">
        <v>0</v>
      </c>
      <c r="BS5" s="42">
        <v>0</v>
      </c>
      <c r="BT5" s="42">
        <v>0</v>
      </c>
      <c r="BU5" s="42">
        <v>0</v>
      </c>
      <c r="BV5" s="42">
        <v>0</v>
      </c>
      <c r="BW5" s="42">
        <v>0</v>
      </c>
      <c r="BX5" s="42">
        <v>0</v>
      </c>
      <c r="BY5" s="42">
        <v>0</v>
      </c>
      <c r="BZ5" s="42">
        <v>0</v>
      </c>
      <c r="CA5" s="42">
        <v>0</v>
      </c>
      <c r="CB5" s="42">
        <v>0</v>
      </c>
      <c r="CC5" s="42">
        <v>0</v>
      </c>
      <c r="CD5" s="42">
        <v>0</v>
      </c>
      <c r="CE5" s="42">
        <v>0</v>
      </c>
      <c r="CF5" s="42">
        <v>0</v>
      </c>
      <c r="CG5" s="42">
        <v>0</v>
      </c>
      <c r="CH5" s="42">
        <v>0</v>
      </c>
      <c r="CI5" s="42">
        <v>0</v>
      </c>
      <c r="CJ5" s="42">
        <v>0</v>
      </c>
      <c r="CK5" s="43">
        <f t="shared" si="6"/>
        <v>0</v>
      </c>
      <c r="CL5" s="66"/>
      <c r="CM5" s="66">
        <v>0</v>
      </c>
      <c r="CN5" s="66">
        <v>0</v>
      </c>
      <c r="CO5" s="66">
        <v>0</v>
      </c>
      <c r="CP5" s="66">
        <v>0</v>
      </c>
      <c r="CQ5" s="66">
        <v>0</v>
      </c>
      <c r="CR5" s="66">
        <v>0</v>
      </c>
      <c r="CS5" s="66">
        <v>0</v>
      </c>
      <c r="CT5" s="66">
        <v>0</v>
      </c>
      <c r="CU5" s="66">
        <v>0</v>
      </c>
      <c r="CV5" s="66">
        <v>0</v>
      </c>
      <c r="CW5" s="66">
        <v>0</v>
      </c>
      <c r="CX5" s="66">
        <v>0</v>
      </c>
      <c r="CY5" s="66">
        <v>0</v>
      </c>
      <c r="CZ5" s="66">
        <v>0</v>
      </c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>
        <f>SUM(Table1[[#This Row],[01-03 Apr]:[Mar-26]])</f>
        <v>0</v>
      </c>
    </row>
    <row r="6" spans="1:134" hidden="1" x14ac:dyDescent="0.2">
      <c r="A6" s="28"/>
      <c r="B6" s="29"/>
      <c r="C6" s="29" t="s">
        <v>2659</v>
      </c>
      <c r="D6" s="30" t="s">
        <v>2657</v>
      </c>
      <c r="E6" s="30" t="s">
        <v>203</v>
      </c>
      <c r="F6" s="30"/>
      <c r="G6" s="31">
        <v>45556</v>
      </c>
      <c r="H6" s="30">
        <v>381762</v>
      </c>
      <c r="I6" s="30" t="str">
        <f>IF(Table1[[#This Row],[Centre Status]]="Returned","NA",IF(Table1[[#This Row],[SD]]&gt;19000,"Full Payment",IF(Table1[[#This Row],[SD]]&lt;1,"No Payment","Partial Payment")))</f>
        <v>Full Payment</v>
      </c>
      <c r="J6" s="30" t="s">
        <v>58</v>
      </c>
      <c r="K6" s="32">
        <v>110000</v>
      </c>
      <c r="L6" s="33">
        <f>Q6+R6+U6+Table1[[#This Row],[Farmer Payment]]</f>
        <v>44235.13521643178</v>
      </c>
      <c r="M6" s="30"/>
      <c r="N6" s="34"/>
      <c r="O6" s="34"/>
      <c r="P6" s="35">
        <f t="shared" si="3"/>
        <v>65764.86478356822</v>
      </c>
      <c r="Q6" s="33">
        <f>AI6+AV6+CK6+Table1[[#This Row],[FY 25-26]]</f>
        <v>24235.13521643178</v>
      </c>
      <c r="R6" s="36">
        <v>20000</v>
      </c>
      <c r="S6" s="37" t="s">
        <v>2660</v>
      </c>
      <c r="T6" s="38">
        <v>45555</v>
      </c>
      <c r="U6" s="39"/>
      <c r="V6" s="39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>
        <f t="shared" si="4"/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>
        <f t="shared" si="5"/>
        <v>0</v>
      </c>
      <c r="AW6" s="42"/>
      <c r="AX6" s="42"/>
      <c r="AY6" s="42"/>
      <c r="AZ6" s="42"/>
      <c r="BA6" s="42"/>
      <c r="BB6" s="42">
        <v>0</v>
      </c>
      <c r="BC6" s="42">
        <v>0</v>
      </c>
      <c r="BD6" s="42">
        <v>0</v>
      </c>
      <c r="BE6" s="42">
        <v>0</v>
      </c>
      <c r="BF6" s="42">
        <v>0</v>
      </c>
      <c r="BG6" s="42">
        <v>0</v>
      </c>
      <c r="BH6" s="42">
        <v>0</v>
      </c>
      <c r="BI6" s="42">
        <v>455</v>
      </c>
      <c r="BJ6" s="42">
        <v>0</v>
      </c>
      <c r="BK6" s="42">
        <v>0</v>
      </c>
      <c r="BL6" s="42">
        <v>500</v>
      </c>
      <c r="BM6" s="42">
        <v>500</v>
      </c>
      <c r="BN6" s="42">
        <v>861</v>
      </c>
      <c r="BO6" s="42">
        <v>0</v>
      </c>
      <c r="BP6" s="42">
        <v>0</v>
      </c>
      <c r="BQ6" s="42">
        <v>0</v>
      </c>
      <c r="BR6" s="42">
        <v>0</v>
      </c>
      <c r="BS6" s="42">
        <v>1733.670994432</v>
      </c>
      <c r="BT6" s="42">
        <v>500</v>
      </c>
      <c r="BU6" s="42">
        <v>500</v>
      </c>
      <c r="BV6" s="42">
        <v>0</v>
      </c>
      <c r="BW6" s="42">
        <v>0</v>
      </c>
      <c r="BX6" s="42">
        <v>0</v>
      </c>
      <c r="BY6" s="42">
        <v>2757.7018090333777</v>
      </c>
      <c r="BZ6" s="42">
        <v>0</v>
      </c>
      <c r="CA6" s="42">
        <v>0</v>
      </c>
      <c r="CB6" s="42">
        <v>0</v>
      </c>
      <c r="CC6" s="42">
        <v>0</v>
      </c>
      <c r="CD6" s="42">
        <v>4465.5445289011204</v>
      </c>
      <c r="CE6" s="42">
        <v>0</v>
      </c>
      <c r="CF6" s="42">
        <v>0</v>
      </c>
      <c r="CG6" s="42">
        <v>0</v>
      </c>
      <c r="CH6" s="42">
        <v>0</v>
      </c>
      <c r="CI6" s="42">
        <v>0</v>
      </c>
      <c r="CJ6" s="42">
        <v>5203.0764831897604</v>
      </c>
      <c r="CK6" s="43">
        <f t="shared" si="6"/>
        <v>17475.99381555626</v>
      </c>
      <c r="CL6" s="66"/>
      <c r="CM6" s="66">
        <v>0</v>
      </c>
      <c r="CN6" s="66">
        <v>0</v>
      </c>
      <c r="CO6" s="66">
        <v>0</v>
      </c>
      <c r="CP6" s="66">
        <v>2767.92155236096</v>
      </c>
      <c r="CQ6" s="66">
        <v>0</v>
      </c>
      <c r="CR6" s="66">
        <v>0</v>
      </c>
      <c r="CS6" s="66">
        <v>0</v>
      </c>
      <c r="CT6" s="66">
        <v>0</v>
      </c>
      <c r="CU6" s="66">
        <v>0</v>
      </c>
      <c r="CV6" s="66">
        <v>3991.2198485145605</v>
      </c>
      <c r="CW6" s="66">
        <v>0</v>
      </c>
      <c r="CX6" s="66">
        <v>0</v>
      </c>
      <c r="CY6" s="66">
        <v>0</v>
      </c>
      <c r="CZ6" s="66">
        <v>0</v>
      </c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>
        <f>SUM(Table1[[#This Row],[01-03 Apr]:[Mar-26]])</f>
        <v>6759.14140087552</v>
      </c>
    </row>
    <row r="7" spans="1:134" hidden="1" x14ac:dyDescent="0.2">
      <c r="A7" s="28"/>
      <c r="B7" s="29"/>
      <c r="C7" s="29" t="s">
        <v>2661</v>
      </c>
      <c r="D7" s="30" t="s">
        <v>2663</v>
      </c>
      <c r="E7" s="30" t="s">
        <v>85</v>
      </c>
      <c r="F7" s="30"/>
      <c r="G7" s="31">
        <v>45566</v>
      </c>
      <c r="H7" s="30">
        <v>399066</v>
      </c>
      <c r="I7" s="30" t="str">
        <f>IF(Table1[[#This Row],[Centre Status]]="Returned","NA",IF(Table1[[#This Row],[SD]]&gt;19000,"Full Payment",IF(Table1[[#This Row],[SD]]&lt;1,"No Payment","Partial Payment")))</f>
        <v>NA</v>
      </c>
      <c r="J7" s="30" t="s">
        <v>1903</v>
      </c>
      <c r="K7" s="32">
        <v>110000</v>
      </c>
      <c r="L7" s="33">
        <f>Q7+R7+U7+Table1[[#This Row],[Farmer Payment]]</f>
        <v>20000</v>
      </c>
      <c r="M7" s="30">
        <f>20000+20000</f>
        <v>40000</v>
      </c>
      <c r="N7" s="34">
        <v>45705</v>
      </c>
      <c r="O7" s="34" t="s">
        <v>3153</v>
      </c>
      <c r="P7" s="35">
        <f t="shared" si="3"/>
        <v>130000</v>
      </c>
      <c r="Q7" s="33">
        <f>AI7+AV7+CK7+Table1[[#This Row],[FY 25-26]]</f>
        <v>0</v>
      </c>
      <c r="R7" s="36">
        <v>20000</v>
      </c>
      <c r="S7" s="37" t="s">
        <v>2665</v>
      </c>
      <c r="T7" s="38">
        <v>45562</v>
      </c>
      <c r="U7" s="39"/>
      <c r="V7" s="39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1">
        <f t="shared" si="4"/>
        <v>0</v>
      </c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>
        <f t="shared" si="5"/>
        <v>0</v>
      </c>
      <c r="AW7" s="42"/>
      <c r="AX7" s="42"/>
      <c r="AY7" s="42"/>
      <c r="AZ7" s="42"/>
      <c r="BA7" s="42"/>
      <c r="BB7" s="42">
        <v>0</v>
      </c>
      <c r="BC7" s="42">
        <v>0</v>
      </c>
      <c r="BD7" s="42">
        <v>0</v>
      </c>
      <c r="BE7" s="42">
        <v>0</v>
      </c>
      <c r="BF7" s="42">
        <v>0</v>
      </c>
      <c r="BG7" s="42">
        <v>0</v>
      </c>
      <c r="BH7" s="42">
        <v>0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42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3">
        <f t="shared" si="6"/>
        <v>0</v>
      </c>
      <c r="CL7" s="66"/>
      <c r="CM7" s="66">
        <v>0</v>
      </c>
      <c r="CN7" s="66">
        <v>0</v>
      </c>
      <c r="CO7" s="66">
        <v>0</v>
      </c>
      <c r="CP7" s="66">
        <v>0</v>
      </c>
      <c r="CQ7" s="66">
        <v>0</v>
      </c>
      <c r="CR7" s="66">
        <v>0</v>
      </c>
      <c r="CS7" s="66">
        <v>0</v>
      </c>
      <c r="CT7" s="66">
        <v>0</v>
      </c>
      <c r="CU7" s="66">
        <v>0</v>
      </c>
      <c r="CV7" s="66">
        <v>0</v>
      </c>
      <c r="CW7" s="66">
        <v>0</v>
      </c>
      <c r="CX7" s="66">
        <v>0</v>
      </c>
      <c r="CY7" s="66">
        <v>0</v>
      </c>
      <c r="CZ7" s="66">
        <v>0</v>
      </c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>
        <f>SUM(Table1[[#This Row],[01-03 Apr]:[Mar-26]])</f>
        <v>0</v>
      </c>
    </row>
    <row r="8" spans="1:134" x14ac:dyDescent="0.2">
      <c r="A8" s="28"/>
      <c r="B8" s="29"/>
      <c r="C8" s="29" t="s">
        <v>3521</v>
      </c>
      <c r="D8" s="30" t="s">
        <v>3519</v>
      </c>
      <c r="E8" s="30" t="s">
        <v>2951</v>
      </c>
      <c r="F8" s="30"/>
      <c r="G8" s="31">
        <v>45834</v>
      </c>
      <c r="H8" s="30"/>
      <c r="I8" s="30" t="str">
        <f>IF(Table1[[#This Row],[Centre Status]]="Returned","NA",IF(Table1[[#This Row],[SD]]&gt;19000,"Full Payment",IF(Table1[[#This Row],[SD]]&lt;1,"No Payment","Partial Payment")))</f>
        <v>No Payment</v>
      </c>
      <c r="J8" s="30" t="s">
        <v>58</v>
      </c>
      <c r="K8" s="32">
        <v>110000</v>
      </c>
      <c r="L8" s="33">
        <f>Q8+R8+U8+Table1[[#This Row],[Farmer Payment]]</f>
        <v>0</v>
      </c>
      <c r="M8" s="30"/>
      <c r="N8" s="34"/>
      <c r="O8" s="34"/>
      <c r="P8" s="35">
        <f t="shared" si="3"/>
        <v>110000</v>
      </c>
      <c r="Q8" s="33">
        <f>AI8+AV8+CK8+Table1[[#This Row],[FY 25-26]]</f>
        <v>0</v>
      </c>
      <c r="R8" s="36"/>
      <c r="S8" s="37"/>
      <c r="T8" s="38"/>
      <c r="U8" s="39"/>
      <c r="V8" s="39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1">
        <f t="shared" si="4"/>
        <v>0</v>
      </c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>
        <f t="shared" si="5"/>
        <v>0</v>
      </c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3">
        <f t="shared" si="6"/>
        <v>0</v>
      </c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>
        <v>0</v>
      </c>
      <c r="CX8" s="66">
        <v>0</v>
      </c>
      <c r="CY8" s="66">
        <v>0</v>
      </c>
      <c r="CZ8" s="66">
        <v>0</v>
      </c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>
        <f>SUM(Table1[[#This Row],[01-03 Apr]:[Mar-26]])</f>
        <v>0</v>
      </c>
    </row>
    <row r="9" spans="1:134" x14ac:dyDescent="0.2">
      <c r="A9" s="28"/>
      <c r="B9" s="29"/>
      <c r="C9" s="29" t="s">
        <v>3522</v>
      </c>
      <c r="D9" s="30" t="s">
        <v>3520</v>
      </c>
      <c r="E9" s="30" t="s">
        <v>2951</v>
      </c>
      <c r="F9" s="30"/>
      <c r="G9" s="31">
        <v>45834</v>
      </c>
      <c r="H9" s="30"/>
      <c r="I9" s="30" t="str">
        <f>IF(Table1[[#This Row],[Centre Status]]="Returned","NA",IF(Table1[[#This Row],[SD]]&gt;19000,"Full Payment",IF(Table1[[#This Row],[SD]]&lt;1,"No Payment","Partial Payment")))</f>
        <v>No Payment</v>
      </c>
      <c r="J9" s="30" t="s">
        <v>58</v>
      </c>
      <c r="K9" s="32">
        <v>110000</v>
      </c>
      <c r="L9" s="33">
        <f>Q9+R9+U9+Table1[[#This Row],[Farmer Payment]]</f>
        <v>0</v>
      </c>
      <c r="M9" s="30"/>
      <c r="N9" s="34"/>
      <c r="O9" s="34"/>
      <c r="P9" s="35">
        <f t="shared" si="3"/>
        <v>110000</v>
      </c>
      <c r="Q9" s="33">
        <f>AI9+AV9+CK9+Table1[[#This Row],[FY 25-26]]</f>
        <v>0</v>
      </c>
      <c r="R9" s="36"/>
      <c r="S9" s="37"/>
      <c r="T9" s="38"/>
      <c r="U9" s="39"/>
      <c r="V9" s="39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1">
        <f t="shared" si="4"/>
        <v>0</v>
      </c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>
        <f t="shared" si="5"/>
        <v>0</v>
      </c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3">
        <f t="shared" si="6"/>
        <v>0</v>
      </c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>
        <v>0</v>
      </c>
      <c r="CX9" s="66">
        <v>0</v>
      </c>
      <c r="CY9" s="66">
        <v>0</v>
      </c>
      <c r="CZ9" s="66">
        <v>0</v>
      </c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>
        <f>SUM(Table1[[#This Row],[01-03 Apr]:[Mar-26]])</f>
        <v>0</v>
      </c>
    </row>
    <row r="10" spans="1:134" hidden="1" x14ac:dyDescent="0.2">
      <c r="A10" s="28"/>
      <c r="B10" s="29"/>
      <c r="C10" s="29" t="s">
        <v>3543</v>
      </c>
      <c r="D10" s="30" t="s">
        <v>3541</v>
      </c>
      <c r="E10" s="30" t="s">
        <v>3545</v>
      </c>
      <c r="F10" s="30"/>
      <c r="G10" s="31">
        <v>45842</v>
      </c>
      <c r="H10" s="30"/>
      <c r="I10" s="30" t="str">
        <f>IF(Table1[[#This Row],[Centre Status]]="Returned","NA",IF(Table1[[#This Row],[SD]]&gt;19000,"Full Payment",IF(Table1[[#This Row],[SD]]&lt;1,"No Payment","Partial Payment")))</f>
        <v>Full Payment</v>
      </c>
      <c r="J10" s="30" t="s">
        <v>58</v>
      </c>
      <c r="K10" s="32">
        <v>110000</v>
      </c>
      <c r="L10" s="33">
        <f>Q10+R10+U10+Table1[[#This Row],[Farmer Payment]]</f>
        <v>20000</v>
      </c>
      <c r="M10" s="30"/>
      <c r="N10" s="34"/>
      <c r="O10" s="34"/>
      <c r="P10" s="35">
        <f t="shared" si="3"/>
        <v>90000</v>
      </c>
      <c r="Q10" s="33">
        <f>AI10+AV10+CK10+Table1[[#This Row],[FY 25-26]]</f>
        <v>0</v>
      </c>
      <c r="R10" s="36">
        <v>20000</v>
      </c>
      <c r="S10" s="37" t="s">
        <v>3546</v>
      </c>
      <c r="T10" s="38">
        <v>45819</v>
      </c>
      <c r="U10" s="39"/>
      <c r="V10" s="39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1">
        <f t="shared" si="4"/>
        <v>0</v>
      </c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>
        <f t="shared" si="5"/>
        <v>0</v>
      </c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3">
        <f t="shared" si="6"/>
        <v>0</v>
      </c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>
        <v>0</v>
      </c>
      <c r="CX10" s="66">
        <v>0</v>
      </c>
      <c r="CY10" s="66">
        <v>0</v>
      </c>
      <c r="CZ10" s="66">
        <v>0</v>
      </c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>
        <f>SUM(Table1[[#This Row],[01-03 Apr]:[Mar-26]])</f>
        <v>0</v>
      </c>
    </row>
    <row r="11" spans="1:134" hidden="1" x14ac:dyDescent="0.2">
      <c r="A11" s="28"/>
      <c r="B11" s="29"/>
      <c r="C11" s="29" t="s">
        <v>3544</v>
      </c>
      <c r="D11" s="30" t="s">
        <v>3542</v>
      </c>
      <c r="E11" s="30" t="s">
        <v>3545</v>
      </c>
      <c r="F11" s="30"/>
      <c r="G11" s="31">
        <v>45842</v>
      </c>
      <c r="H11" s="30"/>
      <c r="I11" s="30" t="str">
        <f>IF(Table1[[#This Row],[Centre Status]]="Returned","NA",IF(Table1[[#This Row],[SD]]&gt;19000,"Full Payment",IF(Table1[[#This Row],[SD]]&lt;1,"No Payment","Partial Payment")))</f>
        <v>Full Payment</v>
      </c>
      <c r="J11" s="30" t="s">
        <v>58</v>
      </c>
      <c r="K11" s="32">
        <v>110000</v>
      </c>
      <c r="L11" s="33">
        <f>Q11+R11+U11+Table1[[#This Row],[Farmer Payment]]</f>
        <v>20000</v>
      </c>
      <c r="M11" s="30"/>
      <c r="N11" s="34"/>
      <c r="O11" s="34"/>
      <c r="P11" s="35">
        <f t="shared" si="3"/>
        <v>90000</v>
      </c>
      <c r="Q11" s="33">
        <f>AI11+AV11+CK11+Table1[[#This Row],[FY 25-26]]</f>
        <v>0</v>
      </c>
      <c r="R11" s="36">
        <v>20000</v>
      </c>
      <c r="S11" s="37" t="s">
        <v>3547</v>
      </c>
      <c r="T11" s="38">
        <v>45824</v>
      </c>
      <c r="U11" s="39"/>
      <c r="V11" s="39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>
        <f t="shared" si="4"/>
        <v>0</v>
      </c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>
        <f t="shared" si="5"/>
        <v>0</v>
      </c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3">
        <f t="shared" si="6"/>
        <v>0</v>
      </c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>
        <v>0</v>
      </c>
      <c r="CX11" s="66">
        <v>0</v>
      </c>
      <c r="CY11" s="66">
        <v>0</v>
      </c>
      <c r="CZ11" s="66">
        <v>0</v>
      </c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>
        <f>SUM(Table1[[#This Row],[01-03 Apr]:[Mar-26]])</f>
        <v>0</v>
      </c>
    </row>
    <row r="12" spans="1:134" hidden="1" x14ac:dyDescent="0.2">
      <c r="A12" s="28"/>
      <c r="B12" s="29"/>
      <c r="C12" s="29" t="s">
        <v>3550</v>
      </c>
      <c r="D12" s="30" t="s">
        <v>3548</v>
      </c>
      <c r="E12" s="30" t="s">
        <v>297</v>
      </c>
      <c r="F12" s="30"/>
      <c r="G12" s="31">
        <v>45842</v>
      </c>
      <c r="H12" s="30">
        <v>0</v>
      </c>
      <c r="I12" s="30" t="str">
        <f>IF(Table1[[#This Row],[Centre Status]]="Returned","NA",IF(Table1[[#This Row],[SD]]&gt;19000,"Full Payment",IF(Table1[[#This Row],[SD]]&lt;1,"No Payment","Partial Payment")))</f>
        <v>Full Payment</v>
      </c>
      <c r="J12" s="30" t="s">
        <v>58</v>
      </c>
      <c r="K12" s="32">
        <v>110000</v>
      </c>
      <c r="L12" s="33">
        <f>Q12+R12+U12+Table1[[#This Row],[Farmer Payment]]</f>
        <v>20000</v>
      </c>
      <c r="M12" s="30"/>
      <c r="N12" s="34"/>
      <c r="O12" s="34"/>
      <c r="P12" s="35">
        <f t="shared" si="3"/>
        <v>90000</v>
      </c>
      <c r="Q12" s="33">
        <f>AI12+AV12+CK12+Table1[[#This Row],[FY 25-26]]</f>
        <v>0</v>
      </c>
      <c r="R12" s="36">
        <v>20000</v>
      </c>
      <c r="S12" s="37" t="s">
        <v>3549</v>
      </c>
      <c r="T12" s="38">
        <v>45824</v>
      </c>
      <c r="U12" s="39"/>
      <c r="V12" s="39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>
        <f t="shared" si="4"/>
        <v>0</v>
      </c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>
        <f t="shared" si="5"/>
        <v>0</v>
      </c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3">
        <f t="shared" si="6"/>
        <v>0</v>
      </c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>
        <v>0</v>
      </c>
      <c r="CX12" s="66">
        <v>0</v>
      </c>
      <c r="CY12" s="66">
        <v>0</v>
      </c>
      <c r="CZ12" s="66">
        <v>0</v>
      </c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>
        <f>SUM(Table1[[#This Row],[01-03 Apr]:[Mar-26]])</f>
        <v>0</v>
      </c>
    </row>
    <row r="13" spans="1:134" x14ac:dyDescent="0.2">
      <c r="A13" s="28"/>
      <c r="B13" s="29"/>
      <c r="C13" s="29" t="s">
        <v>3559</v>
      </c>
      <c r="D13" s="30" t="s">
        <v>3560</v>
      </c>
      <c r="E13" s="30" t="s">
        <v>3563</v>
      </c>
      <c r="F13" s="30"/>
      <c r="G13" s="31"/>
      <c r="H13" s="30"/>
      <c r="I13" s="30" t="str">
        <f>IF(Table1[[#This Row],[Centre Status]]="Returned","NA",IF(Table1[[#This Row],[SD]]&gt;19000,"Full Payment",IF(Table1[[#This Row],[SD]]&lt;1,"No Payment","Partial Payment")))</f>
        <v>No Payment</v>
      </c>
      <c r="J13" s="30" t="s">
        <v>58</v>
      </c>
      <c r="K13" s="32">
        <v>110000</v>
      </c>
      <c r="L13" s="33">
        <f>Q13+R13+U13+Table1[[#This Row],[Farmer Payment]]</f>
        <v>0</v>
      </c>
      <c r="M13" s="30"/>
      <c r="N13" s="34"/>
      <c r="O13" s="34"/>
      <c r="P13" s="35">
        <f t="shared" si="3"/>
        <v>110000</v>
      </c>
      <c r="Q13" s="33">
        <f>AI13+AV13+CK13+Table1[[#This Row],[FY 25-26]]</f>
        <v>0</v>
      </c>
      <c r="R13" s="36"/>
      <c r="S13" s="37"/>
      <c r="T13" s="38"/>
      <c r="U13" s="39"/>
      <c r="V13" s="39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>
        <f t="shared" si="4"/>
        <v>0</v>
      </c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>
        <f t="shared" si="5"/>
        <v>0</v>
      </c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3">
        <f t="shared" si="6"/>
        <v>0</v>
      </c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>
        <f>SUM(Table1[[#This Row],[01-03 Apr]:[Mar-26]])</f>
        <v>0</v>
      </c>
    </row>
    <row r="14" spans="1:134" x14ac:dyDescent="0.2">
      <c r="A14" s="28"/>
      <c r="B14" s="29"/>
      <c r="C14" s="29" t="s">
        <v>3561</v>
      </c>
      <c r="D14" s="30" t="s">
        <v>3562</v>
      </c>
      <c r="E14" s="30" t="s">
        <v>2951</v>
      </c>
      <c r="F14" s="30"/>
      <c r="G14" s="31"/>
      <c r="H14" s="30"/>
      <c r="I14" s="30" t="str">
        <f>IF(Table1[[#This Row],[Centre Status]]="Returned","NA",IF(Table1[[#This Row],[SD]]&gt;19000,"Full Payment",IF(Table1[[#This Row],[SD]]&lt;1,"No Payment","Partial Payment")))</f>
        <v>No Payment</v>
      </c>
      <c r="J14" s="30" t="s">
        <v>58</v>
      </c>
      <c r="K14" s="32">
        <v>110000</v>
      </c>
      <c r="L14" s="33">
        <f>Q14+R14+U14+Table1[[#This Row],[Farmer Payment]]</f>
        <v>0</v>
      </c>
      <c r="M14" s="30"/>
      <c r="N14" s="34"/>
      <c r="O14" s="34"/>
      <c r="P14" s="35">
        <f t="shared" si="3"/>
        <v>110000</v>
      </c>
      <c r="Q14" s="33">
        <f>AI14+AV14+CK14+Table1[[#This Row],[FY 25-26]]</f>
        <v>0</v>
      </c>
      <c r="R14" s="36"/>
      <c r="S14" s="37"/>
      <c r="T14" s="38"/>
      <c r="U14" s="39"/>
      <c r="V14" s="39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>
        <f t="shared" si="4"/>
        <v>0</v>
      </c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>
        <f t="shared" si="5"/>
        <v>0</v>
      </c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3">
        <f t="shared" si="6"/>
        <v>0</v>
      </c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>
        <f>SUM(Table1[[#This Row],[01-03 Apr]:[Mar-26]])</f>
        <v>0</v>
      </c>
    </row>
    <row r="15" spans="1:134" x14ac:dyDescent="0.2">
      <c r="A15" s="28"/>
      <c r="B15" s="29"/>
      <c r="C15" s="29" t="s">
        <v>3526</v>
      </c>
      <c r="D15" s="30" t="s">
        <v>3527</v>
      </c>
      <c r="E15" s="30" t="s">
        <v>2951</v>
      </c>
      <c r="F15" s="30"/>
      <c r="G15" s="31">
        <v>45834</v>
      </c>
      <c r="H15" s="30"/>
      <c r="I15" s="30" t="str">
        <f>IF(Table1[[#This Row],[Centre Status]]="Returned","NA",IF(Table1[[#This Row],[SD]]&gt;19000,"Full Payment",IF(Table1[[#This Row],[SD]]&lt;1,"No Payment","Partial Payment")))</f>
        <v>Partial Payment</v>
      </c>
      <c r="J15" s="30" t="s">
        <v>58</v>
      </c>
      <c r="K15" s="32">
        <v>110000</v>
      </c>
      <c r="L15" s="33">
        <f>Q15+R15+U15+Table1[[#This Row],[Farmer Payment]]</f>
        <v>10000</v>
      </c>
      <c r="M15" s="30"/>
      <c r="N15" s="34"/>
      <c r="O15" s="34"/>
      <c r="P15" s="35">
        <f t="shared" si="3"/>
        <v>100000</v>
      </c>
      <c r="Q15" s="33">
        <f>AI15+AV15+CK15+Table1[[#This Row],[FY 25-26]]</f>
        <v>0</v>
      </c>
      <c r="R15" s="36">
        <v>10000</v>
      </c>
      <c r="S15" s="37" t="s">
        <v>3528</v>
      </c>
      <c r="T15" s="38">
        <v>45826</v>
      </c>
      <c r="U15" s="39"/>
      <c r="V15" s="39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>
        <f t="shared" si="4"/>
        <v>0</v>
      </c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>
        <f t="shared" si="5"/>
        <v>0</v>
      </c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3">
        <f t="shared" si="6"/>
        <v>0</v>
      </c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>
        <v>0</v>
      </c>
      <c r="CX15" s="66">
        <v>0</v>
      </c>
      <c r="CY15" s="66">
        <v>0</v>
      </c>
      <c r="CZ15" s="66">
        <v>0</v>
      </c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>
        <f>SUM(Table1[[#This Row],[01-03 Apr]:[Mar-26]])</f>
        <v>0</v>
      </c>
    </row>
    <row r="16" spans="1:134" x14ac:dyDescent="0.2">
      <c r="A16" s="28"/>
      <c r="B16" s="29"/>
      <c r="C16" s="29" t="s">
        <v>3523</v>
      </c>
      <c r="D16" s="30" t="s">
        <v>3524</v>
      </c>
      <c r="E16" s="30" t="s">
        <v>85</v>
      </c>
      <c r="F16" s="30"/>
      <c r="G16" s="31"/>
      <c r="H16" s="30"/>
      <c r="I16" s="30" t="str">
        <f>IF(Table1[[#This Row],[Centre Status]]="Returned","NA",IF(Table1[[#This Row],[SD]]&gt;19000,"Full Payment",IF(Table1[[#This Row],[SD]]&lt;1,"No Payment","Partial Payment")))</f>
        <v>Partial Payment</v>
      </c>
      <c r="J16" s="30" t="s">
        <v>58</v>
      </c>
      <c r="K16" s="32">
        <v>110000</v>
      </c>
      <c r="L16" s="33">
        <f>Q16+R16+U16+Table1[[#This Row],[Farmer Payment]]</f>
        <v>10000</v>
      </c>
      <c r="M16" s="30"/>
      <c r="N16" s="34"/>
      <c r="O16" s="34"/>
      <c r="P16" s="35">
        <f t="shared" si="3"/>
        <v>100000</v>
      </c>
      <c r="Q16" s="33">
        <f>AI16+AV16+CK16+Table1[[#This Row],[FY 25-26]]</f>
        <v>0</v>
      </c>
      <c r="R16" s="36">
        <v>10000</v>
      </c>
      <c r="S16" s="37" t="s">
        <v>3525</v>
      </c>
      <c r="T16" s="38">
        <v>45818</v>
      </c>
      <c r="U16" s="39"/>
      <c r="V16" s="39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1">
        <f t="shared" si="4"/>
        <v>0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>
        <f t="shared" si="5"/>
        <v>0</v>
      </c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3">
        <f t="shared" si="6"/>
        <v>0</v>
      </c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>
        <v>0</v>
      </c>
      <c r="CX16" s="66">
        <v>0</v>
      </c>
      <c r="CY16" s="66">
        <v>0</v>
      </c>
      <c r="CZ16" s="66">
        <v>0</v>
      </c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>
        <f>SUM(Table1[[#This Row],[01-03 Apr]:[Mar-26]])</f>
        <v>0</v>
      </c>
    </row>
    <row r="17" spans="1:115" x14ac:dyDescent="0.2">
      <c r="A17" s="28"/>
      <c r="B17" s="29"/>
      <c r="C17" s="29" t="s">
        <v>3556</v>
      </c>
      <c r="D17" s="30" t="s">
        <v>3557</v>
      </c>
      <c r="E17" s="30" t="s">
        <v>85</v>
      </c>
      <c r="F17" s="30"/>
      <c r="G17" s="31"/>
      <c r="H17" s="30"/>
      <c r="I17" s="30" t="str">
        <f>IF(Table1[[#This Row],[Centre Status]]="Returned","NA",IF(Table1[[#This Row],[SD]]&gt;19000,"Full Payment",IF(Table1[[#This Row],[SD]]&lt;1,"No Payment","Partial Payment")))</f>
        <v>Partial Payment</v>
      </c>
      <c r="J17" s="30" t="s">
        <v>58</v>
      </c>
      <c r="K17" s="32">
        <v>110000</v>
      </c>
      <c r="L17" s="33">
        <f>Q17+R17+U17+Table1[[#This Row],[Farmer Payment]]</f>
        <v>8000</v>
      </c>
      <c r="M17" s="30"/>
      <c r="N17" s="34"/>
      <c r="O17" s="34"/>
      <c r="P17" s="35">
        <f t="shared" si="3"/>
        <v>102000</v>
      </c>
      <c r="Q17" s="33">
        <f>AI17+AV17+CK17+Table1[[#This Row],[FY 25-26]]</f>
        <v>0</v>
      </c>
      <c r="R17" s="36">
        <v>8000</v>
      </c>
      <c r="S17" s="37" t="s">
        <v>3558</v>
      </c>
      <c r="T17" s="38">
        <v>45806</v>
      </c>
      <c r="U17" s="39"/>
      <c r="V17" s="39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>
        <f t="shared" si="4"/>
        <v>0</v>
      </c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>
        <f t="shared" si="5"/>
        <v>0</v>
      </c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3">
        <f t="shared" si="6"/>
        <v>0</v>
      </c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>
        <f>SUM(Table1[[#This Row],[01-03 Apr]:[Mar-26]])</f>
        <v>0</v>
      </c>
    </row>
    <row r="18" spans="1:115" x14ac:dyDescent="0.2">
      <c r="A18" s="28"/>
      <c r="B18" s="29"/>
      <c r="C18" s="29" t="s">
        <v>3428</v>
      </c>
      <c r="D18" s="30" t="s">
        <v>3426</v>
      </c>
      <c r="E18" s="30" t="s">
        <v>85</v>
      </c>
      <c r="F18" s="30"/>
      <c r="G18" s="31"/>
      <c r="H18" s="30"/>
      <c r="I18" s="30" t="str">
        <f>IF(Table1[[#This Row],[Centre Status]]="Returned","NA",IF(Table1[[#This Row],[SD]]&gt;19000,"Full Payment",IF(Table1[[#This Row],[SD]]&lt;1,"No Payment","Partial Payment")))</f>
        <v>Partial Payment</v>
      </c>
      <c r="J18" s="30" t="s">
        <v>58</v>
      </c>
      <c r="K18" s="32">
        <v>110000</v>
      </c>
      <c r="L18" s="33">
        <f>Q18+R18+U18+Table1[[#This Row],[Farmer Payment]]</f>
        <v>10908</v>
      </c>
      <c r="M18" s="30"/>
      <c r="N18" s="34"/>
      <c r="O18" s="34"/>
      <c r="P18" s="35">
        <f t="shared" si="3"/>
        <v>99092</v>
      </c>
      <c r="Q18" s="33">
        <f>AI18+AV18+CK18+Table1[[#This Row],[FY 25-26]]</f>
        <v>908</v>
      </c>
      <c r="R18" s="36">
        <v>10000</v>
      </c>
      <c r="S18" s="37" t="s">
        <v>3430</v>
      </c>
      <c r="T18" s="38">
        <v>45784</v>
      </c>
      <c r="U18" s="39"/>
      <c r="V18" s="39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>
        <f t="shared" si="4"/>
        <v>0</v>
      </c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>
        <f t="shared" si="5"/>
        <v>0</v>
      </c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3">
        <f t="shared" si="6"/>
        <v>0</v>
      </c>
      <c r="CL18" s="66"/>
      <c r="CM18" s="66"/>
      <c r="CN18" s="66"/>
      <c r="CO18" s="66"/>
      <c r="CP18" s="66">
        <v>0</v>
      </c>
      <c r="CQ18" s="66"/>
      <c r="CR18" s="66">
        <v>0</v>
      </c>
      <c r="CS18" s="66">
        <v>0</v>
      </c>
      <c r="CT18" s="66">
        <v>0</v>
      </c>
      <c r="CU18" s="66">
        <v>0</v>
      </c>
      <c r="CV18" s="66">
        <v>908</v>
      </c>
      <c r="CW18" s="66">
        <v>0</v>
      </c>
      <c r="CX18" s="66">
        <v>0</v>
      </c>
      <c r="CY18" s="66">
        <v>0</v>
      </c>
      <c r="CZ18" s="66">
        <v>0</v>
      </c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>
        <f>SUM(Table1[[#This Row],[01-03 Apr]:[Mar-26]])</f>
        <v>908</v>
      </c>
    </row>
    <row r="19" spans="1:115" x14ac:dyDescent="0.2">
      <c r="A19" s="28"/>
      <c r="B19" s="29"/>
      <c r="C19" s="29" t="s">
        <v>3429</v>
      </c>
      <c r="D19" s="30" t="s">
        <v>3427</v>
      </c>
      <c r="E19" s="30" t="s">
        <v>85</v>
      </c>
      <c r="F19" s="30"/>
      <c r="G19" s="31"/>
      <c r="H19" s="30"/>
      <c r="I19" s="30" t="str">
        <f>IF(Table1[[#This Row],[Centre Status]]="Returned","NA",IF(Table1[[#This Row],[SD]]&gt;19000,"Full Payment",IF(Table1[[#This Row],[SD]]&lt;1,"No Payment","Partial Payment")))</f>
        <v>Partial Payment</v>
      </c>
      <c r="J19" s="30" t="s">
        <v>58</v>
      </c>
      <c r="K19" s="32">
        <v>110000</v>
      </c>
      <c r="L19" s="33">
        <f>Q19+R19+U19+Table1[[#This Row],[Farmer Payment]]</f>
        <v>10476</v>
      </c>
      <c r="M19" s="30"/>
      <c r="N19" s="34"/>
      <c r="O19" s="34"/>
      <c r="P19" s="35">
        <f t="shared" si="3"/>
        <v>99524</v>
      </c>
      <c r="Q19" s="33">
        <f>AI19+AV19+CK19+Table1[[#This Row],[FY 25-26]]</f>
        <v>476</v>
      </c>
      <c r="R19" s="36">
        <v>10000</v>
      </c>
      <c r="S19" s="37" t="s">
        <v>3436</v>
      </c>
      <c r="T19" s="38">
        <v>45796</v>
      </c>
      <c r="U19" s="39"/>
      <c r="V19" s="39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>
        <f t="shared" si="4"/>
        <v>0</v>
      </c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>
        <f t="shared" si="5"/>
        <v>0</v>
      </c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3">
        <f t="shared" si="6"/>
        <v>0</v>
      </c>
      <c r="CL19" s="66"/>
      <c r="CM19" s="66"/>
      <c r="CN19" s="66"/>
      <c r="CO19" s="66"/>
      <c r="CP19" s="66">
        <v>0</v>
      </c>
      <c r="CQ19" s="66"/>
      <c r="CR19" s="66">
        <v>0</v>
      </c>
      <c r="CS19" s="66">
        <v>0</v>
      </c>
      <c r="CT19" s="66">
        <v>0</v>
      </c>
      <c r="CU19" s="66">
        <v>0</v>
      </c>
      <c r="CV19" s="66">
        <v>476</v>
      </c>
      <c r="CW19" s="66">
        <v>0</v>
      </c>
      <c r="CX19" s="66">
        <v>0</v>
      </c>
      <c r="CY19" s="66">
        <v>0</v>
      </c>
      <c r="CZ19" s="66">
        <v>0</v>
      </c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>
        <f>SUM(Table1[[#This Row],[01-03 Apr]:[Mar-26]])</f>
        <v>476</v>
      </c>
    </row>
    <row r="20" spans="1:115" x14ac:dyDescent="0.2">
      <c r="A20" s="28"/>
      <c r="B20" s="29"/>
      <c r="C20" s="29" t="s">
        <v>3470</v>
      </c>
      <c r="D20" s="30" t="s">
        <v>3471</v>
      </c>
      <c r="E20" s="30" t="s">
        <v>85</v>
      </c>
      <c r="F20" s="30"/>
      <c r="G20" s="31"/>
      <c r="H20" s="30"/>
      <c r="I20" s="30" t="str">
        <f>IF(Table1[[#This Row],[Centre Status]]="Returned","NA",IF(Table1[[#This Row],[SD]]&gt;19000,"Full Payment",IF(Table1[[#This Row],[SD]]&lt;1,"No Payment","Partial Payment")))</f>
        <v>Partial Payment</v>
      </c>
      <c r="J20" s="30" t="s">
        <v>58</v>
      </c>
      <c r="K20" s="32">
        <v>110000</v>
      </c>
      <c r="L20" s="33">
        <f>Q20+R20+U20+Table1[[#This Row],[Farmer Payment]]</f>
        <v>10000</v>
      </c>
      <c r="M20" s="30"/>
      <c r="N20" s="34"/>
      <c r="O20" s="34"/>
      <c r="P20" s="35">
        <f t="shared" si="3"/>
        <v>100000</v>
      </c>
      <c r="Q20" s="33">
        <f>AI20+AV20+CK20+Table1[[#This Row],[FY 25-26]]</f>
        <v>0</v>
      </c>
      <c r="R20" s="36">
        <v>10000</v>
      </c>
      <c r="S20" s="37" t="s">
        <v>3472</v>
      </c>
      <c r="T20" s="38">
        <v>45794</v>
      </c>
      <c r="U20" s="39"/>
      <c r="V20" s="39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>
        <f t="shared" si="4"/>
        <v>0</v>
      </c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>
        <f t="shared" si="5"/>
        <v>0</v>
      </c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3">
        <f t="shared" si="6"/>
        <v>0</v>
      </c>
      <c r="CL20" s="66"/>
      <c r="CM20" s="66"/>
      <c r="CN20" s="66"/>
      <c r="CO20" s="66"/>
      <c r="CP20" s="66"/>
      <c r="CQ20" s="66"/>
      <c r="CR20" s="66">
        <v>0</v>
      </c>
      <c r="CS20" s="66"/>
      <c r="CT20" s="66">
        <v>0</v>
      </c>
      <c r="CU20" s="66">
        <v>0</v>
      </c>
      <c r="CV20" s="66">
        <v>0</v>
      </c>
      <c r="CW20" s="66">
        <v>0</v>
      </c>
      <c r="CX20" s="66">
        <v>0</v>
      </c>
      <c r="CY20" s="66">
        <v>0</v>
      </c>
      <c r="CZ20" s="66">
        <v>0</v>
      </c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>
        <f>SUM(Table1[[#This Row],[01-03 Apr]:[Mar-26]])</f>
        <v>0</v>
      </c>
    </row>
    <row r="21" spans="1:115" hidden="1" x14ac:dyDescent="0.2">
      <c r="A21" s="28"/>
      <c r="B21" s="29"/>
      <c r="C21" s="29" t="s">
        <v>3510</v>
      </c>
      <c r="D21" s="30" t="s">
        <v>3512</v>
      </c>
      <c r="E21" s="30" t="s">
        <v>3406</v>
      </c>
      <c r="F21" s="30"/>
      <c r="G21" s="31">
        <v>45832</v>
      </c>
      <c r="H21" s="30"/>
      <c r="I21" s="30" t="str">
        <f>IF(Table1[[#This Row],[Centre Status]]="Returned","NA",IF(Table1[[#This Row],[SD]]&gt;19000,"Full Payment",IF(Table1[[#This Row],[SD]]&lt;1,"No Payment","Partial Payment")))</f>
        <v>Full Payment</v>
      </c>
      <c r="J21" s="30" t="s">
        <v>58</v>
      </c>
      <c r="K21" s="32">
        <v>110000</v>
      </c>
      <c r="L21" s="33">
        <f>Q21+R21+U21+Table1[[#This Row],[Farmer Payment]]</f>
        <v>20000</v>
      </c>
      <c r="M21" s="30"/>
      <c r="N21" s="34"/>
      <c r="O21" s="34"/>
      <c r="P21" s="35">
        <f t="shared" si="3"/>
        <v>90000</v>
      </c>
      <c r="Q21" s="33">
        <f>AI21+AV21+CK21+Table1[[#This Row],[FY 25-26]]</f>
        <v>0</v>
      </c>
      <c r="R21" s="36">
        <v>20000</v>
      </c>
      <c r="S21" s="37"/>
      <c r="T21" s="38">
        <v>45801</v>
      </c>
      <c r="U21" s="39"/>
      <c r="V21" s="39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>
        <f t="shared" si="4"/>
        <v>0</v>
      </c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>
        <f t="shared" si="5"/>
        <v>0</v>
      </c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3">
        <f t="shared" si="6"/>
        <v>0</v>
      </c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>
        <v>0</v>
      </c>
      <c r="CW21" s="66">
        <v>0</v>
      </c>
      <c r="CX21" s="66">
        <v>0</v>
      </c>
      <c r="CY21" s="66">
        <v>0</v>
      </c>
      <c r="CZ21" s="66">
        <v>0</v>
      </c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>
        <f>SUM(Table1[[#This Row],[01-03 Apr]:[Mar-26]])</f>
        <v>0</v>
      </c>
    </row>
    <row r="22" spans="1:115" hidden="1" x14ac:dyDescent="0.2">
      <c r="A22" s="28"/>
      <c r="B22" s="29"/>
      <c r="C22" s="29" t="s">
        <v>3511</v>
      </c>
      <c r="D22" s="30" t="s">
        <v>3513</v>
      </c>
      <c r="E22" s="30" t="s">
        <v>3406</v>
      </c>
      <c r="F22" s="30"/>
      <c r="G22" s="31">
        <v>45832</v>
      </c>
      <c r="H22" s="30"/>
      <c r="I22" s="30" t="str">
        <f>IF(Table1[[#This Row],[Centre Status]]="Returned","NA",IF(Table1[[#This Row],[SD]]&gt;19000,"Full Payment",IF(Table1[[#This Row],[SD]]&lt;1,"No Payment","Partial Payment")))</f>
        <v>Full Payment</v>
      </c>
      <c r="J22" s="30" t="s">
        <v>58</v>
      </c>
      <c r="K22" s="32">
        <v>110000</v>
      </c>
      <c r="L22" s="33">
        <f>Q22+R22+U22+Table1[[#This Row],[Farmer Payment]]</f>
        <v>20000</v>
      </c>
      <c r="M22" s="30"/>
      <c r="N22" s="34"/>
      <c r="O22" s="34"/>
      <c r="P22" s="35">
        <f t="shared" si="3"/>
        <v>90000</v>
      </c>
      <c r="Q22" s="33">
        <f>AI22+AV22+CK22+Table1[[#This Row],[FY 25-26]]</f>
        <v>0</v>
      </c>
      <c r="R22" s="36">
        <v>20000</v>
      </c>
      <c r="S22" s="37" t="s">
        <v>3514</v>
      </c>
      <c r="T22" s="38">
        <v>45801</v>
      </c>
      <c r="U22" s="39"/>
      <c r="V22" s="39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>
        <f t="shared" si="4"/>
        <v>0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>
        <f t="shared" si="5"/>
        <v>0</v>
      </c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3">
        <f t="shared" si="6"/>
        <v>0</v>
      </c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>
        <v>0</v>
      </c>
      <c r="CW22" s="66">
        <v>0</v>
      </c>
      <c r="CX22" s="66">
        <v>0</v>
      </c>
      <c r="CY22" s="66">
        <v>0</v>
      </c>
      <c r="CZ22" s="66">
        <v>0</v>
      </c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>
        <f>SUM(Table1[[#This Row],[01-03 Apr]:[Mar-26]])</f>
        <v>0</v>
      </c>
    </row>
    <row r="23" spans="1:115" x14ac:dyDescent="0.2">
      <c r="A23" s="28"/>
      <c r="B23" s="29"/>
      <c r="C23" s="29" t="s">
        <v>3467</v>
      </c>
      <c r="D23" s="30" t="s">
        <v>3468</v>
      </c>
      <c r="E23" s="30" t="s">
        <v>3213</v>
      </c>
      <c r="F23" s="30"/>
      <c r="G23" s="31"/>
      <c r="H23" s="30"/>
      <c r="I23" s="30" t="str">
        <f>IF(Table1[[#This Row],[Centre Status]]="Returned","NA",IF(Table1[[#This Row],[SD]]&gt;19000,"Full Payment",IF(Table1[[#This Row],[SD]]&lt;1,"No Payment","Partial Payment")))</f>
        <v>Partial Payment</v>
      </c>
      <c r="J23" s="30" t="s">
        <v>58</v>
      </c>
      <c r="K23" s="32">
        <v>110000</v>
      </c>
      <c r="L23" s="33">
        <f>Q23+R23+U23+Table1[[#This Row],[Farmer Payment]]</f>
        <v>10000</v>
      </c>
      <c r="M23" s="30"/>
      <c r="N23" s="34"/>
      <c r="O23" s="34"/>
      <c r="P23" s="35">
        <f t="shared" si="3"/>
        <v>100000</v>
      </c>
      <c r="Q23" s="33">
        <f>AI23+AV23+CK23+Table1[[#This Row],[FY 25-26]]</f>
        <v>0</v>
      </c>
      <c r="R23" s="36">
        <v>10000</v>
      </c>
      <c r="S23" s="37" t="s">
        <v>3469</v>
      </c>
      <c r="T23" s="38">
        <v>45800</v>
      </c>
      <c r="U23" s="39"/>
      <c r="V23" s="39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>
        <f t="shared" si="4"/>
        <v>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>
        <f t="shared" si="5"/>
        <v>0</v>
      </c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3">
        <f t="shared" si="6"/>
        <v>0</v>
      </c>
      <c r="CL23" s="66"/>
      <c r="CM23" s="66"/>
      <c r="CN23" s="66"/>
      <c r="CO23" s="66"/>
      <c r="CP23" s="66"/>
      <c r="CQ23" s="66"/>
      <c r="CR23" s="66">
        <v>0</v>
      </c>
      <c r="CS23" s="66"/>
      <c r="CT23" s="66">
        <v>0</v>
      </c>
      <c r="CU23" s="66">
        <v>0</v>
      </c>
      <c r="CV23" s="66">
        <v>0</v>
      </c>
      <c r="CW23" s="66">
        <v>0</v>
      </c>
      <c r="CX23" s="66">
        <v>0</v>
      </c>
      <c r="CY23" s="66">
        <v>0</v>
      </c>
      <c r="CZ23" s="66">
        <v>0</v>
      </c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>
        <f>SUM(Table1[[#This Row],[01-03 Apr]:[Mar-26]])</f>
        <v>0</v>
      </c>
    </row>
    <row r="24" spans="1:115" hidden="1" x14ac:dyDescent="0.2">
      <c r="A24" s="28"/>
      <c r="B24" s="29"/>
      <c r="C24" s="29" t="s">
        <v>3516</v>
      </c>
      <c r="D24" s="30" t="s">
        <v>3431</v>
      </c>
      <c r="E24" s="30" t="s">
        <v>3406</v>
      </c>
      <c r="F24" s="30"/>
      <c r="G24" s="31"/>
      <c r="H24" s="30"/>
      <c r="I24" s="30" t="str">
        <f>IF(Table1[[#This Row],[Centre Status]]="Returned","NA",IF(Table1[[#This Row],[SD]]&gt;19000,"Full Payment",IF(Table1[[#This Row],[SD]]&lt;1,"No Payment","Partial Payment")))</f>
        <v>Full Payment</v>
      </c>
      <c r="J24" s="30" t="s">
        <v>58</v>
      </c>
      <c r="K24" s="32">
        <v>110000</v>
      </c>
      <c r="L24" s="33">
        <f>Q24+R24+U24+Table1[[#This Row],[Farmer Payment]]</f>
        <v>20109</v>
      </c>
      <c r="M24" s="30"/>
      <c r="N24" s="34"/>
      <c r="O24" s="34"/>
      <c r="P24" s="35">
        <f t="shared" si="3"/>
        <v>89891</v>
      </c>
      <c r="Q24" s="33">
        <f>AI24+AV24+CK24+Table1[[#This Row],[FY 25-26]]</f>
        <v>109</v>
      </c>
      <c r="R24" s="36">
        <v>20000</v>
      </c>
      <c r="S24" s="37" t="s">
        <v>3434</v>
      </c>
      <c r="T24" s="38">
        <v>45794</v>
      </c>
      <c r="U24" s="39"/>
      <c r="V24" s="39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>
        <f t="shared" si="4"/>
        <v>0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>
        <f t="shared" si="5"/>
        <v>0</v>
      </c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3">
        <f t="shared" si="6"/>
        <v>0</v>
      </c>
      <c r="CL24" s="66"/>
      <c r="CM24" s="66"/>
      <c r="CN24" s="66"/>
      <c r="CO24" s="66"/>
      <c r="CP24" s="66">
        <v>0</v>
      </c>
      <c r="CQ24" s="66"/>
      <c r="CR24" s="66">
        <v>0</v>
      </c>
      <c r="CS24" s="66">
        <v>0</v>
      </c>
      <c r="CT24" s="66">
        <v>0</v>
      </c>
      <c r="CU24" s="66">
        <v>0</v>
      </c>
      <c r="CV24" s="66">
        <v>109</v>
      </c>
      <c r="CW24" s="66">
        <v>0</v>
      </c>
      <c r="CX24" s="66">
        <v>0</v>
      </c>
      <c r="CY24" s="66">
        <v>0</v>
      </c>
      <c r="CZ24" s="66">
        <v>0</v>
      </c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>
        <f>SUM(Table1[[#This Row],[01-03 Apr]:[Mar-26]])</f>
        <v>109</v>
      </c>
    </row>
    <row r="25" spans="1:115" hidden="1" x14ac:dyDescent="0.2">
      <c r="A25" s="28"/>
      <c r="B25" s="29"/>
      <c r="C25" s="29" t="s">
        <v>3517</v>
      </c>
      <c r="D25" s="30" t="s">
        <v>3432</v>
      </c>
      <c r="E25" s="30" t="s">
        <v>3406</v>
      </c>
      <c r="F25" s="30"/>
      <c r="G25" s="31"/>
      <c r="H25" s="30"/>
      <c r="I25" s="30" t="str">
        <f>IF(Table1[[#This Row],[Centre Status]]="Returned","NA",IF(Table1[[#This Row],[SD]]&gt;19000,"Full Payment",IF(Table1[[#This Row],[SD]]&lt;1,"No Payment","Partial Payment")))</f>
        <v>Full Payment</v>
      </c>
      <c r="J25" s="30" t="s">
        <v>58</v>
      </c>
      <c r="K25" s="32">
        <v>110000</v>
      </c>
      <c r="L25" s="33">
        <f>Q25+R25+U25+Table1[[#This Row],[Farmer Payment]]</f>
        <v>20000</v>
      </c>
      <c r="M25" s="30"/>
      <c r="N25" s="34"/>
      <c r="O25" s="34"/>
      <c r="P25" s="35">
        <f t="shared" si="3"/>
        <v>90000</v>
      </c>
      <c r="Q25" s="33">
        <f>AI25+AV25+CK25+Table1[[#This Row],[FY 25-26]]</f>
        <v>0</v>
      </c>
      <c r="R25" s="36">
        <v>20000</v>
      </c>
      <c r="S25" s="37" t="s">
        <v>3437</v>
      </c>
      <c r="T25" s="38">
        <v>45794</v>
      </c>
      <c r="U25" s="39"/>
      <c r="V25" s="39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>
        <f t="shared" si="4"/>
        <v>0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>
        <f t="shared" si="5"/>
        <v>0</v>
      </c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3">
        <f t="shared" si="6"/>
        <v>0</v>
      </c>
      <c r="CL25" s="66"/>
      <c r="CM25" s="66"/>
      <c r="CN25" s="66"/>
      <c r="CO25" s="66"/>
      <c r="CP25" s="66">
        <v>0</v>
      </c>
      <c r="CQ25" s="66"/>
      <c r="CR25" s="66">
        <v>0</v>
      </c>
      <c r="CS25" s="66">
        <v>0</v>
      </c>
      <c r="CT25" s="66">
        <v>0</v>
      </c>
      <c r="CU25" s="66">
        <v>0</v>
      </c>
      <c r="CV25" s="66">
        <v>0</v>
      </c>
      <c r="CW25" s="66">
        <v>0</v>
      </c>
      <c r="CX25" s="66">
        <v>0</v>
      </c>
      <c r="CY25" s="66">
        <v>0</v>
      </c>
      <c r="CZ25" s="66">
        <v>0</v>
      </c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>
        <f>SUM(Table1[[#This Row],[01-03 Apr]:[Mar-26]])</f>
        <v>0</v>
      </c>
    </row>
    <row r="26" spans="1:115" hidden="1" x14ac:dyDescent="0.2">
      <c r="A26" s="28"/>
      <c r="B26" s="29"/>
      <c r="C26" s="29" t="s">
        <v>3518</v>
      </c>
      <c r="D26" s="30" t="s">
        <v>3433</v>
      </c>
      <c r="E26" s="30" t="s">
        <v>3406</v>
      </c>
      <c r="F26" s="30"/>
      <c r="G26" s="31"/>
      <c r="H26" s="30"/>
      <c r="I26" s="30" t="str">
        <f>IF(Table1[[#This Row],[Centre Status]]="Returned","NA",IF(Table1[[#This Row],[SD]]&gt;19000,"Full Payment",IF(Table1[[#This Row],[SD]]&lt;1,"No Payment","Partial Payment")))</f>
        <v>Full Payment</v>
      </c>
      <c r="J26" s="30" t="s">
        <v>58</v>
      </c>
      <c r="K26" s="32">
        <v>110000</v>
      </c>
      <c r="L26" s="33">
        <f>Q26+R26+U26+Table1[[#This Row],[Farmer Payment]]</f>
        <v>20000</v>
      </c>
      <c r="M26" s="30"/>
      <c r="N26" s="34"/>
      <c r="O26" s="34"/>
      <c r="P26" s="35">
        <f t="shared" si="3"/>
        <v>90000</v>
      </c>
      <c r="Q26" s="33">
        <f>AI26+AV26+CK26+Table1[[#This Row],[FY 25-26]]</f>
        <v>0</v>
      </c>
      <c r="R26" s="36">
        <v>20000</v>
      </c>
      <c r="S26" s="37" t="s">
        <v>3435</v>
      </c>
      <c r="T26" s="38">
        <v>45797</v>
      </c>
      <c r="U26" s="39"/>
      <c r="V26" s="39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1">
        <f t="shared" si="4"/>
        <v>0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>
        <f t="shared" si="5"/>
        <v>0</v>
      </c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3">
        <f t="shared" si="6"/>
        <v>0</v>
      </c>
      <c r="CL26" s="66"/>
      <c r="CM26" s="66"/>
      <c r="CN26" s="66"/>
      <c r="CO26" s="66"/>
      <c r="CP26" s="66">
        <v>0</v>
      </c>
      <c r="CQ26" s="66"/>
      <c r="CR26" s="66">
        <v>0</v>
      </c>
      <c r="CS26" s="66">
        <v>0</v>
      </c>
      <c r="CT26" s="66">
        <v>0</v>
      </c>
      <c r="CU26" s="66">
        <v>0</v>
      </c>
      <c r="CV26" s="66">
        <v>0</v>
      </c>
      <c r="CW26" s="66">
        <v>0</v>
      </c>
      <c r="CX26" s="66">
        <v>0</v>
      </c>
      <c r="CY26" s="66">
        <v>0</v>
      </c>
      <c r="CZ26" s="66">
        <v>0</v>
      </c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>
        <f>SUM(Table1[[#This Row],[01-03 Apr]:[Mar-26]])</f>
        <v>0</v>
      </c>
    </row>
    <row r="27" spans="1:115" x14ac:dyDescent="0.2">
      <c r="A27" s="28"/>
      <c r="B27" s="29"/>
      <c r="C27" s="29" t="s">
        <v>3438</v>
      </c>
      <c r="D27" s="30" t="s">
        <v>3439</v>
      </c>
      <c r="E27" s="30" t="s">
        <v>85</v>
      </c>
      <c r="F27" s="30"/>
      <c r="G27" s="31"/>
      <c r="H27" s="30"/>
      <c r="I27" s="30" t="str">
        <f>IF(Table1[[#This Row],[Centre Status]]="Returned","NA",IF(Table1[[#This Row],[SD]]&gt;19000,"Full Payment",IF(Table1[[#This Row],[SD]]&lt;1,"No Payment","Partial Payment")))</f>
        <v>Partial Payment</v>
      </c>
      <c r="J27" s="30" t="s">
        <v>58</v>
      </c>
      <c r="K27" s="32">
        <v>110000</v>
      </c>
      <c r="L27" s="33">
        <f>Q27+R27+U27+Table1[[#This Row],[Farmer Payment]]</f>
        <v>10076</v>
      </c>
      <c r="M27" s="30"/>
      <c r="N27" s="34"/>
      <c r="O27" s="34"/>
      <c r="P27" s="35">
        <f t="shared" si="3"/>
        <v>99924</v>
      </c>
      <c r="Q27" s="33">
        <f>AI27+AV27+CK27+Table1[[#This Row],[FY 25-26]]</f>
        <v>76</v>
      </c>
      <c r="R27" s="36">
        <v>10000</v>
      </c>
      <c r="S27" s="37" t="s">
        <v>3440</v>
      </c>
      <c r="T27" s="38">
        <v>45791</v>
      </c>
      <c r="U27" s="39"/>
      <c r="V27" s="39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1">
        <f t="shared" si="4"/>
        <v>0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>
        <f t="shared" si="5"/>
        <v>0</v>
      </c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3">
        <f t="shared" si="6"/>
        <v>0</v>
      </c>
      <c r="CL27" s="66"/>
      <c r="CM27" s="66"/>
      <c r="CN27" s="66"/>
      <c r="CO27" s="66"/>
      <c r="CP27" s="66">
        <v>0</v>
      </c>
      <c r="CQ27" s="66"/>
      <c r="CR27" s="66">
        <v>0</v>
      </c>
      <c r="CS27" s="66">
        <v>0</v>
      </c>
      <c r="CT27" s="66">
        <v>0</v>
      </c>
      <c r="CU27" s="66">
        <v>0</v>
      </c>
      <c r="CV27" s="66">
        <v>76</v>
      </c>
      <c r="CW27" s="66">
        <v>0</v>
      </c>
      <c r="CX27" s="66">
        <v>0</v>
      </c>
      <c r="CY27" s="66">
        <v>0</v>
      </c>
      <c r="CZ27" s="66">
        <v>0</v>
      </c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>
        <f>SUM(Table1[[#This Row],[01-03 Apr]:[Mar-26]])</f>
        <v>76</v>
      </c>
    </row>
    <row r="28" spans="1:115" x14ac:dyDescent="0.2">
      <c r="A28" s="28"/>
      <c r="B28" s="29"/>
      <c r="C28" s="29" t="s">
        <v>3495</v>
      </c>
      <c r="D28" s="30" t="s">
        <v>3498</v>
      </c>
      <c r="E28" s="30" t="s">
        <v>3501</v>
      </c>
      <c r="F28" s="30"/>
      <c r="G28" s="31"/>
      <c r="H28" s="30"/>
      <c r="I28" s="30" t="str">
        <f>IF(Table1[[#This Row],[Centre Status]]="Returned","NA",IF(Table1[[#This Row],[SD]]&gt;19000,"Full Payment",IF(Table1[[#This Row],[SD]]&lt;1,"No Payment","Partial Payment")))</f>
        <v>Partial Payment</v>
      </c>
      <c r="J28" s="30" t="s">
        <v>58</v>
      </c>
      <c r="K28" s="32">
        <v>110000</v>
      </c>
      <c r="L28" s="33">
        <f>Q28+R28+U28+Table1[[#This Row],[Farmer Payment]]</f>
        <v>10000</v>
      </c>
      <c r="M28" s="30"/>
      <c r="N28" s="34"/>
      <c r="O28" s="34"/>
      <c r="P28" s="35">
        <f t="shared" si="3"/>
        <v>100000</v>
      </c>
      <c r="Q28" s="33">
        <f>AI28+AV28+CK28+Table1[[#This Row],[FY 25-26]]</f>
        <v>0</v>
      </c>
      <c r="R28" s="36">
        <v>10000</v>
      </c>
      <c r="S28" s="37" t="s">
        <v>3502</v>
      </c>
      <c r="T28" s="38">
        <v>45808</v>
      </c>
      <c r="U28" s="39"/>
      <c r="V28" s="39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1">
        <f t="shared" si="4"/>
        <v>0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>
        <f t="shared" si="5"/>
        <v>0</v>
      </c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3">
        <f t="shared" si="6"/>
        <v>0</v>
      </c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>
        <v>0</v>
      </c>
      <c r="CW28" s="66">
        <v>0</v>
      </c>
      <c r="CX28" s="66">
        <v>0</v>
      </c>
      <c r="CY28" s="66">
        <v>0</v>
      </c>
      <c r="CZ28" s="66">
        <v>0</v>
      </c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>
        <f>SUM(Table1[[#This Row],[01-03 Apr]:[Mar-26]])</f>
        <v>0</v>
      </c>
    </row>
    <row r="29" spans="1:115" x14ac:dyDescent="0.2">
      <c r="A29" s="28"/>
      <c r="B29" s="29"/>
      <c r="C29" s="29" t="s">
        <v>3496</v>
      </c>
      <c r="D29" s="30" t="s">
        <v>3499</v>
      </c>
      <c r="E29" s="30" t="s">
        <v>3501</v>
      </c>
      <c r="F29" s="30"/>
      <c r="G29" s="31"/>
      <c r="H29" s="30"/>
      <c r="I29" s="30" t="str">
        <f>IF(Table1[[#This Row],[Centre Status]]="Returned","NA",IF(Table1[[#This Row],[SD]]&gt;19000,"Full Payment",IF(Table1[[#This Row],[SD]]&lt;1,"No Payment","Partial Payment")))</f>
        <v>Partial Payment</v>
      </c>
      <c r="J29" s="30" t="s">
        <v>58</v>
      </c>
      <c r="K29" s="32">
        <v>110000</v>
      </c>
      <c r="L29" s="33">
        <f>Q29+R29+U29+Table1[[#This Row],[Farmer Payment]]</f>
        <v>10000</v>
      </c>
      <c r="M29" s="30"/>
      <c r="N29" s="34"/>
      <c r="O29" s="34"/>
      <c r="P29" s="35">
        <f t="shared" si="3"/>
        <v>100000</v>
      </c>
      <c r="Q29" s="33">
        <f>AI29+AV29+CK29+Table1[[#This Row],[FY 25-26]]</f>
        <v>0</v>
      </c>
      <c r="R29" s="36">
        <v>10000</v>
      </c>
      <c r="S29" s="37" t="s">
        <v>3503</v>
      </c>
      <c r="T29" s="38">
        <v>45806</v>
      </c>
      <c r="U29" s="39"/>
      <c r="V29" s="39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1">
        <f t="shared" si="4"/>
        <v>0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>
        <f t="shared" si="5"/>
        <v>0</v>
      </c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3">
        <f t="shared" si="6"/>
        <v>0</v>
      </c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>
        <v>0</v>
      </c>
      <c r="CW29" s="66">
        <v>0</v>
      </c>
      <c r="CX29" s="66">
        <v>0</v>
      </c>
      <c r="CY29" s="66">
        <v>0</v>
      </c>
      <c r="CZ29" s="66">
        <v>0</v>
      </c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>
        <f>SUM(Table1[[#This Row],[01-03 Apr]:[Mar-26]])</f>
        <v>0</v>
      </c>
    </row>
    <row r="30" spans="1:115" x14ac:dyDescent="0.2">
      <c r="A30" s="28"/>
      <c r="B30" s="29"/>
      <c r="C30" s="29" t="s">
        <v>3507</v>
      </c>
      <c r="D30" s="30" t="s">
        <v>3505</v>
      </c>
      <c r="E30" s="30" t="s">
        <v>584</v>
      </c>
      <c r="F30" s="30"/>
      <c r="G30" s="31"/>
      <c r="H30" s="30"/>
      <c r="I30" s="30" t="str">
        <f>IF(Table1[[#This Row],[Centre Status]]="Returned","NA",IF(Table1[[#This Row],[SD]]&gt;19000,"Full Payment",IF(Table1[[#This Row],[SD]]&lt;1,"No Payment","Partial Payment")))</f>
        <v>No Payment</v>
      </c>
      <c r="J30" s="30" t="s">
        <v>58</v>
      </c>
      <c r="K30" s="32">
        <v>110000</v>
      </c>
      <c r="L30" s="33">
        <f>Q30+R30+U30+Table1[[#This Row],[Farmer Payment]]</f>
        <v>0</v>
      </c>
      <c r="M30" s="30"/>
      <c r="N30" s="34"/>
      <c r="O30" s="34"/>
      <c r="P30" s="35">
        <f t="shared" si="3"/>
        <v>110000</v>
      </c>
      <c r="Q30" s="33">
        <f>AI30+AV30+CK30+Table1[[#This Row],[FY 25-26]]</f>
        <v>0</v>
      </c>
      <c r="R30" s="36"/>
      <c r="S30" s="37"/>
      <c r="T30" s="38"/>
      <c r="U30" s="39"/>
      <c r="V30" s="39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1">
        <f t="shared" si="4"/>
        <v>0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>
        <f t="shared" si="5"/>
        <v>0</v>
      </c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3">
        <f t="shared" si="6"/>
        <v>0</v>
      </c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>
        <v>0</v>
      </c>
      <c r="CW30" s="66">
        <v>0</v>
      </c>
      <c r="CX30" s="66">
        <v>0</v>
      </c>
      <c r="CY30" s="66">
        <v>0</v>
      </c>
      <c r="CZ30" s="66">
        <v>0</v>
      </c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>
        <f>SUM(Table1[[#This Row],[01-03 Apr]:[Mar-26]])</f>
        <v>0</v>
      </c>
    </row>
    <row r="31" spans="1:115" x14ac:dyDescent="0.2">
      <c r="A31" s="28"/>
      <c r="B31" s="29"/>
      <c r="C31" s="29" t="s">
        <v>3508</v>
      </c>
      <c r="D31" s="30" t="s">
        <v>3506</v>
      </c>
      <c r="E31" s="30" t="s">
        <v>584</v>
      </c>
      <c r="F31" s="30"/>
      <c r="G31" s="31"/>
      <c r="H31" s="30"/>
      <c r="I31" s="30" t="str">
        <f>IF(Table1[[#This Row],[Centre Status]]="Returned","NA",IF(Table1[[#This Row],[SD]]&gt;19000,"Full Payment",IF(Table1[[#This Row],[SD]]&lt;1,"No Payment","Partial Payment")))</f>
        <v>No Payment</v>
      </c>
      <c r="J31" s="30" t="s">
        <v>58</v>
      </c>
      <c r="K31" s="32">
        <v>110000</v>
      </c>
      <c r="L31" s="33">
        <f>Q31+R31+U31+Table1[[#This Row],[Farmer Payment]]</f>
        <v>0</v>
      </c>
      <c r="M31" s="30"/>
      <c r="N31" s="34"/>
      <c r="O31" s="34"/>
      <c r="P31" s="35">
        <f t="shared" si="3"/>
        <v>110000</v>
      </c>
      <c r="Q31" s="33">
        <f>AI31+AV31+CK31+Table1[[#This Row],[FY 25-26]]</f>
        <v>0</v>
      </c>
      <c r="R31" s="36"/>
      <c r="S31" s="37"/>
      <c r="T31" s="38"/>
      <c r="U31" s="39"/>
      <c r="V31" s="39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1">
        <f t="shared" si="4"/>
        <v>0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>
        <f t="shared" si="5"/>
        <v>0</v>
      </c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3">
        <f t="shared" si="6"/>
        <v>0</v>
      </c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>
        <v>0</v>
      </c>
      <c r="CW31" s="66">
        <v>0</v>
      </c>
      <c r="CX31" s="66">
        <v>0</v>
      </c>
      <c r="CY31" s="66">
        <v>0</v>
      </c>
      <c r="CZ31" s="66">
        <v>0</v>
      </c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>
        <f>SUM(Table1[[#This Row],[01-03 Apr]:[Mar-26]])</f>
        <v>0</v>
      </c>
    </row>
    <row r="32" spans="1:115" x14ac:dyDescent="0.2">
      <c r="A32" s="28"/>
      <c r="B32" s="29"/>
      <c r="C32" s="29" t="s">
        <v>3497</v>
      </c>
      <c r="D32" s="30" t="s">
        <v>3500</v>
      </c>
      <c r="E32" s="30" t="s">
        <v>3501</v>
      </c>
      <c r="F32" s="30"/>
      <c r="G32" s="31"/>
      <c r="H32" s="30"/>
      <c r="I32" s="30" t="str">
        <f>IF(Table1[[#This Row],[Centre Status]]="Returned","NA",IF(Table1[[#This Row],[SD]]&gt;19000,"Full Payment",IF(Table1[[#This Row],[SD]]&lt;1,"No Payment","Partial Payment")))</f>
        <v>Partial Payment</v>
      </c>
      <c r="J32" s="30" t="s">
        <v>58</v>
      </c>
      <c r="K32" s="32">
        <v>110000</v>
      </c>
      <c r="L32" s="33">
        <f>Q32+R32+U32+Table1[[#This Row],[Farmer Payment]]</f>
        <v>15000</v>
      </c>
      <c r="M32" s="30"/>
      <c r="N32" s="34"/>
      <c r="O32" s="34"/>
      <c r="P32" s="35">
        <f t="shared" si="3"/>
        <v>95000</v>
      </c>
      <c r="Q32" s="33">
        <f>AI32+AV32+CK32+Table1[[#This Row],[FY 25-26]]</f>
        <v>0</v>
      </c>
      <c r="R32" s="36">
        <v>15000</v>
      </c>
      <c r="S32" s="37" t="s">
        <v>3504</v>
      </c>
      <c r="T32" s="38">
        <v>45798</v>
      </c>
      <c r="U32" s="39"/>
      <c r="V32" s="39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1">
        <f t="shared" si="4"/>
        <v>0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>
        <f t="shared" si="5"/>
        <v>0</v>
      </c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3">
        <f t="shared" si="6"/>
        <v>0</v>
      </c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>
        <v>0</v>
      </c>
      <c r="CW32" s="66">
        <v>0</v>
      </c>
      <c r="CX32" s="66">
        <v>0</v>
      </c>
      <c r="CY32" s="66">
        <v>0</v>
      </c>
      <c r="CZ32" s="66">
        <v>0</v>
      </c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>
        <f>SUM(Table1[[#This Row],[01-03 Apr]:[Mar-26]])</f>
        <v>0</v>
      </c>
    </row>
    <row r="33" spans="1:115" hidden="1" x14ac:dyDescent="0.2">
      <c r="A33" s="28"/>
      <c r="B33" s="29"/>
      <c r="C33" s="29" t="s">
        <v>3455</v>
      </c>
      <c r="D33" s="30" t="s">
        <v>3456</v>
      </c>
      <c r="E33" s="30" t="s">
        <v>203</v>
      </c>
      <c r="F33" s="30"/>
      <c r="G33" s="31"/>
      <c r="H33" s="30"/>
      <c r="I33" s="30" t="str">
        <f>IF(Table1[[#This Row],[Centre Status]]="Returned","NA",IF(Table1[[#This Row],[SD]]&gt;19000,"Full Payment",IF(Table1[[#This Row],[SD]]&lt;1,"No Payment","Partial Payment")))</f>
        <v>Full Payment</v>
      </c>
      <c r="J33" s="30" t="s">
        <v>58</v>
      </c>
      <c r="K33" s="32">
        <v>110000</v>
      </c>
      <c r="L33" s="33">
        <f>Q33+R33+U33+Table1[[#This Row],[Farmer Payment]]</f>
        <v>20000</v>
      </c>
      <c r="M33" s="30"/>
      <c r="N33" s="34"/>
      <c r="O33" s="34"/>
      <c r="P33" s="35">
        <f t="shared" si="3"/>
        <v>90000</v>
      </c>
      <c r="Q33" s="33">
        <f>AI33+AV33+CK33+Table1[[#This Row],[FY 25-26]]</f>
        <v>0</v>
      </c>
      <c r="R33" s="36">
        <v>20000</v>
      </c>
      <c r="S33" s="37" t="s">
        <v>3457</v>
      </c>
      <c r="T33" s="38">
        <v>45794</v>
      </c>
      <c r="U33" s="39"/>
      <c r="V33" s="3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1">
        <f t="shared" si="4"/>
        <v>0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>
        <f t="shared" si="5"/>
        <v>0</v>
      </c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3">
        <f t="shared" si="6"/>
        <v>0</v>
      </c>
      <c r="CL33" s="66"/>
      <c r="CM33" s="66"/>
      <c r="CN33" s="66"/>
      <c r="CO33" s="66"/>
      <c r="CP33" s="66"/>
      <c r="CQ33" s="66"/>
      <c r="CR33" s="66">
        <v>0</v>
      </c>
      <c r="CS33" s="66"/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>
        <f>SUM(Table1[[#This Row],[01-03 Apr]:[Mar-26]])</f>
        <v>0</v>
      </c>
    </row>
    <row r="34" spans="1:115" hidden="1" x14ac:dyDescent="0.2">
      <c r="A34" s="28"/>
      <c r="B34" s="29"/>
      <c r="C34" s="29" t="s">
        <v>2887</v>
      </c>
      <c r="D34" s="30" t="s">
        <v>2882</v>
      </c>
      <c r="E34" s="30" t="s">
        <v>217</v>
      </c>
      <c r="F34" s="30"/>
      <c r="G34" s="31"/>
      <c r="H34" s="30">
        <v>386752</v>
      </c>
      <c r="I34" s="30" t="str">
        <f>IF(Table1[[#This Row],[Centre Status]]="Returned","NA",IF(Table1[[#This Row],[SD]]&gt;19000,"Full Payment",IF(Table1[[#This Row],[SD]]&lt;1,"No Payment","Partial Payment")))</f>
        <v>Full Payment</v>
      </c>
      <c r="J34" s="30" t="s">
        <v>58</v>
      </c>
      <c r="K34" s="32">
        <v>110000</v>
      </c>
      <c r="L34" s="33">
        <f>Q34+R34+U34+Table1[[#This Row],[Farmer Payment]]</f>
        <v>29605.071148672352</v>
      </c>
      <c r="M34" s="30"/>
      <c r="N34" s="34"/>
      <c r="O34" s="34"/>
      <c r="P34" s="35">
        <f t="shared" si="3"/>
        <v>80394.928851327655</v>
      </c>
      <c r="Q34" s="33">
        <f>AI34+AV34+CK34+Table1[[#This Row],[FY 25-26]]</f>
        <v>9605.071148672354</v>
      </c>
      <c r="R34" s="36">
        <v>20000</v>
      </c>
      <c r="S34" s="37" t="s">
        <v>2884</v>
      </c>
      <c r="T34" s="38">
        <v>46014</v>
      </c>
      <c r="U34" s="39"/>
      <c r="V34" s="39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1">
        <f t="shared" si="4"/>
        <v>0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>
        <f t="shared" si="5"/>
        <v>0</v>
      </c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>
        <v>0</v>
      </c>
      <c r="BQ34" s="42"/>
      <c r="BR34" s="42">
        <v>0</v>
      </c>
      <c r="BS34" s="42"/>
      <c r="BT34" s="42"/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3539.0862155179525</v>
      </c>
      <c r="CK34" s="43">
        <f t="shared" si="6"/>
        <v>3539.0862155179525</v>
      </c>
      <c r="CL34" s="66"/>
      <c r="CM34" s="66">
        <v>0</v>
      </c>
      <c r="CN34" s="66">
        <v>0</v>
      </c>
      <c r="CO34" s="66">
        <v>0</v>
      </c>
      <c r="CP34" s="66">
        <v>2911.6575187416011</v>
      </c>
      <c r="CQ34" s="66">
        <v>0</v>
      </c>
      <c r="CR34" s="66">
        <v>0</v>
      </c>
      <c r="CS34" s="66">
        <v>0</v>
      </c>
      <c r="CT34" s="66">
        <v>0</v>
      </c>
      <c r="CU34" s="66">
        <v>0</v>
      </c>
      <c r="CV34" s="66">
        <v>3154.3274144128</v>
      </c>
      <c r="CW34" s="66">
        <v>0</v>
      </c>
      <c r="CX34" s="66">
        <v>0</v>
      </c>
      <c r="CY34" s="66">
        <v>0</v>
      </c>
      <c r="CZ34" s="66">
        <v>0</v>
      </c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>
        <f>SUM(Table1[[#This Row],[01-03 Apr]:[Mar-26]])</f>
        <v>6065.984933154401</v>
      </c>
    </row>
    <row r="35" spans="1:115" x14ac:dyDescent="0.2">
      <c r="A35" s="28"/>
      <c r="B35" s="29"/>
      <c r="C35" s="29" t="s">
        <v>2886</v>
      </c>
      <c r="D35" s="30" t="s">
        <v>2883</v>
      </c>
      <c r="E35" s="30" t="s">
        <v>217</v>
      </c>
      <c r="F35" s="30"/>
      <c r="G35" s="31"/>
      <c r="H35" s="30">
        <v>387339</v>
      </c>
      <c r="I35" s="30" t="str">
        <f>IF(Table1[[#This Row],[Centre Status]]="Returned","NA",IF(Table1[[#This Row],[SD]]&gt;19000,"Full Payment",IF(Table1[[#This Row],[SD]]&lt;1,"No Payment","Partial Payment")))</f>
        <v>Partial Payment</v>
      </c>
      <c r="J35" s="30" t="s">
        <v>58</v>
      </c>
      <c r="K35" s="32">
        <v>110000</v>
      </c>
      <c r="L35" s="33">
        <f>Q35+R35+U35+Table1[[#This Row],[Farmer Payment]]</f>
        <v>5000</v>
      </c>
      <c r="M35" s="30"/>
      <c r="N35" s="34"/>
      <c r="O35" s="34"/>
      <c r="P35" s="35">
        <f t="shared" si="3"/>
        <v>105000</v>
      </c>
      <c r="Q35" s="33">
        <f>AI35+AV35+CK35+Table1[[#This Row],[FY 25-26]]</f>
        <v>0</v>
      </c>
      <c r="R35" s="36">
        <v>5000</v>
      </c>
      <c r="S35" s="37" t="s">
        <v>2885</v>
      </c>
      <c r="T35" s="38">
        <v>46009</v>
      </c>
      <c r="U35" s="39"/>
      <c r="V35" s="39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1">
        <f t="shared" si="4"/>
        <v>0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>
        <f t="shared" si="5"/>
        <v>0</v>
      </c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>
        <v>0</v>
      </c>
      <c r="BQ35" s="42"/>
      <c r="BR35" s="42">
        <v>0</v>
      </c>
      <c r="BS35" s="42"/>
      <c r="BT35" s="42"/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3">
        <f t="shared" si="6"/>
        <v>0</v>
      </c>
      <c r="CL35" s="66"/>
      <c r="CM35" s="66">
        <v>0</v>
      </c>
      <c r="CN35" s="66">
        <v>0</v>
      </c>
      <c r="CO35" s="66">
        <v>0</v>
      </c>
      <c r="CP35" s="66">
        <v>0</v>
      </c>
      <c r="CQ35" s="66">
        <v>0</v>
      </c>
      <c r="CR35" s="66">
        <v>0</v>
      </c>
      <c r="CS35" s="66">
        <v>0</v>
      </c>
      <c r="CT35" s="66">
        <v>0</v>
      </c>
      <c r="CU35" s="66">
        <v>0</v>
      </c>
      <c r="CV35" s="66">
        <v>0</v>
      </c>
      <c r="CW35" s="66">
        <v>0</v>
      </c>
      <c r="CX35" s="66">
        <v>0</v>
      </c>
      <c r="CY35" s="66">
        <v>0</v>
      </c>
      <c r="CZ35" s="66">
        <v>0</v>
      </c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>
        <f>SUM(Table1[[#This Row],[01-03 Apr]:[Mar-26]])</f>
        <v>0</v>
      </c>
    </row>
    <row r="36" spans="1:115" x14ac:dyDescent="0.2">
      <c r="A36" s="28"/>
      <c r="B36" s="29"/>
      <c r="C36" s="29" t="s">
        <v>2897</v>
      </c>
      <c r="D36" s="30" t="s">
        <v>2891</v>
      </c>
      <c r="E36" s="30" t="s">
        <v>85</v>
      </c>
      <c r="F36" s="30"/>
      <c r="G36" s="31"/>
      <c r="H36" s="30">
        <v>387358</v>
      </c>
      <c r="I36" s="30" t="str">
        <f>IF(Table1[[#This Row],[Centre Status]]="Returned","NA",IF(Table1[[#This Row],[SD]]&gt;19000,"Full Payment",IF(Table1[[#This Row],[SD]]&lt;1,"No Payment","Partial Payment")))</f>
        <v>Partial Payment</v>
      </c>
      <c r="J36" s="30" t="s">
        <v>58</v>
      </c>
      <c r="K36" s="32">
        <v>110000</v>
      </c>
      <c r="L36" s="33">
        <f>Q36+R36+U36+Table1[[#This Row],[Farmer Payment]]</f>
        <v>15583</v>
      </c>
      <c r="M36" s="30"/>
      <c r="N36" s="34"/>
      <c r="O36" s="34"/>
      <c r="P36" s="35">
        <f t="shared" si="3"/>
        <v>94417</v>
      </c>
      <c r="Q36" s="33">
        <f>AI36+AV36+CK36+Table1[[#This Row],[FY 25-26]]</f>
        <v>5583</v>
      </c>
      <c r="R36" s="36">
        <v>10000</v>
      </c>
      <c r="S36" s="37" t="s">
        <v>2894</v>
      </c>
      <c r="T36" s="38">
        <v>45659</v>
      </c>
      <c r="U36" s="39"/>
      <c r="V36" s="39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1">
        <f t="shared" si="4"/>
        <v>0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>
        <f t="shared" si="5"/>
        <v>0</v>
      </c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>
        <v>0</v>
      </c>
      <c r="BQ36" s="42"/>
      <c r="BR36" s="42">
        <v>0</v>
      </c>
      <c r="BS36" s="42"/>
      <c r="BT36" s="42"/>
      <c r="BU36" s="42"/>
      <c r="BV36" s="42">
        <v>0</v>
      </c>
      <c r="BW36" s="42">
        <v>0</v>
      </c>
      <c r="BX36" s="42">
        <v>0</v>
      </c>
      <c r="BY36" s="42">
        <v>0</v>
      </c>
      <c r="BZ36" s="42">
        <v>0</v>
      </c>
      <c r="CA36" s="42">
        <v>0</v>
      </c>
      <c r="CB36" s="42">
        <v>0</v>
      </c>
      <c r="CC36" s="42">
        <v>0</v>
      </c>
      <c r="CD36" s="42">
        <v>0</v>
      </c>
      <c r="CE36" s="42">
        <v>0</v>
      </c>
      <c r="CF36" s="42">
        <v>0</v>
      </c>
      <c r="CG36" s="42">
        <v>0</v>
      </c>
      <c r="CH36" s="42">
        <v>0</v>
      </c>
      <c r="CI36" s="42">
        <v>0</v>
      </c>
      <c r="CJ36" s="42">
        <v>1861</v>
      </c>
      <c r="CK36" s="43">
        <f t="shared" si="6"/>
        <v>1861</v>
      </c>
      <c r="CL36" s="66"/>
      <c r="CM36" s="66">
        <v>0</v>
      </c>
      <c r="CN36" s="66">
        <v>0</v>
      </c>
      <c r="CO36" s="66">
        <v>0</v>
      </c>
      <c r="CP36" s="66">
        <v>1861</v>
      </c>
      <c r="CQ36" s="66">
        <v>0</v>
      </c>
      <c r="CR36" s="66">
        <v>0</v>
      </c>
      <c r="CS36" s="66">
        <v>0</v>
      </c>
      <c r="CT36" s="66">
        <v>0</v>
      </c>
      <c r="CU36" s="66">
        <v>0</v>
      </c>
      <c r="CV36" s="66">
        <v>1861</v>
      </c>
      <c r="CW36" s="66">
        <v>0</v>
      </c>
      <c r="CX36" s="66">
        <v>0</v>
      </c>
      <c r="CY36" s="66">
        <v>0</v>
      </c>
      <c r="CZ36" s="66">
        <v>0</v>
      </c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>
        <f>SUM(Table1[[#This Row],[01-03 Apr]:[Mar-26]])</f>
        <v>3722</v>
      </c>
    </row>
    <row r="37" spans="1:115" hidden="1" x14ac:dyDescent="0.2">
      <c r="A37" s="28"/>
      <c r="B37" s="29"/>
      <c r="C37" s="29" t="s">
        <v>3271</v>
      </c>
      <c r="D37" s="30" t="s">
        <v>3216</v>
      </c>
      <c r="E37" s="30" t="s">
        <v>217</v>
      </c>
      <c r="F37" s="30"/>
      <c r="G37" s="31"/>
      <c r="H37" s="30"/>
      <c r="I37" s="30" t="str">
        <f>IF(Table1[[#This Row],[Centre Status]]="Returned","NA",IF(Table1[[#This Row],[SD]]&gt;19000,"Full Payment",IF(Table1[[#This Row],[SD]]&lt;1,"No Payment","Partial Payment")))</f>
        <v>Full Payment</v>
      </c>
      <c r="J37" s="30" t="s">
        <v>58</v>
      </c>
      <c r="K37" s="32">
        <v>110000</v>
      </c>
      <c r="L37" s="33">
        <f>Q37+R37+U37+Table1[[#This Row],[Farmer Payment]]</f>
        <v>21861</v>
      </c>
      <c r="M37" s="30"/>
      <c r="N37" s="34"/>
      <c r="O37" s="34"/>
      <c r="P37" s="35">
        <f t="shared" si="3"/>
        <v>88139</v>
      </c>
      <c r="Q37" s="33">
        <f>AI37+AV37+CK37+Table1[[#This Row],[FY 25-26]]</f>
        <v>1861</v>
      </c>
      <c r="R37" s="36">
        <v>20000</v>
      </c>
      <c r="S37" s="37" t="s">
        <v>3224</v>
      </c>
      <c r="T37" s="38">
        <v>45754</v>
      </c>
      <c r="U37" s="39"/>
      <c r="V37" s="39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1">
        <f t="shared" si="4"/>
        <v>0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>
        <f t="shared" si="5"/>
        <v>0</v>
      </c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3">
        <f t="shared" si="6"/>
        <v>0</v>
      </c>
      <c r="CL37" s="66"/>
      <c r="CM37" s="66">
        <v>0</v>
      </c>
      <c r="CN37" s="66">
        <v>0</v>
      </c>
      <c r="CO37" s="66">
        <v>0</v>
      </c>
      <c r="CP37" s="66">
        <v>0</v>
      </c>
      <c r="CQ37" s="66">
        <v>0</v>
      </c>
      <c r="CR37" s="66">
        <v>0</v>
      </c>
      <c r="CS37" s="66">
        <v>0</v>
      </c>
      <c r="CT37" s="66">
        <v>0</v>
      </c>
      <c r="CU37" s="66">
        <v>0</v>
      </c>
      <c r="CV37" s="66">
        <v>1861</v>
      </c>
      <c r="CW37" s="66">
        <v>0</v>
      </c>
      <c r="CX37" s="66">
        <v>0</v>
      </c>
      <c r="CY37" s="66">
        <v>0</v>
      </c>
      <c r="CZ37" s="66">
        <v>0</v>
      </c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>
        <f>SUM(Table1[[#This Row],[01-03 Apr]:[Mar-26]])</f>
        <v>1861</v>
      </c>
    </row>
    <row r="38" spans="1:115" hidden="1" x14ac:dyDescent="0.2">
      <c r="A38" s="28"/>
      <c r="B38" s="29"/>
      <c r="C38" s="29" t="s">
        <v>3316</v>
      </c>
      <c r="D38" s="30" t="s">
        <v>3322</v>
      </c>
      <c r="E38" s="30" t="s">
        <v>2951</v>
      </c>
      <c r="F38" s="30"/>
      <c r="G38" s="31"/>
      <c r="H38" s="30">
        <v>23120074</v>
      </c>
      <c r="I38" s="30" t="str">
        <f>IF(Table1[[#This Row],[Centre Status]]="Returned","NA",IF(Table1[[#This Row],[SD]]&gt;19000,"Full Payment",IF(Table1[[#This Row],[SD]]&lt;1,"No Payment","Partial Payment")))</f>
        <v>Full Payment</v>
      </c>
      <c r="J38" s="30" t="s">
        <v>58</v>
      </c>
      <c r="K38" s="32">
        <v>110000</v>
      </c>
      <c r="L38" s="33">
        <f>Q38+R38+U38+Table1[[#This Row],[Farmer Payment]]</f>
        <v>21861</v>
      </c>
      <c r="M38" s="30"/>
      <c r="N38" s="34"/>
      <c r="O38" s="34"/>
      <c r="P38" s="35">
        <f t="shared" si="3"/>
        <v>88139</v>
      </c>
      <c r="Q38" s="33">
        <f>AI38+AV38+CK38+Table1[[#This Row],[FY 25-26]]</f>
        <v>1861</v>
      </c>
      <c r="R38" s="36">
        <v>20000</v>
      </c>
      <c r="S38" s="37" t="s">
        <v>3489</v>
      </c>
      <c r="T38" s="38">
        <v>45716</v>
      </c>
      <c r="U38" s="39"/>
      <c r="V38" s="39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1">
        <f t="shared" si="4"/>
        <v>0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>
        <f t="shared" si="5"/>
        <v>0</v>
      </c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3">
        <f t="shared" si="6"/>
        <v>0</v>
      </c>
      <c r="CL38" s="66"/>
      <c r="CM38" s="66">
        <v>0</v>
      </c>
      <c r="CN38" s="66"/>
      <c r="CO38" s="66"/>
      <c r="CP38" s="66">
        <v>0</v>
      </c>
      <c r="CQ38" s="66">
        <v>0</v>
      </c>
      <c r="CR38" s="66">
        <v>0</v>
      </c>
      <c r="CS38" s="66">
        <v>0</v>
      </c>
      <c r="CT38" s="66">
        <v>0</v>
      </c>
      <c r="CU38" s="66">
        <v>0</v>
      </c>
      <c r="CV38" s="66">
        <v>1861</v>
      </c>
      <c r="CW38" s="66">
        <v>0</v>
      </c>
      <c r="CX38" s="66">
        <v>0</v>
      </c>
      <c r="CY38" s="66">
        <v>0</v>
      </c>
      <c r="CZ38" s="66">
        <v>0</v>
      </c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>
        <f>SUM(Table1[[#This Row],[01-03 Apr]:[Mar-26]])</f>
        <v>1861</v>
      </c>
    </row>
    <row r="39" spans="1:115" hidden="1" x14ac:dyDescent="0.2">
      <c r="A39" s="28"/>
      <c r="B39" s="29"/>
      <c r="C39" s="29" t="s">
        <v>3317</v>
      </c>
      <c r="D39" s="30" t="s">
        <v>3323</v>
      </c>
      <c r="E39" s="30" t="s">
        <v>2951</v>
      </c>
      <c r="F39" s="30"/>
      <c r="G39" s="31"/>
      <c r="H39" s="30">
        <v>23120088</v>
      </c>
      <c r="I39" s="30" t="str">
        <f>IF(Table1[[#This Row],[Centre Status]]="Returned","NA",IF(Table1[[#This Row],[SD]]&gt;19000,"Full Payment",IF(Table1[[#This Row],[SD]]&lt;1,"No Payment","Partial Payment")))</f>
        <v>Full Payment</v>
      </c>
      <c r="J39" s="30" t="s">
        <v>58</v>
      </c>
      <c r="K39" s="32">
        <v>110000</v>
      </c>
      <c r="L39" s="33">
        <f>Q39+R39+U39+Table1[[#This Row],[Farmer Payment]]</f>
        <v>21861</v>
      </c>
      <c r="M39" s="30"/>
      <c r="N39" s="34"/>
      <c r="O39" s="34"/>
      <c r="P39" s="35">
        <f t="shared" si="3"/>
        <v>88139</v>
      </c>
      <c r="Q39" s="33">
        <f>AI39+AV39+CK39+Table1[[#This Row],[FY 25-26]]</f>
        <v>1861</v>
      </c>
      <c r="R39" s="36">
        <v>20000</v>
      </c>
      <c r="S39" s="37" t="s">
        <v>3490</v>
      </c>
      <c r="T39" s="38">
        <v>45740</v>
      </c>
      <c r="U39" s="39"/>
      <c r="V39" s="39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1">
        <f t="shared" si="4"/>
        <v>0</v>
      </c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>
        <f t="shared" si="5"/>
        <v>0</v>
      </c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3">
        <f t="shared" si="6"/>
        <v>0</v>
      </c>
      <c r="CL39" s="66"/>
      <c r="CM39" s="66">
        <v>0</v>
      </c>
      <c r="CN39" s="66"/>
      <c r="CO39" s="66"/>
      <c r="CP39" s="66">
        <v>0</v>
      </c>
      <c r="CQ39" s="66">
        <v>0</v>
      </c>
      <c r="CR39" s="66">
        <v>0</v>
      </c>
      <c r="CS39" s="66">
        <v>0</v>
      </c>
      <c r="CT39" s="66">
        <v>0</v>
      </c>
      <c r="CU39" s="66">
        <v>0</v>
      </c>
      <c r="CV39" s="66">
        <v>1861</v>
      </c>
      <c r="CW39" s="66">
        <v>0</v>
      </c>
      <c r="CX39" s="66">
        <v>0</v>
      </c>
      <c r="CY39" s="66">
        <v>0</v>
      </c>
      <c r="CZ39" s="66">
        <v>0</v>
      </c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>
        <f>SUM(Table1[[#This Row],[01-03 Apr]:[Mar-26]])</f>
        <v>1861</v>
      </c>
    </row>
    <row r="40" spans="1:115" hidden="1" x14ac:dyDescent="0.2">
      <c r="A40" s="28"/>
      <c r="B40" s="29"/>
      <c r="C40" s="29" t="s">
        <v>3318</v>
      </c>
      <c r="D40" s="30" t="s">
        <v>3324</v>
      </c>
      <c r="E40" s="30" t="s">
        <v>2951</v>
      </c>
      <c r="F40" s="30"/>
      <c r="G40" s="31"/>
      <c r="H40" s="30">
        <v>24010126</v>
      </c>
      <c r="I40" s="30" t="str">
        <f>IF(Table1[[#This Row],[Centre Status]]="Returned","NA",IF(Table1[[#This Row],[SD]]&gt;19000,"Full Payment",IF(Table1[[#This Row],[SD]]&lt;1,"No Payment","Partial Payment")))</f>
        <v>NA</v>
      </c>
      <c r="J40" s="30" t="s">
        <v>1903</v>
      </c>
      <c r="K40" s="32">
        <v>110000</v>
      </c>
      <c r="L40" s="33">
        <f>Q40+R40+U40+Table1[[#This Row],[Farmer Payment]]</f>
        <v>0</v>
      </c>
      <c r="M40" s="30">
        <v>20000</v>
      </c>
      <c r="N40" s="34">
        <v>45790</v>
      </c>
      <c r="O40" s="34"/>
      <c r="P40" s="35">
        <f t="shared" si="3"/>
        <v>130000</v>
      </c>
      <c r="Q40" s="33">
        <f>AI40+AV40+CK40+Table1[[#This Row],[FY 25-26]]</f>
        <v>0</v>
      </c>
      <c r="R40" s="36"/>
      <c r="S40" s="37"/>
      <c r="T40" s="38"/>
      <c r="U40" s="39"/>
      <c r="V40" s="39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1">
        <f t="shared" si="4"/>
        <v>0</v>
      </c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>
        <f t="shared" si="5"/>
        <v>0</v>
      </c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3">
        <f t="shared" si="6"/>
        <v>0</v>
      </c>
      <c r="CL40" s="66"/>
      <c r="CM40" s="66">
        <v>0</v>
      </c>
      <c r="CN40" s="66"/>
      <c r="CO40" s="66"/>
      <c r="CP40" s="66">
        <v>0</v>
      </c>
      <c r="CQ40" s="66">
        <v>0</v>
      </c>
      <c r="CR40" s="66">
        <v>0</v>
      </c>
      <c r="CS40" s="66">
        <v>0</v>
      </c>
      <c r="CT40" s="66">
        <v>0</v>
      </c>
      <c r="CU40" s="66">
        <v>0</v>
      </c>
      <c r="CV40" s="66">
        <v>0</v>
      </c>
      <c r="CW40" s="66">
        <v>0</v>
      </c>
      <c r="CX40" s="66">
        <v>0</v>
      </c>
      <c r="CY40" s="66">
        <v>0</v>
      </c>
      <c r="CZ40" s="66">
        <v>0</v>
      </c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>
        <f>SUM(Table1[[#This Row],[01-03 Apr]:[Mar-26]])</f>
        <v>0</v>
      </c>
    </row>
    <row r="41" spans="1:115" hidden="1" x14ac:dyDescent="0.2">
      <c r="A41" s="28"/>
      <c r="B41" s="29"/>
      <c r="C41" s="29"/>
      <c r="D41" s="30" t="s">
        <v>3425</v>
      </c>
      <c r="E41" s="30"/>
      <c r="F41" s="30"/>
      <c r="G41" s="31"/>
      <c r="H41" s="30"/>
      <c r="I41" s="30" t="str">
        <f>IF(Table1[[#This Row],[Centre Status]]="Returned","NA",IF(Table1[[#This Row],[SD]]&gt;19000,"Full Payment",IF(Table1[[#This Row],[SD]]&lt;1,"No Payment","Partial Payment")))</f>
        <v>NA</v>
      </c>
      <c r="J41" s="30" t="s">
        <v>1903</v>
      </c>
      <c r="K41" s="32">
        <v>110000</v>
      </c>
      <c r="L41" s="33">
        <f>Q41+R41+U41+Table1[[#This Row],[Farmer Payment]]</f>
        <v>0</v>
      </c>
      <c r="M41" s="30">
        <v>20000</v>
      </c>
      <c r="N41" s="34">
        <v>45790</v>
      </c>
      <c r="O41" s="34"/>
      <c r="P41" s="35">
        <f t="shared" si="3"/>
        <v>130000</v>
      </c>
      <c r="Q41" s="33">
        <f>AI41+AV41+CK41+Table1[[#This Row],[FY 25-26]]</f>
        <v>0</v>
      </c>
      <c r="R41" s="36"/>
      <c r="S41" s="37"/>
      <c r="T41" s="38"/>
      <c r="U41" s="39"/>
      <c r="V41" s="39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1">
        <f t="shared" si="4"/>
        <v>0</v>
      </c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>
        <f t="shared" si="5"/>
        <v>0</v>
      </c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3">
        <f t="shared" si="6"/>
        <v>0</v>
      </c>
      <c r="CL41" s="66"/>
      <c r="CM41" s="66"/>
      <c r="CN41" s="66"/>
      <c r="CO41" s="66"/>
      <c r="CP41" s="66">
        <v>0</v>
      </c>
      <c r="CQ41" s="66"/>
      <c r="CR41" s="66">
        <v>0</v>
      </c>
      <c r="CS41" s="66">
        <v>0</v>
      </c>
      <c r="CT41" s="66">
        <v>0</v>
      </c>
      <c r="CU41" s="66">
        <v>0</v>
      </c>
      <c r="CV41" s="66">
        <v>0</v>
      </c>
      <c r="CW41" s="66">
        <v>0</v>
      </c>
      <c r="CX41" s="66">
        <v>0</v>
      </c>
      <c r="CY41" s="66">
        <v>0</v>
      </c>
      <c r="CZ41" s="66">
        <v>0</v>
      </c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>
        <f>SUM(Table1[[#This Row],[01-03 Apr]:[Mar-26]])</f>
        <v>0</v>
      </c>
    </row>
    <row r="42" spans="1:115" hidden="1" x14ac:dyDescent="0.2">
      <c r="A42" s="28"/>
      <c r="B42" s="29"/>
      <c r="C42" s="29" t="s">
        <v>3319</v>
      </c>
      <c r="D42" s="30" t="s">
        <v>3325</v>
      </c>
      <c r="E42" s="30" t="s">
        <v>2951</v>
      </c>
      <c r="F42" s="30"/>
      <c r="G42" s="31"/>
      <c r="H42" s="30">
        <v>24020152</v>
      </c>
      <c r="I42" s="30" t="str">
        <f>IF(Table1[[#This Row],[Centre Status]]="Returned","NA",IF(Table1[[#This Row],[SD]]&gt;19000,"Full Payment",IF(Table1[[#This Row],[SD]]&lt;1,"No Payment","Partial Payment")))</f>
        <v>Full Payment</v>
      </c>
      <c r="J42" s="30" t="s">
        <v>58</v>
      </c>
      <c r="K42" s="32">
        <v>110000</v>
      </c>
      <c r="L42" s="33">
        <f>Q42+R42+U42+Table1[[#This Row],[Farmer Payment]]</f>
        <v>21395</v>
      </c>
      <c r="M42" s="30"/>
      <c r="N42" s="34"/>
      <c r="O42" s="34"/>
      <c r="P42" s="35">
        <f t="shared" si="3"/>
        <v>88605</v>
      </c>
      <c r="Q42" s="33">
        <f>AI42+AV42+CK42+Table1[[#This Row],[FY 25-26]]</f>
        <v>1395</v>
      </c>
      <c r="R42" s="36">
        <v>20000</v>
      </c>
      <c r="S42" s="37" t="s">
        <v>3493</v>
      </c>
      <c r="T42" s="38">
        <v>45739</v>
      </c>
      <c r="U42" s="39"/>
      <c r="V42" s="39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1">
        <f t="shared" si="4"/>
        <v>0</v>
      </c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>
        <f t="shared" si="5"/>
        <v>0</v>
      </c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3">
        <f t="shared" si="6"/>
        <v>0</v>
      </c>
      <c r="CL42" s="66"/>
      <c r="CM42" s="66">
        <v>0</v>
      </c>
      <c r="CN42" s="66"/>
      <c r="CO42" s="66"/>
      <c r="CP42" s="66">
        <v>0</v>
      </c>
      <c r="CQ42" s="66">
        <v>0</v>
      </c>
      <c r="CR42" s="66">
        <v>0</v>
      </c>
      <c r="CS42" s="66">
        <v>0</v>
      </c>
      <c r="CT42" s="66">
        <v>0</v>
      </c>
      <c r="CU42" s="66">
        <v>0</v>
      </c>
      <c r="CV42" s="66">
        <v>1395</v>
      </c>
      <c r="CW42" s="66">
        <v>0</v>
      </c>
      <c r="CX42" s="66">
        <v>0</v>
      </c>
      <c r="CY42" s="66">
        <v>0</v>
      </c>
      <c r="CZ42" s="66">
        <v>0</v>
      </c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>
        <f>SUM(Table1[[#This Row],[01-03 Apr]:[Mar-26]])</f>
        <v>1395</v>
      </c>
    </row>
    <row r="43" spans="1:115" hidden="1" x14ac:dyDescent="0.2">
      <c r="A43" s="28"/>
      <c r="B43" s="29"/>
      <c r="C43" s="29" t="s">
        <v>3320</v>
      </c>
      <c r="D43" s="30" t="s">
        <v>3326</v>
      </c>
      <c r="E43" s="30" t="s">
        <v>2951</v>
      </c>
      <c r="F43" s="30"/>
      <c r="G43" s="31"/>
      <c r="H43" s="30">
        <v>24020154</v>
      </c>
      <c r="I43" s="30" t="str">
        <f>IF(Table1[[#This Row],[Centre Status]]="Returned","NA",IF(Table1[[#This Row],[SD]]&gt;19000,"Full Payment",IF(Table1[[#This Row],[SD]]&lt;1,"No Payment","Partial Payment")))</f>
        <v>Full Payment</v>
      </c>
      <c r="J43" s="30" t="s">
        <v>58</v>
      </c>
      <c r="K43" s="32">
        <v>110000</v>
      </c>
      <c r="L43" s="33">
        <f>Q43+R43+U43+Table1[[#This Row],[Farmer Payment]]</f>
        <v>21861</v>
      </c>
      <c r="M43" s="30"/>
      <c r="N43" s="34"/>
      <c r="O43" s="34"/>
      <c r="P43" s="35">
        <f t="shared" si="3"/>
        <v>88139</v>
      </c>
      <c r="Q43" s="33">
        <f>AI43+AV43+CK43+Table1[[#This Row],[FY 25-26]]</f>
        <v>1861</v>
      </c>
      <c r="R43" s="36">
        <v>20000</v>
      </c>
      <c r="S43" s="37" t="s">
        <v>3491</v>
      </c>
      <c r="T43" s="38">
        <v>45746</v>
      </c>
      <c r="U43" s="39"/>
      <c r="V43" s="39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1">
        <f t="shared" si="4"/>
        <v>0</v>
      </c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>
        <f t="shared" si="5"/>
        <v>0</v>
      </c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3">
        <f t="shared" si="6"/>
        <v>0</v>
      </c>
      <c r="CL43" s="66"/>
      <c r="CM43" s="66">
        <v>0</v>
      </c>
      <c r="CN43" s="66"/>
      <c r="CO43" s="66"/>
      <c r="CP43" s="66">
        <v>0</v>
      </c>
      <c r="CQ43" s="66">
        <v>0</v>
      </c>
      <c r="CR43" s="66">
        <v>0</v>
      </c>
      <c r="CS43" s="66">
        <v>0</v>
      </c>
      <c r="CT43" s="66">
        <v>0</v>
      </c>
      <c r="CU43" s="66">
        <v>0</v>
      </c>
      <c r="CV43" s="66">
        <v>1861</v>
      </c>
      <c r="CW43" s="66">
        <v>0</v>
      </c>
      <c r="CX43" s="66">
        <v>0</v>
      </c>
      <c r="CY43" s="66">
        <v>0</v>
      </c>
      <c r="CZ43" s="66">
        <v>0</v>
      </c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>
        <f>SUM(Table1[[#This Row],[01-03 Apr]:[Mar-26]])</f>
        <v>1861</v>
      </c>
    </row>
    <row r="44" spans="1:115" x14ac:dyDescent="0.2">
      <c r="A44" s="28"/>
      <c r="B44" s="29"/>
      <c r="C44" s="29" t="s">
        <v>3334</v>
      </c>
      <c r="D44" s="30" t="s">
        <v>3335</v>
      </c>
      <c r="E44" s="30" t="s">
        <v>3270</v>
      </c>
      <c r="F44" s="30"/>
      <c r="G44" s="31"/>
      <c r="H44" s="30"/>
      <c r="I44" s="30" t="str">
        <f>IF(Table1[[#This Row],[Centre Status]]="Returned","NA",IF(Table1[[#This Row],[SD]]&gt;19000,"Full Payment",IF(Table1[[#This Row],[SD]]&lt;1,"No Payment","Partial Payment")))</f>
        <v>No Payment</v>
      </c>
      <c r="J44" s="30" t="s">
        <v>58</v>
      </c>
      <c r="K44" s="32">
        <v>110000</v>
      </c>
      <c r="L44" s="33">
        <f>Q44+R44+U44+Table1[[#This Row],[Farmer Payment]]</f>
        <v>1861</v>
      </c>
      <c r="M44" s="30"/>
      <c r="N44" s="34"/>
      <c r="O44" s="34"/>
      <c r="P44" s="35">
        <f t="shared" si="3"/>
        <v>108139</v>
      </c>
      <c r="Q44" s="33">
        <f>AI44+AV44+CK44+Table1[[#This Row],[FY 25-26]]</f>
        <v>1861</v>
      </c>
      <c r="R44" s="36"/>
      <c r="S44" s="37"/>
      <c r="T44" s="38"/>
      <c r="U44" s="39"/>
      <c r="V44" s="39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1">
        <f t="shared" si="4"/>
        <v>0</v>
      </c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>
        <f t="shared" si="5"/>
        <v>0</v>
      </c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3">
        <f t="shared" si="6"/>
        <v>0</v>
      </c>
      <c r="CL44" s="66"/>
      <c r="CM44" s="66">
        <v>0</v>
      </c>
      <c r="CN44" s="66"/>
      <c r="CO44" s="66"/>
      <c r="CP44" s="66">
        <v>0</v>
      </c>
      <c r="CQ44" s="66">
        <v>0</v>
      </c>
      <c r="CR44" s="66">
        <v>0</v>
      </c>
      <c r="CS44" s="66">
        <v>0</v>
      </c>
      <c r="CT44" s="66">
        <v>0</v>
      </c>
      <c r="CU44" s="66">
        <v>0</v>
      </c>
      <c r="CV44" s="66">
        <v>1861</v>
      </c>
      <c r="CW44" s="66">
        <v>0</v>
      </c>
      <c r="CX44" s="66">
        <v>0</v>
      </c>
      <c r="CY44" s="66">
        <v>0</v>
      </c>
      <c r="CZ44" s="66">
        <v>0</v>
      </c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>
        <f>SUM(Table1[[#This Row],[01-03 Apr]:[Mar-26]])</f>
        <v>1861</v>
      </c>
    </row>
    <row r="45" spans="1:115" x14ac:dyDescent="0.2">
      <c r="A45" s="28"/>
      <c r="B45" s="29"/>
      <c r="C45" s="29" t="s">
        <v>3419</v>
      </c>
      <c r="D45" s="30" t="s">
        <v>3415</v>
      </c>
      <c r="E45" s="30" t="s">
        <v>3086</v>
      </c>
      <c r="F45" s="30"/>
      <c r="G45" s="31"/>
      <c r="H45" s="30"/>
      <c r="I45" s="30" t="str">
        <f>IF(Table1[[#This Row],[Centre Status]]="Returned","NA",IF(Table1[[#This Row],[SD]]&gt;19000,"Full Payment",IF(Table1[[#This Row],[SD]]&lt;1,"No Payment","Partial Payment")))</f>
        <v>No Payment</v>
      </c>
      <c r="J45" s="30" t="s">
        <v>58</v>
      </c>
      <c r="K45" s="32">
        <v>110000</v>
      </c>
      <c r="L45" s="33">
        <f>Q45+R45+U45+Table1[[#This Row],[Farmer Payment]]</f>
        <v>282</v>
      </c>
      <c r="M45" s="30"/>
      <c r="N45" s="34"/>
      <c r="O45" s="34"/>
      <c r="P45" s="35">
        <f t="shared" ref="P45:P51" si="7">K45-L45+M45</f>
        <v>109718</v>
      </c>
      <c r="Q45" s="33">
        <f>AI45+AV45+CK45+Table1[[#This Row],[FY 25-26]]</f>
        <v>282</v>
      </c>
      <c r="R45" s="36"/>
      <c r="S45" s="37"/>
      <c r="T45" s="38"/>
      <c r="U45" s="39"/>
      <c r="V45" s="39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1">
        <f t="shared" ref="AI45:AI51" si="8">SUM(W45:AH45)</f>
        <v>0</v>
      </c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>
        <f t="shared" ref="AV45:AV51" si="9">SUM(AJ45:AU45)</f>
        <v>0</v>
      </c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3">
        <f t="shared" ref="CK45:CK51" si="10">SUM(AW45:CJ45)</f>
        <v>0</v>
      </c>
      <c r="CL45" s="66"/>
      <c r="CM45" s="66"/>
      <c r="CN45" s="66"/>
      <c r="CO45" s="66"/>
      <c r="CP45" s="66">
        <v>0</v>
      </c>
      <c r="CQ45" s="66"/>
      <c r="CR45" s="66">
        <v>0</v>
      </c>
      <c r="CS45" s="66">
        <v>0</v>
      </c>
      <c r="CT45" s="66">
        <v>0</v>
      </c>
      <c r="CU45" s="66">
        <v>0</v>
      </c>
      <c r="CV45" s="66">
        <v>282</v>
      </c>
      <c r="CW45" s="66">
        <v>0</v>
      </c>
      <c r="CX45" s="66">
        <v>0</v>
      </c>
      <c r="CY45" s="66">
        <v>0</v>
      </c>
      <c r="CZ45" s="66">
        <v>0</v>
      </c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>
        <f>SUM(Table1[[#This Row],[01-03 Apr]:[Mar-26]])</f>
        <v>282</v>
      </c>
    </row>
    <row r="46" spans="1:115" x14ac:dyDescent="0.2">
      <c r="A46" s="28"/>
      <c r="B46" s="29"/>
      <c r="C46" s="29" t="s">
        <v>3420</v>
      </c>
      <c r="D46" s="30" t="s">
        <v>3416</v>
      </c>
      <c r="E46" s="30" t="s">
        <v>3270</v>
      </c>
      <c r="F46" s="30"/>
      <c r="G46" s="31"/>
      <c r="H46" s="30"/>
      <c r="I46" s="30" t="str">
        <f>IF(Table1[[#This Row],[Centre Status]]="Returned","NA",IF(Table1[[#This Row],[SD]]&gt;19000,"Full Payment",IF(Table1[[#This Row],[SD]]&lt;1,"No Payment","Partial Payment")))</f>
        <v>No Payment</v>
      </c>
      <c r="J46" s="30" t="s">
        <v>58</v>
      </c>
      <c r="K46" s="32">
        <v>110000</v>
      </c>
      <c r="L46" s="33">
        <f>Q46+R46+U46+Table1[[#This Row],[Farmer Payment]]</f>
        <v>0</v>
      </c>
      <c r="M46" s="30"/>
      <c r="N46" s="34"/>
      <c r="O46" s="34"/>
      <c r="P46" s="35">
        <f t="shared" si="7"/>
        <v>110000</v>
      </c>
      <c r="Q46" s="33">
        <f>AI46+AV46+CK46+Table1[[#This Row],[FY 25-26]]</f>
        <v>0</v>
      </c>
      <c r="R46" s="36"/>
      <c r="S46" s="37"/>
      <c r="T46" s="38"/>
      <c r="U46" s="39"/>
      <c r="V46" s="39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1">
        <f t="shared" si="8"/>
        <v>0</v>
      </c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>
        <f t="shared" si="9"/>
        <v>0</v>
      </c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3">
        <f t="shared" si="10"/>
        <v>0</v>
      </c>
      <c r="CL46" s="66"/>
      <c r="CM46" s="66"/>
      <c r="CN46" s="66"/>
      <c r="CO46" s="66"/>
      <c r="CP46" s="66">
        <v>0</v>
      </c>
      <c r="CQ46" s="66"/>
      <c r="CR46" s="66">
        <v>0</v>
      </c>
      <c r="CS46" s="66">
        <v>0</v>
      </c>
      <c r="CT46" s="66">
        <v>0</v>
      </c>
      <c r="CU46" s="66">
        <v>0</v>
      </c>
      <c r="CV46" s="66">
        <v>0</v>
      </c>
      <c r="CW46" s="66">
        <v>0</v>
      </c>
      <c r="CX46" s="66">
        <v>0</v>
      </c>
      <c r="CY46" s="66">
        <v>0</v>
      </c>
      <c r="CZ46" s="66">
        <v>0</v>
      </c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>
        <f>SUM(Table1[[#This Row],[01-03 Apr]:[Mar-26]])</f>
        <v>0</v>
      </c>
    </row>
    <row r="47" spans="1:115" x14ac:dyDescent="0.2">
      <c r="A47" s="28"/>
      <c r="B47" s="29"/>
      <c r="C47" s="29" t="s">
        <v>3461</v>
      </c>
      <c r="D47" s="30" t="s">
        <v>3458</v>
      </c>
      <c r="E47" s="30" t="s">
        <v>3270</v>
      </c>
      <c r="F47" s="30"/>
      <c r="G47" s="31"/>
      <c r="H47" s="30"/>
      <c r="I47" s="30" t="str">
        <f>IF(Table1[[#This Row],[Centre Status]]="Returned","NA",IF(Table1[[#This Row],[SD]]&gt;19000,"Full Payment",IF(Table1[[#This Row],[SD]]&lt;1,"No Payment","Partial Payment")))</f>
        <v>Partial Payment</v>
      </c>
      <c r="J47" s="30" t="s">
        <v>58</v>
      </c>
      <c r="K47" s="32">
        <v>110000</v>
      </c>
      <c r="L47" s="33">
        <f>Q47+R47+U47+Table1[[#This Row],[Farmer Payment]]</f>
        <v>10000</v>
      </c>
      <c r="M47" s="30"/>
      <c r="N47" s="34"/>
      <c r="O47" s="34"/>
      <c r="P47" s="35">
        <f>K47-L47+M47</f>
        <v>100000</v>
      </c>
      <c r="Q47" s="33">
        <f>AI47+AV47+CK47+Table1[[#This Row],[FY 25-26]]</f>
        <v>0</v>
      </c>
      <c r="R47" s="36">
        <v>10000</v>
      </c>
      <c r="S47" s="37" t="s">
        <v>3464</v>
      </c>
      <c r="T47" s="38">
        <v>45792</v>
      </c>
      <c r="U47" s="39"/>
      <c r="V47" s="39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1">
        <f>SUM(W47:AH47)</f>
        <v>0</v>
      </c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>
        <f>SUM(AJ47:AU47)</f>
        <v>0</v>
      </c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3">
        <f>SUM(AW47:CJ47)</f>
        <v>0</v>
      </c>
      <c r="CL47" s="66"/>
      <c r="CM47" s="66"/>
      <c r="CN47" s="66"/>
      <c r="CO47" s="66"/>
      <c r="CP47" s="66"/>
      <c r="CQ47" s="66"/>
      <c r="CR47" s="66">
        <v>0</v>
      </c>
      <c r="CS47" s="66"/>
      <c r="CT47" s="66">
        <v>0</v>
      </c>
      <c r="CU47" s="66">
        <v>0</v>
      </c>
      <c r="CV47" s="66">
        <v>0</v>
      </c>
      <c r="CW47" s="66">
        <v>0</v>
      </c>
      <c r="CX47" s="66">
        <v>0</v>
      </c>
      <c r="CY47" s="66">
        <v>0</v>
      </c>
      <c r="CZ47" s="66">
        <v>0</v>
      </c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>
        <f>SUM(Table1[[#This Row],[01-03 Apr]:[Mar-26]])</f>
        <v>0</v>
      </c>
    </row>
    <row r="48" spans="1:115" hidden="1" x14ac:dyDescent="0.2">
      <c r="A48" s="28"/>
      <c r="B48" s="29"/>
      <c r="C48" s="29" t="s">
        <v>3462</v>
      </c>
      <c r="D48" s="30" t="s">
        <v>3459</v>
      </c>
      <c r="E48" s="30" t="s">
        <v>2951</v>
      </c>
      <c r="F48" s="30"/>
      <c r="G48" s="31"/>
      <c r="H48" s="30"/>
      <c r="I48" s="30" t="str">
        <f>IF(Table1[[#This Row],[Centre Status]]="Returned","NA",IF(Table1[[#This Row],[SD]]&gt;19000,"Full Payment",IF(Table1[[#This Row],[SD]]&lt;1,"No Payment","Partial Payment")))</f>
        <v>Full Payment</v>
      </c>
      <c r="J48" s="30" t="s">
        <v>58</v>
      </c>
      <c r="K48" s="32">
        <v>110000</v>
      </c>
      <c r="L48" s="33">
        <f>Q48+R48+U48+Table1[[#This Row],[Farmer Payment]]</f>
        <v>20000</v>
      </c>
      <c r="M48" s="30"/>
      <c r="N48" s="34"/>
      <c r="O48" s="34"/>
      <c r="P48" s="35">
        <f>K48-L48+M48</f>
        <v>90000</v>
      </c>
      <c r="Q48" s="33">
        <f>AI48+AV48+CK48+Table1[[#This Row],[FY 25-26]]</f>
        <v>0</v>
      </c>
      <c r="R48" s="36">
        <v>20000</v>
      </c>
      <c r="S48" s="37" t="s">
        <v>3465</v>
      </c>
      <c r="T48" s="38">
        <v>45800</v>
      </c>
      <c r="U48" s="39"/>
      <c r="V48" s="39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1">
        <f>SUM(W48:AH48)</f>
        <v>0</v>
      </c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>
        <f>SUM(AJ48:AU48)</f>
        <v>0</v>
      </c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3">
        <f>SUM(AW48:CJ48)</f>
        <v>0</v>
      </c>
      <c r="CL48" s="66"/>
      <c r="CM48" s="66"/>
      <c r="CN48" s="66"/>
      <c r="CO48" s="66"/>
      <c r="CP48" s="66"/>
      <c r="CQ48" s="66"/>
      <c r="CR48" s="66">
        <v>0</v>
      </c>
      <c r="CS48" s="66"/>
      <c r="CT48" s="66">
        <v>0</v>
      </c>
      <c r="CU48" s="66">
        <v>0</v>
      </c>
      <c r="CV48" s="66">
        <v>0</v>
      </c>
      <c r="CW48" s="66">
        <v>0</v>
      </c>
      <c r="CX48" s="66">
        <v>0</v>
      </c>
      <c r="CY48" s="66">
        <v>0</v>
      </c>
      <c r="CZ48" s="66">
        <v>0</v>
      </c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>
        <f>SUM(Table1[[#This Row],[01-03 Apr]:[Mar-26]])</f>
        <v>0</v>
      </c>
    </row>
    <row r="49" spans="1:115" hidden="1" x14ac:dyDescent="0.2">
      <c r="A49" s="28"/>
      <c r="B49" s="29"/>
      <c r="C49" s="29" t="s">
        <v>3463</v>
      </c>
      <c r="D49" s="30" t="s">
        <v>3460</v>
      </c>
      <c r="E49" s="30" t="s">
        <v>2951</v>
      </c>
      <c r="F49" s="30"/>
      <c r="G49" s="31"/>
      <c r="H49" s="30"/>
      <c r="I49" s="30" t="str">
        <f>IF(Table1[[#This Row],[Centre Status]]="Returned","NA",IF(Table1[[#This Row],[SD]]&gt;19000,"Full Payment",IF(Table1[[#This Row],[SD]]&lt;1,"No Payment","Partial Payment")))</f>
        <v>Full Payment</v>
      </c>
      <c r="J49" s="30" t="s">
        <v>58</v>
      </c>
      <c r="K49" s="32">
        <v>110000</v>
      </c>
      <c r="L49" s="33">
        <f>Q49+R49+U49+Table1[[#This Row],[Farmer Payment]]</f>
        <v>20000</v>
      </c>
      <c r="M49" s="30"/>
      <c r="N49" s="34"/>
      <c r="O49" s="34"/>
      <c r="P49" s="35">
        <f>K49-L49+M49</f>
        <v>90000</v>
      </c>
      <c r="Q49" s="33">
        <f>AI49+AV49+CK49+Table1[[#This Row],[FY 25-26]]</f>
        <v>0</v>
      </c>
      <c r="R49" s="36">
        <v>20000</v>
      </c>
      <c r="S49" s="37" t="s">
        <v>3466</v>
      </c>
      <c r="T49" s="38">
        <v>45807</v>
      </c>
      <c r="U49" s="39"/>
      <c r="V49" s="39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1">
        <f>SUM(W49:AH49)</f>
        <v>0</v>
      </c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>
        <f>SUM(AJ49:AU49)</f>
        <v>0</v>
      </c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3">
        <f>SUM(AW49:CJ49)</f>
        <v>0</v>
      </c>
      <c r="CL49" s="66"/>
      <c r="CM49" s="66"/>
      <c r="CN49" s="66"/>
      <c r="CO49" s="66"/>
      <c r="CP49" s="66"/>
      <c r="CQ49" s="66"/>
      <c r="CR49" s="66">
        <v>0</v>
      </c>
      <c r="CS49" s="66"/>
      <c r="CT49" s="66">
        <v>0</v>
      </c>
      <c r="CU49" s="66">
        <v>0</v>
      </c>
      <c r="CV49" s="66">
        <v>0</v>
      </c>
      <c r="CW49" s="66">
        <v>0</v>
      </c>
      <c r="CX49" s="66">
        <v>0</v>
      </c>
      <c r="CY49" s="66">
        <v>0</v>
      </c>
      <c r="CZ49" s="66">
        <v>0</v>
      </c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>
        <f>SUM(Table1[[#This Row],[01-03 Apr]:[Mar-26]])</f>
        <v>0</v>
      </c>
    </row>
    <row r="50" spans="1:115" hidden="1" x14ac:dyDescent="0.2">
      <c r="A50" s="28"/>
      <c r="B50" s="29"/>
      <c r="C50" s="29" t="s">
        <v>3421</v>
      </c>
      <c r="D50" s="30" t="s">
        <v>3417</v>
      </c>
      <c r="E50" s="30" t="s">
        <v>2951</v>
      </c>
      <c r="F50" s="30"/>
      <c r="G50" s="31"/>
      <c r="H50" s="30"/>
      <c r="I50" s="30" t="str">
        <f>IF(Table1[[#This Row],[Centre Status]]="Returned","NA",IF(Table1[[#This Row],[SD]]&gt;19000,"Full Payment",IF(Table1[[#This Row],[SD]]&lt;1,"No Payment","Partial Payment")))</f>
        <v>Full Payment</v>
      </c>
      <c r="J50" s="30" t="s">
        <v>58</v>
      </c>
      <c r="K50" s="32">
        <v>110000</v>
      </c>
      <c r="L50" s="33">
        <f>Q50+R50+U50+Table1[[#This Row],[Farmer Payment]]</f>
        <v>20056</v>
      </c>
      <c r="M50" s="30"/>
      <c r="N50" s="34"/>
      <c r="O50" s="34"/>
      <c r="P50" s="35">
        <f t="shared" si="7"/>
        <v>89944</v>
      </c>
      <c r="Q50" s="33">
        <f>AI50+AV50+CK50+Table1[[#This Row],[FY 25-26]]</f>
        <v>56</v>
      </c>
      <c r="R50" s="36">
        <v>20000</v>
      </c>
      <c r="S50" s="37" t="s">
        <v>3494</v>
      </c>
      <c r="T50" s="38">
        <v>45787</v>
      </c>
      <c r="U50" s="39"/>
      <c r="V50" s="39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1">
        <f t="shared" si="8"/>
        <v>0</v>
      </c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>
        <f t="shared" si="9"/>
        <v>0</v>
      </c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3">
        <f t="shared" si="10"/>
        <v>0</v>
      </c>
      <c r="CL50" s="66"/>
      <c r="CM50" s="66"/>
      <c r="CN50" s="66"/>
      <c r="CO50" s="66"/>
      <c r="CP50" s="66">
        <v>0</v>
      </c>
      <c r="CQ50" s="66"/>
      <c r="CR50" s="66">
        <v>0</v>
      </c>
      <c r="CS50" s="66">
        <v>0</v>
      </c>
      <c r="CT50" s="66">
        <v>0</v>
      </c>
      <c r="CU50" s="66">
        <v>0</v>
      </c>
      <c r="CV50" s="66">
        <v>56</v>
      </c>
      <c r="CW50" s="66">
        <v>0</v>
      </c>
      <c r="CX50" s="66">
        <v>0</v>
      </c>
      <c r="CY50" s="66">
        <v>0</v>
      </c>
      <c r="CZ50" s="66">
        <v>0</v>
      </c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>
        <f>SUM(Table1[[#This Row],[01-03 Apr]:[Mar-26]])</f>
        <v>56</v>
      </c>
    </row>
    <row r="51" spans="1:115" x14ac:dyDescent="0.2">
      <c r="A51" s="28"/>
      <c r="B51" s="29"/>
      <c r="C51" s="29" t="s">
        <v>3422</v>
      </c>
      <c r="D51" s="30" t="s">
        <v>3418</v>
      </c>
      <c r="E51" s="30" t="s">
        <v>2951</v>
      </c>
      <c r="F51" s="30"/>
      <c r="G51" s="31"/>
      <c r="H51" s="30"/>
      <c r="I51" s="30" t="str">
        <f>IF(Table1[[#This Row],[Centre Status]]="Returned","NA",IF(Table1[[#This Row],[SD]]&gt;19000,"Full Payment",IF(Table1[[#This Row],[SD]]&lt;1,"No Payment","Partial Payment")))</f>
        <v>No Payment</v>
      </c>
      <c r="J51" s="30" t="s">
        <v>58</v>
      </c>
      <c r="K51" s="32">
        <v>110000</v>
      </c>
      <c r="L51" s="33">
        <f>Q51+R51+U51+Table1[[#This Row],[Farmer Payment]]</f>
        <v>195</v>
      </c>
      <c r="M51" s="30"/>
      <c r="N51" s="34"/>
      <c r="O51" s="34"/>
      <c r="P51" s="35">
        <f t="shared" si="7"/>
        <v>109805</v>
      </c>
      <c r="Q51" s="33">
        <f>AI51+AV51+CK51+Table1[[#This Row],[FY 25-26]]</f>
        <v>195</v>
      </c>
      <c r="R51" s="36"/>
      <c r="S51" s="37"/>
      <c r="T51" s="38"/>
      <c r="U51" s="39"/>
      <c r="V51" s="39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1">
        <f t="shared" si="8"/>
        <v>0</v>
      </c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>
        <f t="shared" si="9"/>
        <v>0</v>
      </c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3">
        <f t="shared" si="10"/>
        <v>0</v>
      </c>
      <c r="CL51" s="66"/>
      <c r="CM51" s="66"/>
      <c r="CN51" s="66"/>
      <c r="CO51" s="66"/>
      <c r="CP51" s="66">
        <v>0</v>
      </c>
      <c r="CQ51" s="66"/>
      <c r="CR51" s="66">
        <v>0</v>
      </c>
      <c r="CS51" s="66">
        <v>0</v>
      </c>
      <c r="CT51" s="66">
        <v>0</v>
      </c>
      <c r="CU51" s="66">
        <v>0</v>
      </c>
      <c r="CV51" s="66">
        <v>195</v>
      </c>
      <c r="CW51" s="66">
        <v>0</v>
      </c>
      <c r="CX51" s="66">
        <v>0</v>
      </c>
      <c r="CY51" s="66">
        <v>0</v>
      </c>
      <c r="CZ51" s="66">
        <v>0</v>
      </c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>
        <f>SUM(Table1[[#This Row],[01-03 Apr]:[Mar-26]])</f>
        <v>195</v>
      </c>
    </row>
    <row r="52" spans="1:115" hidden="1" x14ac:dyDescent="0.2">
      <c r="A52" s="28"/>
      <c r="B52" s="29"/>
      <c r="C52" s="29" t="s">
        <v>3321</v>
      </c>
      <c r="D52" s="30" t="s">
        <v>3327</v>
      </c>
      <c r="E52" s="30" t="s">
        <v>2951</v>
      </c>
      <c r="F52" s="30"/>
      <c r="G52" s="31"/>
      <c r="H52" s="30">
        <v>24020159</v>
      </c>
      <c r="I52" s="30" t="str">
        <f>IF(Table1[[#This Row],[Centre Status]]="Returned","NA",IF(Table1[[#This Row],[SD]]&gt;19000,"Full Payment",IF(Table1[[#This Row],[SD]]&lt;1,"No Payment","Partial Payment")))</f>
        <v>Full Payment</v>
      </c>
      <c r="J52" s="30" t="s">
        <v>58</v>
      </c>
      <c r="K52" s="32">
        <v>110000</v>
      </c>
      <c r="L52" s="33">
        <f>Q52+R52+U52+Table1[[#This Row],[Farmer Payment]]</f>
        <v>21861</v>
      </c>
      <c r="M52" s="30"/>
      <c r="N52" s="34"/>
      <c r="O52" s="34"/>
      <c r="P52" s="35">
        <f t="shared" ref="P52:P89" si="11">K52-L52+M52</f>
        <v>88139</v>
      </c>
      <c r="Q52" s="33">
        <f>AI52+AV52+CK52+Table1[[#This Row],[FY 25-26]]</f>
        <v>1861</v>
      </c>
      <c r="R52" s="36">
        <v>20000</v>
      </c>
      <c r="S52" s="37" t="s">
        <v>3492</v>
      </c>
      <c r="T52" s="38">
        <v>45744</v>
      </c>
      <c r="U52" s="39"/>
      <c r="V52" s="39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1">
        <f t="shared" ref="AI52:AI89" si="12">SUM(W52:AH52)</f>
        <v>0</v>
      </c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>
        <f t="shared" ref="AV52:AV89" si="13">SUM(AJ52:AU52)</f>
        <v>0</v>
      </c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3">
        <f t="shared" ref="CK52:CK89" si="14">SUM(AW52:CJ52)</f>
        <v>0</v>
      </c>
      <c r="CL52" s="66"/>
      <c r="CM52" s="66">
        <v>0</v>
      </c>
      <c r="CN52" s="66"/>
      <c r="CO52" s="66"/>
      <c r="CP52" s="66">
        <v>0</v>
      </c>
      <c r="CQ52" s="66">
        <v>0</v>
      </c>
      <c r="CR52" s="66">
        <v>0</v>
      </c>
      <c r="CS52" s="66">
        <v>0</v>
      </c>
      <c r="CT52" s="66">
        <v>0</v>
      </c>
      <c r="CU52" s="66">
        <v>0</v>
      </c>
      <c r="CV52" s="66">
        <v>1861</v>
      </c>
      <c r="CW52" s="66">
        <v>0</v>
      </c>
      <c r="CX52" s="66">
        <v>0</v>
      </c>
      <c r="CY52" s="66">
        <v>0</v>
      </c>
      <c r="CZ52" s="66">
        <v>0</v>
      </c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>
        <f>SUM(Table1[[#This Row],[01-03 Apr]:[Mar-26]])</f>
        <v>1861</v>
      </c>
    </row>
    <row r="53" spans="1:115" x14ac:dyDescent="0.2">
      <c r="A53" s="28"/>
      <c r="B53" s="29"/>
      <c r="C53" s="29" t="s">
        <v>3330</v>
      </c>
      <c r="D53" s="30" t="s">
        <v>3328</v>
      </c>
      <c r="E53" s="30" t="s">
        <v>177</v>
      </c>
      <c r="F53" s="30"/>
      <c r="G53" s="31"/>
      <c r="H53" s="30">
        <v>277019</v>
      </c>
      <c r="I53" s="30" t="str">
        <f>IF(Table1[[#This Row],[Centre Status]]="Returned","NA",IF(Table1[[#This Row],[SD]]&gt;19000,"Full Payment",IF(Table1[[#This Row],[SD]]&lt;1,"No Payment","Partial Payment")))</f>
        <v>Partial Payment</v>
      </c>
      <c r="J53" s="30" t="s">
        <v>58</v>
      </c>
      <c r="K53" s="32">
        <v>64000</v>
      </c>
      <c r="L53" s="33">
        <f>Q53+R53+U53+Table1[[#This Row],[Farmer Payment]]</f>
        <v>11861</v>
      </c>
      <c r="M53" s="30"/>
      <c r="N53" s="34"/>
      <c r="O53" s="34"/>
      <c r="P53" s="35">
        <f t="shared" si="11"/>
        <v>52139</v>
      </c>
      <c r="Q53" s="33">
        <f>AI53+AV53+CK53+Table1[[#This Row],[FY 25-26]]</f>
        <v>1861</v>
      </c>
      <c r="R53" s="36">
        <v>10000</v>
      </c>
      <c r="S53" s="37" t="s">
        <v>3488</v>
      </c>
      <c r="T53" s="38">
        <v>45694</v>
      </c>
      <c r="U53" s="39"/>
      <c r="V53" s="39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1">
        <f t="shared" si="12"/>
        <v>0</v>
      </c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>
        <f t="shared" si="13"/>
        <v>0</v>
      </c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3">
        <f t="shared" si="14"/>
        <v>0</v>
      </c>
      <c r="CL53" s="66"/>
      <c r="CM53" s="66">
        <v>0</v>
      </c>
      <c r="CN53" s="66"/>
      <c r="CO53" s="66"/>
      <c r="CP53" s="66">
        <v>0</v>
      </c>
      <c r="CQ53" s="66">
        <v>0</v>
      </c>
      <c r="CR53" s="66">
        <v>0</v>
      </c>
      <c r="CS53" s="66">
        <v>0</v>
      </c>
      <c r="CT53" s="66">
        <v>0</v>
      </c>
      <c r="CU53" s="66">
        <v>0</v>
      </c>
      <c r="CV53" s="66">
        <v>1861</v>
      </c>
      <c r="CW53" s="66">
        <v>0</v>
      </c>
      <c r="CX53" s="66">
        <v>0</v>
      </c>
      <c r="CY53" s="66">
        <v>0</v>
      </c>
      <c r="CZ53" s="66">
        <v>0</v>
      </c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>
        <f>SUM(Table1[[#This Row],[01-03 Apr]:[Mar-26]])</f>
        <v>1861</v>
      </c>
    </row>
    <row r="54" spans="1:115" x14ac:dyDescent="0.2">
      <c r="A54" s="28"/>
      <c r="B54" s="29"/>
      <c r="C54" s="29" t="s">
        <v>3331</v>
      </c>
      <c r="D54" s="30" t="s">
        <v>3329</v>
      </c>
      <c r="E54" s="30" t="s">
        <v>177</v>
      </c>
      <c r="F54" s="30"/>
      <c r="G54" s="31"/>
      <c r="H54" s="30">
        <v>277509</v>
      </c>
      <c r="I54" s="30" t="str">
        <f>IF(Table1[[#This Row],[Centre Status]]="Returned","NA",IF(Table1[[#This Row],[SD]]&gt;19000,"Full Payment",IF(Table1[[#This Row],[SD]]&lt;1,"No Payment","Partial Payment")))</f>
        <v>No Payment</v>
      </c>
      <c r="J54" s="30" t="s">
        <v>58</v>
      </c>
      <c r="K54" s="32">
        <v>110000</v>
      </c>
      <c r="L54" s="33">
        <f>Q54+R54+U54+Table1[[#This Row],[Farmer Payment]]</f>
        <v>1861</v>
      </c>
      <c r="M54" s="30"/>
      <c r="N54" s="34"/>
      <c r="O54" s="34"/>
      <c r="P54" s="35">
        <f t="shared" si="11"/>
        <v>108139</v>
      </c>
      <c r="Q54" s="33">
        <f>AI54+AV54+CK54+Table1[[#This Row],[FY 25-26]]</f>
        <v>1861</v>
      </c>
      <c r="R54" s="36"/>
      <c r="S54" s="37"/>
      <c r="T54" s="38"/>
      <c r="U54" s="39"/>
      <c r="V54" s="39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1">
        <f t="shared" si="12"/>
        <v>0</v>
      </c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>
        <f t="shared" si="13"/>
        <v>0</v>
      </c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3">
        <f t="shared" si="14"/>
        <v>0</v>
      </c>
      <c r="CL54" s="66"/>
      <c r="CM54" s="66">
        <v>0</v>
      </c>
      <c r="CN54" s="66"/>
      <c r="CO54" s="66"/>
      <c r="CP54" s="66">
        <v>0</v>
      </c>
      <c r="CQ54" s="66">
        <v>0</v>
      </c>
      <c r="CR54" s="66">
        <v>0</v>
      </c>
      <c r="CS54" s="66">
        <v>0</v>
      </c>
      <c r="CT54" s="66">
        <v>0</v>
      </c>
      <c r="CU54" s="66">
        <v>0</v>
      </c>
      <c r="CV54" s="66">
        <v>1861</v>
      </c>
      <c r="CW54" s="66">
        <v>0</v>
      </c>
      <c r="CX54" s="66">
        <v>0</v>
      </c>
      <c r="CY54" s="66">
        <v>0</v>
      </c>
      <c r="CZ54" s="66">
        <v>0</v>
      </c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>
        <f>SUM(Table1[[#This Row],[01-03 Apr]:[Mar-26]])</f>
        <v>1861</v>
      </c>
    </row>
    <row r="55" spans="1:115" hidden="1" x14ac:dyDescent="0.2">
      <c r="A55" s="28"/>
      <c r="B55" s="29"/>
      <c r="C55" s="29" t="s">
        <v>3404</v>
      </c>
      <c r="D55" s="30" t="s">
        <v>3402</v>
      </c>
      <c r="E55" s="30" t="s">
        <v>3406</v>
      </c>
      <c r="F55" s="30"/>
      <c r="G55" s="31"/>
      <c r="H55" s="30"/>
      <c r="I55" s="30" t="str">
        <f>IF(Table1[[#This Row],[Centre Status]]="Returned","NA",IF(Table1[[#This Row],[SD]]&gt;19000,"Full Payment",IF(Table1[[#This Row],[SD]]&lt;1,"No Payment","Partial Payment")))</f>
        <v>Full Payment</v>
      </c>
      <c r="J55" s="30" t="s">
        <v>58</v>
      </c>
      <c r="K55" s="32">
        <v>110000</v>
      </c>
      <c r="L55" s="33">
        <f>Q55+R55+U55+Table1[[#This Row],[Farmer Payment]]</f>
        <v>22311.205485542399</v>
      </c>
      <c r="M55" s="30"/>
      <c r="N55" s="34"/>
      <c r="O55" s="34"/>
      <c r="P55" s="35">
        <f t="shared" si="11"/>
        <v>87688.794514457608</v>
      </c>
      <c r="Q55" s="33">
        <f>AI55+AV55+CK55+Table1[[#This Row],[FY 25-26]]</f>
        <v>2311.2054855424003</v>
      </c>
      <c r="R55" s="36">
        <v>20000</v>
      </c>
      <c r="S55" s="37" t="s">
        <v>3407</v>
      </c>
      <c r="T55" s="38">
        <v>45774</v>
      </c>
      <c r="U55" s="39"/>
      <c r="V55" s="39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1">
        <f t="shared" si="12"/>
        <v>0</v>
      </c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>
        <f t="shared" si="13"/>
        <v>0</v>
      </c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3">
        <f t="shared" si="14"/>
        <v>0</v>
      </c>
      <c r="CL55" s="66"/>
      <c r="CM55" s="66"/>
      <c r="CN55" s="66"/>
      <c r="CO55" s="66"/>
      <c r="CP55" s="66">
        <v>0</v>
      </c>
      <c r="CQ55" s="66"/>
      <c r="CR55" s="66">
        <v>0</v>
      </c>
      <c r="CS55" s="66">
        <v>0</v>
      </c>
      <c r="CT55" s="66">
        <v>0</v>
      </c>
      <c r="CU55" s="66">
        <v>0</v>
      </c>
      <c r="CV55" s="66">
        <v>2311.2054855424003</v>
      </c>
      <c r="CW55" s="66">
        <v>0</v>
      </c>
      <c r="CX55" s="66">
        <v>0</v>
      </c>
      <c r="CY55" s="66">
        <v>0</v>
      </c>
      <c r="CZ55" s="66">
        <v>0</v>
      </c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>
        <f>SUM(Table1[[#This Row],[01-03 Apr]:[Mar-26]])</f>
        <v>2311.2054855424003</v>
      </c>
    </row>
    <row r="56" spans="1:115" hidden="1" x14ac:dyDescent="0.2">
      <c r="A56" s="28"/>
      <c r="B56" s="29"/>
      <c r="C56" s="29" t="s">
        <v>3405</v>
      </c>
      <c r="D56" s="30" t="s">
        <v>3403</v>
      </c>
      <c r="E56" s="30" t="s">
        <v>3406</v>
      </c>
      <c r="F56" s="30"/>
      <c r="G56" s="31"/>
      <c r="H56" s="30"/>
      <c r="I56" s="30" t="str">
        <f>IF(Table1[[#This Row],[Centre Status]]="Returned","NA",IF(Table1[[#This Row],[SD]]&gt;19000,"Full Payment",IF(Table1[[#This Row],[SD]]&lt;1,"No Payment","Partial Payment")))</f>
        <v>Full Payment</v>
      </c>
      <c r="J56" s="30" t="s">
        <v>58</v>
      </c>
      <c r="K56" s="32">
        <v>110000</v>
      </c>
      <c r="L56" s="33">
        <f>Q56+R56+U56+Table1[[#This Row],[Farmer Payment]]</f>
        <v>20000</v>
      </c>
      <c r="M56" s="30"/>
      <c r="N56" s="34"/>
      <c r="O56" s="34"/>
      <c r="P56" s="35">
        <f t="shared" si="11"/>
        <v>90000</v>
      </c>
      <c r="Q56" s="33">
        <f>AI56+AV56+CK56+Table1[[#This Row],[FY 25-26]]</f>
        <v>0</v>
      </c>
      <c r="R56" s="36">
        <v>20000</v>
      </c>
      <c r="S56" s="37" t="s">
        <v>3408</v>
      </c>
      <c r="T56" s="38">
        <v>45794</v>
      </c>
      <c r="U56" s="39"/>
      <c r="V56" s="39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1">
        <f t="shared" si="12"/>
        <v>0</v>
      </c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>
        <f t="shared" si="13"/>
        <v>0</v>
      </c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3">
        <f t="shared" si="14"/>
        <v>0</v>
      </c>
      <c r="CL56" s="66"/>
      <c r="CM56" s="66"/>
      <c r="CN56" s="66"/>
      <c r="CO56" s="66"/>
      <c r="CP56" s="66">
        <v>0</v>
      </c>
      <c r="CQ56" s="66"/>
      <c r="CR56" s="66">
        <v>0</v>
      </c>
      <c r="CS56" s="66">
        <v>0</v>
      </c>
      <c r="CT56" s="66">
        <v>0</v>
      </c>
      <c r="CU56" s="66">
        <v>0</v>
      </c>
      <c r="CV56" s="66">
        <v>0</v>
      </c>
      <c r="CW56" s="66">
        <v>0</v>
      </c>
      <c r="CX56" s="66">
        <v>0</v>
      </c>
      <c r="CY56" s="66">
        <v>0</v>
      </c>
      <c r="CZ56" s="66">
        <v>0</v>
      </c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>
        <f>SUM(Table1[[#This Row],[01-03 Apr]:[Mar-26]])</f>
        <v>0</v>
      </c>
    </row>
    <row r="57" spans="1:115" x14ac:dyDescent="0.2">
      <c r="A57" s="28"/>
      <c r="B57" s="29"/>
      <c r="C57" s="29" t="s">
        <v>3411</v>
      </c>
      <c r="D57" s="30" t="s">
        <v>3409</v>
      </c>
      <c r="E57" s="30" t="s">
        <v>3093</v>
      </c>
      <c r="F57" s="30"/>
      <c r="G57" s="31"/>
      <c r="H57" s="30"/>
      <c r="I57" s="30" t="str">
        <f>IF(Table1[[#This Row],[Centre Status]]="Returned","NA",IF(Table1[[#This Row],[SD]]&gt;19000,"Full Payment",IF(Table1[[#This Row],[SD]]&lt;1,"No Payment","Partial Payment")))</f>
        <v>Partial Payment</v>
      </c>
      <c r="J57" s="30" t="s">
        <v>58</v>
      </c>
      <c r="K57" s="32">
        <v>110000</v>
      </c>
      <c r="L57" s="33">
        <f>Q57+R57+U57+Table1[[#This Row],[Farmer Payment]]</f>
        <v>10000</v>
      </c>
      <c r="M57" s="30"/>
      <c r="N57" s="34"/>
      <c r="O57" s="34"/>
      <c r="P57" s="35">
        <f t="shared" si="11"/>
        <v>100000</v>
      </c>
      <c r="Q57" s="33">
        <f>AI57+AV57+CK57+Table1[[#This Row],[FY 25-26]]</f>
        <v>0</v>
      </c>
      <c r="R57" s="36">
        <v>10000</v>
      </c>
      <c r="S57" s="37" t="s">
        <v>3413</v>
      </c>
      <c r="T57" s="38">
        <v>45794</v>
      </c>
      <c r="U57" s="39"/>
      <c r="V57" s="3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1">
        <f t="shared" si="12"/>
        <v>0</v>
      </c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>
        <f t="shared" si="13"/>
        <v>0</v>
      </c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3">
        <f t="shared" si="14"/>
        <v>0</v>
      </c>
      <c r="CL57" s="66"/>
      <c r="CM57" s="66"/>
      <c r="CN57" s="66"/>
      <c r="CO57" s="66"/>
      <c r="CP57" s="66">
        <v>0</v>
      </c>
      <c r="CQ57" s="66"/>
      <c r="CR57" s="66">
        <v>0</v>
      </c>
      <c r="CS57" s="66">
        <v>0</v>
      </c>
      <c r="CT57" s="66">
        <v>0</v>
      </c>
      <c r="CU57" s="66">
        <v>0</v>
      </c>
      <c r="CV57" s="66">
        <v>0</v>
      </c>
      <c r="CW57" s="66">
        <v>0</v>
      </c>
      <c r="CX57" s="66">
        <v>0</v>
      </c>
      <c r="CY57" s="66">
        <v>0</v>
      </c>
      <c r="CZ57" s="66">
        <v>0</v>
      </c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>
        <f>SUM(Table1[[#This Row],[01-03 Apr]:[Mar-26]])</f>
        <v>0</v>
      </c>
    </row>
    <row r="58" spans="1:115" hidden="1" x14ac:dyDescent="0.2">
      <c r="A58" s="28"/>
      <c r="B58" s="29"/>
      <c r="C58" s="29" t="s">
        <v>3412</v>
      </c>
      <c r="D58" s="30" t="s">
        <v>3410</v>
      </c>
      <c r="E58" s="30" t="s">
        <v>57</v>
      </c>
      <c r="F58" s="30"/>
      <c r="G58" s="31"/>
      <c r="H58" s="30"/>
      <c r="I58" s="30" t="str">
        <f>IF(Table1[[#This Row],[Centre Status]]="Returned","NA",IF(Table1[[#This Row],[SD]]&gt;19000,"Full Payment",IF(Table1[[#This Row],[SD]]&lt;1,"No Payment","Partial Payment")))</f>
        <v>Full Payment</v>
      </c>
      <c r="J58" s="30" t="s">
        <v>58</v>
      </c>
      <c r="K58" s="32">
        <v>110000</v>
      </c>
      <c r="L58" s="33">
        <f>Q58+R58+U58+Table1[[#This Row],[Farmer Payment]]</f>
        <v>20861</v>
      </c>
      <c r="M58" s="30"/>
      <c r="N58" s="34"/>
      <c r="O58" s="34"/>
      <c r="P58" s="35">
        <f t="shared" si="11"/>
        <v>89139</v>
      </c>
      <c r="Q58" s="33">
        <f>AI58+AV58+CK58+Table1[[#This Row],[FY 25-26]]</f>
        <v>861</v>
      </c>
      <c r="R58" s="36">
        <v>20000</v>
      </c>
      <c r="S58" s="37" t="s">
        <v>3414</v>
      </c>
      <c r="T58" s="38">
        <v>45762</v>
      </c>
      <c r="U58" s="39"/>
      <c r="V58" s="39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1">
        <f t="shared" si="12"/>
        <v>0</v>
      </c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>
        <f t="shared" si="13"/>
        <v>0</v>
      </c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3">
        <f t="shared" si="14"/>
        <v>0</v>
      </c>
      <c r="CL58" s="66"/>
      <c r="CM58" s="66"/>
      <c r="CN58" s="66"/>
      <c r="CO58" s="66"/>
      <c r="CP58" s="66">
        <v>0</v>
      </c>
      <c r="CQ58" s="66"/>
      <c r="CR58" s="66">
        <v>0</v>
      </c>
      <c r="CS58" s="66">
        <v>0</v>
      </c>
      <c r="CT58" s="66">
        <v>0</v>
      </c>
      <c r="CU58" s="66">
        <v>0</v>
      </c>
      <c r="CV58" s="66">
        <v>861</v>
      </c>
      <c r="CW58" s="66">
        <v>0</v>
      </c>
      <c r="CX58" s="66">
        <v>0</v>
      </c>
      <c r="CY58" s="66">
        <v>0</v>
      </c>
      <c r="CZ58" s="66">
        <v>0</v>
      </c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>
        <f>SUM(Table1[[#This Row],[01-03 Apr]:[Mar-26]])</f>
        <v>861</v>
      </c>
    </row>
    <row r="59" spans="1:115" x14ac:dyDescent="0.2">
      <c r="A59" s="28"/>
      <c r="B59" s="29"/>
      <c r="C59" s="29" t="s">
        <v>3332</v>
      </c>
      <c r="D59" s="30" t="s">
        <v>3333</v>
      </c>
      <c r="E59" s="30" t="s">
        <v>177</v>
      </c>
      <c r="F59" s="30"/>
      <c r="G59" s="31"/>
      <c r="H59" s="30"/>
      <c r="I59" s="30" t="str">
        <f>IF(Table1[[#This Row],[Centre Status]]="Returned","NA",IF(Table1[[#This Row],[SD]]&gt;19000,"Full Payment",IF(Table1[[#This Row],[SD]]&lt;1,"No Payment","Partial Payment")))</f>
        <v>No Payment</v>
      </c>
      <c r="J59" s="30" t="s">
        <v>58</v>
      </c>
      <c r="K59" s="32">
        <v>110000</v>
      </c>
      <c r="L59" s="33">
        <f>Q59+R59+U59+Table1[[#This Row],[Farmer Payment]]</f>
        <v>1861</v>
      </c>
      <c r="M59" s="30"/>
      <c r="N59" s="34"/>
      <c r="O59" s="34"/>
      <c r="P59" s="35">
        <f t="shared" si="11"/>
        <v>108139</v>
      </c>
      <c r="Q59" s="33">
        <f>AI59+AV59+CK59+Table1[[#This Row],[FY 25-26]]</f>
        <v>1861</v>
      </c>
      <c r="R59" s="36"/>
      <c r="S59" s="37"/>
      <c r="T59" s="38"/>
      <c r="U59" s="39"/>
      <c r="V59" s="39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1">
        <f t="shared" si="12"/>
        <v>0</v>
      </c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>
        <f t="shared" si="13"/>
        <v>0</v>
      </c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3">
        <f t="shared" si="14"/>
        <v>0</v>
      </c>
      <c r="CL59" s="66"/>
      <c r="CM59" s="66">
        <v>0</v>
      </c>
      <c r="CN59" s="66"/>
      <c r="CO59" s="66"/>
      <c r="CP59" s="66">
        <v>0</v>
      </c>
      <c r="CQ59" s="66">
        <v>0</v>
      </c>
      <c r="CR59" s="66">
        <v>0</v>
      </c>
      <c r="CS59" s="66">
        <v>0</v>
      </c>
      <c r="CT59" s="66">
        <v>0</v>
      </c>
      <c r="CU59" s="66">
        <v>0</v>
      </c>
      <c r="CV59" s="66">
        <v>1861</v>
      </c>
      <c r="CW59" s="66">
        <v>0</v>
      </c>
      <c r="CX59" s="66">
        <v>0</v>
      </c>
      <c r="CY59" s="66">
        <v>0</v>
      </c>
      <c r="CZ59" s="66">
        <v>0</v>
      </c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>
        <f>SUM(Table1[[#This Row],[01-03 Apr]:[Mar-26]])</f>
        <v>1861</v>
      </c>
    </row>
    <row r="60" spans="1:115" x14ac:dyDescent="0.2">
      <c r="A60" s="28"/>
      <c r="B60" s="29"/>
      <c r="C60" s="29" t="s">
        <v>3296</v>
      </c>
      <c r="D60" s="30" t="s">
        <v>3297</v>
      </c>
      <c r="E60" s="30" t="s">
        <v>217</v>
      </c>
      <c r="F60" s="30"/>
      <c r="G60" s="31"/>
      <c r="H60" s="30"/>
      <c r="I60" s="30" t="str">
        <f>IF(Table1[[#This Row],[Centre Status]]="Returned","NA",IF(Table1[[#This Row],[SD]]&gt;19000,"Full Payment",IF(Table1[[#This Row],[SD]]&lt;1,"No Payment","Partial Payment")))</f>
        <v>No Payment</v>
      </c>
      <c r="J60" s="30" t="s">
        <v>58</v>
      </c>
      <c r="K60" s="32">
        <v>110000</v>
      </c>
      <c r="L60" s="33">
        <f>Q60+R60+U60+Table1[[#This Row],[Farmer Payment]]</f>
        <v>0</v>
      </c>
      <c r="M60" s="30"/>
      <c r="N60" s="34"/>
      <c r="O60" s="34"/>
      <c r="P60" s="35">
        <f t="shared" si="11"/>
        <v>110000</v>
      </c>
      <c r="Q60" s="33">
        <f>AI60+AV60+CK60+Table1[[#This Row],[FY 25-26]]</f>
        <v>0</v>
      </c>
      <c r="R60" s="36"/>
      <c r="S60" s="37"/>
      <c r="T60" s="38"/>
      <c r="U60" s="39"/>
      <c r="V60" s="39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1">
        <f t="shared" si="12"/>
        <v>0</v>
      </c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>
        <f t="shared" si="13"/>
        <v>0</v>
      </c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3">
        <f t="shared" si="14"/>
        <v>0</v>
      </c>
      <c r="CL60" s="66"/>
      <c r="CM60" s="66">
        <v>0</v>
      </c>
      <c r="CN60" s="66"/>
      <c r="CO60" s="66"/>
      <c r="CP60" s="66">
        <v>0</v>
      </c>
      <c r="CQ60" s="66">
        <v>0</v>
      </c>
      <c r="CR60" s="66">
        <v>0</v>
      </c>
      <c r="CS60" s="66">
        <v>0</v>
      </c>
      <c r="CT60" s="66">
        <v>0</v>
      </c>
      <c r="CU60" s="66">
        <v>0</v>
      </c>
      <c r="CV60" s="66">
        <v>0</v>
      </c>
      <c r="CW60" s="66">
        <v>0</v>
      </c>
      <c r="CX60" s="66">
        <v>0</v>
      </c>
      <c r="CY60" s="66">
        <v>0</v>
      </c>
      <c r="CZ60" s="66">
        <v>0</v>
      </c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>
        <f>SUM(Table1[[#This Row],[01-03 Apr]:[Mar-26]])</f>
        <v>0</v>
      </c>
    </row>
    <row r="61" spans="1:115" x14ac:dyDescent="0.2">
      <c r="A61" s="28"/>
      <c r="B61" s="29"/>
      <c r="C61" s="29" t="s">
        <v>3387</v>
      </c>
      <c r="D61" s="30" t="s">
        <v>3388</v>
      </c>
      <c r="E61" s="30" t="s">
        <v>3389</v>
      </c>
      <c r="F61" s="30"/>
      <c r="G61" s="31"/>
      <c r="H61" s="30"/>
      <c r="I61" s="30" t="str">
        <f>IF(Table1[[#This Row],[Centre Status]]="Returned","NA",IF(Table1[[#This Row],[SD]]&gt;19000,"Full Payment",IF(Table1[[#This Row],[SD]]&lt;1,"No Payment","Partial Payment")))</f>
        <v>No Payment</v>
      </c>
      <c r="J61" s="30" t="s">
        <v>58</v>
      </c>
      <c r="K61" s="32">
        <v>110000</v>
      </c>
      <c r="L61" s="33">
        <f>Q61+R61+U61+Table1[[#This Row],[Farmer Payment]]</f>
        <v>627</v>
      </c>
      <c r="M61" s="30"/>
      <c r="N61" s="34"/>
      <c r="O61" s="34"/>
      <c r="P61" s="35">
        <f t="shared" si="11"/>
        <v>109373</v>
      </c>
      <c r="Q61" s="33">
        <f>AI61+AV61+CK61+Table1[[#This Row],[FY 25-26]]</f>
        <v>627</v>
      </c>
      <c r="R61" s="36"/>
      <c r="S61" s="37"/>
      <c r="T61" s="38"/>
      <c r="U61" s="39"/>
      <c r="V61" s="39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1">
        <f t="shared" si="12"/>
        <v>0</v>
      </c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>
        <f t="shared" si="13"/>
        <v>0</v>
      </c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3">
        <f t="shared" si="14"/>
        <v>0</v>
      </c>
      <c r="CL61" s="66"/>
      <c r="CM61" s="66">
        <v>0</v>
      </c>
      <c r="CN61" s="66"/>
      <c r="CO61" s="66"/>
      <c r="CP61" s="66">
        <v>0</v>
      </c>
      <c r="CQ61" s="66">
        <v>0</v>
      </c>
      <c r="CR61" s="66">
        <v>0</v>
      </c>
      <c r="CS61" s="66">
        <v>0</v>
      </c>
      <c r="CT61" s="66">
        <v>0</v>
      </c>
      <c r="CU61" s="66">
        <v>0</v>
      </c>
      <c r="CV61" s="66">
        <v>627</v>
      </c>
      <c r="CW61" s="66">
        <v>0</v>
      </c>
      <c r="CX61" s="66">
        <v>0</v>
      </c>
      <c r="CY61" s="66">
        <v>0</v>
      </c>
      <c r="CZ61" s="66">
        <v>0</v>
      </c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>
        <f>SUM(Table1[[#This Row],[01-03 Apr]:[Mar-26]])</f>
        <v>627</v>
      </c>
    </row>
    <row r="62" spans="1:115" x14ac:dyDescent="0.2">
      <c r="A62" s="28"/>
      <c r="B62" s="29"/>
      <c r="C62" s="29" t="s">
        <v>3390</v>
      </c>
      <c r="D62" s="30" t="s">
        <v>3391</v>
      </c>
      <c r="E62" s="30" t="s">
        <v>3392</v>
      </c>
      <c r="F62" s="30"/>
      <c r="G62" s="31"/>
      <c r="H62" s="30"/>
      <c r="I62" s="30" t="str">
        <f>IF(Table1[[#This Row],[Centre Status]]="Returned","NA",IF(Table1[[#This Row],[SD]]&gt;19000,"Full Payment",IF(Table1[[#This Row],[SD]]&lt;1,"No Payment","Partial Payment")))</f>
        <v>No Payment</v>
      </c>
      <c r="J62" s="30" t="s">
        <v>58</v>
      </c>
      <c r="K62" s="32">
        <v>110000</v>
      </c>
      <c r="L62" s="33">
        <f>Q62+R62+U62+Table1[[#This Row],[Farmer Payment]]</f>
        <v>1040</v>
      </c>
      <c r="M62" s="30"/>
      <c r="N62" s="34"/>
      <c r="O62" s="34"/>
      <c r="P62" s="35">
        <f t="shared" si="11"/>
        <v>108960</v>
      </c>
      <c r="Q62" s="33">
        <f>AI62+AV62+CK62+Table1[[#This Row],[FY 25-26]]</f>
        <v>1040</v>
      </c>
      <c r="R62" s="36"/>
      <c r="S62" s="37"/>
      <c r="T62" s="38"/>
      <c r="U62" s="39"/>
      <c r="V62" s="39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1">
        <f t="shared" si="12"/>
        <v>0</v>
      </c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>
        <f t="shared" si="13"/>
        <v>0</v>
      </c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3">
        <f t="shared" si="14"/>
        <v>0</v>
      </c>
      <c r="CL62" s="66"/>
      <c r="CM62" s="66">
        <v>0</v>
      </c>
      <c r="CN62" s="66"/>
      <c r="CO62" s="66"/>
      <c r="CP62" s="66">
        <v>0</v>
      </c>
      <c r="CQ62" s="66">
        <v>0</v>
      </c>
      <c r="CR62" s="66">
        <v>0</v>
      </c>
      <c r="CS62" s="66">
        <v>0</v>
      </c>
      <c r="CT62" s="66">
        <v>0</v>
      </c>
      <c r="CU62" s="66">
        <v>0</v>
      </c>
      <c r="CV62" s="66">
        <v>1040</v>
      </c>
      <c r="CW62" s="66">
        <v>0</v>
      </c>
      <c r="CX62" s="66">
        <v>0</v>
      </c>
      <c r="CY62" s="66">
        <v>0</v>
      </c>
      <c r="CZ62" s="66">
        <v>0</v>
      </c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>
        <f>SUM(Table1[[#This Row],[01-03 Apr]:[Mar-26]])</f>
        <v>1040</v>
      </c>
    </row>
    <row r="63" spans="1:115" x14ac:dyDescent="0.2">
      <c r="A63" s="28"/>
      <c r="B63" s="29"/>
      <c r="C63" s="29" t="s">
        <v>3393</v>
      </c>
      <c r="D63" s="30" t="s">
        <v>3394</v>
      </c>
      <c r="E63" s="30" t="s">
        <v>3392</v>
      </c>
      <c r="F63" s="30"/>
      <c r="G63" s="31"/>
      <c r="H63" s="30"/>
      <c r="I63" s="30" t="str">
        <f>IF(Table1[[#This Row],[Centre Status]]="Returned","NA",IF(Table1[[#This Row],[SD]]&gt;19000,"Full Payment",IF(Table1[[#This Row],[SD]]&lt;1,"No Payment","Partial Payment")))</f>
        <v>No Payment</v>
      </c>
      <c r="J63" s="30" t="s">
        <v>58</v>
      </c>
      <c r="K63" s="32">
        <v>110000</v>
      </c>
      <c r="L63" s="33">
        <f>Q63+R63+U63+Table1[[#This Row],[Farmer Payment]]</f>
        <v>3722</v>
      </c>
      <c r="M63" s="30"/>
      <c r="N63" s="34"/>
      <c r="O63" s="34"/>
      <c r="P63" s="35">
        <f t="shared" si="11"/>
        <v>106278</v>
      </c>
      <c r="Q63" s="33">
        <f>AI63+AV63+CK63+Table1[[#This Row],[FY 25-26]]</f>
        <v>3722</v>
      </c>
      <c r="R63" s="36"/>
      <c r="S63" s="37"/>
      <c r="T63" s="38"/>
      <c r="U63" s="39"/>
      <c r="V63" s="39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1">
        <f t="shared" si="12"/>
        <v>0</v>
      </c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>
        <f t="shared" si="13"/>
        <v>0</v>
      </c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3">
        <f t="shared" si="14"/>
        <v>0</v>
      </c>
      <c r="CL63" s="66"/>
      <c r="CM63" s="66">
        <v>0</v>
      </c>
      <c r="CN63" s="66"/>
      <c r="CO63" s="66"/>
      <c r="CP63" s="66">
        <v>1861</v>
      </c>
      <c r="CQ63" s="66">
        <v>0</v>
      </c>
      <c r="CR63" s="66">
        <v>0</v>
      </c>
      <c r="CS63" s="66">
        <v>0</v>
      </c>
      <c r="CT63" s="66">
        <v>0</v>
      </c>
      <c r="CU63" s="66">
        <v>0</v>
      </c>
      <c r="CV63" s="66">
        <v>1861</v>
      </c>
      <c r="CW63" s="66">
        <v>0</v>
      </c>
      <c r="CX63" s="66">
        <v>0</v>
      </c>
      <c r="CY63" s="66">
        <v>0</v>
      </c>
      <c r="CZ63" s="66">
        <v>0</v>
      </c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>
        <f>SUM(Table1[[#This Row],[01-03 Apr]:[Mar-26]])</f>
        <v>3722</v>
      </c>
    </row>
    <row r="64" spans="1:115" x14ac:dyDescent="0.2">
      <c r="A64" s="28"/>
      <c r="B64" s="29"/>
      <c r="C64" s="29" t="s">
        <v>3395</v>
      </c>
      <c r="D64" s="30" t="s">
        <v>3396</v>
      </c>
      <c r="E64" s="30" t="s">
        <v>3392</v>
      </c>
      <c r="F64" s="30"/>
      <c r="G64" s="31"/>
      <c r="H64" s="30"/>
      <c r="I64" s="30" t="str">
        <f>IF(Table1[[#This Row],[Centre Status]]="Returned","NA",IF(Table1[[#This Row],[SD]]&gt;19000,"Full Payment",IF(Table1[[#This Row],[SD]]&lt;1,"No Payment","Partial Payment")))</f>
        <v>No Payment</v>
      </c>
      <c r="J64" s="30" t="s">
        <v>58</v>
      </c>
      <c r="K64" s="32">
        <v>110000</v>
      </c>
      <c r="L64" s="33">
        <f>Q64+R64+U64+Table1[[#This Row],[Farmer Payment]]</f>
        <v>0</v>
      </c>
      <c r="M64" s="30"/>
      <c r="N64" s="34"/>
      <c r="O64" s="34"/>
      <c r="P64" s="35">
        <f t="shared" si="11"/>
        <v>110000</v>
      </c>
      <c r="Q64" s="33">
        <f>AI64+AV64+CK64+Table1[[#This Row],[FY 25-26]]</f>
        <v>0</v>
      </c>
      <c r="R64" s="36"/>
      <c r="S64" s="37"/>
      <c r="T64" s="38"/>
      <c r="U64" s="39"/>
      <c r="V64" s="39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1">
        <f t="shared" si="12"/>
        <v>0</v>
      </c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>
        <f t="shared" si="13"/>
        <v>0</v>
      </c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3">
        <f t="shared" si="14"/>
        <v>0</v>
      </c>
      <c r="CL64" s="66"/>
      <c r="CM64" s="66">
        <v>0</v>
      </c>
      <c r="CN64" s="66"/>
      <c r="CO64" s="66"/>
      <c r="CP64" s="66">
        <v>0</v>
      </c>
      <c r="CQ64" s="66">
        <v>0</v>
      </c>
      <c r="CR64" s="66">
        <v>0</v>
      </c>
      <c r="CS64" s="66">
        <v>0</v>
      </c>
      <c r="CT64" s="66">
        <v>0</v>
      </c>
      <c r="CU64" s="66">
        <v>0</v>
      </c>
      <c r="CV64" s="66">
        <v>0</v>
      </c>
      <c r="CW64" s="66">
        <v>0</v>
      </c>
      <c r="CX64" s="66">
        <v>0</v>
      </c>
      <c r="CY64" s="66">
        <v>0</v>
      </c>
      <c r="CZ64" s="66">
        <v>0</v>
      </c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>
        <f>SUM(Table1[[#This Row],[01-03 Apr]:[Mar-26]])</f>
        <v>0</v>
      </c>
    </row>
    <row r="65" spans="1:115" x14ac:dyDescent="0.2">
      <c r="A65" s="28"/>
      <c r="B65" s="29"/>
      <c r="C65" s="29" t="s">
        <v>3397</v>
      </c>
      <c r="D65" s="30" t="s">
        <v>3398</v>
      </c>
      <c r="E65" s="30" t="s">
        <v>3392</v>
      </c>
      <c r="F65" s="30"/>
      <c r="G65" s="31"/>
      <c r="H65" s="30"/>
      <c r="I65" s="30" t="str">
        <f>IF(Table1[[#This Row],[Centre Status]]="Returned","NA",IF(Table1[[#This Row],[SD]]&gt;19000,"Full Payment",IF(Table1[[#This Row],[SD]]&lt;1,"No Payment","Partial Payment")))</f>
        <v>No Payment</v>
      </c>
      <c r="J65" s="30" t="s">
        <v>58</v>
      </c>
      <c r="K65" s="32">
        <v>110000</v>
      </c>
      <c r="L65" s="33">
        <f>Q65+R65+U65+Table1[[#This Row],[Farmer Payment]]</f>
        <v>4625.5596826688179</v>
      </c>
      <c r="M65" s="30"/>
      <c r="N65" s="34"/>
      <c r="O65" s="34"/>
      <c r="P65" s="35">
        <f t="shared" si="11"/>
        <v>105374.44031733119</v>
      </c>
      <c r="Q65" s="33">
        <f>AI65+AV65+CK65+Table1[[#This Row],[FY 25-26]]</f>
        <v>4625.5596826688179</v>
      </c>
      <c r="R65" s="36"/>
      <c r="S65" s="37"/>
      <c r="T65" s="38"/>
      <c r="U65" s="39"/>
      <c r="V65" s="39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1">
        <f t="shared" si="12"/>
        <v>0</v>
      </c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>
        <f t="shared" si="13"/>
        <v>0</v>
      </c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3">
        <f t="shared" si="14"/>
        <v>0</v>
      </c>
      <c r="CL65" s="66"/>
      <c r="CM65" s="66">
        <v>0</v>
      </c>
      <c r="CN65" s="66"/>
      <c r="CO65" s="66"/>
      <c r="CP65" s="66">
        <v>2727.4364333991621</v>
      </c>
      <c r="CQ65" s="66">
        <v>0</v>
      </c>
      <c r="CR65" s="66">
        <v>0</v>
      </c>
      <c r="CS65" s="66">
        <v>0</v>
      </c>
      <c r="CT65" s="66">
        <v>0</v>
      </c>
      <c r="CU65" s="66">
        <v>0</v>
      </c>
      <c r="CV65" s="66">
        <v>1898.1232492696558</v>
      </c>
      <c r="CW65" s="66">
        <v>0</v>
      </c>
      <c r="CX65" s="66">
        <v>0</v>
      </c>
      <c r="CY65" s="66">
        <v>0</v>
      </c>
      <c r="CZ65" s="66">
        <v>0</v>
      </c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>
        <f>SUM(Table1[[#This Row],[01-03 Apr]:[Mar-26]])</f>
        <v>4625.5596826688179</v>
      </c>
    </row>
    <row r="66" spans="1:115" x14ac:dyDescent="0.2">
      <c r="A66" s="28"/>
      <c r="B66" s="29"/>
      <c r="C66" s="29" t="s">
        <v>3301</v>
      </c>
      <c r="D66" s="30" t="s">
        <v>3298</v>
      </c>
      <c r="E66" s="30" t="s">
        <v>3086</v>
      </c>
      <c r="F66" s="30"/>
      <c r="G66" s="31"/>
      <c r="H66" s="30"/>
      <c r="I66" s="30" t="str">
        <f>IF(Table1[[#This Row],[Centre Status]]="Returned","NA",IF(Table1[[#This Row],[SD]]&gt;19000,"Full Payment",IF(Table1[[#This Row],[SD]]&lt;1,"No Payment","Partial Payment")))</f>
        <v>Partial Payment</v>
      </c>
      <c r="J66" s="30" t="s">
        <v>58</v>
      </c>
      <c r="K66" s="32">
        <v>110000</v>
      </c>
      <c r="L66" s="33">
        <f>Q66+R66+U66+Table1[[#This Row],[Farmer Payment]]</f>
        <v>10506</v>
      </c>
      <c r="M66" s="30"/>
      <c r="N66" s="34"/>
      <c r="O66" s="34"/>
      <c r="P66" s="35">
        <f t="shared" si="11"/>
        <v>99494</v>
      </c>
      <c r="Q66" s="33">
        <f>AI66+AV66+CK66+Table1[[#This Row],[FY 25-26]]</f>
        <v>506</v>
      </c>
      <c r="R66" s="36">
        <v>10000</v>
      </c>
      <c r="S66" s="37" t="s">
        <v>3304</v>
      </c>
      <c r="T66" s="38">
        <v>45772</v>
      </c>
      <c r="U66" s="39"/>
      <c r="V66" s="39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1">
        <f t="shared" si="12"/>
        <v>0</v>
      </c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>
        <f t="shared" si="13"/>
        <v>0</v>
      </c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3">
        <f t="shared" si="14"/>
        <v>0</v>
      </c>
      <c r="CL66" s="66"/>
      <c r="CM66" s="66">
        <v>0</v>
      </c>
      <c r="CN66" s="66"/>
      <c r="CO66" s="66"/>
      <c r="CP66" s="66">
        <v>0</v>
      </c>
      <c r="CQ66" s="66">
        <v>0</v>
      </c>
      <c r="CR66" s="66">
        <v>0</v>
      </c>
      <c r="CS66" s="66">
        <v>0</v>
      </c>
      <c r="CT66" s="66">
        <v>0</v>
      </c>
      <c r="CU66" s="66">
        <v>0</v>
      </c>
      <c r="CV66" s="66">
        <v>506</v>
      </c>
      <c r="CW66" s="66">
        <v>0</v>
      </c>
      <c r="CX66" s="66">
        <v>0</v>
      </c>
      <c r="CY66" s="66">
        <v>0</v>
      </c>
      <c r="CZ66" s="66">
        <v>0</v>
      </c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>
        <f>SUM(Table1[[#This Row],[01-03 Apr]:[Mar-26]])</f>
        <v>506</v>
      </c>
    </row>
    <row r="67" spans="1:115" hidden="1" x14ac:dyDescent="0.2">
      <c r="A67" s="28"/>
      <c r="B67" s="29"/>
      <c r="C67" s="29" t="s">
        <v>3302</v>
      </c>
      <c r="D67" s="30" t="s">
        <v>3299</v>
      </c>
      <c r="E67" s="30" t="s">
        <v>2951</v>
      </c>
      <c r="F67" s="30"/>
      <c r="G67" s="31"/>
      <c r="H67" s="30"/>
      <c r="I67" s="30" t="str">
        <f>IF(Table1[[#This Row],[Centre Status]]="Returned","NA",IF(Table1[[#This Row],[SD]]&gt;19000,"Full Payment",IF(Table1[[#This Row],[SD]]&lt;1,"No Payment","Partial Payment")))</f>
        <v>Full Payment</v>
      </c>
      <c r="J67" s="30" t="s">
        <v>58</v>
      </c>
      <c r="K67" s="32">
        <v>110000</v>
      </c>
      <c r="L67" s="33">
        <f>Q67+R67+U67+Table1[[#This Row],[Farmer Payment]]</f>
        <v>23514.607</v>
      </c>
      <c r="M67" s="30"/>
      <c r="N67" s="34"/>
      <c r="O67" s="34"/>
      <c r="P67" s="35">
        <f t="shared" si="11"/>
        <v>86485.392999999996</v>
      </c>
      <c r="Q67" s="33">
        <f>AI67+AV67+CK67+Table1[[#This Row],[FY 25-26]]</f>
        <v>3514.6069999999995</v>
      </c>
      <c r="R67" s="36">
        <v>20000</v>
      </c>
      <c r="S67" s="37" t="s">
        <v>3305</v>
      </c>
      <c r="T67" s="38">
        <v>45772</v>
      </c>
      <c r="U67" s="39"/>
      <c r="V67" s="39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1">
        <f t="shared" si="12"/>
        <v>0</v>
      </c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>
        <f t="shared" si="13"/>
        <v>0</v>
      </c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3">
        <f t="shared" si="14"/>
        <v>0</v>
      </c>
      <c r="CL67" s="66"/>
      <c r="CM67" s="66">
        <v>0</v>
      </c>
      <c r="CN67" s="66"/>
      <c r="CO67" s="66"/>
      <c r="CP67" s="66">
        <v>0</v>
      </c>
      <c r="CQ67" s="66">
        <v>0</v>
      </c>
      <c r="CR67" s="66">
        <v>0</v>
      </c>
      <c r="CS67" s="66">
        <v>0</v>
      </c>
      <c r="CT67" s="66">
        <v>0</v>
      </c>
      <c r="CU67" s="66">
        <v>0</v>
      </c>
      <c r="CV67" s="66">
        <v>3514.6069999999995</v>
      </c>
      <c r="CW67" s="66">
        <v>0</v>
      </c>
      <c r="CX67" s="66">
        <v>0</v>
      </c>
      <c r="CY67" s="66">
        <v>0</v>
      </c>
      <c r="CZ67" s="66">
        <v>0</v>
      </c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>
        <f>SUM(Table1[[#This Row],[01-03 Apr]:[Mar-26]])</f>
        <v>3514.6069999999995</v>
      </c>
    </row>
    <row r="68" spans="1:115" hidden="1" x14ac:dyDescent="0.2">
      <c r="A68" s="28"/>
      <c r="B68" s="29"/>
      <c r="C68" s="29" t="s">
        <v>3303</v>
      </c>
      <c r="D68" s="30" t="s">
        <v>3300</v>
      </c>
      <c r="E68" s="30" t="s">
        <v>2951</v>
      </c>
      <c r="F68" s="30"/>
      <c r="G68" s="31"/>
      <c r="H68" s="30"/>
      <c r="I68" s="30" t="str">
        <f>IF(Table1[[#This Row],[Centre Status]]="Returned","NA",IF(Table1[[#This Row],[SD]]&gt;19000,"Full Payment",IF(Table1[[#This Row],[SD]]&lt;1,"No Payment","Partial Payment")))</f>
        <v>Full Payment</v>
      </c>
      <c r="J68" s="30" t="s">
        <v>58</v>
      </c>
      <c r="K68" s="32">
        <v>110000</v>
      </c>
      <c r="L68" s="33">
        <f>Q68+R68+U68+Table1[[#This Row],[Farmer Payment]]</f>
        <v>21861</v>
      </c>
      <c r="M68" s="30"/>
      <c r="N68" s="34"/>
      <c r="O68" s="34"/>
      <c r="P68" s="35">
        <f t="shared" si="11"/>
        <v>88139</v>
      </c>
      <c r="Q68" s="33">
        <f>AI68+AV68+CK68+Table1[[#This Row],[FY 25-26]]</f>
        <v>1861</v>
      </c>
      <c r="R68" s="36">
        <v>20000</v>
      </c>
      <c r="S68" s="37" t="s">
        <v>3306</v>
      </c>
      <c r="T68" s="38">
        <v>45772</v>
      </c>
      <c r="U68" s="39"/>
      <c r="V68" s="39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1">
        <f t="shared" si="12"/>
        <v>0</v>
      </c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>
        <f t="shared" si="13"/>
        <v>0</v>
      </c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3">
        <f t="shared" si="14"/>
        <v>0</v>
      </c>
      <c r="CL68" s="66"/>
      <c r="CM68" s="66">
        <v>0</v>
      </c>
      <c r="CN68" s="66"/>
      <c r="CO68" s="66"/>
      <c r="CP68" s="66">
        <v>0</v>
      </c>
      <c r="CQ68" s="66">
        <v>0</v>
      </c>
      <c r="CR68" s="66">
        <v>0</v>
      </c>
      <c r="CS68" s="66">
        <v>0</v>
      </c>
      <c r="CT68" s="66">
        <v>0</v>
      </c>
      <c r="CU68" s="66">
        <v>0</v>
      </c>
      <c r="CV68" s="66">
        <v>1861</v>
      </c>
      <c r="CW68" s="66">
        <v>0</v>
      </c>
      <c r="CX68" s="66">
        <v>0</v>
      </c>
      <c r="CY68" s="66">
        <v>0</v>
      </c>
      <c r="CZ68" s="66">
        <v>0</v>
      </c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>
        <f>SUM(Table1[[#This Row],[01-03 Apr]:[Mar-26]])</f>
        <v>1861</v>
      </c>
    </row>
    <row r="69" spans="1:115" hidden="1" x14ac:dyDescent="0.2">
      <c r="A69" s="28"/>
      <c r="B69" s="29"/>
      <c r="C69" s="29" t="s">
        <v>3311</v>
      </c>
      <c r="D69" s="30" t="s">
        <v>3307</v>
      </c>
      <c r="E69" s="30" t="s">
        <v>297</v>
      </c>
      <c r="F69" s="30"/>
      <c r="G69" s="31"/>
      <c r="H69" s="30"/>
      <c r="I69" s="30" t="str">
        <f>IF(Table1[[#This Row],[Centre Status]]="Returned","NA",IF(Table1[[#This Row],[SD]]&gt;19000,"Full Payment",IF(Table1[[#This Row],[SD]]&lt;1,"No Payment","Partial Payment")))</f>
        <v>Full Payment</v>
      </c>
      <c r="J69" s="30" t="s">
        <v>58</v>
      </c>
      <c r="K69" s="32">
        <v>110000</v>
      </c>
      <c r="L69" s="33">
        <f>Q69+R69+U69+Table1[[#This Row],[Farmer Payment]]</f>
        <v>20000</v>
      </c>
      <c r="M69" s="30"/>
      <c r="N69" s="34"/>
      <c r="O69" s="34"/>
      <c r="P69" s="35">
        <f t="shared" si="11"/>
        <v>90000</v>
      </c>
      <c r="Q69" s="33">
        <f>AI69+AV69+CK69+Table1[[#This Row],[FY 25-26]]</f>
        <v>0</v>
      </c>
      <c r="R69" s="36">
        <v>20000</v>
      </c>
      <c r="S69" s="37"/>
      <c r="T69" s="38">
        <v>45780</v>
      </c>
      <c r="U69" s="39"/>
      <c r="V69" s="39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1">
        <f t="shared" si="12"/>
        <v>0</v>
      </c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>
        <f t="shared" si="13"/>
        <v>0</v>
      </c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3">
        <f t="shared" si="14"/>
        <v>0</v>
      </c>
      <c r="CL69" s="66"/>
      <c r="CM69" s="66">
        <v>0</v>
      </c>
      <c r="CN69" s="66"/>
      <c r="CO69" s="66"/>
      <c r="CP69" s="66">
        <v>0</v>
      </c>
      <c r="CQ69" s="66">
        <v>0</v>
      </c>
      <c r="CR69" s="66">
        <v>0</v>
      </c>
      <c r="CS69" s="66">
        <v>0</v>
      </c>
      <c r="CT69" s="66">
        <v>0</v>
      </c>
      <c r="CU69" s="66">
        <v>0</v>
      </c>
      <c r="CV69" s="66">
        <v>0</v>
      </c>
      <c r="CW69" s="66">
        <v>0</v>
      </c>
      <c r="CX69" s="66">
        <v>0</v>
      </c>
      <c r="CY69" s="66">
        <v>0</v>
      </c>
      <c r="CZ69" s="66">
        <v>0</v>
      </c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>
        <f>SUM(Table1[[#This Row],[01-03 Apr]:[Mar-26]])</f>
        <v>0</v>
      </c>
    </row>
    <row r="70" spans="1:115" hidden="1" x14ac:dyDescent="0.2">
      <c r="A70" s="28"/>
      <c r="B70" s="29"/>
      <c r="C70" s="29" t="s">
        <v>3312</v>
      </c>
      <c r="D70" s="30" t="s">
        <v>3308</v>
      </c>
      <c r="E70" s="30" t="s">
        <v>297</v>
      </c>
      <c r="F70" s="30"/>
      <c r="G70" s="31"/>
      <c r="H70" s="30"/>
      <c r="I70" s="30" t="str">
        <f>IF(Table1[[#This Row],[Centre Status]]="Returned","NA",IF(Table1[[#This Row],[SD]]&gt;19000,"Full Payment",IF(Table1[[#This Row],[SD]]&lt;1,"No Payment","Partial Payment")))</f>
        <v>Full Payment</v>
      </c>
      <c r="J70" s="30" t="s">
        <v>58</v>
      </c>
      <c r="K70" s="32">
        <v>110000</v>
      </c>
      <c r="L70" s="33">
        <f>Q70+R70+U70+Table1[[#This Row],[Farmer Payment]]</f>
        <v>20000</v>
      </c>
      <c r="M70" s="30"/>
      <c r="N70" s="34"/>
      <c r="O70" s="34"/>
      <c r="P70" s="35">
        <f t="shared" si="11"/>
        <v>90000</v>
      </c>
      <c r="Q70" s="33">
        <f>AI70+AV70+CK70+Table1[[#This Row],[FY 25-26]]</f>
        <v>0</v>
      </c>
      <c r="R70" s="36">
        <v>20000</v>
      </c>
      <c r="S70" s="37" t="s">
        <v>3315</v>
      </c>
      <c r="T70" s="38">
        <v>45779</v>
      </c>
      <c r="U70" s="39"/>
      <c r="V70" s="39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1">
        <f t="shared" si="12"/>
        <v>0</v>
      </c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>
        <f t="shared" si="13"/>
        <v>0</v>
      </c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3">
        <f t="shared" si="14"/>
        <v>0</v>
      </c>
      <c r="CL70" s="66"/>
      <c r="CM70" s="66">
        <v>0</v>
      </c>
      <c r="CN70" s="66"/>
      <c r="CO70" s="66"/>
      <c r="CP70" s="66">
        <v>0</v>
      </c>
      <c r="CQ70" s="66">
        <v>0</v>
      </c>
      <c r="CR70" s="66">
        <v>0</v>
      </c>
      <c r="CS70" s="66">
        <v>0</v>
      </c>
      <c r="CT70" s="66">
        <v>0</v>
      </c>
      <c r="CU70" s="66">
        <v>0</v>
      </c>
      <c r="CV70" s="66">
        <v>0</v>
      </c>
      <c r="CW70" s="66">
        <v>0</v>
      </c>
      <c r="CX70" s="66">
        <v>0</v>
      </c>
      <c r="CY70" s="66">
        <v>0</v>
      </c>
      <c r="CZ70" s="66">
        <v>0</v>
      </c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>
        <f>SUM(Table1[[#This Row],[01-03 Apr]:[Mar-26]])</f>
        <v>0</v>
      </c>
    </row>
    <row r="71" spans="1:115" x14ac:dyDescent="0.2">
      <c r="A71" s="28"/>
      <c r="B71" s="29"/>
      <c r="C71" s="29" t="s">
        <v>3313</v>
      </c>
      <c r="D71" s="30" t="s">
        <v>3309</v>
      </c>
      <c r="E71" s="30" t="s">
        <v>297</v>
      </c>
      <c r="F71" s="30"/>
      <c r="G71" s="31"/>
      <c r="H71" s="30"/>
      <c r="I71" s="30" t="str">
        <f>IF(Table1[[#This Row],[Centre Status]]="Returned","NA",IF(Table1[[#This Row],[SD]]&gt;19000,"Full Payment",IF(Table1[[#This Row],[SD]]&lt;1,"No Payment","Partial Payment")))</f>
        <v>Partial Payment</v>
      </c>
      <c r="J71" s="30" t="s">
        <v>58</v>
      </c>
      <c r="K71" s="32">
        <v>110000</v>
      </c>
      <c r="L71" s="33">
        <f>Q71+R71+U71+Table1[[#This Row],[Farmer Payment]]</f>
        <v>10000</v>
      </c>
      <c r="M71" s="30"/>
      <c r="N71" s="34"/>
      <c r="O71" s="34"/>
      <c r="P71" s="35">
        <f t="shared" si="11"/>
        <v>100000</v>
      </c>
      <c r="Q71" s="33">
        <f>AI71+AV71+CK71+Table1[[#This Row],[FY 25-26]]</f>
        <v>0</v>
      </c>
      <c r="R71" s="36">
        <v>10000</v>
      </c>
      <c r="S71" s="37"/>
      <c r="T71" s="38">
        <v>45779</v>
      </c>
      <c r="U71" s="39"/>
      <c r="V71" s="3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1">
        <f t="shared" si="12"/>
        <v>0</v>
      </c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>
        <f t="shared" si="13"/>
        <v>0</v>
      </c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3">
        <f t="shared" si="14"/>
        <v>0</v>
      </c>
      <c r="CL71" s="66"/>
      <c r="CM71" s="66">
        <v>0</v>
      </c>
      <c r="CN71" s="66"/>
      <c r="CO71" s="66"/>
      <c r="CP71" s="66">
        <v>0</v>
      </c>
      <c r="CQ71" s="66">
        <v>0</v>
      </c>
      <c r="CR71" s="66">
        <v>0</v>
      </c>
      <c r="CS71" s="66">
        <v>0</v>
      </c>
      <c r="CT71" s="66">
        <v>0</v>
      </c>
      <c r="CU71" s="66">
        <v>0</v>
      </c>
      <c r="CV71" s="66">
        <v>0</v>
      </c>
      <c r="CW71" s="66">
        <v>0</v>
      </c>
      <c r="CX71" s="66">
        <v>0</v>
      </c>
      <c r="CY71" s="66">
        <v>0</v>
      </c>
      <c r="CZ71" s="66">
        <v>0</v>
      </c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>
        <f>SUM(Table1[[#This Row],[01-03 Apr]:[Mar-26]])</f>
        <v>0</v>
      </c>
    </row>
    <row r="72" spans="1:115" x14ac:dyDescent="0.2">
      <c r="A72" s="28"/>
      <c r="B72" s="29"/>
      <c r="C72" s="29" t="s">
        <v>3314</v>
      </c>
      <c r="D72" s="30" t="s">
        <v>3310</v>
      </c>
      <c r="E72" s="30" t="s">
        <v>297</v>
      </c>
      <c r="F72" s="30"/>
      <c r="G72" s="31"/>
      <c r="H72" s="30"/>
      <c r="I72" s="30" t="str">
        <f>IF(Table1[[#This Row],[Centre Status]]="Returned","NA",IF(Table1[[#This Row],[SD]]&gt;19000,"Full Payment",IF(Table1[[#This Row],[SD]]&lt;1,"No Payment","Partial Payment")))</f>
        <v>No Payment</v>
      </c>
      <c r="J72" s="30" t="s">
        <v>58</v>
      </c>
      <c r="K72" s="32">
        <v>110000</v>
      </c>
      <c r="L72" s="33">
        <f>Q72+R72+U72+Table1[[#This Row],[Farmer Payment]]</f>
        <v>0</v>
      </c>
      <c r="M72" s="30"/>
      <c r="N72" s="34"/>
      <c r="O72" s="34"/>
      <c r="P72" s="35">
        <f t="shared" si="11"/>
        <v>110000</v>
      </c>
      <c r="Q72" s="33">
        <f>AI72+AV72+CK72+Table1[[#This Row],[FY 25-26]]</f>
        <v>0</v>
      </c>
      <c r="R72" s="36"/>
      <c r="S72" s="37"/>
      <c r="T72" s="38"/>
      <c r="U72" s="39"/>
      <c r="V72" s="39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1">
        <f t="shared" si="12"/>
        <v>0</v>
      </c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>
        <f t="shared" si="13"/>
        <v>0</v>
      </c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3">
        <f t="shared" si="14"/>
        <v>0</v>
      </c>
      <c r="CL72" s="66"/>
      <c r="CM72" s="66">
        <v>0</v>
      </c>
      <c r="CN72" s="66"/>
      <c r="CO72" s="66"/>
      <c r="CP72" s="66">
        <v>0</v>
      </c>
      <c r="CQ72" s="66">
        <v>0</v>
      </c>
      <c r="CR72" s="66">
        <v>0</v>
      </c>
      <c r="CS72" s="66">
        <v>0</v>
      </c>
      <c r="CT72" s="66">
        <v>0</v>
      </c>
      <c r="CU72" s="66">
        <v>0</v>
      </c>
      <c r="CV72" s="66">
        <v>0</v>
      </c>
      <c r="CW72" s="66">
        <v>0</v>
      </c>
      <c r="CX72" s="66">
        <v>0</v>
      </c>
      <c r="CY72" s="66">
        <v>0</v>
      </c>
      <c r="CZ72" s="66">
        <v>0</v>
      </c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>
        <f>SUM(Table1[[#This Row],[01-03 Apr]:[Mar-26]])</f>
        <v>0</v>
      </c>
    </row>
    <row r="73" spans="1:115" x14ac:dyDescent="0.2">
      <c r="A73" s="28"/>
      <c r="B73" s="29"/>
      <c r="C73" s="29" t="s">
        <v>3272</v>
      </c>
      <c r="D73" s="30" t="s">
        <v>3237</v>
      </c>
      <c r="E73" s="30" t="s">
        <v>85</v>
      </c>
      <c r="F73" s="30"/>
      <c r="G73" s="31"/>
      <c r="H73" s="30"/>
      <c r="I73" s="30" t="str">
        <f>IF(Table1[[#This Row],[Centre Status]]="Returned","NA",IF(Table1[[#This Row],[SD]]&gt;19000,"Full Payment",IF(Table1[[#This Row],[SD]]&lt;1,"No Payment","Partial Payment")))</f>
        <v>Partial Payment</v>
      </c>
      <c r="J73" s="30" t="s">
        <v>58</v>
      </c>
      <c r="K73" s="32">
        <v>110000</v>
      </c>
      <c r="L73" s="33">
        <f>Q73+R73+U73+Table1[[#This Row],[Farmer Payment]]</f>
        <v>11861</v>
      </c>
      <c r="M73" s="30"/>
      <c r="N73" s="34"/>
      <c r="O73" s="34"/>
      <c r="P73" s="35">
        <f t="shared" si="11"/>
        <v>98139</v>
      </c>
      <c r="Q73" s="33">
        <f>AI73+AV73+CK73+Table1[[#This Row],[FY 25-26]]</f>
        <v>1861</v>
      </c>
      <c r="R73" s="36">
        <v>10000</v>
      </c>
      <c r="S73" s="37" t="s">
        <v>3241</v>
      </c>
      <c r="T73" s="38">
        <v>45754</v>
      </c>
      <c r="U73" s="39"/>
      <c r="V73" s="39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1">
        <f t="shared" si="12"/>
        <v>0</v>
      </c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>
        <f t="shared" si="13"/>
        <v>0</v>
      </c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>
        <v>0</v>
      </c>
      <c r="CG73" s="42">
        <v>0</v>
      </c>
      <c r="CH73" s="42">
        <v>0</v>
      </c>
      <c r="CI73" s="42">
        <v>0</v>
      </c>
      <c r="CJ73" s="42">
        <v>0</v>
      </c>
      <c r="CK73" s="43">
        <f t="shared" si="14"/>
        <v>0</v>
      </c>
      <c r="CL73" s="66"/>
      <c r="CM73" s="66">
        <v>0</v>
      </c>
      <c r="CN73" s="66">
        <v>0</v>
      </c>
      <c r="CO73" s="66">
        <v>0</v>
      </c>
      <c r="CP73" s="66">
        <v>0</v>
      </c>
      <c r="CQ73" s="66">
        <v>0</v>
      </c>
      <c r="CR73" s="66">
        <v>0</v>
      </c>
      <c r="CS73" s="66">
        <v>0</v>
      </c>
      <c r="CT73" s="66">
        <v>0</v>
      </c>
      <c r="CU73" s="66">
        <v>0</v>
      </c>
      <c r="CV73" s="66">
        <v>1861</v>
      </c>
      <c r="CW73" s="66">
        <v>0</v>
      </c>
      <c r="CX73" s="66">
        <v>0</v>
      </c>
      <c r="CY73" s="66">
        <v>0</v>
      </c>
      <c r="CZ73" s="66">
        <v>0</v>
      </c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>
        <f>SUM(Table1[[#This Row],[01-03 Apr]:[Mar-26]])</f>
        <v>1861</v>
      </c>
    </row>
    <row r="74" spans="1:115" hidden="1" x14ac:dyDescent="0.2">
      <c r="A74" s="28"/>
      <c r="B74" s="29"/>
      <c r="C74" s="29" t="s">
        <v>3273</v>
      </c>
      <c r="D74" s="30" t="s">
        <v>3238</v>
      </c>
      <c r="E74" s="30" t="s">
        <v>85</v>
      </c>
      <c r="F74" s="30"/>
      <c r="G74" s="31"/>
      <c r="H74" s="30"/>
      <c r="I74" s="30" t="str">
        <f>IF(Table1[[#This Row],[Centre Status]]="Returned","NA",IF(Table1[[#This Row],[SD]]&gt;19000,"Full Payment",IF(Table1[[#This Row],[SD]]&lt;1,"No Payment","Partial Payment")))</f>
        <v>Full Payment</v>
      </c>
      <c r="J74" s="30" t="s">
        <v>58</v>
      </c>
      <c r="K74" s="32">
        <v>110000</v>
      </c>
      <c r="L74" s="33">
        <f>Q74+R74+U74+Table1[[#This Row],[Farmer Payment]]</f>
        <v>21861</v>
      </c>
      <c r="M74" s="30"/>
      <c r="N74" s="34"/>
      <c r="O74" s="34"/>
      <c r="P74" s="35">
        <f t="shared" si="11"/>
        <v>88139</v>
      </c>
      <c r="Q74" s="33">
        <f>AI74+AV74+CK74+Table1[[#This Row],[FY 25-26]]</f>
        <v>1861</v>
      </c>
      <c r="R74" s="36">
        <v>20000</v>
      </c>
      <c r="S74" s="37" t="s">
        <v>3242</v>
      </c>
      <c r="T74" s="38">
        <v>45765</v>
      </c>
      <c r="U74" s="39"/>
      <c r="V74" s="39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1">
        <f t="shared" si="12"/>
        <v>0</v>
      </c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>
        <f t="shared" si="13"/>
        <v>0</v>
      </c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>
        <v>0</v>
      </c>
      <c r="CG74" s="42">
        <v>0</v>
      </c>
      <c r="CH74" s="42">
        <v>0</v>
      </c>
      <c r="CI74" s="42">
        <v>0</v>
      </c>
      <c r="CJ74" s="42">
        <v>0</v>
      </c>
      <c r="CK74" s="43">
        <f t="shared" si="14"/>
        <v>0</v>
      </c>
      <c r="CL74" s="66"/>
      <c r="CM74" s="66">
        <v>0</v>
      </c>
      <c r="CN74" s="66">
        <v>0</v>
      </c>
      <c r="CO74" s="66">
        <v>0</v>
      </c>
      <c r="CP74" s="66">
        <v>0</v>
      </c>
      <c r="CQ74" s="66">
        <v>0</v>
      </c>
      <c r="CR74" s="66">
        <v>0</v>
      </c>
      <c r="CS74" s="66">
        <v>0</v>
      </c>
      <c r="CT74" s="66">
        <v>0</v>
      </c>
      <c r="CU74" s="66">
        <v>0</v>
      </c>
      <c r="CV74" s="66">
        <v>1861</v>
      </c>
      <c r="CW74" s="66">
        <v>0</v>
      </c>
      <c r="CX74" s="66">
        <v>0</v>
      </c>
      <c r="CY74" s="66">
        <v>0</v>
      </c>
      <c r="CZ74" s="66">
        <v>0</v>
      </c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>
        <f>SUM(Table1[[#This Row],[01-03 Apr]:[Mar-26]])</f>
        <v>1861</v>
      </c>
    </row>
    <row r="75" spans="1:115" hidden="1" x14ac:dyDescent="0.2">
      <c r="A75" s="28"/>
      <c r="B75" s="29"/>
      <c r="C75" s="29" t="s">
        <v>3274</v>
      </c>
      <c r="D75" s="30" t="s">
        <v>3239</v>
      </c>
      <c r="E75" s="30" t="s">
        <v>85</v>
      </c>
      <c r="F75" s="30"/>
      <c r="G75" s="31"/>
      <c r="H75" s="30"/>
      <c r="I75" s="30" t="str">
        <f>IF(Table1[[#This Row],[Centre Status]]="Returned","NA",IF(Table1[[#This Row],[SD]]&gt;19000,"Full Payment",IF(Table1[[#This Row],[SD]]&lt;1,"No Payment","Partial Payment")))</f>
        <v>Full Payment</v>
      </c>
      <c r="J75" s="30" t="s">
        <v>58</v>
      </c>
      <c r="K75" s="32">
        <v>110000</v>
      </c>
      <c r="L75" s="33">
        <f>Q75+R75+U75+Table1[[#This Row],[Farmer Payment]]</f>
        <v>21861</v>
      </c>
      <c r="M75" s="30"/>
      <c r="N75" s="34"/>
      <c r="O75" s="34"/>
      <c r="P75" s="35">
        <f t="shared" si="11"/>
        <v>88139</v>
      </c>
      <c r="Q75" s="33">
        <f>AI75+AV75+CK75+Table1[[#This Row],[FY 25-26]]</f>
        <v>1861</v>
      </c>
      <c r="R75" s="36">
        <v>20000</v>
      </c>
      <c r="S75" s="37" t="s">
        <v>3243</v>
      </c>
      <c r="T75" s="38">
        <v>45765</v>
      </c>
      <c r="U75" s="39"/>
      <c r="V75" s="39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1">
        <f t="shared" si="12"/>
        <v>0</v>
      </c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>
        <f t="shared" si="13"/>
        <v>0</v>
      </c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>
        <v>0</v>
      </c>
      <c r="CG75" s="42">
        <v>0</v>
      </c>
      <c r="CH75" s="42">
        <v>0</v>
      </c>
      <c r="CI75" s="42">
        <v>0</v>
      </c>
      <c r="CJ75" s="42">
        <v>0</v>
      </c>
      <c r="CK75" s="43">
        <f t="shared" si="14"/>
        <v>0</v>
      </c>
      <c r="CL75" s="66"/>
      <c r="CM75" s="66">
        <v>0</v>
      </c>
      <c r="CN75" s="66">
        <v>0</v>
      </c>
      <c r="CO75" s="66">
        <v>0</v>
      </c>
      <c r="CP75" s="66">
        <v>0</v>
      </c>
      <c r="CQ75" s="66">
        <v>0</v>
      </c>
      <c r="CR75" s="66">
        <v>0</v>
      </c>
      <c r="CS75" s="66">
        <v>0</v>
      </c>
      <c r="CT75" s="66">
        <v>0</v>
      </c>
      <c r="CU75" s="66">
        <v>0</v>
      </c>
      <c r="CV75" s="66">
        <v>1861</v>
      </c>
      <c r="CW75" s="66">
        <v>0</v>
      </c>
      <c r="CX75" s="66">
        <v>0</v>
      </c>
      <c r="CY75" s="66">
        <v>0</v>
      </c>
      <c r="CZ75" s="66">
        <v>0</v>
      </c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>
        <f>SUM(Table1[[#This Row],[01-03 Apr]:[Mar-26]])</f>
        <v>1861</v>
      </c>
    </row>
    <row r="76" spans="1:115" x14ac:dyDescent="0.2">
      <c r="A76" s="28"/>
      <c r="B76" s="29"/>
      <c r="C76" s="29" t="s">
        <v>3286</v>
      </c>
      <c r="D76" s="30" t="s">
        <v>3287</v>
      </c>
      <c r="E76" s="30" t="s">
        <v>3213</v>
      </c>
      <c r="F76" s="30"/>
      <c r="G76" s="31"/>
      <c r="H76" s="30"/>
      <c r="I76" s="30" t="str">
        <f>IF(Table1[[#This Row],[Centre Status]]="Returned","NA",IF(Table1[[#This Row],[SD]]&gt;19000,"Full Payment",IF(Table1[[#This Row],[SD]]&lt;1,"No Payment","Partial Payment")))</f>
        <v>Partial Payment</v>
      </c>
      <c r="J76" s="30" t="s">
        <v>58</v>
      </c>
      <c r="K76" s="32">
        <v>110000</v>
      </c>
      <c r="L76" s="33">
        <f>Q76+R76+U76+Table1[[#This Row],[Farmer Payment]]</f>
        <v>10822</v>
      </c>
      <c r="M76" s="30"/>
      <c r="N76" s="34"/>
      <c r="O76" s="34"/>
      <c r="P76" s="35">
        <f t="shared" si="11"/>
        <v>99178</v>
      </c>
      <c r="Q76" s="33">
        <f>AI76+AV76+CK76+Table1[[#This Row],[FY 25-26]]</f>
        <v>822</v>
      </c>
      <c r="R76" s="36">
        <v>10000</v>
      </c>
      <c r="S76" s="37" t="s">
        <v>3288</v>
      </c>
      <c r="T76" s="38">
        <v>45758</v>
      </c>
      <c r="U76" s="39"/>
      <c r="V76" s="39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1">
        <f t="shared" si="12"/>
        <v>0</v>
      </c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>
        <f t="shared" si="13"/>
        <v>0</v>
      </c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>
        <v>0</v>
      </c>
      <c r="CG76" s="42">
        <v>0</v>
      </c>
      <c r="CH76" s="42">
        <v>0</v>
      </c>
      <c r="CI76" s="42">
        <v>0</v>
      </c>
      <c r="CJ76" s="42"/>
      <c r="CK76" s="43">
        <f t="shared" si="14"/>
        <v>0</v>
      </c>
      <c r="CL76" s="66"/>
      <c r="CM76" s="66">
        <v>0</v>
      </c>
      <c r="CN76" s="66">
        <v>0</v>
      </c>
      <c r="CO76" s="66">
        <v>0</v>
      </c>
      <c r="CP76" s="66">
        <v>0</v>
      </c>
      <c r="CQ76" s="66">
        <v>0</v>
      </c>
      <c r="CR76" s="66">
        <v>0</v>
      </c>
      <c r="CS76" s="66">
        <v>0</v>
      </c>
      <c r="CT76" s="66">
        <v>0</v>
      </c>
      <c r="CU76" s="66">
        <v>0</v>
      </c>
      <c r="CV76" s="66">
        <v>822</v>
      </c>
      <c r="CW76" s="66">
        <v>0</v>
      </c>
      <c r="CX76" s="66">
        <v>0</v>
      </c>
      <c r="CY76" s="66">
        <v>0</v>
      </c>
      <c r="CZ76" s="66">
        <v>0</v>
      </c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>
        <f>SUM(Table1[[#This Row],[01-03 Apr]:[Mar-26]])</f>
        <v>822</v>
      </c>
    </row>
    <row r="77" spans="1:115" x14ac:dyDescent="0.2">
      <c r="A77" s="28"/>
      <c r="B77" s="29"/>
      <c r="C77" s="29" t="s">
        <v>3275</v>
      </c>
      <c r="D77" s="30" t="s">
        <v>3240</v>
      </c>
      <c r="E77" s="30" t="s">
        <v>85</v>
      </c>
      <c r="F77" s="30"/>
      <c r="G77" s="31"/>
      <c r="H77" s="30"/>
      <c r="I77" s="30" t="str">
        <f>IF(Table1[[#This Row],[Centre Status]]="Returned","NA",IF(Table1[[#This Row],[SD]]&gt;19000,"Full Payment",IF(Table1[[#This Row],[SD]]&lt;1,"No Payment","Partial Payment")))</f>
        <v>Partial Payment</v>
      </c>
      <c r="J77" s="30" t="s">
        <v>58</v>
      </c>
      <c r="K77" s="32">
        <v>110000</v>
      </c>
      <c r="L77" s="33">
        <f>Q77+R77+U77+Table1[[#This Row],[Farmer Payment]]</f>
        <v>10781</v>
      </c>
      <c r="M77" s="30"/>
      <c r="N77" s="34"/>
      <c r="O77" s="34"/>
      <c r="P77" s="35">
        <f t="shared" si="11"/>
        <v>99219</v>
      </c>
      <c r="Q77" s="33">
        <f>AI77+AV77+CK77+Table1[[#This Row],[FY 25-26]]</f>
        <v>781</v>
      </c>
      <c r="R77" s="36">
        <v>10000</v>
      </c>
      <c r="S77" s="37" t="s">
        <v>3244</v>
      </c>
      <c r="T77" s="38">
        <v>45754</v>
      </c>
      <c r="U77" s="39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1">
        <f t="shared" si="12"/>
        <v>0</v>
      </c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>
        <f t="shared" si="13"/>
        <v>0</v>
      </c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>
        <v>0</v>
      </c>
      <c r="CG77" s="42">
        <v>0</v>
      </c>
      <c r="CH77" s="42">
        <v>0</v>
      </c>
      <c r="CI77" s="42">
        <v>0</v>
      </c>
      <c r="CJ77" s="42">
        <v>0</v>
      </c>
      <c r="CK77" s="43">
        <f t="shared" si="14"/>
        <v>0</v>
      </c>
      <c r="CL77" s="66"/>
      <c r="CM77" s="66">
        <v>0</v>
      </c>
      <c r="CN77" s="66">
        <v>0</v>
      </c>
      <c r="CO77" s="66">
        <v>0</v>
      </c>
      <c r="CP77" s="66">
        <v>0</v>
      </c>
      <c r="CQ77" s="66">
        <v>0</v>
      </c>
      <c r="CR77" s="66">
        <v>0</v>
      </c>
      <c r="CS77" s="66">
        <v>0</v>
      </c>
      <c r="CT77" s="66">
        <v>0</v>
      </c>
      <c r="CU77" s="66">
        <v>0</v>
      </c>
      <c r="CV77" s="66">
        <v>781</v>
      </c>
      <c r="CW77" s="66">
        <v>0</v>
      </c>
      <c r="CX77" s="66">
        <v>0</v>
      </c>
      <c r="CY77" s="66">
        <v>0</v>
      </c>
      <c r="CZ77" s="66">
        <v>0</v>
      </c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>
        <f>SUM(Table1[[#This Row],[01-03 Apr]:[Mar-26]])</f>
        <v>781</v>
      </c>
    </row>
    <row r="78" spans="1:115" x14ac:dyDescent="0.2">
      <c r="A78" s="28"/>
      <c r="B78" s="29"/>
      <c r="C78" s="29" t="s">
        <v>3276</v>
      </c>
      <c r="D78" s="30" t="s">
        <v>3269</v>
      </c>
      <c r="E78" s="30" t="s">
        <v>3086</v>
      </c>
      <c r="F78" s="30"/>
      <c r="G78" s="31"/>
      <c r="H78" s="30"/>
      <c r="I78" s="30" t="str">
        <f>IF(Table1[[#This Row],[Centre Status]]="Returned","NA",IF(Table1[[#This Row],[SD]]&gt;19000,"Full Payment",IF(Table1[[#This Row],[SD]]&lt;1,"No Payment","Partial Payment")))</f>
        <v>Partial Payment</v>
      </c>
      <c r="J78" s="30" t="s">
        <v>58</v>
      </c>
      <c r="K78" s="32">
        <v>110000</v>
      </c>
      <c r="L78" s="33">
        <f>Q78+R78+U78+Table1[[#This Row],[Farmer Payment]]</f>
        <v>11861</v>
      </c>
      <c r="M78" s="30"/>
      <c r="N78" s="34"/>
      <c r="O78" s="34"/>
      <c r="P78" s="35">
        <f t="shared" si="11"/>
        <v>98139</v>
      </c>
      <c r="Q78" s="33">
        <f>AI78+AV78+CK78+Table1[[#This Row],[FY 25-26]]</f>
        <v>1861</v>
      </c>
      <c r="R78" s="36">
        <v>10000</v>
      </c>
      <c r="S78" s="37" t="s">
        <v>3285</v>
      </c>
      <c r="T78" s="38">
        <v>45749</v>
      </c>
      <c r="U78" s="39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1">
        <f t="shared" si="12"/>
        <v>0</v>
      </c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>
        <f t="shared" si="13"/>
        <v>0</v>
      </c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>
        <v>0</v>
      </c>
      <c r="CG78" s="42">
        <v>0</v>
      </c>
      <c r="CH78" s="42">
        <v>0</v>
      </c>
      <c r="CI78" s="42">
        <v>0</v>
      </c>
      <c r="CJ78" s="42"/>
      <c r="CK78" s="43">
        <f t="shared" si="14"/>
        <v>0</v>
      </c>
      <c r="CL78" s="66"/>
      <c r="CM78" s="66">
        <v>0</v>
      </c>
      <c r="CN78" s="66">
        <v>0</v>
      </c>
      <c r="CO78" s="66">
        <v>0</v>
      </c>
      <c r="CP78" s="66">
        <v>0</v>
      </c>
      <c r="CQ78" s="66">
        <v>0</v>
      </c>
      <c r="CR78" s="66">
        <v>0</v>
      </c>
      <c r="CS78" s="66">
        <v>0</v>
      </c>
      <c r="CT78" s="66">
        <v>0</v>
      </c>
      <c r="CU78" s="66">
        <v>0</v>
      </c>
      <c r="CV78" s="66">
        <v>1861</v>
      </c>
      <c r="CW78" s="66">
        <v>0</v>
      </c>
      <c r="CX78" s="66">
        <v>0</v>
      </c>
      <c r="CY78" s="66">
        <v>0</v>
      </c>
      <c r="CZ78" s="66">
        <v>0</v>
      </c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>
        <f>SUM(Table1[[#This Row],[01-03 Apr]:[Mar-26]])</f>
        <v>1861</v>
      </c>
    </row>
    <row r="79" spans="1:115" x14ac:dyDescent="0.2">
      <c r="A79" s="28"/>
      <c r="B79" s="29"/>
      <c r="C79" s="29" t="s">
        <v>3277</v>
      </c>
      <c r="D79" s="30" t="s">
        <v>1284</v>
      </c>
      <c r="E79" s="30" t="s">
        <v>3270</v>
      </c>
      <c r="F79" s="30"/>
      <c r="G79" s="31"/>
      <c r="H79" s="30"/>
      <c r="I79" s="30" t="str">
        <f>IF(Table1[[#This Row],[Centre Status]]="Returned","NA",IF(Table1[[#This Row],[SD]]&gt;19000,"Full Payment",IF(Table1[[#This Row],[SD]]&lt;1,"No Payment","Partial Payment")))</f>
        <v>Partial Payment</v>
      </c>
      <c r="J79" s="30" t="s">
        <v>58</v>
      </c>
      <c r="K79" s="32">
        <v>110000</v>
      </c>
      <c r="L79" s="33">
        <f>Q79+R79+U79+Table1[[#This Row],[Farmer Payment]]</f>
        <v>10000</v>
      </c>
      <c r="M79" s="30"/>
      <c r="N79" s="34"/>
      <c r="O79" s="34"/>
      <c r="P79" s="35">
        <f t="shared" si="11"/>
        <v>100000</v>
      </c>
      <c r="Q79" s="33">
        <f>AI79+AV79+CK79+Table1[[#This Row],[FY 25-26]]</f>
        <v>0</v>
      </c>
      <c r="R79" s="36">
        <v>10000</v>
      </c>
      <c r="S79" s="37"/>
      <c r="T79" s="38">
        <v>45749</v>
      </c>
      <c r="U79" s="39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1">
        <f t="shared" si="12"/>
        <v>0</v>
      </c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>
        <f t="shared" si="13"/>
        <v>0</v>
      </c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>
        <v>0</v>
      </c>
      <c r="CG79" s="42">
        <v>0</v>
      </c>
      <c r="CH79" s="42">
        <v>0</v>
      </c>
      <c r="CI79" s="42">
        <v>0</v>
      </c>
      <c r="CJ79" s="42"/>
      <c r="CK79" s="43">
        <f t="shared" si="14"/>
        <v>0</v>
      </c>
      <c r="CL79" s="66"/>
      <c r="CM79" s="66">
        <v>0</v>
      </c>
      <c r="CN79" s="66">
        <v>0</v>
      </c>
      <c r="CO79" s="66">
        <v>0</v>
      </c>
      <c r="CP79" s="66">
        <v>0</v>
      </c>
      <c r="CQ79" s="66">
        <v>0</v>
      </c>
      <c r="CR79" s="66">
        <v>0</v>
      </c>
      <c r="CS79" s="66">
        <v>0</v>
      </c>
      <c r="CT79" s="66">
        <v>0</v>
      </c>
      <c r="CU79" s="66">
        <v>0</v>
      </c>
      <c r="CV79" s="66">
        <v>0</v>
      </c>
      <c r="CW79" s="66">
        <v>0</v>
      </c>
      <c r="CX79" s="66">
        <v>0</v>
      </c>
      <c r="CY79" s="66">
        <v>0</v>
      </c>
      <c r="CZ79" s="66">
        <v>0</v>
      </c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>
        <f>SUM(Table1[[#This Row],[01-03 Apr]:[Mar-26]])</f>
        <v>0</v>
      </c>
    </row>
    <row r="80" spans="1:115" hidden="1" x14ac:dyDescent="0.2">
      <c r="A80" s="28"/>
      <c r="B80" s="29"/>
      <c r="C80" s="29" t="s">
        <v>3278</v>
      </c>
      <c r="D80" s="30" t="s">
        <v>3217</v>
      </c>
      <c r="E80" s="30" t="s">
        <v>217</v>
      </c>
      <c r="F80" s="30"/>
      <c r="G80" s="31"/>
      <c r="H80" s="30"/>
      <c r="I80" s="30" t="str">
        <f>IF(Table1[[#This Row],[Centre Status]]="Returned","NA",IF(Table1[[#This Row],[SD]]&gt;19000,"Full Payment",IF(Table1[[#This Row],[SD]]&lt;1,"No Payment","Partial Payment")))</f>
        <v>Full Payment</v>
      </c>
      <c r="J80" s="30" t="s">
        <v>58</v>
      </c>
      <c r="K80" s="32">
        <v>110000</v>
      </c>
      <c r="L80" s="33">
        <f>Q80+R80+U80+Table1[[#This Row],[Farmer Payment]]</f>
        <v>21650</v>
      </c>
      <c r="M80" s="30"/>
      <c r="N80" s="34"/>
      <c r="O80" s="34"/>
      <c r="P80" s="35">
        <f t="shared" si="11"/>
        <v>88350</v>
      </c>
      <c r="Q80" s="33">
        <f>AI80+AV80+CK80+Table1[[#This Row],[FY 25-26]]</f>
        <v>1650</v>
      </c>
      <c r="R80" s="36">
        <v>20000</v>
      </c>
      <c r="S80" s="37" t="s">
        <v>3225</v>
      </c>
      <c r="T80" s="38">
        <v>45754</v>
      </c>
      <c r="U80" s="39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1">
        <f t="shared" si="12"/>
        <v>0</v>
      </c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>
        <f t="shared" si="13"/>
        <v>0</v>
      </c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>
        <v>0</v>
      </c>
      <c r="CG80" s="42">
        <v>0</v>
      </c>
      <c r="CH80" s="42">
        <v>0</v>
      </c>
      <c r="CI80" s="42">
        <v>0</v>
      </c>
      <c r="CJ80" s="42">
        <v>0</v>
      </c>
      <c r="CK80" s="43">
        <f t="shared" si="14"/>
        <v>0</v>
      </c>
      <c r="CL80" s="66"/>
      <c r="CM80" s="66">
        <v>0</v>
      </c>
      <c r="CN80" s="66">
        <v>0</v>
      </c>
      <c r="CO80" s="66">
        <v>0</v>
      </c>
      <c r="CP80" s="66">
        <v>0</v>
      </c>
      <c r="CQ80" s="66">
        <v>0</v>
      </c>
      <c r="CR80" s="66">
        <v>0</v>
      </c>
      <c r="CS80" s="66">
        <v>0</v>
      </c>
      <c r="CT80" s="66">
        <v>0</v>
      </c>
      <c r="CU80" s="66">
        <v>0</v>
      </c>
      <c r="CV80" s="66">
        <v>1650</v>
      </c>
      <c r="CW80" s="66">
        <v>0</v>
      </c>
      <c r="CX80" s="66">
        <v>0</v>
      </c>
      <c r="CY80" s="66">
        <v>0</v>
      </c>
      <c r="CZ80" s="66">
        <v>0</v>
      </c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>
        <f>SUM(Table1[[#This Row],[01-03 Apr]:[Mar-26]])</f>
        <v>1650</v>
      </c>
    </row>
    <row r="81" spans="1:115" hidden="1" x14ac:dyDescent="0.2">
      <c r="A81" s="28"/>
      <c r="B81" s="29"/>
      <c r="C81" s="29" t="s">
        <v>3279</v>
      </c>
      <c r="D81" s="30" t="s">
        <v>3218</v>
      </c>
      <c r="E81" s="30" t="s">
        <v>217</v>
      </c>
      <c r="F81" s="30"/>
      <c r="G81" s="31"/>
      <c r="H81" s="30"/>
      <c r="I81" s="30" t="str">
        <f>IF(Table1[[#This Row],[Centre Status]]="Returned","NA",IF(Table1[[#This Row],[SD]]&gt;19000,"Full Payment",IF(Table1[[#This Row],[SD]]&lt;1,"No Payment","Partial Payment")))</f>
        <v>Full Payment</v>
      </c>
      <c r="J81" s="30" t="s">
        <v>58</v>
      </c>
      <c r="K81" s="32">
        <v>110000</v>
      </c>
      <c r="L81" s="33">
        <f>Q81+R81+U81+Table1[[#This Row],[Farmer Payment]]</f>
        <v>22081.156554559999</v>
      </c>
      <c r="M81" s="30"/>
      <c r="N81" s="34"/>
      <c r="O81" s="34"/>
      <c r="P81" s="35">
        <f t="shared" si="11"/>
        <v>87918.843445439998</v>
      </c>
      <c r="Q81" s="33">
        <f>AI81+AV81+CK81+Table1[[#This Row],[FY 25-26]]</f>
        <v>2081.1565545600001</v>
      </c>
      <c r="R81" s="36">
        <v>20000</v>
      </c>
      <c r="S81" s="37" t="s">
        <v>3226</v>
      </c>
      <c r="T81" s="38">
        <v>45754</v>
      </c>
      <c r="U81" s="39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1">
        <f t="shared" si="12"/>
        <v>0</v>
      </c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>
        <f t="shared" si="13"/>
        <v>0</v>
      </c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>
        <v>0</v>
      </c>
      <c r="CG81" s="42">
        <v>0</v>
      </c>
      <c r="CH81" s="42">
        <v>0</v>
      </c>
      <c r="CI81" s="42">
        <v>0</v>
      </c>
      <c r="CJ81" s="42">
        <v>0</v>
      </c>
      <c r="CK81" s="43">
        <f t="shared" si="14"/>
        <v>0</v>
      </c>
      <c r="CL81" s="66"/>
      <c r="CM81" s="66">
        <v>0</v>
      </c>
      <c r="CN81" s="66">
        <v>0</v>
      </c>
      <c r="CO81" s="66">
        <v>0</v>
      </c>
      <c r="CP81" s="66">
        <v>0</v>
      </c>
      <c r="CQ81" s="66">
        <v>0</v>
      </c>
      <c r="CR81" s="66">
        <v>0</v>
      </c>
      <c r="CS81" s="66">
        <v>0</v>
      </c>
      <c r="CT81" s="66">
        <v>0</v>
      </c>
      <c r="CU81" s="66">
        <v>0</v>
      </c>
      <c r="CV81" s="66">
        <v>2081.1565545600001</v>
      </c>
      <c r="CW81" s="66">
        <v>0</v>
      </c>
      <c r="CX81" s="66">
        <v>0</v>
      </c>
      <c r="CY81" s="66">
        <v>0</v>
      </c>
      <c r="CZ81" s="66">
        <v>0</v>
      </c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>
        <f>SUM(Table1[[#This Row],[01-03 Apr]:[Mar-26]])</f>
        <v>2081.1565545600001</v>
      </c>
    </row>
    <row r="82" spans="1:115" hidden="1" x14ac:dyDescent="0.2">
      <c r="A82" s="28"/>
      <c r="B82" s="29"/>
      <c r="C82" s="29" t="s">
        <v>3280</v>
      </c>
      <c r="D82" s="30" t="s">
        <v>3219</v>
      </c>
      <c r="E82" s="30" t="s">
        <v>217</v>
      </c>
      <c r="F82" s="30"/>
      <c r="G82" s="31"/>
      <c r="H82" s="30"/>
      <c r="I82" s="30" t="str">
        <f>IF(Table1[[#This Row],[Centre Status]]="Returned","NA",IF(Table1[[#This Row],[SD]]&gt;19000,"Full Payment",IF(Table1[[#This Row],[SD]]&lt;1,"No Payment","Partial Payment")))</f>
        <v>Full Payment</v>
      </c>
      <c r="J82" s="30" t="s">
        <v>58</v>
      </c>
      <c r="K82" s="32">
        <v>110000</v>
      </c>
      <c r="L82" s="33">
        <f>Q82+R82+U82+Table1[[#This Row],[Farmer Payment]]</f>
        <v>23206.208769420798</v>
      </c>
      <c r="M82" s="30"/>
      <c r="N82" s="34"/>
      <c r="O82" s="34"/>
      <c r="P82" s="35">
        <f t="shared" si="11"/>
        <v>86793.791230579198</v>
      </c>
      <c r="Q82" s="33">
        <f>AI82+AV82+CK82+Table1[[#This Row],[FY 25-26]]</f>
        <v>3206.2087694207999</v>
      </c>
      <c r="R82" s="36">
        <v>20000</v>
      </c>
      <c r="S82" s="37" t="s">
        <v>3227</v>
      </c>
      <c r="T82" s="38">
        <v>45754</v>
      </c>
      <c r="U82" s="39"/>
      <c r="V82" s="39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1">
        <f t="shared" si="12"/>
        <v>0</v>
      </c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>
        <f t="shared" si="13"/>
        <v>0</v>
      </c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>
        <v>0</v>
      </c>
      <c r="CG82" s="42">
        <v>0</v>
      </c>
      <c r="CH82" s="42">
        <v>0</v>
      </c>
      <c r="CI82" s="42">
        <v>0</v>
      </c>
      <c r="CJ82" s="42">
        <v>0</v>
      </c>
      <c r="CK82" s="43">
        <f t="shared" si="14"/>
        <v>0</v>
      </c>
      <c r="CL82" s="66"/>
      <c r="CM82" s="66">
        <v>0</v>
      </c>
      <c r="CN82" s="66">
        <v>0</v>
      </c>
      <c r="CO82" s="66">
        <v>0</v>
      </c>
      <c r="CP82" s="66">
        <v>0</v>
      </c>
      <c r="CQ82" s="66">
        <v>0</v>
      </c>
      <c r="CR82" s="66">
        <v>0</v>
      </c>
      <c r="CS82" s="66">
        <v>0</v>
      </c>
      <c r="CT82" s="66">
        <v>0</v>
      </c>
      <c r="CU82" s="66">
        <v>0</v>
      </c>
      <c r="CV82" s="66">
        <v>3206.2087694207999</v>
      </c>
      <c r="CW82" s="66">
        <v>0</v>
      </c>
      <c r="CX82" s="66">
        <v>0</v>
      </c>
      <c r="CY82" s="66">
        <v>0</v>
      </c>
      <c r="CZ82" s="66">
        <v>0</v>
      </c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>
        <f>SUM(Table1[[#This Row],[01-03 Apr]:[Mar-26]])</f>
        <v>3206.2087694207999</v>
      </c>
    </row>
    <row r="83" spans="1:115" hidden="1" x14ac:dyDescent="0.2">
      <c r="A83" s="28"/>
      <c r="B83" s="29"/>
      <c r="C83" s="29" t="s">
        <v>3281</v>
      </c>
      <c r="D83" s="30" t="s">
        <v>3220</v>
      </c>
      <c r="E83" s="30" t="s">
        <v>217</v>
      </c>
      <c r="F83" s="30"/>
      <c r="G83" s="31"/>
      <c r="H83" s="30"/>
      <c r="I83" s="30" t="str">
        <f>IF(Table1[[#This Row],[Centre Status]]="Returned","NA",IF(Table1[[#This Row],[SD]]&gt;19000,"Full Payment",IF(Table1[[#This Row],[SD]]&lt;1,"No Payment","Partial Payment")))</f>
        <v>Full Payment</v>
      </c>
      <c r="J83" s="30" t="s">
        <v>58</v>
      </c>
      <c r="K83" s="32">
        <v>110000</v>
      </c>
      <c r="L83" s="33">
        <f>Q83+R83+U83+Table1[[#This Row],[Farmer Payment]]</f>
        <v>20948</v>
      </c>
      <c r="M83" s="30"/>
      <c r="N83" s="34"/>
      <c r="O83" s="34"/>
      <c r="P83" s="35">
        <f t="shared" si="11"/>
        <v>89052</v>
      </c>
      <c r="Q83" s="33">
        <f>AI83+AV83+CK83+Table1[[#This Row],[FY 25-26]]</f>
        <v>948</v>
      </c>
      <c r="R83" s="36">
        <v>20000</v>
      </c>
      <c r="S83" s="37" t="s">
        <v>3228</v>
      </c>
      <c r="T83" s="38">
        <v>45754</v>
      </c>
      <c r="U83" s="39"/>
      <c r="V83" s="39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1">
        <f t="shared" si="12"/>
        <v>0</v>
      </c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>
        <f t="shared" si="13"/>
        <v>0</v>
      </c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>
        <v>0</v>
      </c>
      <c r="CG83" s="42">
        <v>0</v>
      </c>
      <c r="CH83" s="42">
        <v>0</v>
      </c>
      <c r="CI83" s="42">
        <v>0</v>
      </c>
      <c r="CJ83" s="42">
        <v>0</v>
      </c>
      <c r="CK83" s="43">
        <f t="shared" si="14"/>
        <v>0</v>
      </c>
      <c r="CL83" s="66"/>
      <c r="CM83" s="66">
        <v>0</v>
      </c>
      <c r="CN83" s="66">
        <v>0</v>
      </c>
      <c r="CO83" s="66">
        <v>0</v>
      </c>
      <c r="CP83" s="66">
        <v>0</v>
      </c>
      <c r="CQ83" s="66">
        <v>0</v>
      </c>
      <c r="CR83" s="66">
        <v>0</v>
      </c>
      <c r="CS83" s="66">
        <v>0</v>
      </c>
      <c r="CT83" s="66">
        <v>0</v>
      </c>
      <c r="CU83" s="66">
        <v>0</v>
      </c>
      <c r="CV83" s="66">
        <v>948</v>
      </c>
      <c r="CW83" s="66">
        <v>0</v>
      </c>
      <c r="CX83" s="66">
        <v>0</v>
      </c>
      <c r="CY83" s="66">
        <v>0</v>
      </c>
      <c r="CZ83" s="66">
        <v>0</v>
      </c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>
        <f>SUM(Table1[[#This Row],[01-03 Apr]:[Mar-26]])</f>
        <v>948</v>
      </c>
    </row>
    <row r="84" spans="1:115" hidden="1" x14ac:dyDescent="0.2">
      <c r="A84" s="28"/>
      <c r="B84" s="29"/>
      <c r="C84" s="29" t="s">
        <v>3282</v>
      </c>
      <c r="D84" s="30" t="s">
        <v>3221</v>
      </c>
      <c r="E84" s="30" t="s">
        <v>217</v>
      </c>
      <c r="F84" s="30"/>
      <c r="G84" s="31"/>
      <c r="H84" s="30"/>
      <c r="I84" s="30" t="str">
        <f>IF(Table1[[#This Row],[Centre Status]]="Returned","NA",IF(Table1[[#This Row],[SD]]&gt;19000,"Full Payment",IF(Table1[[#This Row],[SD]]&lt;1,"No Payment","Partial Payment")))</f>
        <v>Full Payment</v>
      </c>
      <c r="J84" s="30" t="s">
        <v>58</v>
      </c>
      <c r="K84" s="32">
        <v>110000</v>
      </c>
      <c r="L84" s="33">
        <f>Q84+R84+U84+Table1[[#This Row],[Farmer Payment]]</f>
        <v>22118.879972163199</v>
      </c>
      <c r="M84" s="30"/>
      <c r="N84" s="34"/>
      <c r="O84" s="34"/>
      <c r="P84" s="35">
        <f t="shared" si="11"/>
        <v>87881.120027836805</v>
      </c>
      <c r="Q84" s="33">
        <f>AI84+AV84+CK84+Table1[[#This Row],[FY 25-26]]</f>
        <v>2118.8799721631999</v>
      </c>
      <c r="R84" s="36">
        <v>20000</v>
      </c>
      <c r="S84" s="37" t="s">
        <v>3229</v>
      </c>
      <c r="T84" s="38">
        <v>45754</v>
      </c>
      <c r="U84" s="39"/>
      <c r="V84" s="39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1">
        <f t="shared" si="12"/>
        <v>0</v>
      </c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>
        <f t="shared" si="13"/>
        <v>0</v>
      </c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>
        <v>0</v>
      </c>
      <c r="CG84" s="42">
        <v>0</v>
      </c>
      <c r="CH84" s="42">
        <v>0</v>
      </c>
      <c r="CI84" s="42">
        <v>0</v>
      </c>
      <c r="CJ84" s="42">
        <v>0</v>
      </c>
      <c r="CK84" s="43">
        <f t="shared" si="14"/>
        <v>0</v>
      </c>
      <c r="CL84" s="66"/>
      <c r="CM84" s="66">
        <v>0</v>
      </c>
      <c r="CN84" s="66">
        <v>0</v>
      </c>
      <c r="CO84" s="66">
        <v>0</v>
      </c>
      <c r="CP84" s="66">
        <v>0</v>
      </c>
      <c r="CQ84" s="66">
        <v>0</v>
      </c>
      <c r="CR84" s="66">
        <v>0</v>
      </c>
      <c r="CS84" s="66">
        <v>0</v>
      </c>
      <c r="CT84" s="66">
        <v>0</v>
      </c>
      <c r="CU84" s="66">
        <v>0</v>
      </c>
      <c r="CV84" s="66">
        <v>2118.8799721631999</v>
      </c>
      <c r="CW84" s="66">
        <v>0</v>
      </c>
      <c r="CX84" s="66">
        <v>0</v>
      </c>
      <c r="CY84" s="66">
        <v>0</v>
      </c>
      <c r="CZ84" s="66">
        <v>0</v>
      </c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>
        <f>SUM(Table1[[#This Row],[01-03 Apr]:[Mar-26]])</f>
        <v>2118.8799721631999</v>
      </c>
    </row>
    <row r="85" spans="1:115" hidden="1" x14ac:dyDescent="0.2">
      <c r="A85" s="28"/>
      <c r="B85" s="29"/>
      <c r="C85" s="29" t="s">
        <v>3283</v>
      </c>
      <c r="D85" s="30" t="s">
        <v>3222</v>
      </c>
      <c r="E85" s="30" t="s">
        <v>217</v>
      </c>
      <c r="F85" s="30"/>
      <c r="G85" s="31"/>
      <c r="H85" s="30"/>
      <c r="I85" s="30" t="str">
        <f>IF(Table1[[#This Row],[Centre Status]]="Returned","NA",IF(Table1[[#This Row],[SD]]&gt;19000,"Full Payment",IF(Table1[[#This Row],[SD]]&lt;1,"No Payment","Partial Payment")))</f>
        <v>Full Payment</v>
      </c>
      <c r="J85" s="30" t="s">
        <v>58</v>
      </c>
      <c r="K85" s="32">
        <v>110000</v>
      </c>
      <c r="L85" s="33">
        <f>Q85+R85+U85+Table1[[#This Row],[Farmer Payment]]</f>
        <v>20000</v>
      </c>
      <c r="M85" s="30"/>
      <c r="N85" s="34"/>
      <c r="O85" s="34"/>
      <c r="P85" s="35">
        <f t="shared" si="11"/>
        <v>90000</v>
      </c>
      <c r="Q85" s="33">
        <f>AI85+AV85+CK85+Table1[[#This Row],[FY 25-26]]</f>
        <v>0</v>
      </c>
      <c r="R85" s="36">
        <v>20000</v>
      </c>
      <c r="S85" s="37" t="s">
        <v>3230</v>
      </c>
      <c r="T85" s="38">
        <v>45754</v>
      </c>
      <c r="U85" s="39"/>
      <c r="V85" s="39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1">
        <f t="shared" si="12"/>
        <v>0</v>
      </c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>
        <f t="shared" si="13"/>
        <v>0</v>
      </c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>
        <v>0</v>
      </c>
      <c r="CG85" s="42">
        <v>0</v>
      </c>
      <c r="CH85" s="42">
        <v>0</v>
      </c>
      <c r="CI85" s="42">
        <v>0</v>
      </c>
      <c r="CJ85" s="42">
        <v>0</v>
      </c>
      <c r="CK85" s="43">
        <f t="shared" si="14"/>
        <v>0</v>
      </c>
      <c r="CL85" s="66"/>
      <c r="CM85" s="66">
        <v>0</v>
      </c>
      <c r="CN85" s="66">
        <v>0</v>
      </c>
      <c r="CO85" s="66">
        <v>0</v>
      </c>
      <c r="CP85" s="66">
        <v>0</v>
      </c>
      <c r="CQ85" s="66">
        <v>0</v>
      </c>
      <c r="CR85" s="66">
        <v>0</v>
      </c>
      <c r="CS85" s="66">
        <v>0</v>
      </c>
      <c r="CT85" s="66">
        <v>0</v>
      </c>
      <c r="CU85" s="66">
        <v>0</v>
      </c>
      <c r="CV85" s="66">
        <v>0</v>
      </c>
      <c r="CW85" s="66">
        <v>0</v>
      </c>
      <c r="CX85" s="66">
        <v>0</v>
      </c>
      <c r="CY85" s="66">
        <v>0</v>
      </c>
      <c r="CZ85" s="66">
        <v>0</v>
      </c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>
        <f>SUM(Table1[[#This Row],[01-03 Apr]:[Mar-26]])</f>
        <v>0</v>
      </c>
    </row>
    <row r="86" spans="1:115" hidden="1" x14ac:dyDescent="0.2">
      <c r="A86" s="28"/>
      <c r="B86" s="29"/>
      <c r="C86" s="29" t="s">
        <v>3284</v>
      </c>
      <c r="D86" s="30" t="s">
        <v>3223</v>
      </c>
      <c r="E86" s="30" t="s">
        <v>217</v>
      </c>
      <c r="F86" s="30"/>
      <c r="G86" s="31"/>
      <c r="H86" s="30"/>
      <c r="I86" s="30" t="str">
        <f>IF(Table1[[#This Row],[Centre Status]]="Returned","NA",IF(Table1[[#This Row],[SD]]&gt;19000,"Full Payment",IF(Table1[[#This Row],[SD]]&lt;1,"No Payment","Partial Payment")))</f>
        <v>Full Payment</v>
      </c>
      <c r="J86" s="30" t="s">
        <v>58</v>
      </c>
      <c r="K86" s="32">
        <v>110000</v>
      </c>
      <c r="L86" s="33">
        <f>Q86+R86+U86+Table1[[#This Row],[Farmer Payment]]</f>
        <v>21861</v>
      </c>
      <c r="M86" s="30"/>
      <c r="N86" s="34"/>
      <c r="O86" s="34"/>
      <c r="P86" s="35">
        <f t="shared" si="11"/>
        <v>88139</v>
      </c>
      <c r="Q86" s="33">
        <f>AI86+AV86+CK86+Table1[[#This Row],[FY 25-26]]</f>
        <v>1861</v>
      </c>
      <c r="R86" s="36">
        <v>20000</v>
      </c>
      <c r="S86" s="37" t="s">
        <v>3231</v>
      </c>
      <c r="T86" s="38">
        <v>45754</v>
      </c>
      <c r="U86" s="39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1">
        <f t="shared" si="12"/>
        <v>0</v>
      </c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>
        <f t="shared" si="13"/>
        <v>0</v>
      </c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>
        <v>0</v>
      </c>
      <c r="CG86" s="42">
        <v>0</v>
      </c>
      <c r="CH86" s="42">
        <v>0</v>
      </c>
      <c r="CI86" s="42">
        <v>0</v>
      </c>
      <c r="CJ86" s="42">
        <v>0</v>
      </c>
      <c r="CK86" s="43">
        <f t="shared" si="14"/>
        <v>0</v>
      </c>
      <c r="CL86" s="66"/>
      <c r="CM86" s="66">
        <v>0</v>
      </c>
      <c r="CN86" s="66">
        <v>0</v>
      </c>
      <c r="CO86" s="66">
        <v>0</v>
      </c>
      <c r="CP86" s="66">
        <v>0</v>
      </c>
      <c r="CQ86" s="66">
        <v>0</v>
      </c>
      <c r="CR86" s="66">
        <v>0</v>
      </c>
      <c r="CS86" s="66">
        <v>0</v>
      </c>
      <c r="CT86" s="66">
        <v>0</v>
      </c>
      <c r="CU86" s="66">
        <v>0</v>
      </c>
      <c r="CV86" s="66">
        <v>1861</v>
      </c>
      <c r="CW86" s="66">
        <v>0</v>
      </c>
      <c r="CX86" s="66">
        <v>0</v>
      </c>
      <c r="CY86" s="66">
        <v>0</v>
      </c>
      <c r="CZ86" s="66">
        <v>0</v>
      </c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>
        <f>SUM(Table1[[#This Row],[01-03 Apr]:[Mar-26]])</f>
        <v>1861</v>
      </c>
    </row>
    <row r="87" spans="1:115" hidden="1" x14ac:dyDescent="0.2">
      <c r="A87" s="28"/>
      <c r="B87" s="29"/>
      <c r="C87" s="29" t="s">
        <v>3235</v>
      </c>
      <c r="D87" s="30" t="s">
        <v>3232</v>
      </c>
      <c r="E87" s="30" t="s">
        <v>906</v>
      </c>
      <c r="F87" s="30"/>
      <c r="G87" s="31"/>
      <c r="H87" s="30"/>
      <c r="I87" s="30" t="str">
        <f>IF(Table1[[#This Row],[Centre Status]]="Returned","NA",IF(Table1[[#This Row],[SD]]&gt;19000,"Full Payment",IF(Table1[[#This Row],[SD]]&lt;1,"No Payment","Partial Payment")))</f>
        <v>Full Payment</v>
      </c>
      <c r="J87" s="30" t="s">
        <v>58</v>
      </c>
      <c r="K87" s="32">
        <v>110000</v>
      </c>
      <c r="L87" s="33">
        <f>Q87+R87+U87+Table1[[#This Row],[Farmer Payment]]</f>
        <v>21861</v>
      </c>
      <c r="M87" s="30"/>
      <c r="N87" s="34"/>
      <c r="O87" s="34"/>
      <c r="P87" s="35">
        <f t="shared" si="11"/>
        <v>88139</v>
      </c>
      <c r="Q87" s="33">
        <f>AI87+AV87+CK87+Table1[[#This Row],[FY 25-26]]</f>
        <v>1861</v>
      </c>
      <c r="R87" s="36">
        <v>20000</v>
      </c>
      <c r="S87" s="37"/>
      <c r="T87" s="38">
        <v>45746</v>
      </c>
      <c r="U87" s="39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1">
        <f t="shared" si="12"/>
        <v>0</v>
      </c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>
        <f t="shared" si="13"/>
        <v>0</v>
      </c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>
        <v>0</v>
      </c>
      <c r="CG87" s="42">
        <v>0</v>
      </c>
      <c r="CH87" s="42">
        <v>0</v>
      </c>
      <c r="CI87" s="42">
        <v>0</v>
      </c>
      <c r="CJ87" s="42">
        <v>0</v>
      </c>
      <c r="CK87" s="43">
        <f t="shared" si="14"/>
        <v>0</v>
      </c>
      <c r="CL87" s="66"/>
      <c r="CM87" s="66">
        <v>0</v>
      </c>
      <c r="CN87" s="66">
        <v>0</v>
      </c>
      <c r="CO87" s="66">
        <v>0</v>
      </c>
      <c r="CP87" s="66">
        <v>0</v>
      </c>
      <c r="CQ87" s="66">
        <v>0</v>
      </c>
      <c r="CR87" s="66">
        <v>0</v>
      </c>
      <c r="CS87" s="66">
        <v>0</v>
      </c>
      <c r="CT87" s="66">
        <v>0</v>
      </c>
      <c r="CU87" s="66">
        <v>0</v>
      </c>
      <c r="CV87" s="66">
        <v>1861</v>
      </c>
      <c r="CW87" s="66">
        <v>0</v>
      </c>
      <c r="CX87" s="66">
        <v>0</v>
      </c>
      <c r="CY87" s="66">
        <v>0</v>
      </c>
      <c r="CZ87" s="66">
        <v>0</v>
      </c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>
        <f>SUM(Table1[[#This Row],[01-03 Apr]:[Mar-26]])</f>
        <v>1861</v>
      </c>
    </row>
    <row r="88" spans="1:115" hidden="1" x14ac:dyDescent="0.2">
      <c r="A88" s="28"/>
      <c r="B88" s="29"/>
      <c r="C88" s="29" t="s">
        <v>3234</v>
      </c>
      <c r="D88" s="30" t="s">
        <v>3233</v>
      </c>
      <c r="E88" s="30" t="s">
        <v>906</v>
      </c>
      <c r="F88" s="30"/>
      <c r="G88" s="31"/>
      <c r="H88" s="30"/>
      <c r="I88" s="30" t="str">
        <f>IF(Table1[[#This Row],[Centre Status]]="Returned","NA",IF(Table1[[#This Row],[SD]]&gt;19000,"Full Payment",IF(Table1[[#This Row],[SD]]&lt;1,"No Payment","Partial Payment")))</f>
        <v>Full Payment</v>
      </c>
      <c r="J88" s="30" t="s">
        <v>58</v>
      </c>
      <c r="K88" s="32">
        <v>110000</v>
      </c>
      <c r="L88" s="33">
        <f>Q88+R88+U88+Table1[[#This Row],[Farmer Payment]]</f>
        <v>21861</v>
      </c>
      <c r="M88" s="30"/>
      <c r="N88" s="34"/>
      <c r="O88" s="34"/>
      <c r="P88" s="35">
        <f t="shared" si="11"/>
        <v>88139</v>
      </c>
      <c r="Q88" s="33">
        <f>AI88+AV88+CK88+Table1[[#This Row],[FY 25-26]]</f>
        <v>1861</v>
      </c>
      <c r="R88" s="36">
        <v>20000</v>
      </c>
      <c r="S88" s="37" t="s">
        <v>3236</v>
      </c>
      <c r="T88" s="38">
        <v>45754</v>
      </c>
      <c r="U88" s="39"/>
      <c r="V88" s="39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1">
        <f t="shared" si="12"/>
        <v>0</v>
      </c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>
        <f t="shared" si="13"/>
        <v>0</v>
      </c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>
        <v>0</v>
      </c>
      <c r="CG88" s="42">
        <v>0</v>
      </c>
      <c r="CH88" s="42">
        <v>0</v>
      </c>
      <c r="CI88" s="42">
        <v>0</v>
      </c>
      <c r="CJ88" s="42">
        <v>0</v>
      </c>
      <c r="CK88" s="43">
        <f t="shared" si="14"/>
        <v>0</v>
      </c>
      <c r="CL88" s="66"/>
      <c r="CM88" s="66">
        <v>0</v>
      </c>
      <c r="CN88" s="66">
        <v>0</v>
      </c>
      <c r="CO88" s="66">
        <v>0</v>
      </c>
      <c r="CP88" s="66">
        <v>0</v>
      </c>
      <c r="CQ88" s="66">
        <v>0</v>
      </c>
      <c r="CR88" s="66">
        <v>0</v>
      </c>
      <c r="CS88" s="66">
        <v>0</v>
      </c>
      <c r="CT88" s="66">
        <v>0</v>
      </c>
      <c r="CU88" s="66">
        <v>0</v>
      </c>
      <c r="CV88" s="66">
        <v>1861</v>
      </c>
      <c r="CW88" s="66">
        <v>0</v>
      </c>
      <c r="CX88" s="66">
        <v>0</v>
      </c>
      <c r="CY88" s="66">
        <v>0</v>
      </c>
      <c r="CZ88" s="66">
        <v>0</v>
      </c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>
        <f>SUM(Table1[[#This Row],[01-03 Apr]:[Mar-26]])</f>
        <v>1861</v>
      </c>
    </row>
    <row r="89" spans="1:115" x14ac:dyDescent="0.2">
      <c r="A89" s="28"/>
      <c r="B89" s="29"/>
      <c r="C89" s="29" t="s">
        <v>3006</v>
      </c>
      <c r="D89" s="30" t="s">
        <v>3004</v>
      </c>
      <c r="E89" s="30" t="s">
        <v>217</v>
      </c>
      <c r="F89" s="30"/>
      <c r="G89" s="31"/>
      <c r="H89" s="30"/>
      <c r="I89" s="30" t="str">
        <f>IF(Table1[[#This Row],[Centre Status]]="Returned","NA",IF(Table1[[#This Row],[SD]]&gt;19000,"Full Payment",IF(Table1[[#This Row],[SD]]&lt;1,"No Payment","Partial Payment")))</f>
        <v>Partial Payment</v>
      </c>
      <c r="J89" s="30" t="s">
        <v>58</v>
      </c>
      <c r="K89" s="32">
        <v>110000</v>
      </c>
      <c r="L89" s="33">
        <f>Q89+R89+U89+Table1[[#This Row],[Farmer Payment]]</f>
        <v>13127</v>
      </c>
      <c r="M89" s="30"/>
      <c r="N89" s="34"/>
      <c r="O89" s="34"/>
      <c r="P89" s="35">
        <f t="shared" si="11"/>
        <v>96873</v>
      </c>
      <c r="Q89" s="33">
        <f>AI89+AV89+CK89+Table1[[#This Row],[FY 25-26]]</f>
        <v>3127</v>
      </c>
      <c r="R89" s="36">
        <v>10000</v>
      </c>
      <c r="S89" s="37" t="s">
        <v>3005</v>
      </c>
      <c r="T89" s="38">
        <v>45677</v>
      </c>
      <c r="U89" s="39"/>
      <c r="V89" s="39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1">
        <f t="shared" si="12"/>
        <v>0</v>
      </c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>
        <f t="shared" si="13"/>
        <v>0</v>
      </c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>
        <v>0</v>
      </c>
      <c r="BQ89" s="42"/>
      <c r="BR89" s="42"/>
      <c r="BS89" s="42"/>
      <c r="BT89" s="42"/>
      <c r="BU89" s="42"/>
      <c r="BV89" s="42"/>
      <c r="BW89" s="42"/>
      <c r="BX89" s="42"/>
      <c r="BY89" s="42">
        <v>0</v>
      </c>
      <c r="BZ89" s="42">
        <v>0</v>
      </c>
      <c r="CA89" s="42">
        <v>0</v>
      </c>
      <c r="CB89" s="42">
        <v>0</v>
      </c>
      <c r="CC89" s="42">
        <v>0</v>
      </c>
      <c r="CD89" s="42">
        <v>0</v>
      </c>
      <c r="CE89" s="42">
        <v>0</v>
      </c>
      <c r="CF89" s="42">
        <v>0</v>
      </c>
      <c r="CG89" s="42">
        <v>0</v>
      </c>
      <c r="CH89" s="42">
        <v>0</v>
      </c>
      <c r="CI89" s="42">
        <v>0</v>
      </c>
      <c r="CJ89" s="42">
        <v>1861</v>
      </c>
      <c r="CK89" s="43">
        <f t="shared" si="14"/>
        <v>1861</v>
      </c>
      <c r="CL89" s="66"/>
      <c r="CM89" s="66">
        <v>0</v>
      </c>
      <c r="CN89" s="66">
        <v>0</v>
      </c>
      <c r="CO89" s="66">
        <v>0</v>
      </c>
      <c r="CP89" s="66">
        <v>0</v>
      </c>
      <c r="CQ89" s="66">
        <v>0</v>
      </c>
      <c r="CR89" s="66">
        <v>0</v>
      </c>
      <c r="CS89" s="66">
        <v>0</v>
      </c>
      <c r="CT89" s="66">
        <v>0</v>
      </c>
      <c r="CU89" s="66">
        <v>0</v>
      </c>
      <c r="CV89" s="66">
        <v>1266</v>
      </c>
      <c r="CW89" s="66">
        <v>0</v>
      </c>
      <c r="CX89" s="66">
        <v>0</v>
      </c>
      <c r="CY89" s="66">
        <v>0</v>
      </c>
      <c r="CZ89" s="66">
        <v>0</v>
      </c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>
        <f>SUM(Table1[[#This Row],[01-03 Apr]:[Mar-26]])</f>
        <v>1266</v>
      </c>
    </row>
    <row r="90" spans="1:115" x14ac:dyDescent="0.2">
      <c r="A90" s="28"/>
      <c r="B90" s="29"/>
      <c r="C90" s="29" t="s">
        <v>3253</v>
      </c>
      <c r="D90" s="30" t="s">
        <v>3198</v>
      </c>
      <c r="E90" s="30" t="s">
        <v>217</v>
      </c>
      <c r="F90" s="30"/>
      <c r="G90" s="31"/>
      <c r="H90" s="30"/>
      <c r="I90" s="30" t="str">
        <f>IF(Table1[[#This Row],[Centre Status]]="Returned","NA",IF(Table1[[#This Row],[SD]]&gt;19000,"Full Payment",IF(Table1[[#This Row],[SD]]&lt;1,"No Payment","Partial Payment")))</f>
        <v>Partial Payment</v>
      </c>
      <c r="J90" s="30" t="s">
        <v>58</v>
      </c>
      <c r="K90" s="32">
        <v>110000</v>
      </c>
      <c r="L90" s="33">
        <f>Q90+R90+U90+Table1[[#This Row],[Farmer Payment]]</f>
        <v>10736</v>
      </c>
      <c r="M90" s="30"/>
      <c r="N90" s="34"/>
      <c r="O90" s="34"/>
      <c r="P90" s="35">
        <f t="shared" ref="P90:P97" si="15">K90-L90+M90</f>
        <v>99264</v>
      </c>
      <c r="Q90" s="33">
        <f>AI90+AV90+CK90+Table1[[#This Row],[FY 25-26]]</f>
        <v>736</v>
      </c>
      <c r="R90" s="36">
        <v>10000</v>
      </c>
      <c r="S90" s="37" t="s">
        <v>3205</v>
      </c>
      <c r="T90" s="38">
        <v>45742</v>
      </c>
      <c r="U90" s="39"/>
      <c r="V90" s="39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1">
        <f t="shared" ref="AI90:AI97" si="16">SUM(W90:AH90)</f>
        <v>0</v>
      </c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>
        <f t="shared" ref="AV90:AV97" si="17">SUM(AJ90:AU90)</f>
        <v>0</v>
      </c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>
        <v>0</v>
      </c>
      <c r="CG90" s="42">
        <v>0</v>
      </c>
      <c r="CH90" s="42">
        <v>0</v>
      </c>
      <c r="CI90" s="42">
        <v>0</v>
      </c>
      <c r="CJ90" s="42">
        <v>0</v>
      </c>
      <c r="CK90" s="43">
        <f t="shared" ref="CK90:CK97" si="18">SUM(AW90:CJ90)</f>
        <v>0</v>
      </c>
      <c r="CL90" s="66"/>
      <c r="CM90" s="66">
        <v>0</v>
      </c>
      <c r="CN90" s="66">
        <v>0</v>
      </c>
      <c r="CO90" s="66">
        <v>0</v>
      </c>
      <c r="CP90" s="66">
        <v>0</v>
      </c>
      <c r="CQ90" s="66">
        <v>0</v>
      </c>
      <c r="CR90" s="66">
        <v>0</v>
      </c>
      <c r="CS90" s="66">
        <v>0</v>
      </c>
      <c r="CT90" s="66">
        <v>0</v>
      </c>
      <c r="CU90" s="66">
        <v>0</v>
      </c>
      <c r="CV90" s="66">
        <v>736</v>
      </c>
      <c r="CW90" s="66">
        <v>0</v>
      </c>
      <c r="CX90" s="66">
        <v>0</v>
      </c>
      <c r="CY90" s="66">
        <v>0</v>
      </c>
      <c r="CZ90" s="66">
        <v>0</v>
      </c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>
        <f>SUM(Table1[[#This Row],[01-03 Apr]:[Mar-26]])</f>
        <v>736</v>
      </c>
    </row>
    <row r="91" spans="1:115" hidden="1" x14ac:dyDescent="0.2">
      <c r="A91" s="28"/>
      <c r="B91" s="29"/>
      <c r="C91" s="29" t="s">
        <v>3254</v>
      </c>
      <c r="D91" s="30" t="s">
        <v>3199</v>
      </c>
      <c r="E91" s="30" t="s">
        <v>217</v>
      </c>
      <c r="F91" s="30"/>
      <c r="G91" s="31"/>
      <c r="H91" s="30"/>
      <c r="I91" s="30" t="str">
        <f>IF(Table1[[#This Row],[Centre Status]]="Returned","NA",IF(Table1[[#This Row],[SD]]&gt;19000,"Full Payment",IF(Table1[[#This Row],[SD]]&lt;1,"No Payment","Partial Payment")))</f>
        <v>Full Payment</v>
      </c>
      <c r="J91" s="30" t="s">
        <v>58</v>
      </c>
      <c r="K91" s="32">
        <v>110000</v>
      </c>
      <c r="L91" s="33">
        <f>Q91+R91+U91+Table1[[#This Row],[Farmer Payment]]</f>
        <v>21861</v>
      </c>
      <c r="M91" s="30"/>
      <c r="N91" s="34"/>
      <c r="O91" s="34"/>
      <c r="P91" s="35">
        <f t="shared" si="15"/>
        <v>88139</v>
      </c>
      <c r="Q91" s="33">
        <f>AI91+AV91+CK91+Table1[[#This Row],[FY 25-26]]</f>
        <v>1861</v>
      </c>
      <c r="R91" s="36">
        <v>20000</v>
      </c>
      <c r="S91" s="37" t="s">
        <v>3204</v>
      </c>
      <c r="T91" s="38">
        <v>45743</v>
      </c>
      <c r="U91" s="39"/>
      <c r="V91" s="39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1">
        <f t="shared" si="16"/>
        <v>0</v>
      </c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>
        <f t="shared" si="17"/>
        <v>0</v>
      </c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>
        <v>0</v>
      </c>
      <c r="CG91" s="42">
        <v>0</v>
      </c>
      <c r="CH91" s="42">
        <v>0</v>
      </c>
      <c r="CI91" s="42">
        <v>0</v>
      </c>
      <c r="CJ91" s="42">
        <v>0</v>
      </c>
      <c r="CK91" s="43">
        <f t="shared" si="18"/>
        <v>0</v>
      </c>
      <c r="CL91" s="66"/>
      <c r="CM91" s="66">
        <v>0</v>
      </c>
      <c r="CN91" s="66">
        <v>0</v>
      </c>
      <c r="CO91" s="66">
        <v>0</v>
      </c>
      <c r="CP91" s="66">
        <v>0</v>
      </c>
      <c r="CQ91" s="66">
        <v>0</v>
      </c>
      <c r="CR91" s="66">
        <v>0</v>
      </c>
      <c r="CS91" s="66">
        <v>0</v>
      </c>
      <c r="CT91" s="66">
        <v>0</v>
      </c>
      <c r="CU91" s="66">
        <v>0</v>
      </c>
      <c r="CV91" s="66">
        <v>1861</v>
      </c>
      <c r="CW91" s="66">
        <v>0</v>
      </c>
      <c r="CX91" s="66">
        <v>0</v>
      </c>
      <c r="CY91" s="66">
        <v>0</v>
      </c>
      <c r="CZ91" s="66">
        <v>0</v>
      </c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>
        <f>SUM(Table1[[#This Row],[01-03 Apr]:[Mar-26]])</f>
        <v>1861</v>
      </c>
    </row>
    <row r="92" spans="1:115" x14ac:dyDescent="0.2">
      <c r="A92" s="28"/>
      <c r="B92" s="29"/>
      <c r="C92" s="29" t="s">
        <v>3473</v>
      </c>
      <c r="D92" s="30" t="s">
        <v>3477</v>
      </c>
      <c r="E92" s="30" t="s">
        <v>3185</v>
      </c>
      <c r="F92" s="30"/>
      <c r="G92" s="31"/>
      <c r="H92" s="30"/>
      <c r="I92" s="30" t="str">
        <f>IF(Table1[[#This Row],[Centre Status]]="Returned","NA",IF(Table1[[#This Row],[SD]]&gt;19000,"Full Payment",IF(Table1[[#This Row],[SD]]&lt;1,"No Payment","Partial Payment")))</f>
        <v>Partial Payment</v>
      </c>
      <c r="J92" s="30" t="s">
        <v>58</v>
      </c>
      <c r="K92" s="32">
        <v>110000</v>
      </c>
      <c r="L92" s="33">
        <f>Q92+R92+U92+Table1[[#This Row],[Farmer Payment]]</f>
        <v>10000</v>
      </c>
      <c r="M92" s="30"/>
      <c r="N92" s="34"/>
      <c r="O92" s="34"/>
      <c r="P92" s="35">
        <f>K92-L92+M92</f>
        <v>100000</v>
      </c>
      <c r="Q92" s="33">
        <f>AI92+AV92+CK92+Table1[[#This Row],[FY 25-26]]</f>
        <v>0</v>
      </c>
      <c r="R92" s="36">
        <v>10000</v>
      </c>
      <c r="S92" s="37" t="s">
        <v>3483</v>
      </c>
      <c r="T92" s="38">
        <v>45785</v>
      </c>
      <c r="U92" s="39"/>
      <c r="V92" s="39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1">
        <f>SUM(W92:AH92)</f>
        <v>0</v>
      </c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>
        <f>SUM(AJ92:AU92)</f>
        <v>0</v>
      </c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3">
        <f>SUM(AW92:CJ92)</f>
        <v>0</v>
      </c>
      <c r="CL92" s="66"/>
      <c r="CM92" s="66"/>
      <c r="CN92" s="66"/>
      <c r="CO92" s="66"/>
      <c r="CP92" s="66"/>
      <c r="CQ92" s="66"/>
      <c r="CR92" s="66">
        <v>0</v>
      </c>
      <c r="CS92" s="66"/>
      <c r="CT92" s="66">
        <v>0</v>
      </c>
      <c r="CU92" s="66">
        <v>0</v>
      </c>
      <c r="CV92" s="66">
        <v>0</v>
      </c>
      <c r="CW92" s="66">
        <v>0</v>
      </c>
      <c r="CX92" s="66">
        <v>0</v>
      </c>
      <c r="CY92" s="66">
        <v>0</v>
      </c>
      <c r="CZ92" s="66">
        <v>0</v>
      </c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>
        <f>SUM(Table1[[#This Row],[01-03 Apr]:[Mar-26]])</f>
        <v>0</v>
      </c>
    </row>
    <row r="93" spans="1:115" x14ac:dyDescent="0.2">
      <c r="A93" s="28"/>
      <c r="B93" s="29"/>
      <c r="C93" s="29" t="s">
        <v>3474</v>
      </c>
      <c r="D93" s="30" t="s">
        <v>3478</v>
      </c>
      <c r="E93" s="30" t="s">
        <v>3185</v>
      </c>
      <c r="F93" s="30"/>
      <c r="G93" s="31"/>
      <c r="H93" s="30"/>
      <c r="I93" s="30" t="str">
        <f>IF(Table1[[#This Row],[Centre Status]]="Returned","NA",IF(Table1[[#This Row],[SD]]&gt;19000,"Full Payment",IF(Table1[[#This Row],[SD]]&lt;1,"No Payment","Partial Payment")))</f>
        <v>Partial Payment</v>
      </c>
      <c r="J93" s="30" t="s">
        <v>58</v>
      </c>
      <c r="K93" s="32">
        <v>110000</v>
      </c>
      <c r="L93" s="33">
        <f>Q93+R93+U93+Table1[[#This Row],[Farmer Payment]]</f>
        <v>10000</v>
      </c>
      <c r="M93" s="30"/>
      <c r="N93" s="34"/>
      <c r="O93" s="34"/>
      <c r="P93" s="35">
        <f>K93-L93+M93</f>
        <v>100000</v>
      </c>
      <c r="Q93" s="33">
        <f>AI93+AV93+CK93+Table1[[#This Row],[FY 25-26]]</f>
        <v>0</v>
      </c>
      <c r="R93" s="36">
        <v>10000</v>
      </c>
      <c r="S93" s="37" t="s">
        <v>3481</v>
      </c>
      <c r="T93" s="38">
        <v>45799</v>
      </c>
      <c r="U93" s="39"/>
      <c r="V93" s="39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1">
        <f>SUM(W93:AH93)</f>
        <v>0</v>
      </c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>
        <f>SUM(AJ93:AU93)</f>
        <v>0</v>
      </c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3">
        <f>SUM(AW93:CJ93)</f>
        <v>0</v>
      </c>
      <c r="CL93" s="66"/>
      <c r="CM93" s="66"/>
      <c r="CN93" s="66"/>
      <c r="CO93" s="66"/>
      <c r="CP93" s="66"/>
      <c r="CQ93" s="66"/>
      <c r="CR93" s="66">
        <v>0</v>
      </c>
      <c r="CS93" s="66"/>
      <c r="CT93" s="66">
        <v>0</v>
      </c>
      <c r="CU93" s="66">
        <v>0</v>
      </c>
      <c r="CV93" s="66">
        <v>0</v>
      </c>
      <c r="CW93" s="66">
        <v>0</v>
      </c>
      <c r="CX93" s="66">
        <v>0</v>
      </c>
      <c r="CY93" s="66">
        <v>0</v>
      </c>
      <c r="CZ93" s="66">
        <v>0</v>
      </c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>
        <f>SUM(Table1[[#This Row],[01-03 Apr]:[Mar-26]])</f>
        <v>0</v>
      </c>
    </row>
    <row r="94" spans="1:115" x14ac:dyDescent="0.2">
      <c r="A94" s="28"/>
      <c r="B94" s="29"/>
      <c r="C94" s="29" t="s">
        <v>3475</v>
      </c>
      <c r="D94" s="30" t="s">
        <v>3479</v>
      </c>
      <c r="E94" s="30" t="s">
        <v>3185</v>
      </c>
      <c r="F94" s="30"/>
      <c r="G94" s="31"/>
      <c r="H94" s="30"/>
      <c r="I94" s="30" t="str">
        <f>IF(Table1[[#This Row],[Centre Status]]="Returned","NA",IF(Table1[[#This Row],[SD]]&gt;19000,"Full Payment",IF(Table1[[#This Row],[SD]]&lt;1,"No Payment","Partial Payment")))</f>
        <v>Partial Payment</v>
      </c>
      <c r="J94" s="30" t="s">
        <v>58</v>
      </c>
      <c r="K94" s="32">
        <v>110000</v>
      </c>
      <c r="L94" s="33">
        <f>Q94+R94+U94+Table1[[#This Row],[Farmer Payment]]</f>
        <v>10000</v>
      </c>
      <c r="M94" s="30"/>
      <c r="N94" s="34"/>
      <c r="O94" s="34"/>
      <c r="P94" s="35">
        <f>K94-L94+M94</f>
        <v>100000</v>
      </c>
      <c r="Q94" s="33">
        <f>AI94+AV94+CK94+Table1[[#This Row],[FY 25-26]]</f>
        <v>0</v>
      </c>
      <c r="R94" s="36">
        <v>10000</v>
      </c>
      <c r="S94" s="37" t="s">
        <v>3482</v>
      </c>
      <c r="T94" s="38">
        <v>45801</v>
      </c>
      <c r="U94" s="39"/>
      <c r="V94" s="39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1">
        <f>SUM(W94:AH94)</f>
        <v>0</v>
      </c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>
        <f>SUM(AJ94:AU94)</f>
        <v>0</v>
      </c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3">
        <f>SUM(AW94:CJ94)</f>
        <v>0</v>
      </c>
      <c r="CL94" s="66"/>
      <c r="CM94" s="66"/>
      <c r="CN94" s="66"/>
      <c r="CO94" s="66"/>
      <c r="CP94" s="66"/>
      <c r="CQ94" s="66"/>
      <c r="CR94" s="66">
        <v>0</v>
      </c>
      <c r="CS94" s="66"/>
      <c r="CT94" s="66">
        <v>0</v>
      </c>
      <c r="CU94" s="66">
        <v>0</v>
      </c>
      <c r="CV94" s="66">
        <v>0</v>
      </c>
      <c r="CW94" s="66">
        <v>0</v>
      </c>
      <c r="CX94" s="66">
        <v>0</v>
      </c>
      <c r="CY94" s="66">
        <v>0</v>
      </c>
      <c r="CZ94" s="66">
        <v>0</v>
      </c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>
        <f>SUM(Table1[[#This Row],[01-03 Apr]:[Mar-26]])</f>
        <v>0</v>
      </c>
    </row>
    <row r="95" spans="1:115" hidden="1" x14ac:dyDescent="0.2">
      <c r="A95" s="28"/>
      <c r="B95" s="29"/>
      <c r="C95" s="29" t="s">
        <v>3476</v>
      </c>
      <c r="D95" s="30" t="s">
        <v>3480</v>
      </c>
      <c r="E95" s="30" t="s">
        <v>3185</v>
      </c>
      <c r="F95" s="30"/>
      <c r="G95" s="31"/>
      <c r="H95" s="30"/>
      <c r="I95" s="30" t="str">
        <f>IF(Table1[[#This Row],[Centre Status]]="Returned","NA",IF(Table1[[#This Row],[SD]]&gt;19000,"Full Payment",IF(Table1[[#This Row],[SD]]&lt;1,"No Payment","Partial Payment")))</f>
        <v>Full Payment</v>
      </c>
      <c r="J95" s="30" t="s">
        <v>58</v>
      </c>
      <c r="K95" s="32">
        <v>110000</v>
      </c>
      <c r="L95" s="33">
        <f>Q95+R95+U95+Table1[[#This Row],[Farmer Payment]]</f>
        <v>20000</v>
      </c>
      <c r="M95" s="30"/>
      <c r="N95" s="34"/>
      <c r="O95" s="34"/>
      <c r="P95" s="35">
        <f>K95-L95+M95</f>
        <v>90000</v>
      </c>
      <c r="Q95" s="33">
        <f>AI95+AV95+CK95+Table1[[#This Row],[FY 25-26]]</f>
        <v>0</v>
      </c>
      <c r="R95" s="36">
        <v>20000</v>
      </c>
      <c r="S95" s="37" t="s">
        <v>3484</v>
      </c>
      <c r="T95" s="38">
        <v>45812</v>
      </c>
      <c r="U95" s="39"/>
      <c r="V95" s="39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1">
        <f>SUM(W95:AH95)</f>
        <v>0</v>
      </c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>
        <f>SUM(AJ95:AU95)</f>
        <v>0</v>
      </c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3">
        <f>SUM(AW95:CJ95)</f>
        <v>0</v>
      </c>
      <c r="CL95" s="66"/>
      <c r="CM95" s="66"/>
      <c r="CN95" s="66"/>
      <c r="CO95" s="66"/>
      <c r="CP95" s="66"/>
      <c r="CQ95" s="66"/>
      <c r="CR95" s="66">
        <v>0</v>
      </c>
      <c r="CS95" s="66"/>
      <c r="CT95" s="66">
        <v>0</v>
      </c>
      <c r="CU95" s="66">
        <v>0</v>
      </c>
      <c r="CV95" s="66">
        <v>0</v>
      </c>
      <c r="CW95" s="66">
        <v>0</v>
      </c>
      <c r="CX95" s="66">
        <v>0</v>
      </c>
      <c r="CY95" s="66">
        <v>0</v>
      </c>
      <c r="CZ95" s="66">
        <v>0</v>
      </c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>
        <f>SUM(Table1[[#This Row],[01-03 Apr]:[Mar-26]])</f>
        <v>0</v>
      </c>
    </row>
    <row r="96" spans="1:115" hidden="1" x14ac:dyDescent="0.2">
      <c r="A96" s="28"/>
      <c r="B96" s="29"/>
      <c r="C96" s="29" t="s">
        <v>3255</v>
      </c>
      <c r="D96" s="30" t="s">
        <v>3200</v>
      </c>
      <c r="E96" s="30" t="s">
        <v>217</v>
      </c>
      <c r="F96" s="30"/>
      <c r="G96" s="31"/>
      <c r="H96" s="30"/>
      <c r="I96" s="30" t="str">
        <f>IF(Table1[[#This Row],[Centre Status]]="Returned","NA",IF(Table1[[#This Row],[SD]]&gt;19000,"Full Payment",IF(Table1[[#This Row],[SD]]&lt;1,"No Payment","Partial Payment")))</f>
        <v>Full Payment</v>
      </c>
      <c r="J96" s="30" t="s">
        <v>58</v>
      </c>
      <c r="K96" s="32">
        <v>110000</v>
      </c>
      <c r="L96" s="33">
        <f>Q96+R96+U96+Table1[[#This Row],[Farmer Payment]]</f>
        <v>20275</v>
      </c>
      <c r="M96" s="30"/>
      <c r="N96" s="34"/>
      <c r="O96" s="34"/>
      <c r="P96" s="35">
        <f t="shared" si="15"/>
        <v>89725</v>
      </c>
      <c r="Q96" s="33">
        <f>AI96+AV96+CK96+Table1[[#This Row],[FY 25-26]]</f>
        <v>275</v>
      </c>
      <c r="R96" s="36">
        <v>20000</v>
      </c>
      <c r="S96" s="37" t="s">
        <v>3203</v>
      </c>
      <c r="T96" s="38">
        <v>45738</v>
      </c>
      <c r="U96" s="39"/>
      <c r="V96" s="39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1">
        <f t="shared" si="16"/>
        <v>0</v>
      </c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>
        <f t="shared" si="17"/>
        <v>0</v>
      </c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>
        <v>0</v>
      </c>
      <c r="CG96" s="42">
        <v>0</v>
      </c>
      <c r="CH96" s="42">
        <v>0</v>
      </c>
      <c r="CI96" s="42">
        <v>0</v>
      </c>
      <c r="CJ96" s="42">
        <v>0</v>
      </c>
      <c r="CK96" s="43">
        <f t="shared" si="18"/>
        <v>0</v>
      </c>
      <c r="CL96" s="66"/>
      <c r="CM96" s="66">
        <v>0</v>
      </c>
      <c r="CN96" s="66">
        <v>0</v>
      </c>
      <c r="CO96" s="66">
        <v>0</v>
      </c>
      <c r="CP96" s="66">
        <v>0</v>
      </c>
      <c r="CQ96" s="66">
        <v>0</v>
      </c>
      <c r="CR96" s="66">
        <v>0</v>
      </c>
      <c r="CS96" s="66">
        <v>0</v>
      </c>
      <c r="CT96" s="66">
        <v>0</v>
      </c>
      <c r="CU96" s="66">
        <v>0</v>
      </c>
      <c r="CV96" s="66">
        <v>275</v>
      </c>
      <c r="CW96" s="66">
        <v>0</v>
      </c>
      <c r="CX96" s="66">
        <v>0</v>
      </c>
      <c r="CY96" s="66">
        <v>0</v>
      </c>
      <c r="CZ96" s="66">
        <v>0</v>
      </c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>
        <f>SUM(Table1[[#This Row],[01-03 Apr]:[Mar-26]])</f>
        <v>275</v>
      </c>
    </row>
    <row r="97" spans="1:115" hidden="1" x14ac:dyDescent="0.2">
      <c r="A97" s="28"/>
      <c r="B97" s="29"/>
      <c r="C97" s="29" t="s">
        <v>3256</v>
      </c>
      <c r="D97" s="30" t="s">
        <v>3201</v>
      </c>
      <c r="E97" s="30" t="s">
        <v>217</v>
      </c>
      <c r="F97" s="30"/>
      <c r="G97" s="31"/>
      <c r="H97" s="30"/>
      <c r="I97" s="30" t="str">
        <f>IF(Table1[[#This Row],[Centre Status]]="Returned","NA",IF(Table1[[#This Row],[SD]]&gt;19000,"Full Payment",IF(Table1[[#This Row],[SD]]&lt;1,"No Payment","Partial Payment")))</f>
        <v>Full Payment</v>
      </c>
      <c r="J97" s="30" t="s">
        <v>58</v>
      </c>
      <c r="K97" s="32">
        <v>110000</v>
      </c>
      <c r="L97" s="33">
        <f>Q97+R97+U97+Table1[[#This Row],[Farmer Payment]]</f>
        <v>21861</v>
      </c>
      <c r="M97" s="30"/>
      <c r="N97" s="34"/>
      <c r="O97" s="34"/>
      <c r="P97" s="35">
        <f t="shared" si="15"/>
        <v>88139</v>
      </c>
      <c r="Q97" s="33">
        <f>AI97+AV97+CK97+Table1[[#This Row],[FY 25-26]]</f>
        <v>1861</v>
      </c>
      <c r="R97" s="36">
        <v>20000</v>
      </c>
      <c r="S97" s="37" t="s">
        <v>3202</v>
      </c>
      <c r="T97" s="38">
        <v>45744</v>
      </c>
      <c r="U97" s="39"/>
      <c r="V97" s="39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1">
        <f t="shared" si="16"/>
        <v>0</v>
      </c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>
        <f t="shared" si="17"/>
        <v>0</v>
      </c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>
        <v>0</v>
      </c>
      <c r="CG97" s="42">
        <v>0</v>
      </c>
      <c r="CH97" s="42">
        <v>0</v>
      </c>
      <c r="CI97" s="42">
        <v>0</v>
      </c>
      <c r="CJ97" s="42">
        <v>0</v>
      </c>
      <c r="CK97" s="43">
        <f t="shared" si="18"/>
        <v>0</v>
      </c>
      <c r="CL97" s="66"/>
      <c r="CM97" s="66">
        <v>0</v>
      </c>
      <c r="CN97" s="66">
        <v>0</v>
      </c>
      <c r="CO97" s="66">
        <v>0</v>
      </c>
      <c r="CP97" s="66">
        <v>0</v>
      </c>
      <c r="CQ97" s="66">
        <v>0</v>
      </c>
      <c r="CR97" s="66">
        <v>0</v>
      </c>
      <c r="CS97" s="66">
        <v>0</v>
      </c>
      <c r="CT97" s="66">
        <v>0</v>
      </c>
      <c r="CU97" s="66">
        <v>0</v>
      </c>
      <c r="CV97" s="66">
        <v>1861</v>
      </c>
      <c r="CW97" s="66">
        <v>0</v>
      </c>
      <c r="CX97" s="66">
        <v>0</v>
      </c>
      <c r="CY97" s="66">
        <v>0</v>
      </c>
      <c r="CZ97" s="66">
        <v>0</v>
      </c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>
        <f>SUM(Table1[[#This Row],[01-03 Apr]:[Mar-26]])</f>
        <v>1861</v>
      </c>
    </row>
    <row r="98" spans="1:115" x14ac:dyDescent="0.2">
      <c r="A98" s="28"/>
      <c r="B98" s="29"/>
      <c r="C98" s="29" t="s">
        <v>3163</v>
      </c>
      <c r="D98" s="30" t="s">
        <v>3166</v>
      </c>
      <c r="E98" s="30" t="s">
        <v>85</v>
      </c>
      <c r="F98" s="30"/>
      <c r="G98" s="31"/>
      <c r="H98" s="30"/>
      <c r="I98" s="30" t="str">
        <f>IF(Table1[[#This Row],[Centre Status]]="Returned","NA",IF(Table1[[#This Row],[SD]]&gt;19000,"Full Payment",IF(Table1[[#This Row],[SD]]&lt;1,"No Payment","Partial Payment")))</f>
        <v>Partial Payment</v>
      </c>
      <c r="J98" s="30" t="s">
        <v>58</v>
      </c>
      <c r="K98" s="32">
        <v>110000</v>
      </c>
      <c r="L98" s="33">
        <f>Q98+R98+U98+Table1[[#This Row],[Farmer Payment]]</f>
        <v>10341</v>
      </c>
      <c r="M98" s="30">
        <v>10000</v>
      </c>
      <c r="N98" s="34">
        <v>45824</v>
      </c>
      <c r="O98" s="34" t="s">
        <v>2425</v>
      </c>
      <c r="P98" s="35">
        <f t="shared" ref="P98:P116" si="19">K98-L98+M98</f>
        <v>109659</v>
      </c>
      <c r="Q98" s="33">
        <f>AI98+AV98+CK98+Table1[[#This Row],[FY 25-26]]</f>
        <v>341</v>
      </c>
      <c r="R98" s="36">
        <v>10000</v>
      </c>
      <c r="S98" s="37" t="s">
        <v>3168</v>
      </c>
      <c r="T98" s="38">
        <v>45735</v>
      </c>
      <c r="U98" s="39"/>
      <c r="V98" s="39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1">
        <f t="shared" ref="AI98:AI116" si="20">SUM(W98:AH98)</f>
        <v>0</v>
      </c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>
        <f t="shared" ref="AV98:AV116" si="21">SUM(AJ98:AU98)</f>
        <v>0</v>
      </c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>
        <v>0</v>
      </c>
      <c r="CG98" s="42">
        <v>0</v>
      </c>
      <c r="CH98" s="42">
        <v>0</v>
      </c>
      <c r="CI98" s="42">
        <v>0</v>
      </c>
      <c r="CJ98" s="42">
        <v>341</v>
      </c>
      <c r="CK98" s="43">
        <f t="shared" ref="CK98:CK116" si="22">SUM(AW98:CJ98)</f>
        <v>341</v>
      </c>
      <c r="CL98" s="66"/>
      <c r="CM98" s="66">
        <v>0</v>
      </c>
      <c r="CN98" s="66">
        <v>0</v>
      </c>
      <c r="CO98" s="66">
        <v>0</v>
      </c>
      <c r="CP98" s="66">
        <v>0</v>
      </c>
      <c r="CQ98" s="66">
        <v>0</v>
      </c>
      <c r="CR98" s="66">
        <v>0</v>
      </c>
      <c r="CS98" s="66">
        <v>0</v>
      </c>
      <c r="CT98" s="66">
        <v>0</v>
      </c>
      <c r="CU98" s="66">
        <v>0</v>
      </c>
      <c r="CV98" s="66">
        <v>0</v>
      </c>
      <c r="CW98" s="66">
        <v>0</v>
      </c>
      <c r="CX98" s="66">
        <v>0</v>
      </c>
      <c r="CY98" s="66">
        <v>0</v>
      </c>
      <c r="CZ98" s="66">
        <v>0</v>
      </c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>
        <f>SUM(Table1[[#This Row],[01-03 Apr]:[Mar-26]])</f>
        <v>0</v>
      </c>
    </row>
    <row r="99" spans="1:115" x14ac:dyDescent="0.2">
      <c r="A99" s="28"/>
      <c r="B99" s="29"/>
      <c r="C99" s="29" t="s">
        <v>3164</v>
      </c>
      <c r="D99" s="30" t="s">
        <v>3167</v>
      </c>
      <c r="E99" s="30" t="s">
        <v>85</v>
      </c>
      <c r="F99" s="30"/>
      <c r="G99" s="31"/>
      <c r="H99" s="30"/>
      <c r="I99" s="30" t="str">
        <f>IF(Table1[[#This Row],[Centre Status]]="Returned","NA",IF(Table1[[#This Row],[SD]]&gt;19000,"Full Payment",IF(Table1[[#This Row],[SD]]&lt;1,"No Payment","Partial Payment")))</f>
        <v>Partial Payment</v>
      </c>
      <c r="J99" s="30" t="s">
        <v>58</v>
      </c>
      <c r="K99" s="32">
        <v>110000</v>
      </c>
      <c r="L99" s="33">
        <f>Q99+R99+U99+Table1[[#This Row],[Farmer Payment]]</f>
        <v>12504</v>
      </c>
      <c r="M99" s="30">
        <v>10000</v>
      </c>
      <c r="N99" s="34">
        <v>45824</v>
      </c>
      <c r="O99" s="34" t="s">
        <v>2425</v>
      </c>
      <c r="P99" s="35">
        <f t="shared" si="19"/>
        <v>107496</v>
      </c>
      <c r="Q99" s="33">
        <f>AI99+AV99+CK99+Table1[[#This Row],[FY 25-26]]</f>
        <v>2504</v>
      </c>
      <c r="R99" s="36">
        <v>10000</v>
      </c>
      <c r="S99" s="37" t="s">
        <v>3169</v>
      </c>
      <c r="T99" s="38">
        <v>45735</v>
      </c>
      <c r="U99" s="39"/>
      <c r="V99" s="39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1">
        <f t="shared" si="20"/>
        <v>0</v>
      </c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>
        <f t="shared" si="21"/>
        <v>0</v>
      </c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>
        <v>0</v>
      </c>
      <c r="CG99" s="42">
        <v>0</v>
      </c>
      <c r="CH99" s="42">
        <v>0</v>
      </c>
      <c r="CI99" s="42">
        <v>0</v>
      </c>
      <c r="CJ99" s="42">
        <v>643</v>
      </c>
      <c r="CK99" s="43">
        <f t="shared" si="22"/>
        <v>643</v>
      </c>
      <c r="CL99" s="66"/>
      <c r="CM99" s="66">
        <v>0</v>
      </c>
      <c r="CN99" s="66">
        <v>0</v>
      </c>
      <c r="CO99" s="66">
        <v>0</v>
      </c>
      <c r="CP99" s="66">
        <v>0</v>
      </c>
      <c r="CQ99" s="66">
        <v>0</v>
      </c>
      <c r="CR99" s="66">
        <v>0</v>
      </c>
      <c r="CS99" s="66">
        <v>0</v>
      </c>
      <c r="CT99" s="66">
        <v>0</v>
      </c>
      <c r="CU99" s="66">
        <v>0</v>
      </c>
      <c r="CV99" s="66">
        <v>1861</v>
      </c>
      <c r="CW99" s="66">
        <v>0</v>
      </c>
      <c r="CX99" s="66">
        <v>0</v>
      </c>
      <c r="CY99" s="66">
        <v>0</v>
      </c>
      <c r="CZ99" s="66">
        <v>0</v>
      </c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>
        <f>SUM(Table1[[#This Row],[01-03 Apr]:[Mar-26]])</f>
        <v>1861</v>
      </c>
    </row>
    <row r="100" spans="1:115" x14ac:dyDescent="0.2">
      <c r="A100" s="28"/>
      <c r="B100" s="29"/>
      <c r="C100" s="29" t="s">
        <v>3181</v>
      </c>
      <c r="D100" s="30" t="s">
        <v>3183</v>
      </c>
      <c r="E100" s="30" t="s">
        <v>3185</v>
      </c>
      <c r="F100" s="30"/>
      <c r="G100" s="31"/>
      <c r="H100" s="30"/>
      <c r="I100" s="30" t="str">
        <f>IF(Table1[[#This Row],[Centre Status]]="Returned","NA",IF(Table1[[#This Row],[SD]]&gt;19000,"Full Payment",IF(Table1[[#This Row],[SD]]&lt;1,"No Payment","Partial Payment")))</f>
        <v>Partial Payment</v>
      </c>
      <c r="J100" s="30" t="s">
        <v>58</v>
      </c>
      <c r="K100" s="32">
        <v>110000</v>
      </c>
      <c r="L100" s="33">
        <f>Q100+R100+U100+Table1[[#This Row],[Farmer Payment]]</f>
        <v>11869</v>
      </c>
      <c r="M100" s="30"/>
      <c r="N100" s="34"/>
      <c r="O100" s="34"/>
      <c r="P100" s="35">
        <f t="shared" si="19"/>
        <v>98131</v>
      </c>
      <c r="Q100" s="33">
        <f>AI100+AV100+CK100+Table1[[#This Row],[FY 25-26]]</f>
        <v>1869</v>
      </c>
      <c r="R100" s="36">
        <v>10000</v>
      </c>
      <c r="S100" s="37" t="s">
        <v>3186</v>
      </c>
      <c r="T100" s="38">
        <v>45695</v>
      </c>
      <c r="U100" s="39"/>
      <c r="V100" s="39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1">
        <f t="shared" si="20"/>
        <v>0</v>
      </c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>
        <f t="shared" si="21"/>
        <v>0</v>
      </c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>
        <v>0</v>
      </c>
      <c r="CG100" s="42">
        <v>0</v>
      </c>
      <c r="CH100" s="42">
        <v>0</v>
      </c>
      <c r="CI100" s="42">
        <v>0</v>
      </c>
      <c r="CJ100" s="42">
        <v>8</v>
      </c>
      <c r="CK100" s="43">
        <f t="shared" si="22"/>
        <v>8</v>
      </c>
      <c r="CL100" s="66"/>
      <c r="CM100" s="66">
        <v>0</v>
      </c>
      <c r="CN100" s="66">
        <v>0</v>
      </c>
      <c r="CO100" s="66">
        <v>0</v>
      </c>
      <c r="CP100" s="66">
        <v>0</v>
      </c>
      <c r="CQ100" s="66">
        <v>0</v>
      </c>
      <c r="CR100" s="66">
        <v>0</v>
      </c>
      <c r="CS100" s="66">
        <v>0</v>
      </c>
      <c r="CT100" s="66">
        <v>0</v>
      </c>
      <c r="CU100" s="66">
        <v>0</v>
      </c>
      <c r="CV100" s="66">
        <v>1861</v>
      </c>
      <c r="CW100" s="66">
        <v>0</v>
      </c>
      <c r="CX100" s="66">
        <v>0</v>
      </c>
      <c r="CY100" s="66">
        <v>0</v>
      </c>
      <c r="CZ100" s="66">
        <v>0</v>
      </c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>
        <f>SUM(Table1[[#This Row],[01-03 Apr]:[Mar-26]])</f>
        <v>1861</v>
      </c>
    </row>
    <row r="101" spans="1:115" x14ac:dyDescent="0.2">
      <c r="A101" s="28"/>
      <c r="B101" s="29"/>
      <c r="C101" s="29" t="s">
        <v>3249</v>
      </c>
      <c r="D101" s="30" t="s">
        <v>3188</v>
      </c>
      <c r="E101" s="30" t="s">
        <v>217</v>
      </c>
      <c r="F101" s="30"/>
      <c r="G101" s="31"/>
      <c r="H101" s="30"/>
      <c r="I101" s="30" t="str">
        <f>IF(Table1[[#This Row],[Centre Status]]="Returned","NA",IF(Table1[[#This Row],[SD]]&gt;19000,"Full Payment",IF(Table1[[#This Row],[SD]]&lt;1,"No Payment","Partial Payment")))</f>
        <v>Partial Payment</v>
      </c>
      <c r="J101" s="30" t="s">
        <v>58</v>
      </c>
      <c r="K101" s="32">
        <v>110000</v>
      </c>
      <c r="L101" s="33">
        <f>Q101+R101+U101+Table1[[#This Row],[Farmer Payment]]</f>
        <v>10000</v>
      </c>
      <c r="M101" s="30"/>
      <c r="N101" s="34"/>
      <c r="O101" s="34"/>
      <c r="P101" s="35">
        <f t="shared" si="19"/>
        <v>100000</v>
      </c>
      <c r="Q101" s="33">
        <f>AI101+AV101+CK101+Table1[[#This Row],[FY 25-26]]</f>
        <v>0</v>
      </c>
      <c r="R101" s="36">
        <v>10000</v>
      </c>
      <c r="S101" s="37" t="s">
        <v>3191</v>
      </c>
      <c r="T101" s="38">
        <v>45715</v>
      </c>
      <c r="U101" s="39"/>
      <c r="V101" s="39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1">
        <f t="shared" si="20"/>
        <v>0</v>
      </c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>
        <f t="shared" si="21"/>
        <v>0</v>
      </c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2"/>
      <c r="BV101" s="42"/>
      <c r="BW101" s="42"/>
      <c r="BX101" s="42"/>
      <c r="BY101" s="42"/>
      <c r="BZ101" s="42"/>
      <c r="CA101" s="42"/>
      <c r="CB101" s="42"/>
      <c r="CC101" s="42"/>
      <c r="CD101" s="42"/>
      <c r="CE101" s="42"/>
      <c r="CF101" s="42">
        <v>0</v>
      </c>
      <c r="CG101" s="42">
        <v>0</v>
      </c>
      <c r="CH101" s="42">
        <v>0</v>
      </c>
      <c r="CI101" s="42">
        <v>0</v>
      </c>
      <c r="CJ101" s="42">
        <v>0</v>
      </c>
      <c r="CK101" s="43">
        <f t="shared" si="22"/>
        <v>0</v>
      </c>
      <c r="CL101" s="66"/>
      <c r="CM101" s="66">
        <v>0</v>
      </c>
      <c r="CN101" s="66">
        <v>0</v>
      </c>
      <c r="CO101" s="66">
        <v>0</v>
      </c>
      <c r="CP101" s="66">
        <v>0</v>
      </c>
      <c r="CQ101" s="66">
        <v>0</v>
      </c>
      <c r="CR101" s="66">
        <v>0</v>
      </c>
      <c r="CS101" s="66">
        <v>0</v>
      </c>
      <c r="CT101" s="66">
        <v>0</v>
      </c>
      <c r="CU101" s="66">
        <v>0</v>
      </c>
      <c r="CV101" s="66">
        <v>0</v>
      </c>
      <c r="CW101" s="66">
        <v>0</v>
      </c>
      <c r="CX101" s="66">
        <v>0</v>
      </c>
      <c r="CY101" s="66">
        <v>0</v>
      </c>
      <c r="CZ101" s="66">
        <v>0</v>
      </c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>
        <f>SUM(Table1[[#This Row],[01-03 Apr]:[Mar-26]])</f>
        <v>0</v>
      </c>
    </row>
    <row r="102" spans="1:115" x14ac:dyDescent="0.2">
      <c r="A102" s="28"/>
      <c r="B102" s="29"/>
      <c r="C102" s="29" t="s">
        <v>3250</v>
      </c>
      <c r="D102" s="30" t="s">
        <v>3189</v>
      </c>
      <c r="E102" s="30" t="s">
        <v>217</v>
      </c>
      <c r="F102" s="30"/>
      <c r="G102" s="31"/>
      <c r="H102" s="30"/>
      <c r="I102" s="30" t="str">
        <f>IF(Table1[[#This Row],[Centre Status]]="Returned","NA",IF(Table1[[#This Row],[SD]]&gt;19000,"Full Payment",IF(Table1[[#This Row],[SD]]&lt;1,"No Payment","Partial Payment")))</f>
        <v>Partial Payment</v>
      </c>
      <c r="J102" s="30" t="s">
        <v>58</v>
      </c>
      <c r="K102" s="32">
        <v>110000</v>
      </c>
      <c r="L102" s="33">
        <f>Q102+R102+U102+Table1[[#This Row],[Farmer Payment]]</f>
        <v>5000</v>
      </c>
      <c r="M102" s="30"/>
      <c r="N102" s="34"/>
      <c r="O102" s="34"/>
      <c r="P102" s="35">
        <f t="shared" si="19"/>
        <v>105000</v>
      </c>
      <c r="Q102" s="33">
        <f>AI102+AV102+CK102+Table1[[#This Row],[FY 25-26]]</f>
        <v>0</v>
      </c>
      <c r="R102" s="36">
        <v>5000</v>
      </c>
      <c r="S102" s="37" t="s">
        <v>3192</v>
      </c>
      <c r="T102" s="38">
        <v>45707</v>
      </c>
      <c r="U102" s="39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1">
        <f t="shared" si="20"/>
        <v>0</v>
      </c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>
        <f t="shared" si="21"/>
        <v>0</v>
      </c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>
        <v>0</v>
      </c>
      <c r="CG102" s="42">
        <v>0</v>
      </c>
      <c r="CH102" s="42">
        <v>0</v>
      </c>
      <c r="CI102" s="42">
        <v>0</v>
      </c>
      <c r="CJ102" s="42">
        <v>0</v>
      </c>
      <c r="CK102" s="43">
        <f t="shared" si="22"/>
        <v>0</v>
      </c>
      <c r="CL102" s="66"/>
      <c r="CM102" s="66">
        <v>0</v>
      </c>
      <c r="CN102" s="66">
        <v>0</v>
      </c>
      <c r="CO102" s="66">
        <v>0</v>
      </c>
      <c r="CP102" s="66">
        <v>0</v>
      </c>
      <c r="CQ102" s="66">
        <v>0</v>
      </c>
      <c r="CR102" s="66">
        <v>0</v>
      </c>
      <c r="CS102" s="66">
        <v>0</v>
      </c>
      <c r="CT102" s="66">
        <v>0</v>
      </c>
      <c r="CU102" s="66">
        <v>0</v>
      </c>
      <c r="CV102" s="66">
        <v>0</v>
      </c>
      <c r="CW102" s="66">
        <v>0</v>
      </c>
      <c r="CX102" s="66">
        <v>0</v>
      </c>
      <c r="CY102" s="66">
        <v>0</v>
      </c>
      <c r="CZ102" s="66">
        <v>0</v>
      </c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>
        <f>SUM(Table1[[#This Row],[01-03 Apr]:[Mar-26]])</f>
        <v>0</v>
      </c>
    </row>
    <row r="103" spans="1:115" x14ac:dyDescent="0.2">
      <c r="A103" s="28"/>
      <c r="B103" s="29"/>
      <c r="C103" s="29" t="s">
        <v>3251</v>
      </c>
      <c r="D103" s="30" t="s">
        <v>3194</v>
      </c>
      <c r="E103" s="30" t="s">
        <v>3093</v>
      </c>
      <c r="F103" s="30"/>
      <c r="G103" s="31"/>
      <c r="H103" s="30"/>
      <c r="I103" s="30" t="str">
        <f>IF(Table1[[#This Row],[Centre Status]]="Returned","NA",IF(Table1[[#This Row],[SD]]&gt;19000,"Full Payment",IF(Table1[[#This Row],[SD]]&lt;1,"No Payment","Partial Payment")))</f>
        <v>Partial Payment</v>
      </c>
      <c r="J103" s="30" t="s">
        <v>58</v>
      </c>
      <c r="K103" s="32">
        <v>110000</v>
      </c>
      <c r="L103" s="33">
        <f>Q103+R103+U103+Table1[[#This Row],[Farmer Payment]]</f>
        <v>11482</v>
      </c>
      <c r="M103" s="30"/>
      <c r="N103" s="34"/>
      <c r="O103" s="34"/>
      <c r="P103" s="35">
        <f t="shared" si="19"/>
        <v>98518</v>
      </c>
      <c r="Q103" s="33">
        <f>AI103+AV103+CK103+Table1[[#This Row],[FY 25-26]]</f>
        <v>1482</v>
      </c>
      <c r="R103" s="36">
        <v>10000</v>
      </c>
      <c r="S103" s="37" t="s">
        <v>3197</v>
      </c>
      <c r="T103" s="38">
        <v>45748</v>
      </c>
      <c r="U103" s="39"/>
      <c r="V103" s="39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1">
        <f t="shared" si="20"/>
        <v>0</v>
      </c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>
        <f t="shared" si="21"/>
        <v>0</v>
      </c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2"/>
      <c r="BV103" s="42"/>
      <c r="BW103" s="42"/>
      <c r="BX103" s="42"/>
      <c r="BY103" s="42"/>
      <c r="BZ103" s="42"/>
      <c r="CA103" s="42"/>
      <c r="CB103" s="42"/>
      <c r="CC103" s="42"/>
      <c r="CD103" s="42"/>
      <c r="CE103" s="42"/>
      <c r="CF103" s="42">
        <v>0</v>
      </c>
      <c r="CG103" s="42">
        <v>0</v>
      </c>
      <c r="CH103" s="42">
        <v>0</v>
      </c>
      <c r="CI103" s="42">
        <v>0</v>
      </c>
      <c r="CJ103" s="42">
        <v>0</v>
      </c>
      <c r="CK103" s="43">
        <f t="shared" si="22"/>
        <v>0</v>
      </c>
      <c r="CL103" s="66"/>
      <c r="CM103" s="66">
        <v>0</v>
      </c>
      <c r="CN103" s="66">
        <v>0</v>
      </c>
      <c r="CO103" s="66">
        <v>0</v>
      </c>
      <c r="CP103" s="66">
        <v>0</v>
      </c>
      <c r="CQ103" s="66">
        <v>0</v>
      </c>
      <c r="CR103" s="66">
        <v>0</v>
      </c>
      <c r="CS103" s="66">
        <v>0</v>
      </c>
      <c r="CT103" s="66">
        <v>0</v>
      </c>
      <c r="CU103" s="66">
        <v>0</v>
      </c>
      <c r="CV103" s="66">
        <v>1482</v>
      </c>
      <c r="CW103" s="66">
        <v>0</v>
      </c>
      <c r="CX103" s="66">
        <v>0</v>
      </c>
      <c r="CY103" s="66">
        <v>0</v>
      </c>
      <c r="CZ103" s="66">
        <v>0</v>
      </c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>
        <f>SUM(Table1[[#This Row],[01-03 Apr]:[Mar-26]])</f>
        <v>1482</v>
      </c>
    </row>
    <row r="104" spans="1:115" hidden="1" x14ac:dyDescent="0.2">
      <c r="A104" s="28"/>
      <c r="B104" s="29"/>
      <c r="C104" s="29" t="s">
        <v>3248</v>
      </c>
      <c r="D104" s="30" t="s">
        <v>3195</v>
      </c>
      <c r="E104" s="30" t="s">
        <v>57</v>
      </c>
      <c r="F104" s="30"/>
      <c r="G104" s="31"/>
      <c r="H104" s="30"/>
      <c r="I104" s="30" t="str">
        <f>IF(Table1[[#This Row],[Centre Status]]="Returned","NA",IF(Table1[[#This Row],[SD]]&gt;19000,"Full Payment",IF(Table1[[#This Row],[SD]]&lt;1,"No Payment","Partial Payment")))</f>
        <v>Full Payment</v>
      </c>
      <c r="J104" s="30" t="s">
        <v>58</v>
      </c>
      <c r="K104" s="32">
        <v>110000</v>
      </c>
      <c r="L104" s="33">
        <f>Q104+R104+U104+Table1[[#This Row],[Farmer Payment]]</f>
        <v>22562</v>
      </c>
      <c r="M104" s="30"/>
      <c r="N104" s="34"/>
      <c r="O104" s="34"/>
      <c r="P104" s="35">
        <f t="shared" si="19"/>
        <v>87438</v>
      </c>
      <c r="Q104" s="33">
        <f>AI104+AV104+CK104+Table1[[#This Row],[FY 25-26]]</f>
        <v>2562</v>
      </c>
      <c r="R104" s="36">
        <v>20000</v>
      </c>
      <c r="S104" s="37" t="s">
        <v>3196</v>
      </c>
      <c r="T104" s="38">
        <v>45736</v>
      </c>
      <c r="U104" s="39"/>
      <c r="V104" s="39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1">
        <f t="shared" si="20"/>
        <v>0</v>
      </c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>
        <f t="shared" si="21"/>
        <v>0</v>
      </c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2"/>
      <c r="CA104" s="42"/>
      <c r="CB104" s="42"/>
      <c r="CC104" s="42"/>
      <c r="CD104" s="42"/>
      <c r="CE104" s="42"/>
      <c r="CF104" s="42">
        <v>0</v>
      </c>
      <c r="CG104" s="42">
        <v>0</v>
      </c>
      <c r="CH104" s="42">
        <v>0</v>
      </c>
      <c r="CI104" s="42">
        <v>0</v>
      </c>
      <c r="CJ104" s="42">
        <v>769</v>
      </c>
      <c r="CK104" s="43">
        <f t="shared" si="22"/>
        <v>769</v>
      </c>
      <c r="CL104" s="66"/>
      <c r="CM104" s="66">
        <v>0</v>
      </c>
      <c r="CN104" s="66">
        <v>0</v>
      </c>
      <c r="CO104" s="66">
        <v>0</v>
      </c>
      <c r="CP104" s="66">
        <v>0</v>
      </c>
      <c r="CQ104" s="66">
        <v>0</v>
      </c>
      <c r="CR104" s="66">
        <v>0</v>
      </c>
      <c r="CS104" s="66">
        <v>0</v>
      </c>
      <c r="CT104" s="66">
        <v>0</v>
      </c>
      <c r="CU104" s="66">
        <v>0</v>
      </c>
      <c r="CV104" s="66">
        <v>1793</v>
      </c>
      <c r="CW104" s="66">
        <v>0</v>
      </c>
      <c r="CX104" s="66">
        <v>0</v>
      </c>
      <c r="CY104" s="66">
        <v>0</v>
      </c>
      <c r="CZ104" s="66">
        <v>0</v>
      </c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>
        <f>SUM(Table1[[#This Row],[01-03 Apr]:[Mar-26]])</f>
        <v>1793</v>
      </c>
    </row>
    <row r="105" spans="1:115" x14ac:dyDescent="0.2">
      <c r="A105" s="28"/>
      <c r="B105" s="29"/>
      <c r="C105" s="29" t="s">
        <v>3252</v>
      </c>
      <c r="D105" s="30" t="s">
        <v>3190</v>
      </c>
      <c r="E105" s="30" t="s">
        <v>217</v>
      </c>
      <c r="F105" s="30"/>
      <c r="G105" s="31"/>
      <c r="H105" s="30"/>
      <c r="I105" s="30" t="str">
        <f>IF(Table1[[#This Row],[Centre Status]]="Returned","NA",IF(Table1[[#This Row],[SD]]&gt;19000,"Full Payment",IF(Table1[[#This Row],[SD]]&lt;1,"No Payment","Partial Payment")))</f>
        <v>Partial Payment</v>
      </c>
      <c r="J105" s="30" t="s">
        <v>58</v>
      </c>
      <c r="K105" s="32">
        <v>110000</v>
      </c>
      <c r="L105" s="33">
        <f>Q105+R105+U105+Table1[[#This Row],[Farmer Payment]]</f>
        <v>11861</v>
      </c>
      <c r="M105" s="30"/>
      <c r="N105" s="34"/>
      <c r="O105" s="34"/>
      <c r="P105" s="35">
        <f t="shared" si="19"/>
        <v>98139</v>
      </c>
      <c r="Q105" s="33">
        <f>AI105+AV105+CK105+Table1[[#This Row],[FY 25-26]]</f>
        <v>1861</v>
      </c>
      <c r="R105" s="36">
        <v>10000</v>
      </c>
      <c r="S105" s="37" t="s">
        <v>3193</v>
      </c>
      <c r="T105" s="38">
        <v>45660</v>
      </c>
      <c r="U105" s="39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1">
        <f t="shared" si="20"/>
        <v>0</v>
      </c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>
        <f t="shared" si="21"/>
        <v>0</v>
      </c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>
        <v>0</v>
      </c>
      <c r="CG105" s="42">
        <v>0</v>
      </c>
      <c r="CH105" s="42">
        <v>0</v>
      </c>
      <c r="CI105" s="42">
        <v>0</v>
      </c>
      <c r="CJ105" s="42">
        <v>0</v>
      </c>
      <c r="CK105" s="43">
        <f t="shared" si="22"/>
        <v>0</v>
      </c>
      <c r="CL105" s="66"/>
      <c r="CM105" s="66">
        <v>0</v>
      </c>
      <c r="CN105" s="66">
        <v>0</v>
      </c>
      <c r="CO105" s="66">
        <v>0</v>
      </c>
      <c r="CP105" s="66">
        <v>0</v>
      </c>
      <c r="CQ105" s="66">
        <v>0</v>
      </c>
      <c r="CR105" s="66">
        <v>0</v>
      </c>
      <c r="CS105" s="66">
        <v>0</v>
      </c>
      <c r="CT105" s="66">
        <v>0</v>
      </c>
      <c r="CU105" s="66">
        <v>0</v>
      </c>
      <c r="CV105" s="66">
        <v>1861</v>
      </c>
      <c r="CW105" s="66">
        <v>0</v>
      </c>
      <c r="CX105" s="66">
        <v>0</v>
      </c>
      <c r="CY105" s="66">
        <v>0</v>
      </c>
      <c r="CZ105" s="66">
        <v>0</v>
      </c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>
        <f>SUM(Table1[[#This Row],[01-03 Apr]:[Mar-26]])</f>
        <v>1861</v>
      </c>
    </row>
    <row r="106" spans="1:115" hidden="1" x14ac:dyDescent="0.2">
      <c r="A106" s="28"/>
      <c r="B106" s="29"/>
      <c r="C106" s="29" t="s">
        <v>3182</v>
      </c>
      <c r="D106" s="30" t="s">
        <v>3184</v>
      </c>
      <c r="E106" s="30" t="s">
        <v>3176</v>
      </c>
      <c r="F106" s="30"/>
      <c r="G106" s="31"/>
      <c r="H106" s="30"/>
      <c r="I106" s="30" t="str">
        <f>IF(Table1[[#This Row],[Centre Status]]="Returned","NA",IF(Table1[[#This Row],[SD]]&gt;19000,"Full Payment",IF(Table1[[#This Row],[SD]]&lt;1,"No Payment","Partial Payment")))</f>
        <v>Full Payment</v>
      </c>
      <c r="J106" s="30" t="s">
        <v>58</v>
      </c>
      <c r="K106" s="32">
        <v>110000</v>
      </c>
      <c r="L106" s="33">
        <f>Q106+R106+U106+Table1[[#This Row],[Farmer Payment]]</f>
        <v>20000</v>
      </c>
      <c r="M106" s="30"/>
      <c r="N106" s="34"/>
      <c r="O106" s="34"/>
      <c r="P106" s="35">
        <f t="shared" si="19"/>
        <v>90000</v>
      </c>
      <c r="Q106" s="33">
        <f>AI106+AV106+CK106+Table1[[#This Row],[FY 25-26]]</f>
        <v>0</v>
      </c>
      <c r="R106" s="36">
        <v>20000</v>
      </c>
      <c r="S106" s="37" t="s">
        <v>3187</v>
      </c>
      <c r="T106" s="38">
        <v>45736</v>
      </c>
      <c r="U106" s="39"/>
      <c r="V106" s="39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1">
        <f t="shared" si="20"/>
        <v>0</v>
      </c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>
        <f t="shared" si="21"/>
        <v>0</v>
      </c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>
        <v>0</v>
      </c>
      <c r="CG106" s="42">
        <v>0</v>
      </c>
      <c r="CH106" s="42">
        <v>0</v>
      </c>
      <c r="CI106" s="42">
        <v>0</v>
      </c>
      <c r="CJ106" s="42">
        <v>0</v>
      </c>
      <c r="CK106" s="43">
        <f t="shared" si="22"/>
        <v>0</v>
      </c>
      <c r="CL106" s="66"/>
      <c r="CM106" s="66">
        <v>0</v>
      </c>
      <c r="CN106" s="66">
        <v>0</v>
      </c>
      <c r="CO106" s="66">
        <v>0</v>
      </c>
      <c r="CP106" s="66">
        <v>0</v>
      </c>
      <c r="CQ106" s="66">
        <v>0</v>
      </c>
      <c r="CR106" s="66">
        <v>0</v>
      </c>
      <c r="CS106" s="66">
        <v>0</v>
      </c>
      <c r="CT106" s="66">
        <v>0</v>
      </c>
      <c r="CU106" s="66">
        <v>0</v>
      </c>
      <c r="CV106" s="66">
        <v>0</v>
      </c>
      <c r="CW106" s="66">
        <v>0</v>
      </c>
      <c r="CX106" s="66">
        <v>0</v>
      </c>
      <c r="CY106" s="66">
        <v>0</v>
      </c>
      <c r="CZ106" s="66">
        <v>0</v>
      </c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>
        <f>SUM(Table1[[#This Row],[01-03 Apr]:[Mar-26]])</f>
        <v>0</v>
      </c>
    </row>
    <row r="107" spans="1:115" x14ac:dyDescent="0.2">
      <c r="A107" s="28"/>
      <c r="B107" s="29"/>
      <c r="C107" s="29" t="s">
        <v>3165</v>
      </c>
      <c r="D107" s="30" t="s">
        <v>1235</v>
      </c>
      <c r="E107" s="30" t="s">
        <v>85</v>
      </c>
      <c r="F107" s="30"/>
      <c r="G107" s="31"/>
      <c r="H107" s="30"/>
      <c r="I107" s="30" t="str">
        <f>IF(Table1[[#This Row],[Centre Status]]="Returned","NA",IF(Table1[[#This Row],[SD]]&gt;19000,"Full Payment",IF(Table1[[#This Row],[SD]]&lt;1,"No Payment","Partial Payment")))</f>
        <v>Partial Payment</v>
      </c>
      <c r="J107" s="30" t="s">
        <v>58</v>
      </c>
      <c r="K107" s="32">
        <v>110000</v>
      </c>
      <c r="L107" s="33">
        <f>Q107+R107+U107+Table1[[#This Row],[Farmer Payment]]</f>
        <v>10061</v>
      </c>
      <c r="M107" s="30">
        <v>10000</v>
      </c>
      <c r="N107" s="34">
        <v>45824</v>
      </c>
      <c r="O107" s="34" t="s">
        <v>3529</v>
      </c>
      <c r="P107" s="35">
        <f t="shared" si="19"/>
        <v>109939</v>
      </c>
      <c r="Q107" s="33">
        <f>AI107+AV107+CK107+Table1[[#This Row],[FY 25-26]]</f>
        <v>61</v>
      </c>
      <c r="R107" s="36">
        <v>10000</v>
      </c>
      <c r="S107" s="37" t="s">
        <v>3170</v>
      </c>
      <c r="T107" s="38">
        <v>45735</v>
      </c>
      <c r="U107" s="39"/>
      <c r="V107" s="39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1">
        <f t="shared" si="20"/>
        <v>0</v>
      </c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>
        <f t="shared" si="21"/>
        <v>0</v>
      </c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>
        <v>0</v>
      </c>
      <c r="CG107" s="42">
        <v>0</v>
      </c>
      <c r="CH107" s="42">
        <v>0</v>
      </c>
      <c r="CI107" s="42">
        <v>0</v>
      </c>
      <c r="CJ107" s="42">
        <v>19</v>
      </c>
      <c r="CK107" s="43">
        <f t="shared" si="22"/>
        <v>19</v>
      </c>
      <c r="CL107" s="66"/>
      <c r="CM107" s="66">
        <v>0</v>
      </c>
      <c r="CN107" s="66">
        <v>0</v>
      </c>
      <c r="CO107" s="66">
        <v>0</v>
      </c>
      <c r="CP107" s="66">
        <v>0</v>
      </c>
      <c r="CQ107" s="66">
        <v>0</v>
      </c>
      <c r="CR107" s="66">
        <v>0</v>
      </c>
      <c r="CS107" s="66">
        <v>0</v>
      </c>
      <c r="CT107" s="66">
        <v>0</v>
      </c>
      <c r="CU107" s="66">
        <v>0</v>
      </c>
      <c r="CV107" s="66">
        <v>42</v>
      </c>
      <c r="CW107" s="66">
        <v>0</v>
      </c>
      <c r="CX107" s="66">
        <v>0</v>
      </c>
      <c r="CY107" s="66">
        <v>0</v>
      </c>
      <c r="CZ107" s="66">
        <v>0</v>
      </c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>
        <f>SUM(Table1[[#This Row],[01-03 Apr]:[Mar-26]])</f>
        <v>42</v>
      </c>
    </row>
    <row r="108" spans="1:115" hidden="1" x14ac:dyDescent="0.2">
      <c r="A108" s="28"/>
      <c r="B108" s="29"/>
      <c r="C108" s="29" t="s">
        <v>3177</v>
      </c>
      <c r="D108" s="30" t="s">
        <v>3174</v>
      </c>
      <c r="E108" s="30" t="s">
        <v>3176</v>
      </c>
      <c r="F108" s="30"/>
      <c r="G108" s="31"/>
      <c r="H108" s="30"/>
      <c r="I108" s="30" t="str">
        <f>IF(Table1[[#This Row],[Centre Status]]="Returned","NA",IF(Table1[[#This Row],[SD]]&gt;19000,"Full Payment",IF(Table1[[#This Row],[SD]]&lt;1,"No Payment","Partial Payment")))</f>
        <v>NA</v>
      </c>
      <c r="J108" s="30" t="s">
        <v>1903</v>
      </c>
      <c r="K108" s="32">
        <v>110000</v>
      </c>
      <c r="L108" s="33">
        <f>Q108+R108+U108+Table1[[#This Row],[Farmer Payment]]</f>
        <v>20000</v>
      </c>
      <c r="M108" s="30">
        <v>20000</v>
      </c>
      <c r="N108" s="34">
        <v>45794</v>
      </c>
      <c r="O108" s="34" t="s">
        <v>3424</v>
      </c>
      <c r="P108" s="35">
        <f t="shared" si="19"/>
        <v>110000</v>
      </c>
      <c r="Q108" s="33">
        <f>AI108+AV108+CK108+Table1[[#This Row],[FY 25-26]]</f>
        <v>0</v>
      </c>
      <c r="R108" s="36">
        <v>20000</v>
      </c>
      <c r="S108" s="37" t="s">
        <v>3180</v>
      </c>
      <c r="T108" s="38">
        <v>45733</v>
      </c>
      <c r="U108" s="39"/>
      <c r="V108" s="39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1">
        <f t="shared" si="20"/>
        <v>0</v>
      </c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>
        <f t="shared" si="21"/>
        <v>0</v>
      </c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>
        <v>0</v>
      </c>
      <c r="CG108" s="42">
        <v>0</v>
      </c>
      <c r="CH108" s="42">
        <v>0</v>
      </c>
      <c r="CI108" s="42">
        <v>0</v>
      </c>
      <c r="CJ108" s="42">
        <v>0</v>
      </c>
      <c r="CK108" s="43">
        <f t="shared" si="22"/>
        <v>0</v>
      </c>
      <c r="CL108" s="66"/>
      <c r="CM108" s="66">
        <v>0</v>
      </c>
      <c r="CN108" s="66">
        <v>0</v>
      </c>
      <c r="CO108" s="66">
        <v>0</v>
      </c>
      <c r="CP108" s="66">
        <v>0</v>
      </c>
      <c r="CQ108" s="66">
        <v>0</v>
      </c>
      <c r="CR108" s="66">
        <v>0</v>
      </c>
      <c r="CS108" s="66">
        <v>0</v>
      </c>
      <c r="CT108" s="66">
        <v>0</v>
      </c>
      <c r="CU108" s="66">
        <v>0</v>
      </c>
      <c r="CV108" s="66">
        <v>0</v>
      </c>
      <c r="CW108" s="66">
        <v>0</v>
      </c>
      <c r="CX108" s="66">
        <v>0</v>
      </c>
      <c r="CY108" s="66">
        <v>0</v>
      </c>
      <c r="CZ108" s="66">
        <v>0</v>
      </c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>
        <f>SUM(Table1[[#This Row],[01-03 Apr]:[Mar-26]])</f>
        <v>0</v>
      </c>
    </row>
    <row r="109" spans="1:115" x14ac:dyDescent="0.2">
      <c r="A109" s="28"/>
      <c r="B109" s="29"/>
      <c r="C109" s="29" t="s">
        <v>3178</v>
      </c>
      <c r="D109" s="30" t="s">
        <v>3175</v>
      </c>
      <c r="E109" s="30" t="s">
        <v>3176</v>
      </c>
      <c r="F109" s="30"/>
      <c r="G109" s="31"/>
      <c r="H109" s="30"/>
      <c r="I109" s="30" t="str">
        <f>IF(Table1[[#This Row],[Centre Status]]="Returned","NA",IF(Table1[[#This Row],[SD]]&gt;19000,"Full Payment",IF(Table1[[#This Row],[SD]]&lt;1,"No Payment","Partial Payment")))</f>
        <v>Partial Payment</v>
      </c>
      <c r="J109" s="30" t="s">
        <v>58</v>
      </c>
      <c r="K109" s="32">
        <v>110000</v>
      </c>
      <c r="L109" s="33">
        <f>Q109+R109+U109+Table1[[#This Row],[Farmer Payment]]</f>
        <v>5035</v>
      </c>
      <c r="M109" s="30"/>
      <c r="N109" s="34"/>
      <c r="O109" s="34"/>
      <c r="P109" s="35">
        <f t="shared" si="19"/>
        <v>104965</v>
      </c>
      <c r="Q109" s="33">
        <f>AI109+AV109+CK109+Table1[[#This Row],[FY 25-26]]</f>
        <v>35</v>
      </c>
      <c r="R109" s="36">
        <v>5000</v>
      </c>
      <c r="S109" s="37" t="s">
        <v>3179</v>
      </c>
      <c r="T109" s="38">
        <v>45741</v>
      </c>
      <c r="U109" s="39"/>
      <c r="V109" s="39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1">
        <f t="shared" si="20"/>
        <v>0</v>
      </c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>
        <f t="shared" si="21"/>
        <v>0</v>
      </c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>
        <v>0</v>
      </c>
      <c r="CG109" s="42">
        <v>0</v>
      </c>
      <c r="CH109" s="42">
        <v>0</v>
      </c>
      <c r="CI109" s="42">
        <v>0</v>
      </c>
      <c r="CJ109" s="42">
        <v>35</v>
      </c>
      <c r="CK109" s="43">
        <f t="shared" si="22"/>
        <v>35</v>
      </c>
      <c r="CL109" s="66"/>
      <c r="CM109" s="66">
        <v>0</v>
      </c>
      <c r="CN109" s="66">
        <v>0</v>
      </c>
      <c r="CO109" s="66">
        <v>0</v>
      </c>
      <c r="CP109" s="66">
        <v>0</v>
      </c>
      <c r="CQ109" s="66">
        <v>0</v>
      </c>
      <c r="CR109" s="66">
        <v>0</v>
      </c>
      <c r="CS109" s="66">
        <v>0</v>
      </c>
      <c r="CT109" s="66">
        <v>0</v>
      </c>
      <c r="CU109" s="66">
        <v>0</v>
      </c>
      <c r="CV109" s="66">
        <v>0</v>
      </c>
      <c r="CW109" s="66">
        <v>0</v>
      </c>
      <c r="CX109" s="66">
        <v>0</v>
      </c>
      <c r="CY109" s="66">
        <v>0</v>
      </c>
      <c r="CZ109" s="66">
        <v>0</v>
      </c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>
        <f>SUM(Table1[[#This Row],[01-03 Apr]:[Mar-26]])</f>
        <v>0</v>
      </c>
    </row>
    <row r="110" spans="1:115" x14ac:dyDescent="0.2">
      <c r="A110" s="28"/>
      <c r="B110" s="29"/>
      <c r="C110" s="29" t="s">
        <v>3172</v>
      </c>
      <c r="D110" s="30" t="s">
        <v>3171</v>
      </c>
      <c r="E110" s="30"/>
      <c r="F110" s="30"/>
      <c r="G110" s="31"/>
      <c r="H110" s="30"/>
      <c r="I110" s="30" t="str">
        <f>IF(Table1[[#This Row],[Centre Status]]="Returned","NA",IF(Table1[[#This Row],[SD]]&gt;19000,"Full Payment",IF(Table1[[#This Row],[SD]]&lt;1,"No Payment","Partial Payment")))</f>
        <v>Partial Payment</v>
      </c>
      <c r="J110" s="30" t="s">
        <v>58</v>
      </c>
      <c r="K110" s="32">
        <v>110000</v>
      </c>
      <c r="L110" s="33">
        <f>Q110+R110+U110+Table1[[#This Row],[Farmer Payment]]</f>
        <v>12142</v>
      </c>
      <c r="M110" s="30"/>
      <c r="N110" s="34"/>
      <c r="O110" s="34"/>
      <c r="P110" s="35">
        <f t="shared" si="19"/>
        <v>97858</v>
      </c>
      <c r="Q110" s="33">
        <f>AI110+AV110+CK110+Table1[[#This Row],[FY 25-26]]</f>
        <v>2142</v>
      </c>
      <c r="R110" s="36">
        <v>10000</v>
      </c>
      <c r="S110" s="37" t="s">
        <v>3173</v>
      </c>
      <c r="T110" s="38">
        <v>45741</v>
      </c>
      <c r="U110" s="39"/>
      <c r="V110" s="39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1">
        <f t="shared" si="20"/>
        <v>0</v>
      </c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>
        <f t="shared" si="21"/>
        <v>0</v>
      </c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>
        <v>0</v>
      </c>
      <c r="CG110" s="42">
        <v>0</v>
      </c>
      <c r="CH110" s="42">
        <v>0</v>
      </c>
      <c r="CI110" s="42">
        <v>0</v>
      </c>
      <c r="CJ110" s="42">
        <v>281</v>
      </c>
      <c r="CK110" s="43">
        <f t="shared" si="22"/>
        <v>281</v>
      </c>
      <c r="CL110" s="66"/>
      <c r="CM110" s="66">
        <v>0</v>
      </c>
      <c r="CN110" s="66">
        <v>0</v>
      </c>
      <c r="CO110" s="66">
        <v>0</v>
      </c>
      <c r="CP110" s="66">
        <v>0</v>
      </c>
      <c r="CQ110" s="66">
        <v>0</v>
      </c>
      <c r="CR110" s="66">
        <v>0</v>
      </c>
      <c r="CS110" s="66">
        <v>0</v>
      </c>
      <c r="CT110" s="66">
        <v>0</v>
      </c>
      <c r="CU110" s="66">
        <v>0</v>
      </c>
      <c r="CV110" s="66">
        <v>1861</v>
      </c>
      <c r="CW110" s="66">
        <v>0</v>
      </c>
      <c r="CX110" s="66">
        <v>0</v>
      </c>
      <c r="CY110" s="66">
        <v>0</v>
      </c>
      <c r="CZ110" s="66">
        <v>0</v>
      </c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>
        <f>SUM(Table1[[#This Row],[01-03 Apr]:[Mar-26]])</f>
        <v>1861</v>
      </c>
    </row>
    <row r="111" spans="1:115" hidden="1" x14ac:dyDescent="0.2">
      <c r="A111" s="28"/>
      <c r="B111" s="29"/>
      <c r="C111" s="29" t="s">
        <v>3132</v>
      </c>
      <c r="D111" s="30" t="s">
        <v>3128</v>
      </c>
      <c r="E111" s="30"/>
      <c r="F111" s="30"/>
      <c r="G111" s="31"/>
      <c r="H111" s="30"/>
      <c r="I111" s="30" t="str">
        <f>IF(Table1[[#This Row],[Centre Status]]="Returned","NA",IF(Table1[[#This Row],[SD]]&gt;19000,"Full Payment",IF(Table1[[#This Row],[SD]]&lt;1,"No Payment","Partial Payment")))</f>
        <v>Full Payment</v>
      </c>
      <c r="J111" s="30" t="s">
        <v>58</v>
      </c>
      <c r="K111" s="32">
        <v>110000</v>
      </c>
      <c r="L111" s="33">
        <f>Q111+R111+U111+Table1[[#This Row],[Farmer Payment]]</f>
        <v>20200</v>
      </c>
      <c r="M111" s="30">
        <v>20000</v>
      </c>
      <c r="N111" s="34">
        <v>45834</v>
      </c>
      <c r="O111" s="34" t="s">
        <v>3531</v>
      </c>
      <c r="P111" s="35">
        <f t="shared" si="19"/>
        <v>109800</v>
      </c>
      <c r="Q111" s="33">
        <f>AI111+AV111+CK111+Table1[[#This Row],[FY 25-26]]</f>
        <v>200</v>
      </c>
      <c r="R111" s="36">
        <v>20000</v>
      </c>
      <c r="S111" s="37" t="s">
        <v>3130</v>
      </c>
      <c r="T111" s="38">
        <v>45733</v>
      </c>
      <c r="U111" s="39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1">
        <f t="shared" si="20"/>
        <v>0</v>
      </c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>
        <f t="shared" si="21"/>
        <v>0</v>
      </c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>
        <v>0</v>
      </c>
      <c r="CG111" s="42">
        <v>0</v>
      </c>
      <c r="CH111" s="42">
        <v>0</v>
      </c>
      <c r="CI111" s="42">
        <v>0</v>
      </c>
      <c r="CJ111" s="42">
        <v>8</v>
      </c>
      <c r="CK111" s="43">
        <f t="shared" si="22"/>
        <v>8</v>
      </c>
      <c r="CL111" s="66"/>
      <c r="CM111" s="66">
        <v>0</v>
      </c>
      <c r="CN111" s="66">
        <v>0</v>
      </c>
      <c r="CO111" s="66">
        <v>0</v>
      </c>
      <c r="CP111" s="66">
        <v>0</v>
      </c>
      <c r="CQ111" s="66">
        <v>0</v>
      </c>
      <c r="CR111" s="66">
        <v>0</v>
      </c>
      <c r="CS111" s="66">
        <v>0</v>
      </c>
      <c r="CT111" s="66">
        <v>0</v>
      </c>
      <c r="CU111" s="66">
        <v>0</v>
      </c>
      <c r="CV111" s="66">
        <v>192</v>
      </c>
      <c r="CW111" s="66">
        <v>0</v>
      </c>
      <c r="CX111" s="66">
        <v>0</v>
      </c>
      <c r="CY111" s="66">
        <v>0</v>
      </c>
      <c r="CZ111" s="66">
        <v>0</v>
      </c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>
        <f>SUM(Table1[[#This Row],[01-03 Apr]:[Mar-26]])</f>
        <v>192</v>
      </c>
    </row>
    <row r="112" spans="1:115" x14ac:dyDescent="0.2">
      <c r="A112" s="28"/>
      <c r="B112" s="29"/>
      <c r="C112" s="29" t="s">
        <v>3133</v>
      </c>
      <c r="D112" s="30" t="s">
        <v>3129</v>
      </c>
      <c r="E112" s="30"/>
      <c r="F112" s="30"/>
      <c r="G112" s="31"/>
      <c r="H112" s="30"/>
      <c r="I112" s="30" t="str">
        <f>IF(Table1[[#This Row],[Centre Status]]="Returned","NA",IF(Table1[[#This Row],[SD]]&gt;19000,"Full Payment",IF(Table1[[#This Row],[SD]]&lt;1,"No Payment","Partial Payment")))</f>
        <v>Partial Payment</v>
      </c>
      <c r="J112" s="30" t="s">
        <v>58</v>
      </c>
      <c r="K112" s="32">
        <v>110000</v>
      </c>
      <c r="L112" s="33">
        <f>Q112+R112+U112+Table1[[#This Row],[Farmer Payment]]</f>
        <v>10010</v>
      </c>
      <c r="M112" s="30"/>
      <c r="N112" s="34"/>
      <c r="O112" s="34"/>
      <c r="P112" s="35">
        <f t="shared" si="19"/>
        <v>99990</v>
      </c>
      <c r="Q112" s="33">
        <f>AI112+AV112+CK112+Table1[[#This Row],[FY 25-26]]</f>
        <v>10</v>
      </c>
      <c r="R112" s="36">
        <v>10000</v>
      </c>
      <c r="S112" s="37" t="s">
        <v>3131</v>
      </c>
      <c r="T112" s="38">
        <v>45733</v>
      </c>
      <c r="U112" s="39"/>
      <c r="V112" s="39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1">
        <f t="shared" si="20"/>
        <v>0</v>
      </c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>
        <f t="shared" si="21"/>
        <v>0</v>
      </c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>
        <v>0</v>
      </c>
      <c r="CG112" s="42">
        <v>0</v>
      </c>
      <c r="CH112" s="42">
        <v>0</v>
      </c>
      <c r="CI112" s="42">
        <v>0</v>
      </c>
      <c r="CJ112" s="42">
        <v>10</v>
      </c>
      <c r="CK112" s="43">
        <f t="shared" si="22"/>
        <v>10</v>
      </c>
      <c r="CL112" s="66"/>
      <c r="CM112" s="66">
        <v>0</v>
      </c>
      <c r="CN112" s="66">
        <v>0</v>
      </c>
      <c r="CO112" s="66">
        <v>0</v>
      </c>
      <c r="CP112" s="66">
        <v>0</v>
      </c>
      <c r="CQ112" s="66">
        <v>0</v>
      </c>
      <c r="CR112" s="66">
        <v>0</v>
      </c>
      <c r="CS112" s="66">
        <v>0</v>
      </c>
      <c r="CT112" s="66">
        <v>0</v>
      </c>
      <c r="CU112" s="66">
        <v>0</v>
      </c>
      <c r="CV112" s="66">
        <v>0</v>
      </c>
      <c r="CW112" s="66">
        <v>0</v>
      </c>
      <c r="CX112" s="66">
        <v>0</v>
      </c>
      <c r="CY112" s="66">
        <v>0</v>
      </c>
      <c r="CZ112" s="66">
        <v>0</v>
      </c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>
        <f>SUM(Table1[[#This Row],[01-03 Apr]:[Mar-26]])</f>
        <v>0</v>
      </c>
    </row>
    <row r="113" spans="1:115" hidden="1" x14ac:dyDescent="0.2">
      <c r="A113" s="28"/>
      <c r="B113" s="29"/>
      <c r="C113" s="29" t="s">
        <v>3009</v>
      </c>
      <c r="D113" s="30" t="s">
        <v>3010</v>
      </c>
      <c r="E113" s="30" t="s">
        <v>584</v>
      </c>
      <c r="F113" s="30"/>
      <c r="G113" s="31"/>
      <c r="H113" s="30">
        <v>23120075</v>
      </c>
      <c r="I113" s="30" t="str">
        <f>IF(Table1[[#This Row],[Centre Status]]="Returned","NA",IF(Table1[[#This Row],[SD]]&gt;19000,"Full Payment",IF(Table1[[#This Row],[SD]]&lt;1,"No Payment","Partial Payment")))</f>
        <v>Full Payment</v>
      </c>
      <c r="J113" s="30" t="s">
        <v>58</v>
      </c>
      <c r="K113" s="32">
        <v>110000</v>
      </c>
      <c r="L113" s="33">
        <f>Q113+R113+U113+Table1[[#This Row],[Farmer Payment]]</f>
        <v>22950.372092375139</v>
      </c>
      <c r="M113" s="30"/>
      <c r="N113" s="34"/>
      <c r="O113" s="34"/>
      <c r="P113" s="35">
        <f t="shared" si="19"/>
        <v>87049.627907624861</v>
      </c>
      <c r="Q113" s="33">
        <f>AI113+AV113+CK113+Table1[[#This Row],[FY 25-26]]</f>
        <v>2950.3720923751403</v>
      </c>
      <c r="R113" s="36">
        <v>20000</v>
      </c>
      <c r="S113" s="37" t="s">
        <v>3014</v>
      </c>
      <c r="T113" s="38">
        <v>45678</v>
      </c>
      <c r="U113" s="39"/>
      <c r="V113" s="39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1">
        <f t="shared" si="20"/>
        <v>0</v>
      </c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>
        <f t="shared" si="21"/>
        <v>0</v>
      </c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>
        <v>0</v>
      </c>
      <c r="BQ113" s="42"/>
      <c r="BR113" s="42"/>
      <c r="BS113" s="42"/>
      <c r="BT113" s="42"/>
      <c r="BU113" s="42"/>
      <c r="BV113" s="42"/>
      <c r="BW113" s="42"/>
      <c r="BX113" s="42"/>
      <c r="BY113" s="42">
        <v>0</v>
      </c>
      <c r="BZ113" s="42">
        <v>0</v>
      </c>
      <c r="CA113" s="42">
        <v>0</v>
      </c>
      <c r="CB113" s="42">
        <v>0</v>
      </c>
      <c r="CC113" s="42">
        <v>0</v>
      </c>
      <c r="CD113" s="42">
        <v>0</v>
      </c>
      <c r="CE113" s="42">
        <v>0</v>
      </c>
      <c r="CF113" s="42">
        <v>0</v>
      </c>
      <c r="CG113" s="42">
        <v>0</v>
      </c>
      <c r="CH113" s="42">
        <v>0</v>
      </c>
      <c r="CI113" s="42">
        <v>0</v>
      </c>
      <c r="CJ113" s="42">
        <v>784</v>
      </c>
      <c r="CK113" s="43">
        <f t="shared" si="22"/>
        <v>784</v>
      </c>
      <c r="CL113" s="66"/>
      <c r="CM113" s="66">
        <v>0</v>
      </c>
      <c r="CN113" s="66">
        <v>0</v>
      </c>
      <c r="CO113" s="66">
        <v>0</v>
      </c>
      <c r="CP113" s="66">
        <v>0</v>
      </c>
      <c r="CQ113" s="66">
        <v>0</v>
      </c>
      <c r="CR113" s="66">
        <v>0</v>
      </c>
      <c r="CS113" s="66">
        <v>0</v>
      </c>
      <c r="CT113" s="66">
        <v>0</v>
      </c>
      <c r="CU113" s="66">
        <v>0</v>
      </c>
      <c r="CV113" s="66">
        <v>2166.3720923751403</v>
      </c>
      <c r="CW113" s="66">
        <v>0</v>
      </c>
      <c r="CX113" s="66">
        <v>0</v>
      </c>
      <c r="CY113" s="66">
        <v>0</v>
      </c>
      <c r="CZ113" s="66">
        <v>0</v>
      </c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>
        <f>SUM(Table1[[#This Row],[01-03 Apr]:[Mar-26]])</f>
        <v>2166.3720923751403</v>
      </c>
    </row>
    <row r="114" spans="1:115" x14ac:dyDescent="0.2">
      <c r="A114" s="28"/>
      <c r="B114" s="29"/>
      <c r="C114" s="29" t="s">
        <v>3074</v>
      </c>
      <c r="D114" s="30" t="s">
        <v>3072</v>
      </c>
      <c r="E114" s="30" t="s">
        <v>203</v>
      </c>
      <c r="F114" s="30"/>
      <c r="G114" s="31"/>
      <c r="H114" s="30">
        <v>387837</v>
      </c>
      <c r="I114" s="30" t="str">
        <f>IF(Table1[[#This Row],[Centre Status]]="Returned","NA",IF(Table1[[#This Row],[SD]]&gt;19000,"Full Payment",IF(Table1[[#This Row],[SD]]&lt;1,"No Payment","Partial Payment")))</f>
        <v>Partial Payment</v>
      </c>
      <c r="J114" s="30" t="s">
        <v>58</v>
      </c>
      <c r="K114" s="32">
        <v>110000</v>
      </c>
      <c r="L114" s="33">
        <f>Q114+R114+U114+Table1[[#This Row],[Farmer Payment]]</f>
        <v>11905</v>
      </c>
      <c r="M114" s="30"/>
      <c r="N114" s="34"/>
      <c r="O114" s="34"/>
      <c r="P114" s="35">
        <f t="shared" si="19"/>
        <v>98095</v>
      </c>
      <c r="Q114" s="33">
        <f>AI114+AV114+CK114+Table1[[#This Row],[FY 25-26]]</f>
        <v>1905</v>
      </c>
      <c r="R114" s="36">
        <v>10000</v>
      </c>
      <c r="S114" s="37" t="s">
        <v>3077</v>
      </c>
      <c r="T114" s="38">
        <v>45721</v>
      </c>
      <c r="U114" s="39"/>
      <c r="V114" s="39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1">
        <f t="shared" si="20"/>
        <v>0</v>
      </c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>
        <f t="shared" si="21"/>
        <v>0</v>
      </c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>
        <v>0</v>
      </c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>
        <v>0</v>
      </c>
      <c r="CE114" s="42"/>
      <c r="CF114" s="42">
        <v>0</v>
      </c>
      <c r="CG114" s="42">
        <v>0</v>
      </c>
      <c r="CH114" s="42">
        <v>0</v>
      </c>
      <c r="CI114" s="42">
        <v>0</v>
      </c>
      <c r="CJ114" s="42">
        <v>44</v>
      </c>
      <c r="CK114" s="43">
        <f t="shared" si="22"/>
        <v>44</v>
      </c>
      <c r="CL114" s="66"/>
      <c r="CM114" s="66">
        <v>0</v>
      </c>
      <c r="CN114" s="66">
        <v>0</v>
      </c>
      <c r="CO114" s="66">
        <v>0</v>
      </c>
      <c r="CP114" s="66">
        <v>0</v>
      </c>
      <c r="CQ114" s="66">
        <v>0</v>
      </c>
      <c r="CR114" s="66">
        <v>0</v>
      </c>
      <c r="CS114" s="66">
        <v>0</v>
      </c>
      <c r="CT114" s="66">
        <v>0</v>
      </c>
      <c r="CU114" s="66">
        <v>0</v>
      </c>
      <c r="CV114" s="66">
        <v>1861</v>
      </c>
      <c r="CW114" s="66">
        <v>0</v>
      </c>
      <c r="CX114" s="66">
        <v>0</v>
      </c>
      <c r="CY114" s="66">
        <v>0</v>
      </c>
      <c r="CZ114" s="66">
        <v>0</v>
      </c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>
        <f>SUM(Table1[[#This Row],[01-03 Apr]:[Mar-26]])</f>
        <v>1861</v>
      </c>
    </row>
    <row r="115" spans="1:115" hidden="1" x14ac:dyDescent="0.2">
      <c r="A115" s="28"/>
      <c r="B115" s="29"/>
      <c r="C115" s="29" t="s">
        <v>3075</v>
      </c>
      <c r="D115" s="30" t="s">
        <v>3073</v>
      </c>
      <c r="E115" s="30" t="s">
        <v>203</v>
      </c>
      <c r="F115" s="30"/>
      <c r="G115" s="31"/>
      <c r="H115" s="30">
        <v>378190</v>
      </c>
      <c r="I115" s="30" t="str">
        <f>IF(Table1[[#This Row],[Centre Status]]="Returned","NA",IF(Table1[[#This Row],[SD]]&gt;19000,"Full Payment",IF(Table1[[#This Row],[SD]]&lt;1,"No Payment","Partial Payment")))</f>
        <v>Full Payment</v>
      </c>
      <c r="J115" s="30" t="s">
        <v>58</v>
      </c>
      <c r="K115" s="32">
        <v>110000</v>
      </c>
      <c r="L115" s="33">
        <f>Q115+R115+U115+Table1[[#This Row],[Farmer Payment]]</f>
        <v>23131</v>
      </c>
      <c r="M115" s="30"/>
      <c r="N115" s="34"/>
      <c r="O115" s="34"/>
      <c r="P115" s="35">
        <f t="shared" si="19"/>
        <v>86869</v>
      </c>
      <c r="Q115" s="33">
        <f>AI115+AV115+CK115+Table1[[#This Row],[FY 25-26]]</f>
        <v>3131</v>
      </c>
      <c r="R115" s="36">
        <v>20000</v>
      </c>
      <c r="S115" s="37" t="s">
        <v>3076</v>
      </c>
      <c r="T115" s="38">
        <v>45719</v>
      </c>
      <c r="U115" s="39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1">
        <f t="shared" si="20"/>
        <v>0</v>
      </c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>
        <f t="shared" si="21"/>
        <v>0</v>
      </c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>
        <v>0</v>
      </c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>
        <v>0</v>
      </c>
      <c r="CE115" s="42"/>
      <c r="CF115" s="42">
        <v>0</v>
      </c>
      <c r="CG115" s="42">
        <v>0</v>
      </c>
      <c r="CH115" s="42">
        <v>0</v>
      </c>
      <c r="CI115" s="42">
        <v>0</v>
      </c>
      <c r="CJ115" s="42">
        <v>1270</v>
      </c>
      <c r="CK115" s="43">
        <f t="shared" si="22"/>
        <v>1270</v>
      </c>
      <c r="CL115" s="66"/>
      <c r="CM115" s="66">
        <v>0</v>
      </c>
      <c r="CN115" s="66">
        <v>0</v>
      </c>
      <c r="CO115" s="66">
        <v>0</v>
      </c>
      <c r="CP115" s="66">
        <v>0</v>
      </c>
      <c r="CQ115" s="66">
        <v>0</v>
      </c>
      <c r="CR115" s="66">
        <v>0</v>
      </c>
      <c r="CS115" s="66">
        <v>0</v>
      </c>
      <c r="CT115" s="66">
        <v>0</v>
      </c>
      <c r="CU115" s="66">
        <v>0</v>
      </c>
      <c r="CV115" s="66">
        <v>1861</v>
      </c>
      <c r="CW115" s="66">
        <v>0</v>
      </c>
      <c r="CX115" s="66">
        <v>0</v>
      </c>
      <c r="CY115" s="66">
        <v>0</v>
      </c>
      <c r="CZ115" s="66">
        <v>0</v>
      </c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>
        <f>SUM(Table1[[#This Row],[01-03 Apr]:[Mar-26]])</f>
        <v>1861</v>
      </c>
    </row>
    <row r="116" spans="1:115" hidden="1" x14ac:dyDescent="0.2">
      <c r="A116" s="28"/>
      <c r="B116" s="29"/>
      <c r="C116" s="29" t="s">
        <v>3102</v>
      </c>
      <c r="D116" s="30" t="s">
        <v>3101</v>
      </c>
      <c r="E116" s="30" t="s">
        <v>203</v>
      </c>
      <c r="F116" s="30"/>
      <c r="G116" s="31"/>
      <c r="H116" s="30"/>
      <c r="I116" s="30" t="str">
        <f>IF(Table1[[#This Row],[Centre Status]]="Returned","NA",IF(Table1[[#This Row],[SD]]&gt;19000,"Full Payment",IF(Table1[[#This Row],[SD]]&lt;1,"No Payment","Partial Payment")))</f>
        <v>Full Payment</v>
      </c>
      <c r="J116" s="30" t="s">
        <v>58</v>
      </c>
      <c r="K116" s="32">
        <v>110000</v>
      </c>
      <c r="L116" s="33">
        <f>Q116+R116+U116+Table1[[#This Row],[Farmer Payment]]</f>
        <v>23020.204399999999</v>
      </c>
      <c r="M116" s="30"/>
      <c r="N116" s="34"/>
      <c r="O116" s="34"/>
      <c r="P116" s="35">
        <f t="shared" si="19"/>
        <v>86979.795599999998</v>
      </c>
      <c r="Q116" s="33">
        <f>AI116+AV116+CK116+Table1[[#This Row],[FY 25-26]]</f>
        <v>3024.9244000000008</v>
      </c>
      <c r="R116" s="36">
        <v>19995.28</v>
      </c>
      <c r="S116" s="37"/>
      <c r="T116" s="38">
        <v>45722</v>
      </c>
      <c r="U116" s="39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1">
        <f t="shared" si="20"/>
        <v>0</v>
      </c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>
        <f t="shared" si="21"/>
        <v>0</v>
      </c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>
        <v>0</v>
      </c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>
        <v>0</v>
      </c>
      <c r="CE116" s="42"/>
      <c r="CF116" s="42">
        <v>0</v>
      </c>
      <c r="CG116" s="42">
        <v>0</v>
      </c>
      <c r="CH116" s="42">
        <v>0</v>
      </c>
      <c r="CI116" s="42">
        <v>0</v>
      </c>
      <c r="CJ116" s="42">
        <v>0</v>
      </c>
      <c r="CK116" s="43">
        <f t="shared" si="22"/>
        <v>0</v>
      </c>
      <c r="CL116" s="66"/>
      <c r="CM116" s="66">
        <v>0</v>
      </c>
      <c r="CN116" s="66">
        <v>0</v>
      </c>
      <c r="CO116" s="66">
        <v>0</v>
      </c>
      <c r="CP116" s="66">
        <v>0</v>
      </c>
      <c r="CQ116" s="66">
        <v>0</v>
      </c>
      <c r="CR116" s="66">
        <v>0</v>
      </c>
      <c r="CS116" s="66">
        <v>0</v>
      </c>
      <c r="CT116" s="66">
        <v>0</v>
      </c>
      <c r="CU116" s="66">
        <v>0</v>
      </c>
      <c r="CV116" s="66">
        <v>3024.9244000000008</v>
      </c>
      <c r="CW116" s="66">
        <v>0</v>
      </c>
      <c r="CX116" s="66">
        <v>0</v>
      </c>
      <c r="CY116" s="66">
        <v>0</v>
      </c>
      <c r="CZ116" s="66">
        <v>0</v>
      </c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>
        <f>SUM(Table1[[#This Row],[01-03 Apr]:[Mar-26]])</f>
        <v>3024.9244000000008</v>
      </c>
    </row>
    <row r="117" spans="1:115" hidden="1" x14ac:dyDescent="0.2">
      <c r="A117" s="28"/>
      <c r="B117" s="29"/>
      <c r="C117" s="29" t="s">
        <v>3111</v>
      </c>
      <c r="D117" s="30" t="s">
        <v>3103</v>
      </c>
      <c r="E117" s="30" t="s">
        <v>217</v>
      </c>
      <c r="F117" s="30"/>
      <c r="G117" s="31"/>
      <c r="H117" s="30"/>
      <c r="I117" s="30" t="str">
        <f>IF(Table1[[#This Row],[Centre Status]]="Returned","NA",IF(Table1[[#This Row],[SD]]&gt;19000,"Full Payment",IF(Table1[[#This Row],[SD]]&lt;1,"No Payment","Partial Payment")))</f>
        <v>Full Payment</v>
      </c>
      <c r="J117" s="30" t="s">
        <v>58</v>
      </c>
      <c r="K117" s="32">
        <v>110000</v>
      </c>
      <c r="L117" s="33">
        <f>Q117+R117+U117+Table1[[#This Row],[Farmer Payment]]</f>
        <v>21873</v>
      </c>
      <c r="M117" s="30"/>
      <c r="N117" s="34"/>
      <c r="O117" s="34"/>
      <c r="P117" s="35">
        <f t="shared" ref="P117:P124" si="23">K117-L117+M117</f>
        <v>88127</v>
      </c>
      <c r="Q117" s="33">
        <f>AI117+AV117+CK117+Table1[[#This Row],[FY 25-26]]</f>
        <v>1873</v>
      </c>
      <c r="R117" s="36">
        <v>20000</v>
      </c>
      <c r="S117" s="37" t="s">
        <v>3126</v>
      </c>
      <c r="T117" s="38">
        <v>45720</v>
      </c>
      <c r="U117" s="39"/>
      <c r="V117" s="39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1">
        <f t="shared" ref="AI117:AI124" si="24">SUM(W117:AH117)</f>
        <v>0</v>
      </c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>
        <f t="shared" ref="AV117:AV124" si="25">SUM(AJ117:AU117)</f>
        <v>0</v>
      </c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>
        <v>0</v>
      </c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>
        <v>0</v>
      </c>
      <c r="CE117" s="42"/>
      <c r="CF117" s="42">
        <v>0</v>
      </c>
      <c r="CG117" s="42">
        <v>0</v>
      </c>
      <c r="CH117" s="42">
        <v>0</v>
      </c>
      <c r="CI117" s="42">
        <v>0</v>
      </c>
      <c r="CJ117" s="42">
        <v>12</v>
      </c>
      <c r="CK117" s="43">
        <f t="shared" ref="CK117:CK124" si="26">SUM(AW117:CJ117)</f>
        <v>12</v>
      </c>
      <c r="CL117" s="66"/>
      <c r="CM117" s="66">
        <v>0</v>
      </c>
      <c r="CN117" s="66">
        <v>0</v>
      </c>
      <c r="CO117" s="66">
        <v>0</v>
      </c>
      <c r="CP117" s="66">
        <v>0</v>
      </c>
      <c r="CQ117" s="66">
        <v>0</v>
      </c>
      <c r="CR117" s="66">
        <v>0</v>
      </c>
      <c r="CS117" s="66">
        <v>0</v>
      </c>
      <c r="CT117" s="66">
        <v>0</v>
      </c>
      <c r="CU117" s="66">
        <v>0</v>
      </c>
      <c r="CV117" s="66">
        <v>1861</v>
      </c>
      <c r="CW117" s="66">
        <v>0</v>
      </c>
      <c r="CX117" s="66">
        <v>0</v>
      </c>
      <c r="CY117" s="66">
        <v>0</v>
      </c>
      <c r="CZ117" s="66">
        <v>0</v>
      </c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>
        <f>SUM(Table1[[#This Row],[01-03 Apr]:[Mar-26]])</f>
        <v>1861</v>
      </c>
    </row>
    <row r="118" spans="1:115" hidden="1" x14ac:dyDescent="0.2">
      <c r="A118" s="28"/>
      <c r="B118" s="29"/>
      <c r="C118" s="29" t="s">
        <v>3112</v>
      </c>
      <c r="D118" s="30" t="s">
        <v>3104</v>
      </c>
      <c r="E118" s="30" t="s">
        <v>217</v>
      </c>
      <c r="F118" s="30"/>
      <c r="G118" s="31"/>
      <c r="H118" s="30"/>
      <c r="I118" s="30" t="str">
        <f>IF(Table1[[#This Row],[Centre Status]]="Returned","NA",IF(Table1[[#This Row],[SD]]&gt;19000,"Full Payment",IF(Table1[[#This Row],[SD]]&lt;1,"No Payment","Partial Payment")))</f>
        <v>Full Payment</v>
      </c>
      <c r="J118" s="30" t="s">
        <v>58</v>
      </c>
      <c r="K118" s="32">
        <v>110000</v>
      </c>
      <c r="L118" s="33">
        <f>Q118+R118+U118+Table1[[#This Row],[Farmer Payment]]</f>
        <v>21108</v>
      </c>
      <c r="M118" s="30"/>
      <c r="N118" s="34"/>
      <c r="O118" s="34"/>
      <c r="P118" s="35">
        <f t="shared" si="23"/>
        <v>88892</v>
      </c>
      <c r="Q118" s="33">
        <f>AI118+AV118+CK118+Table1[[#This Row],[FY 25-26]]</f>
        <v>1108</v>
      </c>
      <c r="R118" s="36">
        <v>20000</v>
      </c>
      <c r="S118" s="37" t="s">
        <v>3120</v>
      </c>
      <c r="T118" s="38">
        <v>45707</v>
      </c>
      <c r="U118" s="39"/>
      <c r="V118" s="39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1">
        <f t="shared" si="24"/>
        <v>0</v>
      </c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>
        <f t="shared" si="25"/>
        <v>0</v>
      </c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  <c r="BO118" s="42"/>
      <c r="BP118" s="42">
        <v>0</v>
      </c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>
        <v>0</v>
      </c>
      <c r="CE118" s="42"/>
      <c r="CF118" s="42">
        <v>0</v>
      </c>
      <c r="CG118" s="42">
        <v>0</v>
      </c>
      <c r="CH118" s="42">
        <v>0</v>
      </c>
      <c r="CI118" s="42">
        <v>0</v>
      </c>
      <c r="CJ118" s="42">
        <v>24</v>
      </c>
      <c r="CK118" s="43">
        <f t="shared" si="26"/>
        <v>24</v>
      </c>
      <c r="CL118" s="66"/>
      <c r="CM118" s="66">
        <v>0</v>
      </c>
      <c r="CN118" s="66">
        <v>0</v>
      </c>
      <c r="CO118" s="66">
        <v>0</v>
      </c>
      <c r="CP118" s="66">
        <v>0</v>
      </c>
      <c r="CQ118" s="66">
        <v>0</v>
      </c>
      <c r="CR118" s="66">
        <v>0</v>
      </c>
      <c r="CS118" s="66">
        <v>0</v>
      </c>
      <c r="CT118" s="66">
        <v>0</v>
      </c>
      <c r="CU118" s="66">
        <v>0</v>
      </c>
      <c r="CV118" s="66">
        <v>1084</v>
      </c>
      <c r="CW118" s="66">
        <v>0</v>
      </c>
      <c r="CX118" s="66">
        <v>0</v>
      </c>
      <c r="CY118" s="66">
        <v>0</v>
      </c>
      <c r="CZ118" s="66">
        <v>0</v>
      </c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>
        <f>SUM(Table1[[#This Row],[01-03 Apr]:[Mar-26]])</f>
        <v>1084</v>
      </c>
    </row>
    <row r="119" spans="1:115" hidden="1" x14ac:dyDescent="0.2">
      <c r="A119" s="28"/>
      <c r="B119" s="29"/>
      <c r="C119" s="29" t="s">
        <v>3113</v>
      </c>
      <c r="D119" s="30" t="s">
        <v>3105</v>
      </c>
      <c r="E119" s="30" t="s">
        <v>217</v>
      </c>
      <c r="F119" s="30"/>
      <c r="G119" s="31"/>
      <c r="H119" s="30"/>
      <c r="I119" s="30" t="str">
        <f>IF(Table1[[#This Row],[Centre Status]]="Returned","NA",IF(Table1[[#This Row],[SD]]&gt;19000,"Full Payment",IF(Table1[[#This Row],[SD]]&lt;1,"No Payment","Partial Payment")))</f>
        <v>Full Payment</v>
      </c>
      <c r="J119" s="30" t="s">
        <v>58</v>
      </c>
      <c r="K119" s="32">
        <v>110000</v>
      </c>
      <c r="L119" s="33">
        <f>Q119+R119+U119+Table1[[#This Row],[Farmer Payment]]</f>
        <v>20000</v>
      </c>
      <c r="M119" s="30"/>
      <c r="N119" s="34"/>
      <c r="O119" s="34"/>
      <c r="P119" s="35">
        <f t="shared" si="23"/>
        <v>90000</v>
      </c>
      <c r="Q119" s="33">
        <f>AI119+AV119+CK119+Table1[[#This Row],[FY 25-26]]</f>
        <v>0</v>
      </c>
      <c r="R119" s="36">
        <v>20000</v>
      </c>
      <c r="S119" s="37" t="s">
        <v>3119</v>
      </c>
      <c r="T119" s="38">
        <v>45707</v>
      </c>
      <c r="U119" s="39"/>
      <c r="V119" s="39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1">
        <f t="shared" si="24"/>
        <v>0</v>
      </c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>
        <f t="shared" si="25"/>
        <v>0</v>
      </c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  <c r="BO119" s="42"/>
      <c r="BP119" s="42">
        <v>0</v>
      </c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>
        <v>0</v>
      </c>
      <c r="CE119" s="42"/>
      <c r="CF119" s="42">
        <v>0</v>
      </c>
      <c r="CG119" s="42">
        <v>0</v>
      </c>
      <c r="CH119" s="42">
        <v>0</v>
      </c>
      <c r="CI119" s="42">
        <v>0</v>
      </c>
      <c r="CJ119" s="42">
        <v>0</v>
      </c>
      <c r="CK119" s="43">
        <f t="shared" si="26"/>
        <v>0</v>
      </c>
      <c r="CL119" s="66"/>
      <c r="CM119" s="66">
        <v>0</v>
      </c>
      <c r="CN119" s="66">
        <v>0</v>
      </c>
      <c r="CO119" s="66">
        <v>0</v>
      </c>
      <c r="CP119" s="66">
        <v>0</v>
      </c>
      <c r="CQ119" s="66">
        <v>0</v>
      </c>
      <c r="CR119" s="66">
        <v>0</v>
      </c>
      <c r="CS119" s="66">
        <v>0</v>
      </c>
      <c r="CT119" s="66">
        <v>0</v>
      </c>
      <c r="CU119" s="66">
        <v>0</v>
      </c>
      <c r="CV119" s="66">
        <v>0</v>
      </c>
      <c r="CW119" s="66">
        <v>0</v>
      </c>
      <c r="CX119" s="66">
        <v>0</v>
      </c>
      <c r="CY119" s="66">
        <v>0</v>
      </c>
      <c r="CZ119" s="66">
        <v>0</v>
      </c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>
        <f>SUM(Table1[[#This Row],[01-03 Apr]:[Mar-26]])</f>
        <v>0</v>
      </c>
    </row>
    <row r="120" spans="1:115" hidden="1" x14ac:dyDescent="0.2">
      <c r="A120" s="28"/>
      <c r="B120" s="29"/>
      <c r="C120" s="29" t="s">
        <v>3114</v>
      </c>
      <c r="D120" s="30" t="s">
        <v>3106</v>
      </c>
      <c r="E120" s="30" t="s">
        <v>217</v>
      </c>
      <c r="F120" s="30"/>
      <c r="G120" s="31"/>
      <c r="H120" s="30"/>
      <c r="I120" s="30" t="str">
        <f>IF(Table1[[#This Row],[Centre Status]]="Returned","NA",IF(Table1[[#This Row],[SD]]&gt;19000,"Full Payment",IF(Table1[[#This Row],[SD]]&lt;1,"No Payment","Partial Payment")))</f>
        <v>Full Payment</v>
      </c>
      <c r="J120" s="30" t="s">
        <v>58</v>
      </c>
      <c r="K120" s="32">
        <v>110000</v>
      </c>
      <c r="L120" s="33">
        <f>Q120+R120+U120+Table1[[#This Row],[Farmer Payment]]</f>
        <v>21870</v>
      </c>
      <c r="M120" s="30"/>
      <c r="N120" s="34"/>
      <c r="O120" s="34"/>
      <c r="P120" s="35">
        <f t="shared" si="23"/>
        <v>88130</v>
      </c>
      <c r="Q120" s="33">
        <f>AI120+AV120+CK120+Table1[[#This Row],[FY 25-26]]</f>
        <v>1870</v>
      </c>
      <c r="R120" s="36">
        <v>20000</v>
      </c>
      <c r="S120" s="37" t="s">
        <v>3122</v>
      </c>
      <c r="T120" s="38">
        <v>45707</v>
      </c>
      <c r="U120" s="39"/>
      <c r="V120" s="39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1">
        <f t="shared" si="24"/>
        <v>0</v>
      </c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>
        <f t="shared" si="25"/>
        <v>0</v>
      </c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>
        <v>0</v>
      </c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>
        <v>0</v>
      </c>
      <c r="CE120" s="42"/>
      <c r="CF120" s="42">
        <v>0</v>
      </c>
      <c r="CG120" s="42">
        <v>0</v>
      </c>
      <c r="CH120" s="42">
        <v>0</v>
      </c>
      <c r="CI120" s="42">
        <v>0</v>
      </c>
      <c r="CJ120" s="42">
        <v>9</v>
      </c>
      <c r="CK120" s="43">
        <f t="shared" si="26"/>
        <v>9</v>
      </c>
      <c r="CL120" s="66"/>
      <c r="CM120" s="66">
        <v>0</v>
      </c>
      <c r="CN120" s="66">
        <v>0</v>
      </c>
      <c r="CO120" s="66">
        <v>0</v>
      </c>
      <c r="CP120" s="66">
        <v>0</v>
      </c>
      <c r="CQ120" s="66">
        <v>0</v>
      </c>
      <c r="CR120" s="66">
        <v>0</v>
      </c>
      <c r="CS120" s="66">
        <v>0</v>
      </c>
      <c r="CT120" s="66">
        <v>0</v>
      </c>
      <c r="CU120" s="66">
        <v>0</v>
      </c>
      <c r="CV120" s="66">
        <v>1861</v>
      </c>
      <c r="CW120" s="66">
        <v>0</v>
      </c>
      <c r="CX120" s="66">
        <v>0</v>
      </c>
      <c r="CY120" s="66">
        <v>0</v>
      </c>
      <c r="CZ120" s="66">
        <v>0</v>
      </c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>
        <f>SUM(Table1[[#This Row],[01-03 Apr]:[Mar-26]])</f>
        <v>1861</v>
      </c>
    </row>
    <row r="121" spans="1:115" hidden="1" x14ac:dyDescent="0.2">
      <c r="A121" s="28"/>
      <c r="B121" s="29"/>
      <c r="C121" s="29" t="s">
        <v>3115</v>
      </c>
      <c r="D121" s="30" t="s">
        <v>3107</v>
      </c>
      <c r="E121" s="30" t="s">
        <v>217</v>
      </c>
      <c r="F121" s="30"/>
      <c r="G121" s="31"/>
      <c r="H121" s="30"/>
      <c r="I121" s="30" t="str">
        <f>IF(Table1[[#This Row],[Centre Status]]="Returned","NA",IF(Table1[[#This Row],[SD]]&gt;19000,"Full Payment",IF(Table1[[#This Row],[SD]]&lt;1,"No Payment","Partial Payment")))</f>
        <v>Full Payment</v>
      </c>
      <c r="J121" s="30" t="s">
        <v>58</v>
      </c>
      <c r="K121" s="32">
        <v>110000</v>
      </c>
      <c r="L121" s="33">
        <f>Q121+R121+U121+Table1[[#This Row],[Farmer Payment]]</f>
        <v>20491</v>
      </c>
      <c r="M121" s="30"/>
      <c r="N121" s="34"/>
      <c r="O121" s="34"/>
      <c r="P121" s="35">
        <f t="shared" si="23"/>
        <v>89509</v>
      </c>
      <c r="Q121" s="33">
        <f>AI121+AV121+CK121+Table1[[#This Row],[FY 25-26]]</f>
        <v>491</v>
      </c>
      <c r="R121" s="36">
        <v>20000</v>
      </c>
      <c r="S121" s="37" t="s">
        <v>3123</v>
      </c>
      <c r="T121" s="38">
        <v>45707</v>
      </c>
      <c r="U121" s="39"/>
      <c r="V121" s="39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1">
        <f t="shared" si="24"/>
        <v>0</v>
      </c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>
        <f t="shared" si="25"/>
        <v>0</v>
      </c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>
        <v>0</v>
      </c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>
        <v>0</v>
      </c>
      <c r="CE121" s="42"/>
      <c r="CF121" s="42">
        <v>0</v>
      </c>
      <c r="CG121" s="42">
        <v>0</v>
      </c>
      <c r="CH121" s="42">
        <v>0</v>
      </c>
      <c r="CI121" s="42">
        <v>0</v>
      </c>
      <c r="CJ121" s="42">
        <v>10</v>
      </c>
      <c r="CK121" s="43">
        <f t="shared" si="26"/>
        <v>10</v>
      </c>
      <c r="CL121" s="66"/>
      <c r="CM121" s="66">
        <v>0</v>
      </c>
      <c r="CN121" s="66">
        <v>0</v>
      </c>
      <c r="CO121" s="66">
        <v>0</v>
      </c>
      <c r="CP121" s="66">
        <v>0</v>
      </c>
      <c r="CQ121" s="66">
        <v>0</v>
      </c>
      <c r="CR121" s="66">
        <v>0</v>
      </c>
      <c r="CS121" s="66">
        <v>0</v>
      </c>
      <c r="CT121" s="66">
        <v>0</v>
      </c>
      <c r="CU121" s="66">
        <v>0</v>
      </c>
      <c r="CV121" s="66">
        <v>481</v>
      </c>
      <c r="CW121" s="66">
        <v>0</v>
      </c>
      <c r="CX121" s="66">
        <v>0</v>
      </c>
      <c r="CY121" s="66">
        <v>0</v>
      </c>
      <c r="CZ121" s="66">
        <v>0</v>
      </c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>
        <f>SUM(Table1[[#This Row],[01-03 Apr]:[Mar-26]])</f>
        <v>481</v>
      </c>
    </row>
    <row r="122" spans="1:115" hidden="1" x14ac:dyDescent="0.2">
      <c r="A122" s="28"/>
      <c r="B122" s="29"/>
      <c r="C122" s="29" t="s">
        <v>3116</v>
      </c>
      <c r="D122" s="30" t="s">
        <v>3108</v>
      </c>
      <c r="E122" s="30" t="s">
        <v>217</v>
      </c>
      <c r="F122" s="30"/>
      <c r="G122" s="31"/>
      <c r="H122" s="30"/>
      <c r="I122" s="30" t="str">
        <f>IF(Table1[[#This Row],[Centre Status]]="Returned","NA",IF(Table1[[#This Row],[SD]]&gt;19000,"Full Payment",IF(Table1[[#This Row],[SD]]&lt;1,"No Payment","Partial Payment")))</f>
        <v>Full Payment</v>
      </c>
      <c r="J122" s="30" t="s">
        <v>58</v>
      </c>
      <c r="K122" s="32">
        <v>110000</v>
      </c>
      <c r="L122" s="33">
        <f>Q122+R122+U122+Table1[[#This Row],[Farmer Payment]]</f>
        <v>21911</v>
      </c>
      <c r="M122" s="30"/>
      <c r="N122" s="34"/>
      <c r="O122" s="34"/>
      <c r="P122" s="35">
        <f t="shared" si="23"/>
        <v>88089</v>
      </c>
      <c r="Q122" s="33">
        <f>AI122+AV122+CK122+Table1[[#This Row],[FY 25-26]]</f>
        <v>1911</v>
      </c>
      <c r="R122" s="36">
        <v>20000</v>
      </c>
      <c r="S122" s="37" t="s">
        <v>3124</v>
      </c>
      <c r="T122" s="38">
        <v>45721</v>
      </c>
      <c r="U122" s="39"/>
      <c r="V122" s="39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1">
        <f t="shared" si="24"/>
        <v>0</v>
      </c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>
        <f t="shared" si="25"/>
        <v>0</v>
      </c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>
        <v>0</v>
      </c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>
        <v>0</v>
      </c>
      <c r="CE122" s="42"/>
      <c r="CF122" s="42">
        <v>0</v>
      </c>
      <c r="CG122" s="42">
        <v>0</v>
      </c>
      <c r="CH122" s="42">
        <v>0</v>
      </c>
      <c r="CI122" s="42">
        <v>0</v>
      </c>
      <c r="CJ122" s="42">
        <v>50</v>
      </c>
      <c r="CK122" s="43">
        <f t="shared" si="26"/>
        <v>50</v>
      </c>
      <c r="CL122" s="66"/>
      <c r="CM122" s="66">
        <v>0</v>
      </c>
      <c r="CN122" s="66">
        <v>0</v>
      </c>
      <c r="CO122" s="66">
        <v>0</v>
      </c>
      <c r="CP122" s="66">
        <v>0</v>
      </c>
      <c r="CQ122" s="66">
        <v>0</v>
      </c>
      <c r="CR122" s="66">
        <v>0</v>
      </c>
      <c r="CS122" s="66">
        <v>0</v>
      </c>
      <c r="CT122" s="66">
        <v>0</v>
      </c>
      <c r="CU122" s="66">
        <v>0</v>
      </c>
      <c r="CV122" s="66">
        <v>1861</v>
      </c>
      <c r="CW122" s="66">
        <v>0</v>
      </c>
      <c r="CX122" s="66">
        <v>0</v>
      </c>
      <c r="CY122" s="66">
        <v>0</v>
      </c>
      <c r="CZ122" s="66">
        <v>0</v>
      </c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>
        <f>SUM(Table1[[#This Row],[01-03 Apr]:[Mar-26]])</f>
        <v>1861</v>
      </c>
    </row>
    <row r="123" spans="1:115" hidden="1" x14ac:dyDescent="0.2">
      <c r="A123" s="28"/>
      <c r="B123" s="29"/>
      <c r="C123" s="29" t="s">
        <v>3117</v>
      </c>
      <c r="D123" s="30" t="s">
        <v>3109</v>
      </c>
      <c r="E123" s="30" t="s">
        <v>217</v>
      </c>
      <c r="F123" s="30"/>
      <c r="G123" s="31"/>
      <c r="H123" s="30"/>
      <c r="I123" s="30" t="str">
        <f>IF(Table1[[#This Row],[Centre Status]]="Returned","NA",IF(Table1[[#This Row],[SD]]&gt;19000,"Full Payment",IF(Table1[[#This Row],[SD]]&lt;1,"No Payment","Partial Payment")))</f>
        <v>Full Payment</v>
      </c>
      <c r="J123" s="30" t="s">
        <v>58</v>
      </c>
      <c r="K123" s="32">
        <v>110000</v>
      </c>
      <c r="L123" s="33">
        <f>Q123+R123+U123+Table1[[#This Row],[Farmer Payment]]</f>
        <v>21894</v>
      </c>
      <c r="M123" s="30"/>
      <c r="N123" s="34"/>
      <c r="O123" s="34"/>
      <c r="P123" s="35">
        <f t="shared" si="23"/>
        <v>88106</v>
      </c>
      <c r="Q123" s="33">
        <f>AI123+AV123+CK123+Table1[[#This Row],[FY 25-26]]</f>
        <v>1894</v>
      </c>
      <c r="R123" s="36">
        <v>20000</v>
      </c>
      <c r="S123" s="37" t="s">
        <v>3125</v>
      </c>
      <c r="T123" s="38">
        <v>45721</v>
      </c>
      <c r="U123" s="39"/>
      <c r="V123" s="39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1">
        <f t="shared" si="24"/>
        <v>0</v>
      </c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>
        <f t="shared" si="25"/>
        <v>0</v>
      </c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  <c r="BO123" s="42"/>
      <c r="BP123" s="42">
        <v>0</v>
      </c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>
        <v>0</v>
      </c>
      <c r="CE123" s="42"/>
      <c r="CF123" s="42">
        <v>0</v>
      </c>
      <c r="CG123" s="42">
        <v>0</v>
      </c>
      <c r="CH123" s="42">
        <v>0</v>
      </c>
      <c r="CI123" s="42">
        <v>0</v>
      </c>
      <c r="CJ123" s="42">
        <v>33</v>
      </c>
      <c r="CK123" s="43">
        <f t="shared" si="26"/>
        <v>33</v>
      </c>
      <c r="CL123" s="66"/>
      <c r="CM123" s="66">
        <v>0</v>
      </c>
      <c r="CN123" s="66">
        <v>0</v>
      </c>
      <c r="CO123" s="66">
        <v>0</v>
      </c>
      <c r="CP123" s="66">
        <v>0</v>
      </c>
      <c r="CQ123" s="66">
        <v>0</v>
      </c>
      <c r="CR123" s="66">
        <v>0</v>
      </c>
      <c r="CS123" s="66">
        <v>0</v>
      </c>
      <c r="CT123" s="66">
        <v>0</v>
      </c>
      <c r="CU123" s="66">
        <v>0</v>
      </c>
      <c r="CV123" s="66">
        <v>1861</v>
      </c>
      <c r="CW123" s="66">
        <v>0</v>
      </c>
      <c r="CX123" s="66">
        <v>0</v>
      </c>
      <c r="CY123" s="66">
        <v>0</v>
      </c>
      <c r="CZ123" s="66">
        <v>0</v>
      </c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>
        <f>SUM(Table1[[#This Row],[01-03 Apr]:[Mar-26]])</f>
        <v>1861</v>
      </c>
    </row>
    <row r="124" spans="1:115" hidden="1" x14ac:dyDescent="0.2">
      <c r="A124" s="28"/>
      <c r="B124" s="29"/>
      <c r="C124" s="29" t="s">
        <v>3118</v>
      </c>
      <c r="D124" s="30" t="s">
        <v>3110</v>
      </c>
      <c r="E124" s="30" t="s">
        <v>297</v>
      </c>
      <c r="F124" s="30"/>
      <c r="G124" s="31"/>
      <c r="H124" s="30"/>
      <c r="I124" s="30" t="str">
        <f>IF(Table1[[#This Row],[Centre Status]]="Returned","NA",IF(Table1[[#This Row],[SD]]&gt;19000,"Full Payment",IF(Table1[[#This Row],[SD]]&lt;1,"No Payment","Partial Payment")))</f>
        <v>Full Payment</v>
      </c>
      <c r="J124" s="30" t="s">
        <v>58</v>
      </c>
      <c r="K124" s="32">
        <v>110000</v>
      </c>
      <c r="L124" s="33">
        <f>Q124+R124+U124+Table1[[#This Row],[Farmer Payment]]</f>
        <v>25817.306942118401</v>
      </c>
      <c r="M124" s="30"/>
      <c r="N124" s="34"/>
      <c r="O124" s="34"/>
      <c r="P124" s="35">
        <f t="shared" si="23"/>
        <v>84182.693057881595</v>
      </c>
      <c r="Q124" s="33">
        <f>AI124+AV124+CK124+Table1[[#This Row],[FY 25-26]]</f>
        <v>5817.3069421184009</v>
      </c>
      <c r="R124" s="36">
        <v>20000</v>
      </c>
      <c r="S124" s="37" t="s">
        <v>3121</v>
      </c>
      <c r="T124" s="38">
        <v>45710</v>
      </c>
      <c r="U124" s="39"/>
      <c r="V124" s="39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1">
        <f t="shared" si="24"/>
        <v>0</v>
      </c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>
        <f t="shared" si="25"/>
        <v>0</v>
      </c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>
        <v>0</v>
      </c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>
        <v>0</v>
      </c>
      <c r="CE124" s="42"/>
      <c r="CF124" s="42">
        <v>0</v>
      </c>
      <c r="CG124" s="42">
        <v>0</v>
      </c>
      <c r="CH124" s="42">
        <v>0</v>
      </c>
      <c r="CI124" s="42">
        <v>0</v>
      </c>
      <c r="CJ124" s="42">
        <v>125</v>
      </c>
      <c r="CK124" s="43">
        <f t="shared" si="26"/>
        <v>125</v>
      </c>
      <c r="CL124" s="66"/>
      <c r="CM124" s="66">
        <v>0</v>
      </c>
      <c r="CN124" s="66">
        <v>0</v>
      </c>
      <c r="CO124" s="66">
        <v>0</v>
      </c>
      <c r="CP124" s="66">
        <v>0</v>
      </c>
      <c r="CQ124" s="66">
        <v>0</v>
      </c>
      <c r="CR124" s="66">
        <v>0</v>
      </c>
      <c r="CS124" s="66">
        <v>0</v>
      </c>
      <c r="CT124" s="66">
        <v>0</v>
      </c>
      <c r="CU124" s="66">
        <v>0</v>
      </c>
      <c r="CV124" s="66">
        <v>5692.3069421184009</v>
      </c>
      <c r="CW124" s="66">
        <v>0</v>
      </c>
      <c r="CX124" s="66">
        <v>0</v>
      </c>
      <c r="CY124" s="66">
        <v>0</v>
      </c>
      <c r="CZ124" s="66">
        <v>0</v>
      </c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>
        <f>SUM(Table1[[#This Row],[01-03 Apr]:[Mar-26]])</f>
        <v>5692.3069421184009</v>
      </c>
    </row>
    <row r="125" spans="1:115" x14ac:dyDescent="0.2">
      <c r="A125" s="28"/>
      <c r="B125" s="29"/>
      <c r="C125" s="29" t="s">
        <v>3082</v>
      </c>
      <c r="D125" s="30" t="s">
        <v>3078</v>
      </c>
      <c r="E125" s="30" t="s">
        <v>3086</v>
      </c>
      <c r="F125" s="30"/>
      <c r="G125" s="31"/>
      <c r="H125" s="30"/>
      <c r="I125" s="30" t="str">
        <f>IF(Table1[[#This Row],[Centre Status]]="Returned","NA",IF(Table1[[#This Row],[SD]]&gt;19000,"Full Payment",IF(Table1[[#This Row],[SD]]&lt;1,"No Payment","Partial Payment")))</f>
        <v>Partial Payment</v>
      </c>
      <c r="J125" s="30" t="s">
        <v>58</v>
      </c>
      <c r="K125" s="32">
        <v>110000</v>
      </c>
      <c r="L125" s="33">
        <f>Q125+R125+U125+Table1[[#This Row],[Farmer Payment]]</f>
        <v>11925</v>
      </c>
      <c r="M125" s="30"/>
      <c r="N125" s="34"/>
      <c r="O125" s="34"/>
      <c r="P125" s="35">
        <f t="shared" ref="P125:P168" si="27">K125-L125+M125</f>
        <v>98075</v>
      </c>
      <c r="Q125" s="33">
        <f>AI125+AV125+CK125+Table1[[#This Row],[FY 25-26]]</f>
        <v>1925</v>
      </c>
      <c r="R125" s="36">
        <v>10000</v>
      </c>
      <c r="S125" s="37"/>
      <c r="T125" s="38">
        <v>45728</v>
      </c>
      <c r="U125" s="39"/>
      <c r="V125" s="39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1">
        <f t="shared" ref="AI125:AI168" si="28">SUM(W125:AH125)</f>
        <v>0</v>
      </c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>
        <f t="shared" ref="AV125:AV168" si="29">SUM(AJ125:AU125)</f>
        <v>0</v>
      </c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>
        <v>0</v>
      </c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>
        <v>0</v>
      </c>
      <c r="CE125" s="42"/>
      <c r="CF125" s="42">
        <v>0</v>
      </c>
      <c r="CG125" s="42">
        <v>0</v>
      </c>
      <c r="CH125" s="42">
        <v>0</v>
      </c>
      <c r="CI125" s="42">
        <v>0</v>
      </c>
      <c r="CJ125" s="42">
        <v>222</v>
      </c>
      <c r="CK125" s="43">
        <f t="shared" ref="CK125:CK168" si="30">SUM(AW125:CJ125)</f>
        <v>222</v>
      </c>
      <c r="CL125" s="66"/>
      <c r="CM125" s="66">
        <v>0</v>
      </c>
      <c r="CN125" s="66">
        <v>0</v>
      </c>
      <c r="CO125" s="66">
        <v>0</v>
      </c>
      <c r="CP125" s="66">
        <v>0</v>
      </c>
      <c r="CQ125" s="66">
        <v>0</v>
      </c>
      <c r="CR125" s="66">
        <v>0</v>
      </c>
      <c r="CS125" s="66">
        <v>0</v>
      </c>
      <c r="CT125" s="66">
        <v>0</v>
      </c>
      <c r="CU125" s="66">
        <v>0</v>
      </c>
      <c r="CV125" s="66">
        <v>1703</v>
      </c>
      <c r="CW125" s="66">
        <v>0</v>
      </c>
      <c r="CX125" s="66">
        <v>0</v>
      </c>
      <c r="CY125" s="66">
        <v>0</v>
      </c>
      <c r="CZ125" s="66">
        <v>0</v>
      </c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>
        <f>SUM(Table1[[#This Row],[01-03 Apr]:[Mar-26]])</f>
        <v>1703</v>
      </c>
    </row>
    <row r="126" spans="1:115" hidden="1" x14ac:dyDescent="0.2">
      <c r="A126" s="28"/>
      <c r="B126" s="29"/>
      <c r="C126" s="29" t="s">
        <v>3083</v>
      </c>
      <c r="D126" s="30" t="s">
        <v>3079</v>
      </c>
      <c r="E126" s="30" t="s">
        <v>2951</v>
      </c>
      <c r="F126" s="30"/>
      <c r="G126" s="31"/>
      <c r="H126" s="30"/>
      <c r="I126" s="30" t="str">
        <f>IF(Table1[[#This Row],[Centre Status]]="Returned","NA",IF(Table1[[#This Row],[SD]]&gt;19000,"Full Payment",IF(Table1[[#This Row],[SD]]&lt;1,"No Payment","Partial Payment")))</f>
        <v>Full Payment</v>
      </c>
      <c r="J126" s="30" t="s">
        <v>58</v>
      </c>
      <c r="K126" s="32">
        <v>110000</v>
      </c>
      <c r="L126" s="33">
        <f>Q126+R126+U126+Table1[[#This Row],[Farmer Payment]]</f>
        <v>21861</v>
      </c>
      <c r="M126" s="30"/>
      <c r="N126" s="34"/>
      <c r="O126" s="34"/>
      <c r="P126" s="35">
        <f t="shared" si="27"/>
        <v>88139</v>
      </c>
      <c r="Q126" s="33">
        <f>AI126+AV126+CK126+Table1[[#This Row],[FY 25-26]]</f>
        <v>1861</v>
      </c>
      <c r="R126" s="36">
        <v>20000</v>
      </c>
      <c r="S126" s="37" t="s">
        <v>3087</v>
      </c>
      <c r="T126" s="38">
        <v>45721</v>
      </c>
      <c r="U126" s="39"/>
      <c r="V126" s="39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1">
        <f t="shared" si="28"/>
        <v>0</v>
      </c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>
        <f t="shared" si="29"/>
        <v>0</v>
      </c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  <c r="BO126" s="42"/>
      <c r="BP126" s="42">
        <v>0</v>
      </c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>
        <v>0</v>
      </c>
      <c r="CE126" s="42"/>
      <c r="CF126" s="42">
        <v>0</v>
      </c>
      <c r="CG126" s="42">
        <v>0</v>
      </c>
      <c r="CH126" s="42">
        <v>0</v>
      </c>
      <c r="CI126" s="42">
        <v>0</v>
      </c>
      <c r="CJ126" s="42">
        <v>0</v>
      </c>
      <c r="CK126" s="43">
        <f t="shared" si="30"/>
        <v>0</v>
      </c>
      <c r="CL126" s="66"/>
      <c r="CM126" s="66">
        <v>0</v>
      </c>
      <c r="CN126" s="66">
        <v>0</v>
      </c>
      <c r="CO126" s="66">
        <v>0</v>
      </c>
      <c r="CP126" s="66">
        <v>0</v>
      </c>
      <c r="CQ126" s="66">
        <v>0</v>
      </c>
      <c r="CR126" s="66">
        <v>0</v>
      </c>
      <c r="CS126" s="66">
        <v>0</v>
      </c>
      <c r="CT126" s="66">
        <v>0</v>
      </c>
      <c r="CU126" s="66">
        <v>0</v>
      </c>
      <c r="CV126" s="66">
        <v>1861</v>
      </c>
      <c r="CW126" s="66">
        <v>0</v>
      </c>
      <c r="CX126" s="66">
        <v>0</v>
      </c>
      <c r="CY126" s="66">
        <v>0</v>
      </c>
      <c r="CZ126" s="66">
        <v>0</v>
      </c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>
        <f>SUM(Table1[[#This Row],[01-03 Apr]:[Mar-26]])</f>
        <v>1861</v>
      </c>
    </row>
    <row r="127" spans="1:115" hidden="1" x14ac:dyDescent="0.2">
      <c r="A127" s="28"/>
      <c r="B127" s="29"/>
      <c r="C127" s="29" t="s">
        <v>3084</v>
      </c>
      <c r="D127" s="30" t="s">
        <v>3080</v>
      </c>
      <c r="E127" s="30" t="s">
        <v>2951</v>
      </c>
      <c r="F127" s="30"/>
      <c r="G127" s="31"/>
      <c r="H127" s="30"/>
      <c r="I127" s="30" t="str">
        <f>IF(Table1[[#This Row],[Centre Status]]="Returned","NA",IF(Table1[[#This Row],[SD]]&gt;19000,"Full Payment",IF(Table1[[#This Row],[SD]]&lt;1,"No Payment","Partial Payment")))</f>
        <v>Full Payment</v>
      </c>
      <c r="J127" s="30" t="s">
        <v>58</v>
      </c>
      <c r="K127" s="32">
        <v>110000</v>
      </c>
      <c r="L127" s="33">
        <f>Q127+R127+U127+Table1[[#This Row],[Farmer Payment]]</f>
        <v>21861</v>
      </c>
      <c r="M127" s="30"/>
      <c r="N127" s="34"/>
      <c r="O127" s="34"/>
      <c r="P127" s="35">
        <f t="shared" si="27"/>
        <v>88139</v>
      </c>
      <c r="Q127" s="33">
        <f>AI127+AV127+CK127+Table1[[#This Row],[FY 25-26]]</f>
        <v>1861</v>
      </c>
      <c r="R127" s="36">
        <v>20000</v>
      </c>
      <c r="S127" s="37" t="s">
        <v>3088</v>
      </c>
      <c r="T127" s="38">
        <v>45721</v>
      </c>
      <c r="U127" s="39"/>
      <c r="V127" s="39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1">
        <f t="shared" si="28"/>
        <v>0</v>
      </c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>
        <f t="shared" si="29"/>
        <v>0</v>
      </c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>
        <v>0</v>
      </c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>
        <v>0</v>
      </c>
      <c r="CE127" s="42"/>
      <c r="CF127" s="42">
        <v>0</v>
      </c>
      <c r="CG127" s="42">
        <v>0</v>
      </c>
      <c r="CH127" s="42">
        <v>0</v>
      </c>
      <c r="CI127" s="42">
        <v>0</v>
      </c>
      <c r="CJ127" s="42">
        <v>0</v>
      </c>
      <c r="CK127" s="43">
        <f t="shared" si="30"/>
        <v>0</v>
      </c>
      <c r="CL127" s="66"/>
      <c r="CM127" s="66">
        <v>0</v>
      </c>
      <c r="CN127" s="66">
        <v>0</v>
      </c>
      <c r="CO127" s="66">
        <v>0</v>
      </c>
      <c r="CP127" s="66">
        <v>0</v>
      </c>
      <c r="CQ127" s="66">
        <v>0</v>
      </c>
      <c r="CR127" s="66">
        <v>0</v>
      </c>
      <c r="CS127" s="66">
        <v>0</v>
      </c>
      <c r="CT127" s="66">
        <v>0</v>
      </c>
      <c r="CU127" s="66">
        <v>0</v>
      </c>
      <c r="CV127" s="66">
        <v>1861</v>
      </c>
      <c r="CW127" s="66">
        <v>0</v>
      </c>
      <c r="CX127" s="66">
        <v>0</v>
      </c>
      <c r="CY127" s="66">
        <v>0</v>
      </c>
      <c r="CZ127" s="66">
        <v>0</v>
      </c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>
        <f>SUM(Table1[[#This Row],[01-03 Apr]:[Mar-26]])</f>
        <v>1861</v>
      </c>
    </row>
    <row r="128" spans="1:115" hidden="1" x14ac:dyDescent="0.2">
      <c r="A128" s="28"/>
      <c r="B128" s="29"/>
      <c r="C128" s="29" t="s">
        <v>3085</v>
      </c>
      <c r="D128" s="30" t="s">
        <v>3081</v>
      </c>
      <c r="E128" s="30" t="s">
        <v>2951</v>
      </c>
      <c r="F128" s="30"/>
      <c r="G128" s="31"/>
      <c r="H128" s="30"/>
      <c r="I128" s="30" t="str">
        <f>IF(Table1[[#This Row],[Centre Status]]="Returned","NA",IF(Table1[[#This Row],[SD]]&gt;19000,"Full Payment",IF(Table1[[#This Row],[SD]]&lt;1,"No Payment","Partial Payment")))</f>
        <v>Full Payment</v>
      </c>
      <c r="J128" s="30" t="s">
        <v>58</v>
      </c>
      <c r="K128" s="32">
        <v>110000</v>
      </c>
      <c r="L128" s="33">
        <f>Q128+R128+U128+Table1[[#This Row],[Farmer Payment]]</f>
        <v>22602.076000000001</v>
      </c>
      <c r="M128" s="30"/>
      <c r="N128" s="34"/>
      <c r="O128" s="34"/>
      <c r="P128" s="35">
        <f t="shared" si="27"/>
        <v>87397.923999999999</v>
      </c>
      <c r="Q128" s="33">
        <f>AI128+AV128+CK128+Table1[[#This Row],[FY 25-26]]</f>
        <v>2602.076</v>
      </c>
      <c r="R128" s="36">
        <v>20000</v>
      </c>
      <c r="S128" s="37" t="s">
        <v>3089</v>
      </c>
      <c r="T128" s="38">
        <v>45721</v>
      </c>
      <c r="U128" s="39"/>
      <c r="V128" s="39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1">
        <f t="shared" si="28"/>
        <v>0</v>
      </c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>
        <f t="shared" si="29"/>
        <v>0</v>
      </c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  <c r="BO128" s="42"/>
      <c r="BP128" s="42">
        <v>0</v>
      </c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>
        <v>0</v>
      </c>
      <c r="CE128" s="42"/>
      <c r="CF128" s="42">
        <v>0</v>
      </c>
      <c r="CG128" s="42">
        <v>0</v>
      </c>
      <c r="CH128" s="42">
        <v>0</v>
      </c>
      <c r="CI128" s="42">
        <v>0</v>
      </c>
      <c r="CJ128" s="42">
        <v>0</v>
      </c>
      <c r="CK128" s="43">
        <f t="shared" si="30"/>
        <v>0</v>
      </c>
      <c r="CL128" s="66"/>
      <c r="CM128" s="66">
        <v>0</v>
      </c>
      <c r="CN128" s="66">
        <v>0</v>
      </c>
      <c r="CO128" s="66">
        <v>0</v>
      </c>
      <c r="CP128" s="66">
        <v>0</v>
      </c>
      <c r="CQ128" s="66">
        <v>0</v>
      </c>
      <c r="CR128" s="66">
        <v>0</v>
      </c>
      <c r="CS128" s="66">
        <v>0</v>
      </c>
      <c r="CT128" s="66">
        <v>0</v>
      </c>
      <c r="CU128" s="66">
        <v>0</v>
      </c>
      <c r="CV128" s="66">
        <v>2602.076</v>
      </c>
      <c r="CW128" s="66">
        <v>0</v>
      </c>
      <c r="CX128" s="66">
        <v>0</v>
      </c>
      <c r="CY128" s="66">
        <v>0</v>
      </c>
      <c r="CZ128" s="66">
        <v>0</v>
      </c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>
        <f>SUM(Table1[[#This Row],[01-03 Apr]:[Mar-26]])</f>
        <v>2602.076</v>
      </c>
    </row>
    <row r="129" spans="1:115" x14ac:dyDescent="0.2">
      <c r="A129" s="28"/>
      <c r="B129" s="29"/>
      <c r="C129" s="29" t="s">
        <v>3094</v>
      </c>
      <c r="D129" s="30" t="s">
        <v>3090</v>
      </c>
      <c r="E129" s="30" t="s">
        <v>3093</v>
      </c>
      <c r="F129" s="30"/>
      <c r="G129" s="31"/>
      <c r="H129" s="30"/>
      <c r="I129" s="30" t="str">
        <f>IF(Table1[[#This Row],[Centre Status]]="Returned","NA",IF(Table1[[#This Row],[SD]]&gt;19000,"Full Payment",IF(Table1[[#This Row],[SD]]&lt;1,"No Payment","Partial Payment")))</f>
        <v>Partial Payment</v>
      </c>
      <c r="J129" s="30" t="s">
        <v>58</v>
      </c>
      <c r="K129" s="32">
        <v>110000</v>
      </c>
      <c r="L129" s="33">
        <f>Q129+R129+U129+Table1[[#This Row],[Farmer Payment]]</f>
        <v>11861</v>
      </c>
      <c r="M129" s="30"/>
      <c r="N129" s="34"/>
      <c r="O129" s="34"/>
      <c r="P129" s="35">
        <f t="shared" si="27"/>
        <v>98139</v>
      </c>
      <c r="Q129" s="33">
        <f>AI129+AV129+CK129+Table1[[#This Row],[FY 25-26]]</f>
        <v>1861</v>
      </c>
      <c r="R129" s="36">
        <v>10000</v>
      </c>
      <c r="S129" s="37" t="s">
        <v>3127</v>
      </c>
      <c r="T129" s="38">
        <v>45735</v>
      </c>
      <c r="U129" s="39"/>
      <c r="V129" s="39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1">
        <f t="shared" si="28"/>
        <v>0</v>
      </c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>
        <f t="shared" si="29"/>
        <v>0</v>
      </c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>
        <v>0</v>
      </c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>
        <v>0</v>
      </c>
      <c r="CE129" s="42"/>
      <c r="CF129" s="42">
        <v>0</v>
      </c>
      <c r="CG129" s="42">
        <v>0</v>
      </c>
      <c r="CH129" s="42">
        <v>0</v>
      </c>
      <c r="CI129" s="42">
        <v>0</v>
      </c>
      <c r="CJ129" s="42">
        <v>0</v>
      </c>
      <c r="CK129" s="43">
        <f t="shared" si="30"/>
        <v>0</v>
      </c>
      <c r="CL129" s="66"/>
      <c r="CM129" s="66">
        <v>0</v>
      </c>
      <c r="CN129" s="66">
        <v>0</v>
      </c>
      <c r="CO129" s="66">
        <v>0</v>
      </c>
      <c r="CP129" s="66">
        <v>0</v>
      </c>
      <c r="CQ129" s="66">
        <v>0</v>
      </c>
      <c r="CR129" s="66">
        <v>0</v>
      </c>
      <c r="CS129" s="66">
        <v>0</v>
      </c>
      <c r="CT129" s="66">
        <v>0</v>
      </c>
      <c r="CU129" s="66">
        <v>0</v>
      </c>
      <c r="CV129" s="66">
        <v>1861</v>
      </c>
      <c r="CW129" s="66">
        <v>0</v>
      </c>
      <c r="CX129" s="66">
        <v>0</v>
      </c>
      <c r="CY129" s="66">
        <v>0</v>
      </c>
      <c r="CZ129" s="66">
        <v>0</v>
      </c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>
        <f>SUM(Table1[[#This Row],[01-03 Apr]:[Mar-26]])</f>
        <v>1861</v>
      </c>
    </row>
    <row r="130" spans="1:115" x14ac:dyDescent="0.2">
      <c r="A130" s="28"/>
      <c r="B130" s="29"/>
      <c r="C130" s="29" t="s">
        <v>3095</v>
      </c>
      <c r="D130" s="30" t="s">
        <v>713</v>
      </c>
      <c r="E130" s="30" t="s">
        <v>3093</v>
      </c>
      <c r="F130" s="30"/>
      <c r="G130" s="31"/>
      <c r="H130" s="30"/>
      <c r="I130" s="30" t="str">
        <f>IF(Table1[[#This Row],[Centre Status]]="Returned","NA",IF(Table1[[#This Row],[SD]]&gt;19000,"Full Payment",IF(Table1[[#This Row],[SD]]&lt;1,"No Payment","Partial Payment")))</f>
        <v>Partial Payment</v>
      </c>
      <c r="J130" s="30" t="s">
        <v>58</v>
      </c>
      <c r="K130" s="32">
        <v>110000</v>
      </c>
      <c r="L130" s="33">
        <f>Q130+R130+U130+Table1[[#This Row],[Farmer Payment]]</f>
        <v>17020.461802016704</v>
      </c>
      <c r="M130" s="30"/>
      <c r="N130" s="34"/>
      <c r="O130" s="34"/>
      <c r="P130" s="35">
        <f t="shared" si="27"/>
        <v>92979.538197983289</v>
      </c>
      <c r="Q130" s="33">
        <f>AI130+AV130+CK130+Table1[[#This Row],[FY 25-26]]</f>
        <v>2020.4618020167045</v>
      </c>
      <c r="R130" s="36">
        <v>15000</v>
      </c>
      <c r="S130" s="37" t="s">
        <v>3098</v>
      </c>
      <c r="T130" s="38">
        <v>45731</v>
      </c>
      <c r="U130" s="39"/>
      <c r="V130" s="39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1">
        <f t="shared" si="28"/>
        <v>0</v>
      </c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>
        <f t="shared" si="29"/>
        <v>0</v>
      </c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>
        <v>0</v>
      </c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>
        <v>0</v>
      </c>
      <c r="CE130" s="42"/>
      <c r="CF130" s="42">
        <v>0</v>
      </c>
      <c r="CG130" s="42">
        <v>0</v>
      </c>
      <c r="CH130" s="42">
        <v>0</v>
      </c>
      <c r="CI130" s="42">
        <v>0</v>
      </c>
      <c r="CJ130" s="42">
        <v>0</v>
      </c>
      <c r="CK130" s="43">
        <f t="shared" si="30"/>
        <v>0</v>
      </c>
      <c r="CL130" s="66"/>
      <c r="CM130" s="66">
        <v>0</v>
      </c>
      <c r="CN130" s="66">
        <v>0</v>
      </c>
      <c r="CO130" s="66">
        <v>0</v>
      </c>
      <c r="CP130" s="66">
        <v>0</v>
      </c>
      <c r="CQ130" s="66">
        <v>0</v>
      </c>
      <c r="CR130" s="66">
        <v>0</v>
      </c>
      <c r="CS130" s="66">
        <v>0</v>
      </c>
      <c r="CT130" s="66">
        <v>0</v>
      </c>
      <c r="CU130" s="66">
        <v>0</v>
      </c>
      <c r="CV130" s="66">
        <v>2020.4618020167045</v>
      </c>
      <c r="CW130" s="66">
        <v>0</v>
      </c>
      <c r="CX130" s="66">
        <v>0</v>
      </c>
      <c r="CY130" s="66">
        <v>0</v>
      </c>
      <c r="CZ130" s="66">
        <v>0</v>
      </c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>
        <f>SUM(Table1[[#This Row],[01-03 Apr]:[Mar-26]])</f>
        <v>2020.4618020167045</v>
      </c>
    </row>
    <row r="131" spans="1:115" hidden="1" x14ac:dyDescent="0.2">
      <c r="A131" s="28"/>
      <c r="B131" s="29"/>
      <c r="C131" s="29" t="s">
        <v>3096</v>
      </c>
      <c r="D131" s="30" t="s">
        <v>3091</v>
      </c>
      <c r="E131" s="30" t="s">
        <v>57</v>
      </c>
      <c r="F131" s="30"/>
      <c r="G131" s="31"/>
      <c r="H131" s="30"/>
      <c r="I131" s="30" t="str">
        <f>IF(Table1[[#This Row],[Centre Status]]="Returned","NA",IF(Table1[[#This Row],[SD]]&gt;19000,"Full Payment",IF(Table1[[#This Row],[SD]]&lt;1,"No Payment","Partial Payment")))</f>
        <v>Full Payment</v>
      </c>
      <c r="J131" s="30" t="s">
        <v>58</v>
      </c>
      <c r="K131" s="32">
        <v>110000</v>
      </c>
      <c r="L131" s="33">
        <f>Q131+R131+U131+Table1[[#This Row],[Farmer Payment]]</f>
        <v>22159</v>
      </c>
      <c r="M131" s="30"/>
      <c r="N131" s="34"/>
      <c r="O131" s="34"/>
      <c r="P131" s="35">
        <f t="shared" si="27"/>
        <v>87841</v>
      </c>
      <c r="Q131" s="33">
        <f>AI131+AV131+CK131+Table1[[#This Row],[FY 25-26]]</f>
        <v>2159</v>
      </c>
      <c r="R131" s="36">
        <v>20000</v>
      </c>
      <c r="S131" s="37" t="s">
        <v>3099</v>
      </c>
      <c r="T131" s="38">
        <v>45721</v>
      </c>
      <c r="U131" s="39"/>
      <c r="V131" s="39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1">
        <f t="shared" si="28"/>
        <v>0</v>
      </c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>
        <f t="shared" si="29"/>
        <v>0</v>
      </c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  <c r="BO131" s="42"/>
      <c r="BP131" s="42">
        <v>0</v>
      </c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>
        <v>0</v>
      </c>
      <c r="CE131" s="42"/>
      <c r="CF131" s="42">
        <v>0</v>
      </c>
      <c r="CG131" s="42">
        <v>0</v>
      </c>
      <c r="CH131" s="42">
        <v>0</v>
      </c>
      <c r="CI131" s="42">
        <v>0</v>
      </c>
      <c r="CJ131" s="42">
        <v>298</v>
      </c>
      <c r="CK131" s="43">
        <f t="shared" si="30"/>
        <v>298</v>
      </c>
      <c r="CL131" s="66"/>
      <c r="CM131" s="66">
        <v>0</v>
      </c>
      <c r="CN131" s="66">
        <v>0</v>
      </c>
      <c r="CO131" s="66">
        <v>0</v>
      </c>
      <c r="CP131" s="66">
        <v>0</v>
      </c>
      <c r="CQ131" s="66">
        <v>0</v>
      </c>
      <c r="CR131" s="66">
        <v>0</v>
      </c>
      <c r="CS131" s="66">
        <v>0</v>
      </c>
      <c r="CT131" s="66">
        <v>0</v>
      </c>
      <c r="CU131" s="66">
        <v>0</v>
      </c>
      <c r="CV131" s="66">
        <v>1861</v>
      </c>
      <c r="CW131" s="66">
        <v>0</v>
      </c>
      <c r="CX131" s="66">
        <v>0</v>
      </c>
      <c r="CY131" s="66">
        <v>0</v>
      </c>
      <c r="CZ131" s="66">
        <v>0</v>
      </c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>
        <f>SUM(Table1[[#This Row],[01-03 Apr]:[Mar-26]])</f>
        <v>1861</v>
      </c>
    </row>
    <row r="132" spans="1:115" hidden="1" x14ac:dyDescent="0.2">
      <c r="A132" s="28"/>
      <c r="B132" s="29"/>
      <c r="C132" s="29" t="s">
        <v>3097</v>
      </c>
      <c r="D132" s="30" t="s">
        <v>3092</v>
      </c>
      <c r="E132" s="30" t="s">
        <v>57</v>
      </c>
      <c r="F132" s="30"/>
      <c r="G132" s="31"/>
      <c r="H132" s="30"/>
      <c r="I132" s="30" t="str">
        <f>IF(Table1[[#This Row],[Centre Status]]="Returned","NA",IF(Table1[[#This Row],[SD]]&gt;19000,"Full Payment",IF(Table1[[#This Row],[SD]]&lt;1,"No Payment","Partial Payment")))</f>
        <v>Full Payment</v>
      </c>
      <c r="J132" s="30" t="s">
        <v>58</v>
      </c>
      <c r="K132" s="32">
        <v>110000</v>
      </c>
      <c r="L132" s="33">
        <f>Q132+R132+U132+Table1[[#This Row],[Farmer Payment]]</f>
        <v>21929</v>
      </c>
      <c r="M132" s="30"/>
      <c r="N132" s="34"/>
      <c r="O132" s="34"/>
      <c r="P132" s="35">
        <f t="shared" si="27"/>
        <v>88071</v>
      </c>
      <c r="Q132" s="33">
        <f>AI132+AV132+CK132+Table1[[#This Row],[FY 25-26]]</f>
        <v>1929</v>
      </c>
      <c r="R132" s="36">
        <v>20000</v>
      </c>
      <c r="S132" s="37" t="s">
        <v>3100</v>
      </c>
      <c r="T132" s="38">
        <v>45722</v>
      </c>
      <c r="U132" s="39"/>
      <c r="V132" s="39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1">
        <f t="shared" si="28"/>
        <v>0</v>
      </c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>
        <f t="shared" si="29"/>
        <v>0</v>
      </c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  <c r="BO132" s="42"/>
      <c r="BP132" s="42">
        <v>0</v>
      </c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>
        <v>0</v>
      </c>
      <c r="CE132" s="42"/>
      <c r="CF132" s="42">
        <v>0</v>
      </c>
      <c r="CG132" s="42">
        <v>0</v>
      </c>
      <c r="CH132" s="42">
        <v>0</v>
      </c>
      <c r="CI132" s="42">
        <v>0</v>
      </c>
      <c r="CJ132" s="42">
        <v>68</v>
      </c>
      <c r="CK132" s="43">
        <f t="shared" si="30"/>
        <v>68</v>
      </c>
      <c r="CL132" s="66"/>
      <c r="CM132" s="66">
        <v>0</v>
      </c>
      <c r="CN132" s="66">
        <v>0</v>
      </c>
      <c r="CO132" s="66">
        <v>0</v>
      </c>
      <c r="CP132" s="66">
        <v>0</v>
      </c>
      <c r="CQ132" s="66">
        <v>0</v>
      </c>
      <c r="CR132" s="66">
        <v>0</v>
      </c>
      <c r="CS132" s="66">
        <v>0</v>
      </c>
      <c r="CT132" s="66">
        <v>0</v>
      </c>
      <c r="CU132" s="66">
        <v>0</v>
      </c>
      <c r="CV132" s="66">
        <v>1861</v>
      </c>
      <c r="CW132" s="66">
        <v>0</v>
      </c>
      <c r="CX132" s="66">
        <v>0</v>
      </c>
      <c r="CY132" s="66">
        <v>0</v>
      </c>
      <c r="CZ132" s="66">
        <v>0</v>
      </c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>
        <f>SUM(Table1[[#This Row],[01-03 Apr]:[Mar-26]])</f>
        <v>1861</v>
      </c>
    </row>
    <row r="133" spans="1:115" x14ac:dyDescent="0.2">
      <c r="A133" s="28"/>
      <c r="B133" s="29"/>
      <c r="C133" s="29" t="s">
        <v>3012</v>
      </c>
      <c r="D133" s="30" t="s">
        <v>3011</v>
      </c>
      <c r="E133" s="30" t="s">
        <v>1321</v>
      </c>
      <c r="F133" s="30"/>
      <c r="G133" s="31"/>
      <c r="H133" s="30">
        <v>391374</v>
      </c>
      <c r="I133" s="30" t="str">
        <f>IF(Table1[[#This Row],[Centre Status]]="Returned","NA",IF(Table1[[#This Row],[SD]]&gt;19000,"Full Payment",IF(Table1[[#This Row],[SD]]&lt;1,"No Payment","Partial Payment")))</f>
        <v>Partial Payment</v>
      </c>
      <c r="J133" s="30" t="s">
        <v>58</v>
      </c>
      <c r="K133" s="32">
        <v>110000</v>
      </c>
      <c r="L133" s="33">
        <f>Q133+R133+U133+Table1[[#This Row],[Farmer Payment]]</f>
        <v>11861</v>
      </c>
      <c r="M133" s="30"/>
      <c r="N133" s="34"/>
      <c r="O133" s="34"/>
      <c r="P133" s="35">
        <f t="shared" si="27"/>
        <v>98139</v>
      </c>
      <c r="Q133" s="33">
        <f>AI133+AV133+CK133+Table1[[#This Row],[FY 25-26]]</f>
        <v>1861</v>
      </c>
      <c r="R133" s="36">
        <v>10000</v>
      </c>
      <c r="S133" s="37" t="s">
        <v>3013</v>
      </c>
      <c r="T133" s="38">
        <v>45685</v>
      </c>
      <c r="U133" s="39"/>
      <c r="V133" s="39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1">
        <f t="shared" si="28"/>
        <v>0</v>
      </c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>
        <f t="shared" si="29"/>
        <v>0</v>
      </c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>
        <v>0</v>
      </c>
      <c r="BQ133" s="42"/>
      <c r="BR133" s="42"/>
      <c r="BS133" s="42"/>
      <c r="BT133" s="42"/>
      <c r="BU133" s="42"/>
      <c r="BV133" s="42"/>
      <c r="BW133" s="42"/>
      <c r="BX133" s="42"/>
      <c r="BY133" s="42">
        <v>0</v>
      </c>
      <c r="BZ133" s="42"/>
      <c r="CA133" s="42">
        <v>0</v>
      </c>
      <c r="CB133" s="42">
        <v>0</v>
      </c>
      <c r="CC133" s="42">
        <v>0</v>
      </c>
      <c r="CD133" s="42">
        <v>0</v>
      </c>
      <c r="CE133" s="42">
        <v>0</v>
      </c>
      <c r="CF133" s="42">
        <v>0</v>
      </c>
      <c r="CG133" s="42">
        <v>0</v>
      </c>
      <c r="CH133" s="42">
        <v>0</v>
      </c>
      <c r="CI133" s="42">
        <v>0</v>
      </c>
      <c r="CJ133" s="42">
        <v>1861</v>
      </c>
      <c r="CK133" s="43">
        <f t="shared" si="30"/>
        <v>1861</v>
      </c>
      <c r="CL133" s="66"/>
      <c r="CM133" s="66">
        <v>0</v>
      </c>
      <c r="CN133" s="66">
        <v>0</v>
      </c>
      <c r="CO133" s="66">
        <v>0</v>
      </c>
      <c r="CP133" s="66">
        <v>0</v>
      </c>
      <c r="CQ133" s="66">
        <v>0</v>
      </c>
      <c r="CR133" s="66">
        <v>0</v>
      </c>
      <c r="CS133" s="66">
        <v>0</v>
      </c>
      <c r="CT133" s="66">
        <v>0</v>
      </c>
      <c r="CU133" s="66">
        <v>0</v>
      </c>
      <c r="CV133" s="66">
        <v>0</v>
      </c>
      <c r="CW133" s="66">
        <v>0</v>
      </c>
      <c r="CX133" s="66">
        <v>0</v>
      </c>
      <c r="CY133" s="66">
        <v>0</v>
      </c>
      <c r="CZ133" s="66">
        <v>0</v>
      </c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>
        <f>SUM(Table1[[#This Row],[01-03 Apr]:[Mar-26]])</f>
        <v>0</v>
      </c>
    </row>
    <row r="134" spans="1:115" hidden="1" x14ac:dyDescent="0.2">
      <c r="A134" s="28"/>
      <c r="B134" s="29"/>
      <c r="C134" s="29" t="s">
        <v>3017</v>
      </c>
      <c r="D134" s="30" t="s">
        <v>3015</v>
      </c>
      <c r="E134" s="30" t="s">
        <v>584</v>
      </c>
      <c r="F134" s="30"/>
      <c r="G134" s="31"/>
      <c r="H134" s="30"/>
      <c r="I134" s="30" t="str">
        <f>IF(Table1[[#This Row],[Centre Status]]="Returned","NA",IF(Table1[[#This Row],[SD]]&gt;19000,"Full Payment",IF(Table1[[#This Row],[SD]]&lt;1,"No Payment","Partial Payment")))</f>
        <v>Full Payment</v>
      </c>
      <c r="J134" s="30" t="s">
        <v>58</v>
      </c>
      <c r="K134" s="32">
        <v>110000</v>
      </c>
      <c r="L134" s="33">
        <f>Q134+R134+U134+Table1[[#This Row],[Farmer Payment]]</f>
        <v>23101</v>
      </c>
      <c r="M134" s="30"/>
      <c r="N134" s="34"/>
      <c r="O134" s="34"/>
      <c r="P134" s="35">
        <f t="shared" si="27"/>
        <v>86899</v>
      </c>
      <c r="Q134" s="33">
        <f>AI134+AV134+CK134+Table1[[#This Row],[FY 25-26]]</f>
        <v>3101</v>
      </c>
      <c r="R134" s="36">
        <v>20000</v>
      </c>
      <c r="S134" s="37" t="s">
        <v>3016</v>
      </c>
      <c r="T134" s="38">
        <v>45675</v>
      </c>
      <c r="U134" s="39"/>
      <c r="V134" s="39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1">
        <f t="shared" si="28"/>
        <v>0</v>
      </c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>
        <f t="shared" si="29"/>
        <v>0</v>
      </c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  <c r="BO134" s="42"/>
      <c r="BP134" s="42">
        <v>0</v>
      </c>
      <c r="BQ134" s="42"/>
      <c r="BR134" s="42"/>
      <c r="BS134" s="42"/>
      <c r="BT134" s="42"/>
      <c r="BU134" s="42"/>
      <c r="BV134" s="42"/>
      <c r="BW134" s="42"/>
      <c r="BX134" s="42"/>
      <c r="BY134" s="42">
        <v>0</v>
      </c>
      <c r="BZ134" s="42"/>
      <c r="CA134" s="42">
        <v>0</v>
      </c>
      <c r="CB134" s="42">
        <v>0</v>
      </c>
      <c r="CC134" s="42">
        <v>0</v>
      </c>
      <c r="CD134" s="42">
        <v>0</v>
      </c>
      <c r="CE134" s="42">
        <v>0</v>
      </c>
      <c r="CF134" s="42">
        <v>0</v>
      </c>
      <c r="CG134" s="42">
        <v>0</v>
      </c>
      <c r="CH134" s="42">
        <v>0</v>
      </c>
      <c r="CI134" s="42">
        <v>0</v>
      </c>
      <c r="CJ134" s="42">
        <v>1240</v>
      </c>
      <c r="CK134" s="43">
        <f t="shared" si="30"/>
        <v>1240</v>
      </c>
      <c r="CL134" s="66"/>
      <c r="CM134" s="66">
        <v>0</v>
      </c>
      <c r="CN134" s="66">
        <v>0</v>
      </c>
      <c r="CO134" s="66">
        <v>0</v>
      </c>
      <c r="CP134" s="66">
        <v>0</v>
      </c>
      <c r="CQ134" s="66">
        <v>0</v>
      </c>
      <c r="CR134" s="66">
        <v>0</v>
      </c>
      <c r="CS134" s="66">
        <v>0</v>
      </c>
      <c r="CT134" s="66">
        <v>0</v>
      </c>
      <c r="CU134" s="66">
        <v>0</v>
      </c>
      <c r="CV134" s="66">
        <v>1861</v>
      </c>
      <c r="CW134" s="66">
        <v>0</v>
      </c>
      <c r="CX134" s="66">
        <v>0</v>
      </c>
      <c r="CY134" s="66">
        <v>0</v>
      </c>
      <c r="CZ134" s="66">
        <v>0</v>
      </c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>
        <f>SUM(Table1[[#This Row],[01-03 Apr]:[Mar-26]])</f>
        <v>1861</v>
      </c>
    </row>
    <row r="135" spans="1:115" hidden="1" x14ac:dyDescent="0.2">
      <c r="A135" s="28"/>
      <c r="B135" s="29"/>
      <c r="C135" s="29" t="s">
        <v>3061</v>
      </c>
      <c r="D135" s="30" t="s">
        <v>3063</v>
      </c>
      <c r="E135" s="30" t="s">
        <v>203</v>
      </c>
      <c r="F135" s="30"/>
      <c r="G135" s="31"/>
      <c r="H135" s="30"/>
      <c r="I135" s="30" t="str">
        <f>IF(Table1[[#This Row],[Centre Status]]="Returned","NA",IF(Table1[[#This Row],[SD]]&gt;19000,"Full Payment",IF(Table1[[#This Row],[SD]]&lt;1,"No Payment","Partial Payment")))</f>
        <v>Full Payment</v>
      </c>
      <c r="J135" s="30" t="s">
        <v>58</v>
      </c>
      <c r="K135" s="32">
        <v>110000</v>
      </c>
      <c r="L135" s="33">
        <f>Q135+R135+U135+Table1[[#This Row],[Farmer Payment]]</f>
        <v>22578</v>
      </c>
      <c r="M135" s="30"/>
      <c r="N135" s="34"/>
      <c r="O135" s="34"/>
      <c r="P135" s="35">
        <f t="shared" si="27"/>
        <v>87422</v>
      </c>
      <c r="Q135" s="33">
        <f>AI135+AV135+CK135+Table1[[#This Row],[FY 25-26]]</f>
        <v>2578</v>
      </c>
      <c r="R135" s="36">
        <v>20000</v>
      </c>
      <c r="S135" s="37" t="s">
        <v>3065</v>
      </c>
      <c r="T135" s="38">
        <v>45716</v>
      </c>
      <c r="U135" s="39"/>
      <c r="V135" s="39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1">
        <f t="shared" si="28"/>
        <v>0</v>
      </c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>
        <f t="shared" si="29"/>
        <v>0</v>
      </c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  <c r="BO135" s="42"/>
      <c r="BP135" s="42">
        <v>0</v>
      </c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>
        <v>0</v>
      </c>
      <c r="CD135" s="42">
        <v>0</v>
      </c>
      <c r="CE135" s="42">
        <v>0</v>
      </c>
      <c r="CF135" s="42">
        <v>0</v>
      </c>
      <c r="CG135" s="42">
        <v>0</v>
      </c>
      <c r="CH135" s="42">
        <v>0</v>
      </c>
      <c r="CI135" s="42">
        <v>0</v>
      </c>
      <c r="CJ135" s="42">
        <v>747</v>
      </c>
      <c r="CK135" s="43">
        <f t="shared" si="30"/>
        <v>747</v>
      </c>
      <c r="CL135" s="66"/>
      <c r="CM135" s="66">
        <v>0</v>
      </c>
      <c r="CN135" s="66">
        <v>0</v>
      </c>
      <c r="CO135" s="66">
        <v>0</v>
      </c>
      <c r="CP135" s="66">
        <v>0</v>
      </c>
      <c r="CQ135" s="66">
        <v>0</v>
      </c>
      <c r="CR135" s="66">
        <v>0</v>
      </c>
      <c r="CS135" s="66">
        <v>0</v>
      </c>
      <c r="CT135" s="66">
        <v>0</v>
      </c>
      <c r="CU135" s="66">
        <v>0</v>
      </c>
      <c r="CV135" s="66">
        <v>1831</v>
      </c>
      <c r="CW135" s="66">
        <v>0</v>
      </c>
      <c r="CX135" s="66">
        <v>0</v>
      </c>
      <c r="CY135" s="66">
        <v>0</v>
      </c>
      <c r="CZ135" s="66">
        <v>0</v>
      </c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>
        <f>SUM(Table1[[#This Row],[01-03 Apr]:[Mar-26]])</f>
        <v>1831</v>
      </c>
    </row>
    <row r="136" spans="1:115" hidden="1" x14ac:dyDescent="0.2">
      <c r="A136" s="28"/>
      <c r="B136" s="29"/>
      <c r="C136" s="29" t="s">
        <v>3062</v>
      </c>
      <c r="D136" s="30" t="s">
        <v>3064</v>
      </c>
      <c r="E136" s="30" t="s">
        <v>203</v>
      </c>
      <c r="F136" s="30"/>
      <c r="G136" s="31"/>
      <c r="H136" s="30"/>
      <c r="I136" s="30" t="str">
        <f>IF(Table1[[#This Row],[Centre Status]]="Returned","NA",IF(Table1[[#This Row],[SD]]&gt;19000,"Full Payment",IF(Table1[[#This Row],[SD]]&lt;1,"No Payment","Partial Payment")))</f>
        <v>Full Payment</v>
      </c>
      <c r="J136" s="30" t="s">
        <v>58</v>
      </c>
      <c r="K136" s="32">
        <v>110000</v>
      </c>
      <c r="L136" s="33">
        <f>Q136+R136+U136+Table1[[#This Row],[Farmer Payment]]</f>
        <v>20009</v>
      </c>
      <c r="M136" s="30">
        <v>20000</v>
      </c>
      <c r="N136" s="34">
        <v>45834</v>
      </c>
      <c r="O136" s="34" t="s">
        <v>3532</v>
      </c>
      <c r="P136" s="35">
        <f t="shared" si="27"/>
        <v>109991</v>
      </c>
      <c r="Q136" s="33">
        <f>AI136+AV136+CK136+Table1[[#This Row],[FY 25-26]]</f>
        <v>9</v>
      </c>
      <c r="R136" s="36">
        <v>20000</v>
      </c>
      <c r="S136" s="37" t="s">
        <v>3066</v>
      </c>
      <c r="T136" s="38">
        <v>45716</v>
      </c>
      <c r="U136" s="39"/>
      <c r="V136" s="39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1">
        <f t="shared" si="28"/>
        <v>0</v>
      </c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>
        <f t="shared" si="29"/>
        <v>0</v>
      </c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>
        <v>0</v>
      </c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>
        <v>0</v>
      </c>
      <c r="CD136" s="42">
        <v>0</v>
      </c>
      <c r="CE136" s="42">
        <v>0</v>
      </c>
      <c r="CF136" s="42">
        <v>0</v>
      </c>
      <c r="CG136" s="42">
        <v>0</v>
      </c>
      <c r="CH136" s="42">
        <v>0</v>
      </c>
      <c r="CI136" s="42">
        <v>0</v>
      </c>
      <c r="CJ136" s="42">
        <v>9</v>
      </c>
      <c r="CK136" s="43">
        <f t="shared" si="30"/>
        <v>9</v>
      </c>
      <c r="CL136" s="66"/>
      <c r="CM136" s="66">
        <v>0</v>
      </c>
      <c r="CN136" s="66">
        <v>0</v>
      </c>
      <c r="CO136" s="66">
        <v>0</v>
      </c>
      <c r="CP136" s="66">
        <v>0</v>
      </c>
      <c r="CQ136" s="66">
        <v>0</v>
      </c>
      <c r="CR136" s="66">
        <v>0</v>
      </c>
      <c r="CS136" s="66">
        <v>0</v>
      </c>
      <c r="CT136" s="66">
        <v>0</v>
      </c>
      <c r="CU136" s="66">
        <v>0</v>
      </c>
      <c r="CV136" s="66">
        <v>0</v>
      </c>
      <c r="CW136" s="66">
        <v>0</v>
      </c>
      <c r="CX136" s="66">
        <v>0</v>
      </c>
      <c r="CY136" s="66">
        <v>0</v>
      </c>
      <c r="CZ136" s="66">
        <v>0</v>
      </c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>
        <f>SUM(Table1[[#This Row],[01-03 Apr]:[Mar-26]])</f>
        <v>0</v>
      </c>
    </row>
    <row r="137" spans="1:115" hidden="1" x14ac:dyDescent="0.2">
      <c r="A137" s="28"/>
      <c r="B137" s="29"/>
      <c r="C137" s="29" t="s">
        <v>3069</v>
      </c>
      <c r="D137" s="30" t="s">
        <v>3070</v>
      </c>
      <c r="E137" s="30" t="s">
        <v>297</v>
      </c>
      <c r="F137" s="30"/>
      <c r="G137" s="31"/>
      <c r="H137" s="30">
        <v>388107</v>
      </c>
      <c r="I137" s="30" t="str">
        <f>IF(Table1[[#This Row],[Centre Status]]="Returned","NA",IF(Table1[[#This Row],[SD]]&gt;19000,"Full Payment",IF(Table1[[#This Row],[SD]]&lt;1,"No Payment","Partial Payment")))</f>
        <v>Full Payment</v>
      </c>
      <c r="J137" s="30" t="s">
        <v>58</v>
      </c>
      <c r="K137" s="32">
        <v>110000</v>
      </c>
      <c r="L137" s="33">
        <f>Q137+R137+U137+Table1[[#This Row],[Farmer Payment]]</f>
        <v>21936</v>
      </c>
      <c r="M137" s="30"/>
      <c r="N137" s="34"/>
      <c r="O137" s="34"/>
      <c r="P137" s="35">
        <f t="shared" si="27"/>
        <v>88064</v>
      </c>
      <c r="Q137" s="33">
        <f>AI137+AV137+CK137+Table1[[#This Row],[FY 25-26]]</f>
        <v>1936</v>
      </c>
      <c r="R137" s="36">
        <v>20000</v>
      </c>
      <c r="S137" s="37" t="s">
        <v>3071</v>
      </c>
      <c r="T137" s="38">
        <v>45687</v>
      </c>
      <c r="U137" s="39"/>
      <c r="V137" s="39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1">
        <f t="shared" si="28"/>
        <v>0</v>
      </c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>
        <f t="shared" si="29"/>
        <v>0</v>
      </c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>
        <v>0</v>
      </c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>
        <v>0</v>
      </c>
      <c r="CE137" s="42"/>
      <c r="CF137" s="42">
        <v>0</v>
      </c>
      <c r="CG137" s="42">
        <v>0</v>
      </c>
      <c r="CH137" s="42">
        <v>0</v>
      </c>
      <c r="CI137" s="42">
        <v>0</v>
      </c>
      <c r="CJ137" s="42">
        <v>75</v>
      </c>
      <c r="CK137" s="43">
        <f t="shared" si="30"/>
        <v>75</v>
      </c>
      <c r="CL137" s="66"/>
      <c r="CM137" s="66">
        <v>0</v>
      </c>
      <c r="CN137" s="66">
        <v>0</v>
      </c>
      <c r="CO137" s="66">
        <v>0</v>
      </c>
      <c r="CP137" s="66">
        <v>0</v>
      </c>
      <c r="CQ137" s="66">
        <v>0</v>
      </c>
      <c r="CR137" s="66">
        <v>0</v>
      </c>
      <c r="CS137" s="66">
        <v>0</v>
      </c>
      <c r="CT137" s="66">
        <v>0</v>
      </c>
      <c r="CU137" s="66">
        <v>0</v>
      </c>
      <c r="CV137" s="66">
        <v>1861</v>
      </c>
      <c r="CW137" s="66">
        <v>0</v>
      </c>
      <c r="CX137" s="66">
        <v>0</v>
      </c>
      <c r="CY137" s="66">
        <v>0</v>
      </c>
      <c r="CZ137" s="66">
        <v>0</v>
      </c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>
        <f>SUM(Table1[[#This Row],[01-03 Apr]:[Mar-26]])</f>
        <v>1861</v>
      </c>
    </row>
    <row r="138" spans="1:115" hidden="1" x14ac:dyDescent="0.2">
      <c r="A138" s="28"/>
      <c r="B138" s="29"/>
      <c r="C138" s="29" t="s">
        <v>3135</v>
      </c>
      <c r="D138" s="30" t="s">
        <v>3134</v>
      </c>
      <c r="E138" s="30" t="s">
        <v>2951</v>
      </c>
      <c r="F138" s="30"/>
      <c r="G138" s="31"/>
      <c r="H138" s="30"/>
      <c r="I138" s="30" t="str">
        <f>IF(Table1[[#This Row],[Centre Status]]="Returned","NA",IF(Table1[[#This Row],[SD]]&gt;19000,"Full Payment",IF(Table1[[#This Row],[SD]]&lt;1,"No Payment","Partial Payment")))</f>
        <v>Full Payment</v>
      </c>
      <c r="J138" s="30" t="s">
        <v>58</v>
      </c>
      <c r="K138" s="32">
        <v>110000</v>
      </c>
      <c r="L138" s="33">
        <f>Q138+R138+U138+Table1[[#This Row],[Farmer Payment]]</f>
        <v>21861</v>
      </c>
      <c r="M138" s="30"/>
      <c r="N138" s="34"/>
      <c r="O138" s="34"/>
      <c r="P138" s="35">
        <f t="shared" si="27"/>
        <v>88139</v>
      </c>
      <c r="Q138" s="33">
        <f>AI138+AV138+CK138+Table1[[#This Row],[FY 25-26]]</f>
        <v>1861</v>
      </c>
      <c r="R138" s="36">
        <v>20000</v>
      </c>
      <c r="S138" s="37" t="s">
        <v>3144</v>
      </c>
      <c r="T138" s="38">
        <v>45733</v>
      </c>
      <c r="U138" s="39"/>
      <c r="V138" s="39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1">
        <f t="shared" si="28"/>
        <v>0</v>
      </c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>
        <f t="shared" si="29"/>
        <v>0</v>
      </c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>
        <v>0</v>
      </c>
      <c r="CG138" s="42">
        <v>0</v>
      </c>
      <c r="CH138" s="42">
        <v>0</v>
      </c>
      <c r="CI138" s="42">
        <v>0</v>
      </c>
      <c r="CJ138" s="42">
        <v>0</v>
      </c>
      <c r="CK138" s="43">
        <f t="shared" si="30"/>
        <v>0</v>
      </c>
      <c r="CL138" s="66"/>
      <c r="CM138" s="66">
        <v>0</v>
      </c>
      <c r="CN138" s="66">
        <v>0</v>
      </c>
      <c r="CO138" s="66">
        <v>0</v>
      </c>
      <c r="CP138" s="66">
        <v>0</v>
      </c>
      <c r="CQ138" s="66">
        <v>0</v>
      </c>
      <c r="CR138" s="66">
        <v>0</v>
      </c>
      <c r="CS138" s="66">
        <v>0</v>
      </c>
      <c r="CT138" s="66">
        <v>0</v>
      </c>
      <c r="CU138" s="66">
        <v>0</v>
      </c>
      <c r="CV138" s="66">
        <v>1861</v>
      </c>
      <c r="CW138" s="66">
        <v>0</v>
      </c>
      <c r="CX138" s="66">
        <v>0</v>
      </c>
      <c r="CY138" s="66">
        <v>0</v>
      </c>
      <c r="CZ138" s="66">
        <v>0</v>
      </c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>
        <f>SUM(Table1[[#This Row],[01-03 Apr]:[Mar-26]])</f>
        <v>1861</v>
      </c>
    </row>
    <row r="139" spans="1:115" hidden="1" x14ac:dyDescent="0.2">
      <c r="A139" s="28"/>
      <c r="B139" s="29"/>
      <c r="C139" s="29" t="s">
        <v>3260</v>
      </c>
      <c r="D139" s="30" t="s">
        <v>3136</v>
      </c>
      <c r="E139" s="30" t="s">
        <v>217</v>
      </c>
      <c r="F139" s="30"/>
      <c r="G139" s="31"/>
      <c r="H139" s="30"/>
      <c r="I139" s="30" t="str">
        <f>IF(Table1[[#This Row],[Centre Status]]="Returned","NA",IF(Table1[[#This Row],[SD]]&gt;19000,"Full Payment",IF(Table1[[#This Row],[SD]]&lt;1,"No Payment","Partial Payment")))</f>
        <v>Full Payment</v>
      </c>
      <c r="J139" s="30" t="s">
        <v>58</v>
      </c>
      <c r="K139" s="32">
        <v>110000</v>
      </c>
      <c r="L139" s="33">
        <f>Q139+R139+U139+Table1[[#This Row],[Farmer Payment]]</f>
        <v>20149</v>
      </c>
      <c r="M139" s="30"/>
      <c r="N139" s="34"/>
      <c r="O139" s="34"/>
      <c r="P139" s="35">
        <f t="shared" si="27"/>
        <v>89851</v>
      </c>
      <c r="Q139" s="33">
        <f>AI139+AV139+CK139+Table1[[#This Row],[FY 25-26]]</f>
        <v>149</v>
      </c>
      <c r="R139" s="36">
        <v>20000</v>
      </c>
      <c r="S139" s="37" t="s">
        <v>3142</v>
      </c>
      <c r="T139" s="38">
        <v>45735</v>
      </c>
      <c r="U139" s="39"/>
      <c r="V139" s="39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>
        <f t="shared" si="28"/>
        <v>0</v>
      </c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>
        <f t="shared" si="29"/>
        <v>0</v>
      </c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>
        <v>0</v>
      </c>
      <c r="CG139" s="42">
        <v>0</v>
      </c>
      <c r="CH139" s="42">
        <v>0</v>
      </c>
      <c r="CI139" s="42">
        <v>0</v>
      </c>
      <c r="CJ139" s="42">
        <v>0</v>
      </c>
      <c r="CK139" s="43">
        <f t="shared" si="30"/>
        <v>0</v>
      </c>
      <c r="CL139" s="66"/>
      <c r="CM139" s="66">
        <v>0</v>
      </c>
      <c r="CN139" s="66">
        <v>0</v>
      </c>
      <c r="CO139" s="66">
        <v>0</v>
      </c>
      <c r="CP139" s="66">
        <v>0</v>
      </c>
      <c r="CQ139" s="66">
        <v>0</v>
      </c>
      <c r="CR139" s="66">
        <v>0</v>
      </c>
      <c r="CS139" s="66">
        <v>0</v>
      </c>
      <c r="CT139" s="66">
        <v>0</v>
      </c>
      <c r="CU139" s="66">
        <v>0</v>
      </c>
      <c r="CV139" s="66">
        <v>149</v>
      </c>
      <c r="CW139" s="66">
        <v>0</v>
      </c>
      <c r="CX139" s="66">
        <v>0</v>
      </c>
      <c r="CY139" s="66">
        <v>0</v>
      </c>
      <c r="CZ139" s="66">
        <v>0</v>
      </c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>
        <f>SUM(Table1[[#This Row],[01-03 Apr]:[Mar-26]])</f>
        <v>149</v>
      </c>
    </row>
    <row r="140" spans="1:115" hidden="1" x14ac:dyDescent="0.2">
      <c r="A140" s="28"/>
      <c r="B140" s="29"/>
      <c r="C140" s="29" t="s">
        <v>3261</v>
      </c>
      <c r="D140" s="30" t="s">
        <v>3137</v>
      </c>
      <c r="E140" s="30" t="s">
        <v>217</v>
      </c>
      <c r="F140" s="30"/>
      <c r="G140" s="31"/>
      <c r="H140" s="30"/>
      <c r="I140" s="30" t="str">
        <f>IF(Table1[[#This Row],[Centre Status]]="Returned","NA",IF(Table1[[#This Row],[SD]]&gt;19000,"Full Payment",IF(Table1[[#This Row],[SD]]&lt;1,"No Payment","Partial Payment")))</f>
        <v>Full Payment</v>
      </c>
      <c r="J140" s="30" t="s">
        <v>58</v>
      </c>
      <c r="K140" s="32">
        <v>110000</v>
      </c>
      <c r="L140" s="33">
        <f>Q140+R140+U140+Table1[[#This Row],[Farmer Payment]]</f>
        <v>20786</v>
      </c>
      <c r="M140" s="30"/>
      <c r="N140" s="34"/>
      <c r="O140" s="34"/>
      <c r="P140" s="35">
        <f t="shared" si="27"/>
        <v>89214</v>
      </c>
      <c r="Q140" s="33">
        <f>AI140+AV140+CK140+Table1[[#This Row],[FY 25-26]]</f>
        <v>786</v>
      </c>
      <c r="R140" s="36">
        <v>20000</v>
      </c>
      <c r="S140" s="37" t="s">
        <v>3143</v>
      </c>
      <c r="T140" s="38"/>
      <c r="U140" s="39"/>
      <c r="V140" s="39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1">
        <f t="shared" si="28"/>
        <v>0</v>
      </c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>
        <f t="shared" si="29"/>
        <v>0</v>
      </c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>
        <v>0</v>
      </c>
      <c r="CG140" s="42">
        <v>0</v>
      </c>
      <c r="CH140" s="42">
        <v>0</v>
      </c>
      <c r="CI140" s="42">
        <v>0</v>
      </c>
      <c r="CJ140" s="42">
        <v>21</v>
      </c>
      <c r="CK140" s="43">
        <f t="shared" si="30"/>
        <v>21</v>
      </c>
      <c r="CL140" s="66"/>
      <c r="CM140" s="66">
        <v>0</v>
      </c>
      <c r="CN140" s="66">
        <v>0</v>
      </c>
      <c r="CO140" s="66">
        <v>0</v>
      </c>
      <c r="CP140" s="66">
        <v>0</v>
      </c>
      <c r="CQ140" s="66">
        <v>0</v>
      </c>
      <c r="CR140" s="66">
        <v>0</v>
      </c>
      <c r="CS140" s="66">
        <v>0</v>
      </c>
      <c r="CT140" s="66">
        <v>0</v>
      </c>
      <c r="CU140" s="66">
        <v>0</v>
      </c>
      <c r="CV140" s="66">
        <v>765</v>
      </c>
      <c r="CW140" s="66">
        <v>0</v>
      </c>
      <c r="CX140" s="66">
        <v>0</v>
      </c>
      <c r="CY140" s="66">
        <v>0</v>
      </c>
      <c r="CZ140" s="66">
        <v>0</v>
      </c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>
        <f>SUM(Table1[[#This Row],[01-03 Apr]:[Mar-26]])</f>
        <v>765</v>
      </c>
    </row>
    <row r="141" spans="1:115" hidden="1" x14ac:dyDescent="0.2">
      <c r="A141" s="28"/>
      <c r="B141" s="29"/>
      <c r="C141" s="29" t="s">
        <v>3262</v>
      </c>
      <c r="D141" s="30" t="s">
        <v>3138</v>
      </c>
      <c r="E141" s="30" t="s">
        <v>217</v>
      </c>
      <c r="F141" s="30"/>
      <c r="G141" s="31"/>
      <c r="H141" s="30"/>
      <c r="I141" s="30" t="str">
        <f>IF(Table1[[#This Row],[Centre Status]]="Returned","NA",IF(Table1[[#This Row],[SD]]&gt;19000,"Full Payment",IF(Table1[[#This Row],[SD]]&lt;1,"No Payment","Partial Payment")))</f>
        <v>Full Payment</v>
      </c>
      <c r="J141" s="30" t="s">
        <v>58</v>
      </c>
      <c r="K141" s="32">
        <v>110000</v>
      </c>
      <c r="L141" s="33">
        <f>Q141+R141+U141+Table1[[#This Row],[Farmer Payment]]</f>
        <v>20000</v>
      </c>
      <c r="M141" s="30"/>
      <c r="N141" s="34"/>
      <c r="O141" s="34"/>
      <c r="P141" s="35">
        <f t="shared" si="27"/>
        <v>90000</v>
      </c>
      <c r="Q141" s="33">
        <f>AI141+AV141+CK141+Table1[[#This Row],[FY 25-26]]</f>
        <v>0</v>
      </c>
      <c r="R141" s="36">
        <v>20000</v>
      </c>
      <c r="S141" s="37" t="s">
        <v>3141</v>
      </c>
      <c r="T141" s="38">
        <v>45735</v>
      </c>
      <c r="U141" s="39"/>
      <c r="V141" s="39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1">
        <f t="shared" si="28"/>
        <v>0</v>
      </c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>
        <f t="shared" si="29"/>
        <v>0</v>
      </c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>
        <v>0</v>
      </c>
      <c r="CG141" s="42">
        <v>0</v>
      </c>
      <c r="CH141" s="42">
        <v>0</v>
      </c>
      <c r="CI141" s="42">
        <v>0</v>
      </c>
      <c r="CJ141" s="42">
        <v>0</v>
      </c>
      <c r="CK141" s="43">
        <f t="shared" si="30"/>
        <v>0</v>
      </c>
      <c r="CL141" s="66"/>
      <c r="CM141" s="66">
        <v>0</v>
      </c>
      <c r="CN141" s="66">
        <v>0</v>
      </c>
      <c r="CO141" s="66">
        <v>0</v>
      </c>
      <c r="CP141" s="66">
        <v>0</v>
      </c>
      <c r="CQ141" s="66">
        <v>0</v>
      </c>
      <c r="CR141" s="66">
        <v>0</v>
      </c>
      <c r="CS141" s="66">
        <v>0</v>
      </c>
      <c r="CT141" s="66">
        <v>0</v>
      </c>
      <c r="CU141" s="66">
        <v>0</v>
      </c>
      <c r="CV141" s="66">
        <v>0</v>
      </c>
      <c r="CW141" s="66">
        <v>0</v>
      </c>
      <c r="CX141" s="66">
        <v>0</v>
      </c>
      <c r="CY141" s="66">
        <v>0</v>
      </c>
      <c r="CZ141" s="66">
        <v>0</v>
      </c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>
        <f>SUM(Table1[[#This Row],[01-03 Apr]:[Mar-26]])</f>
        <v>0</v>
      </c>
    </row>
    <row r="142" spans="1:115" x14ac:dyDescent="0.2">
      <c r="A142" s="28"/>
      <c r="B142" s="29"/>
      <c r="C142" s="29" t="s">
        <v>3263</v>
      </c>
      <c r="D142" s="30" t="s">
        <v>3139</v>
      </c>
      <c r="E142" s="30" t="s">
        <v>217</v>
      </c>
      <c r="F142" s="30"/>
      <c r="G142" s="31"/>
      <c r="H142" s="30"/>
      <c r="I142" s="30" t="str">
        <f>IF(Table1[[#This Row],[Centre Status]]="Returned","NA",IF(Table1[[#This Row],[SD]]&gt;19000,"Full Payment",IF(Table1[[#This Row],[SD]]&lt;1,"No Payment","Partial Payment")))</f>
        <v>Partial Payment</v>
      </c>
      <c r="J142" s="30" t="s">
        <v>58</v>
      </c>
      <c r="K142" s="32">
        <v>110000</v>
      </c>
      <c r="L142" s="33">
        <f>Q142+R142+U142+Table1[[#This Row],[Farmer Payment]]</f>
        <v>11896</v>
      </c>
      <c r="M142" s="30"/>
      <c r="N142" s="34"/>
      <c r="O142" s="34"/>
      <c r="P142" s="35">
        <f t="shared" si="27"/>
        <v>98104</v>
      </c>
      <c r="Q142" s="33">
        <f>AI142+AV142+CK142+Table1[[#This Row],[FY 25-26]]</f>
        <v>1896</v>
      </c>
      <c r="R142" s="36">
        <v>10000</v>
      </c>
      <c r="S142" s="37" t="s">
        <v>3140</v>
      </c>
      <c r="T142" s="38">
        <v>45734</v>
      </c>
      <c r="U142" s="39"/>
      <c r="V142" s="39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1">
        <f t="shared" si="28"/>
        <v>0</v>
      </c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>
        <f t="shared" si="29"/>
        <v>0</v>
      </c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>
        <v>0</v>
      </c>
      <c r="CG142" s="42">
        <v>0</v>
      </c>
      <c r="CH142" s="42">
        <v>0</v>
      </c>
      <c r="CI142" s="42">
        <v>0</v>
      </c>
      <c r="CJ142" s="42">
        <v>35</v>
      </c>
      <c r="CK142" s="43">
        <f t="shared" si="30"/>
        <v>35</v>
      </c>
      <c r="CL142" s="66"/>
      <c r="CM142" s="66">
        <v>0</v>
      </c>
      <c r="CN142" s="66">
        <v>0</v>
      </c>
      <c r="CO142" s="66">
        <v>0</v>
      </c>
      <c r="CP142" s="66">
        <v>0</v>
      </c>
      <c r="CQ142" s="66">
        <v>0</v>
      </c>
      <c r="CR142" s="66">
        <v>0</v>
      </c>
      <c r="CS142" s="66">
        <v>0</v>
      </c>
      <c r="CT142" s="66">
        <v>0</v>
      </c>
      <c r="CU142" s="66">
        <v>0</v>
      </c>
      <c r="CV142" s="66">
        <v>1861</v>
      </c>
      <c r="CW142" s="66">
        <v>0</v>
      </c>
      <c r="CX142" s="66">
        <v>0</v>
      </c>
      <c r="CY142" s="66">
        <v>0</v>
      </c>
      <c r="CZ142" s="66">
        <v>0</v>
      </c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>
        <f>SUM(Table1[[#This Row],[01-03 Apr]:[Mar-26]])</f>
        <v>1861</v>
      </c>
    </row>
    <row r="143" spans="1:115" hidden="1" x14ac:dyDescent="0.2">
      <c r="A143" s="28"/>
      <c r="B143" s="29"/>
      <c r="C143" s="29" t="s">
        <v>3020</v>
      </c>
      <c r="D143" s="30" t="s">
        <v>3018</v>
      </c>
      <c r="E143" s="30" t="s">
        <v>906</v>
      </c>
      <c r="F143" s="30"/>
      <c r="G143" s="31"/>
      <c r="H143" s="30">
        <v>275335</v>
      </c>
      <c r="I143" s="30" t="str">
        <f>IF(Table1[[#This Row],[Centre Status]]="Returned","NA",IF(Table1[[#This Row],[SD]]&gt;19000,"Full Payment",IF(Table1[[#This Row],[SD]]&lt;1,"No Payment","Partial Payment")))</f>
        <v>Full Payment</v>
      </c>
      <c r="J143" s="30" t="s">
        <v>58</v>
      </c>
      <c r="K143" s="32">
        <v>110000</v>
      </c>
      <c r="L143" s="33">
        <f>Q143+R143+U143+Table1[[#This Row],[Farmer Payment]]</f>
        <v>23041</v>
      </c>
      <c r="M143" s="30"/>
      <c r="N143" s="34"/>
      <c r="O143" s="34"/>
      <c r="P143" s="35">
        <f t="shared" si="27"/>
        <v>86959</v>
      </c>
      <c r="Q143" s="33">
        <f>AI143+AV143+CK143+Table1[[#This Row],[FY 25-26]]</f>
        <v>3041</v>
      </c>
      <c r="R143" s="36">
        <v>20000</v>
      </c>
      <c r="S143" s="37" t="s">
        <v>3019</v>
      </c>
      <c r="T143" s="38">
        <v>45675</v>
      </c>
      <c r="U143" s="39"/>
      <c r="V143" s="39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1">
        <f t="shared" si="28"/>
        <v>0</v>
      </c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>
        <f t="shared" si="29"/>
        <v>0</v>
      </c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>
        <v>0</v>
      </c>
      <c r="BQ143" s="42"/>
      <c r="BR143" s="42"/>
      <c r="BS143" s="42"/>
      <c r="BT143" s="42"/>
      <c r="BU143" s="42"/>
      <c r="BV143" s="42"/>
      <c r="BW143" s="42"/>
      <c r="BX143" s="42"/>
      <c r="BY143" s="42">
        <v>0</v>
      </c>
      <c r="BZ143" s="42"/>
      <c r="CA143" s="42">
        <v>0</v>
      </c>
      <c r="CB143" s="42">
        <v>0</v>
      </c>
      <c r="CC143" s="42">
        <v>0</v>
      </c>
      <c r="CD143" s="42">
        <v>0</v>
      </c>
      <c r="CE143" s="42">
        <v>0</v>
      </c>
      <c r="CF143" s="42">
        <v>0</v>
      </c>
      <c r="CG143" s="42">
        <v>0</v>
      </c>
      <c r="CH143" s="42">
        <v>0</v>
      </c>
      <c r="CI143" s="42">
        <v>0</v>
      </c>
      <c r="CJ143" s="42">
        <v>1180</v>
      </c>
      <c r="CK143" s="43">
        <f t="shared" si="30"/>
        <v>1180</v>
      </c>
      <c r="CL143" s="66"/>
      <c r="CM143" s="66">
        <v>0</v>
      </c>
      <c r="CN143" s="66">
        <v>0</v>
      </c>
      <c r="CO143" s="66">
        <v>0</v>
      </c>
      <c r="CP143" s="66">
        <v>0</v>
      </c>
      <c r="CQ143" s="66">
        <v>0</v>
      </c>
      <c r="CR143" s="66">
        <v>0</v>
      </c>
      <c r="CS143" s="66">
        <v>0</v>
      </c>
      <c r="CT143" s="66">
        <v>0</v>
      </c>
      <c r="CU143" s="66">
        <v>0</v>
      </c>
      <c r="CV143" s="66">
        <v>1861</v>
      </c>
      <c r="CW143" s="66">
        <v>0</v>
      </c>
      <c r="CX143" s="66">
        <v>0</v>
      </c>
      <c r="CY143" s="66">
        <v>0</v>
      </c>
      <c r="CZ143" s="66">
        <v>0</v>
      </c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>
        <f>SUM(Table1[[#This Row],[01-03 Apr]:[Mar-26]])</f>
        <v>1861</v>
      </c>
    </row>
    <row r="144" spans="1:115" hidden="1" x14ac:dyDescent="0.2">
      <c r="A144" s="28"/>
      <c r="B144" s="29"/>
      <c r="C144" s="29" t="s">
        <v>3027</v>
      </c>
      <c r="D144" s="30" t="s">
        <v>3021</v>
      </c>
      <c r="E144" s="30" t="s">
        <v>943</v>
      </c>
      <c r="F144" s="30"/>
      <c r="G144" s="31"/>
      <c r="H144" s="30"/>
      <c r="I144" s="30" t="str">
        <f>IF(Table1[[#This Row],[Centre Status]]="Returned","NA",IF(Table1[[#This Row],[SD]]&gt;19000,"Full Payment",IF(Table1[[#This Row],[SD]]&lt;1,"No Payment","Partial Payment")))</f>
        <v>NA</v>
      </c>
      <c r="J144" s="30" t="s">
        <v>1903</v>
      </c>
      <c r="K144" s="32">
        <v>110000</v>
      </c>
      <c r="L144" s="33">
        <f>Q144+R144+U144+Table1[[#This Row],[Farmer Payment]]</f>
        <v>20684</v>
      </c>
      <c r="M144" s="30">
        <v>20000</v>
      </c>
      <c r="N144" s="34">
        <v>45813</v>
      </c>
      <c r="O144" s="34" t="s">
        <v>3487</v>
      </c>
      <c r="P144" s="35">
        <f t="shared" si="27"/>
        <v>109316</v>
      </c>
      <c r="Q144" s="33">
        <f>AI144+AV144+CK144+Table1[[#This Row],[FY 25-26]]</f>
        <v>684</v>
      </c>
      <c r="R144" s="36">
        <v>20000</v>
      </c>
      <c r="S144" s="37" t="s">
        <v>3024</v>
      </c>
      <c r="T144" s="38">
        <v>45699</v>
      </c>
      <c r="U144" s="39"/>
      <c r="V144" s="39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1">
        <f t="shared" si="28"/>
        <v>0</v>
      </c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>
        <f t="shared" si="29"/>
        <v>0</v>
      </c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>
        <v>0</v>
      </c>
      <c r="BQ144" s="42"/>
      <c r="BR144" s="42"/>
      <c r="BS144" s="42"/>
      <c r="BT144" s="42"/>
      <c r="BU144" s="42"/>
      <c r="BV144" s="42"/>
      <c r="BW144" s="42"/>
      <c r="BX144" s="42"/>
      <c r="BY144" s="42">
        <v>0</v>
      </c>
      <c r="BZ144" s="42"/>
      <c r="CA144" s="42">
        <v>0</v>
      </c>
      <c r="CB144" s="42">
        <v>0</v>
      </c>
      <c r="CC144" s="42">
        <v>0</v>
      </c>
      <c r="CD144" s="42">
        <v>0</v>
      </c>
      <c r="CE144" s="42">
        <v>0</v>
      </c>
      <c r="CF144" s="42">
        <v>0</v>
      </c>
      <c r="CG144" s="42">
        <v>0</v>
      </c>
      <c r="CH144" s="42">
        <v>0</v>
      </c>
      <c r="CI144" s="42">
        <v>0</v>
      </c>
      <c r="CJ144" s="42">
        <v>684</v>
      </c>
      <c r="CK144" s="43">
        <f t="shared" si="30"/>
        <v>684</v>
      </c>
      <c r="CL144" s="66"/>
      <c r="CM144" s="66">
        <v>0</v>
      </c>
      <c r="CN144" s="66">
        <v>0</v>
      </c>
      <c r="CO144" s="66">
        <v>0</v>
      </c>
      <c r="CP144" s="66">
        <v>0</v>
      </c>
      <c r="CQ144" s="66">
        <v>0</v>
      </c>
      <c r="CR144" s="66">
        <v>0</v>
      </c>
      <c r="CS144" s="66">
        <v>0</v>
      </c>
      <c r="CT144" s="66">
        <v>0</v>
      </c>
      <c r="CU144" s="66">
        <v>0</v>
      </c>
      <c r="CV144" s="66">
        <v>0</v>
      </c>
      <c r="CW144" s="66">
        <v>0</v>
      </c>
      <c r="CX144" s="66">
        <v>0</v>
      </c>
      <c r="CY144" s="66">
        <v>0</v>
      </c>
      <c r="CZ144" s="66">
        <v>0</v>
      </c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>
        <f>SUM(Table1[[#This Row],[01-03 Apr]:[Mar-26]])</f>
        <v>0</v>
      </c>
    </row>
    <row r="145" spans="1:115" hidden="1" x14ac:dyDescent="0.2">
      <c r="A145" s="28"/>
      <c r="B145" s="29"/>
      <c r="C145" s="29" t="s">
        <v>3028</v>
      </c>
      <c r="D145" s="30" t="s">
        <v>3022</v>
      </c>
      <c r="E145" s="30" t="s">
        <v>943</v>
      </c>
      <c r="F145" s="30"/>
      <c r="G145" s="31"/>
      <c r="H145" s="30"/>
      <c r="I145" s="30" t="str">
        <f>IF(Table1[[#This Row],[Centre Status]]="Returned","NA",IF(Table1[[#This Row],[SD]]&gt;19000,"Full Payment",IF(Table1[[#This Row],[SD]]&lt;1,"No Payment","Partial Payment")))</f>
        <v>NA</v>
      </c>
      <c r="J145" s="30" t="s">
        <v>1903</v>
      </c>
      <c r="K145" s="32">
        <v>110000</v>
      </c>
      <c r="L145" s="33">
        <f>Q145+R145+U145+Table1[[#This Row],[Farmer Payment]]</f>
        <v>20022</v>
      </c>
      <c r="M145" s="30"/>
      <c r="N145" s="34"/>
      <c r="O145" s="34"/>
      <c r="P145" s="35">
        <f t="shared" si="27"/>
        <v>89978</v>
      </c>
      <c r="Q145" s="33">
        <f>AI145+AV145+CK145+Table1[[#This Row],[FY 25-26]]</f>
        <v>22</v>
      </c>
      <c r="R145" s="36">
        <v>20000</v>
      </c>
      <c r="S145" s="37" t="s">
        <v>3025</v>
      </c>
      <c r="T145" s="38">
        <v>45694</v>
      </c>
      <c r="U145" s="39"/>
      <c r="V145" s="39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1">
        <f t="shared" si="28"/>
        <v>0</v>
      </c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>
        <f t="shared" si="29"/>
        <v>0</v>
      </c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>
        <v>0</v>
      </c>
      <c r="BQ145" s="42"/>
      <c r="BR145" s="42"/>
      <c r="BS145" s="42"/>
      <c r="BT145" s="42"/>
      <c r="BU145" s="42"/>
      <c r="BV145" s="42"/>
      <c r="BW145" s="42"/>
      <c r="BX145" s="42"/>
      <c r="BY145" s="42">
        <v>0</v>
      </c>
      <c r="BZ145" s="42"/>
      <c r="CA145" s="42">
        <v>0</v>
      </c>
      <c r="CB145" s="42">
        <v>0</v>
      </c>
      <c r="CC145" s="42">
        <v>0</v>
      </c>
      <c r="CD145" s="42">
        <v>0</v>
      </c>
      <c r="CE145" s="42">
        <v>0</v>
      </c>
      <c r="CF145" s="42">
        <v>0</v>
      </c>
      <c r="CG145" s="42">
        <v>0</v>
      </c>
      <c r="CH145" s="42">
        <v>0</v>
      </c>
      <c r="CI145" s="42">
        <v>0</v>
      </c>
      <c r="CJ145" s="42">
        <v>22</v>
      </c>
      <c r="CK145" s="43">
        <f t="shared" si="30"/>
        <v>22</v>
      </c>
      <c r="CL145" s="66"/>
      <c r="CM145" s="66">
        <v>0</v>
      </c>
      <c r="CN145" s="66">
        <v>0</v>
      </c>
      <c r="CO145" s="66">
        <v>0</v>
      </c>
      <c r="CP145" s="66">
        <v>0</v>
      </c>
      <c r="CQ145" s="66">
        <v>0</v>
      </c>
      <c r="CR145" s="66">
        <v>0</v>
      </c>
      <c r="CS145" s="66">
        <v>0</v>
      </c>
      <c r="CT145" s="66">
        <v>0</v>
      </c>
      <c r="CU145" s="66">
        <v>0</v>
      </c>
      <c r="CV145" s="66">
        <v>0</v>
      </c>
      <c r="CW145" s="66">
        <v>0</v>
      </c>
      <c r="CX145" s="66">
        <v>0</v>
      </c>
      <c r="CY145" s="66">
        <v>0</v>
      </c>
      <c r="CZ145" s="66">
        <v>0</v>
      </c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>
        <f>SUM(Table1[[#This Row],[01-03 Apr]:[Mar-26]])</f>
        <v>0</v>
      </c>
    </row>
    <row r="146" spans="1:115" hidden="1" x14ac:dyDescent="0.2">
      <c r="A146" s="28"/>
      <c r="B146" s="29"/>
      <c r="C146" s="29" t="s">
        <v>3029</v>
      </c>
      <c r="D146" s="30" t="s">
        <v>3023</v>
      </c>
      <c r="E146" s="30" t="s">
        <v>943</v>
      </c>
      <c r="F146" s="30"/>
      <c r="G146" s="31"/>
      <c r="H146" s="30"/>
      <c r="I146" s="30" t="str">
        <f>IF(Table1[[#This Row],[Centre Status]]="Returned","NA",IF(Table1[[#This Row],[SD]]&gt;19000,"Full Payment",IF(Table1[[#This Row],[SD]]&lt;1,"No Payment","Partial Payment")))</f>
        <v>NA</v>
      </c>
      <c r="J146" s="30" t="s">
        <v>1903</v>
      </c>
      <c r="K146" s="32">
        <v>110000</v>
      </c>
      <c r="L146" s="33">
        <f>Q146+R146+U146+Table1[[#This Row],[Farmer Payment]]</f>
        <v>20000</v>
      </c>
      <c r="M146" s="30">
        <v>20000</v>
      </c>
      <c r="N146" s="34">
        <v>45796</v>
      </c>
      <c r="O146" s="34" t="s">
        <v>2446</v>
      </c>
      <c r="P146" s="35">
        <f t="shared" si="27"/>
        <v>110000</v>
      </c>
      <c r="Q146" s="33">
        <f>AI146+AV146+CK146+Table1[[#This Row],[FY 25-26]]</f>
        <v>0</v>
      </c>
      <c r="R146" s="36">
        <v>20000</v>
      </c>
      <c r="S146" s="37" t="s">
        <v>3026</v>
      </c>
      <c r="T146" s="38">
        <v>45681</v>
      </c>
      <c r="U146" s="39"/>
      <c r="V146" s="39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1">
        <f t="shared" si="28"/>
        <v>0</v>
      </c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>
        <f t="shared" si="29"/>
        <v>0</v>
      </c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>
        <v>0</v>
      </c>
      <c r="BQ146" s="42"/>
      <c r="BR146" s="42"/>
      <c r="BS146" s="42"/>
      <c r="BT146" s="42"/>
      <c r="BU146" s="42"/>
      <c r="BV146" s="42"/>
      <c r="BW146" s="42"/>
      <c r="BX146" s="42"/>
      <c r="BY146" s="42">
        <v>0</v>
      </c>
      <c r="BZ146" s="42"/>
      <c r="CA146" s="42">
        <v>0</v>
      </c>
      <c r="CB146" s="42">
        <v>0</v>
      </c>
      <c r="CC146" s="42">
        <v>0</v>
      </c>
      <c r="CD146" s="42">
        <v>0</v>
      </c>
      <c r="CE146" s="42">
        <v>0</v>
      </c>
      <c r="CF146" s="42">
        <v>0</v>
      </c>
      <c r="CG146" s="42">
        <v>0</v>
      </c>
      <c r="CH146" s="42">
        <v>0</v>
      </c>
      <c r="CI146" s="42">
        <v>0</v>
      </c>
      <c r="CJ146" s="42">
        <v>0</v>
      </c>
      <c r="CK146" s="43">
        <f t="shared" si="30"/>
        <v>0</v>
      </c>
      <c r="CL146" s="66"/>
      <c r="CM146" s="66">
        <v>0</v>
      </c>
      <c r="CN146" s="66">
        <v>0</v>
      </c>
      <c r="CO146" s="66">
        <v>0</v>
      </c>
      <c r="CP146" s="66">
        <v>0</v>
      </c>
      <c r="CQ146" s="66">
        <v>0</v>
      </c>
      <c r="CR146" s="66">
        <v>0</v>
      </c>
      <c r="CS146" s="66">
        <v>0</v>
      </c>
      <c r="CT146" s="66">
        <v>0</v>
      </c>
      <c r="CU146" s="66">
        <v>0</v>
      </c>
      <c r="CV146" s="66">
        <v>0</v>
      </c>
      <c r="CW146" s="66">
        <v>0</v>
      </c>
      <c r="CX146" s="66">
        <v>0</v>
      </c>
      <c r="CY146" s="66">
        <v>0</v>
      </c>
      <c r="CZ146" s="66">
        <v>0</v>
      </c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>
        <f>SUM(Table1[[#This Row],[01-03 Apr]:[Mar-26]])</f>
        <v>0</v>
      </c>
    </row>
    <row r="147" spans="1:115" hidden="1" x14ac:dyDescent="0.2">
      <c r="A147" s="28"/>
      <c r="B147" s="29"/>
      <c r="C147" s="29" t="s">
        <v>3035</v>
      </c>
      <c r="D147" s="30" t="s">
        <v>3030</v>
      </c>
      <c r="E147" s="30" t="s">
        <v>297</v>
      </c>
      <c r="F147" s="30"/>
      <c r="G147" s="31"/>
      <c r="H147" s="30"/>
      <c r="I147" s="30" t="str">
        <f>IF(Table1[[#This Row],[Centre Status]]="Returned","NA",IF(Table1[[#This Row],[SD]]&gt;19000,"Full Payment",IF(Table1[[#This Row],[SD]]&lt;1,"No Payment","Partial Payment")))</f>
        <v>Full Payment</v>
      </c>
      <c r="J147" s="30" t="s">
        <v>58</v>
      </c>
      <c r="K147" s="32">
        <v>110000</v>
      </c>
      <c r="L147" s="33">
        <f>Q147+R147+U147+Table1[[#This Row],[Farmer Payment]]</f>
        <v>20266</v>
      </c>
      <c r="M147" s="30"/>
      <c r="N147" s="34"/>
      <c r="O147" s="34"/>
      <c r="P147" s="35">
        <f t="shared" si="27"/>
        <v>89734</v>
      </c>
      <c r="Q147" s="33">
        <f>AI147+AV147+CK147+Table1[[#This Row],[FY 25-26]]</f>
        <v>266</v>
      </c>
      <c r="R147" s="36">
        <v>20000</v>
      </c>
      <c r="S147" s="37" t="s">
        <v>3040</v>
      </c>
      <c r="T147" s="38">
        <v>45659</v>
      </c>
      <c r="U147" s="39"/>
      <c r="V147" s="39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1">
        <f t="shared" si="28"/>
        <v>0</v>
      </c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>
        <f t="shared" si="29"/>
        <v>0</v>
      </c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>
        <v>0</v>
      </c>
      <c r="BQ147" s="42"/>
      <c r="BR147" s="42"/>
      <c r="BS147" s="42"/>
      <c r="BT147" s="42"/>
      <c r="BU147" s="42"/>
      <c r="BV147" s="42"/>
      <c r="BW147" s="42"/>
      <c r="BX147" s="42"/>
      <c r="BY147" s="42">
        <v>0</v>
      </c>
      <c r="BZ147" s="42"/>
      <c r="CA147" s="42">
        <v>0</v>
      </c>
      <c r="CB147" s="42">
        <v>0</v>
      </c>
      <c r="CC147" s="42">
        <v>0</v>
      </c>
      <c r="CD147" s="42">
        <v>0</v>
      </c>
      <c r="CE147" s="42">
        <v>0</v>
      </c>
      <c r="CF147" s="42">
        <v>0</v>
      </c>
      <c r="CG147" s="42">
        <v>0</v>
      </c>
      <c r="CH147" s="42">
        <v>0</v>
      </c>
      <c r="CI147" s="42">
        <v>0</v>
      </c>
      <c r="CJ147" s="42">
        <v>0</v>
      </c>
      <c r="CK147" s="43">
        <f t="shared" si="30"/>
        <v>0</v>
      </c>
      <c r="CL147" s="66"/>
      <c r="CM147" s="66">
        <v>0</v>
      </c>
      <c r="CN147" s="66">
        <v>0</v>
      </c>
      <c r="CO147" s="66">
        <v>0</v>
      </c>
      <c r="CP147" s="66">
        <v>0</v>
      </c>
      <c r="CQ147" s="66">
        <v>0</v>
      </c>
      <c r="CR147" s="66">
        <v>0</v>
      </c>
      <c r="CS147" s="66">
        <v>0</v>
      </c>
      <c r="CT147" s="66">
        <v>0</v>
      </c>
      <c r="CU147" s="66">
        <v>0</v>
      </c>
      <c r="CV147" s="66">
        <v>266</v>
      </c>
      <c r="CW147" s="66">
        <v>0</v>
      </c>
      <c r="CX147" s="66">
        <v>0</v>
      </c>
      <c r="CY147" s="66">
        <v>0</v>
      </c>
      <c r="CZ147" s="66">
        <v>0</v>
      </c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>
        <f>SUM(Table1[[#This Row],[01-03 Apr]:[Mar-26]])</f>
        <v>266</v>
      </c>
    </row>
    <row r="148" spans="1:115" hidden="1" x14ac:dyDescent="0.2">
      <c r="A148" s="28"/>
      <c r="B148" s="29"/>
      <c r="C148" s="29" t="s">
        <v>3036</v>
      </c>
      <c r="D148" s="30" t="s">
        <v>3031</v>
      </c>
      <c r="E148" s="30" t="s">
        <v>297</v>
      </c>
      <c r="F148" s="30"/>
      <c r="G148" s="31"/>
      <c r="H148" s="30"/>
      <c r="I148" s="30" t="str">
        <f>IF(Table1[[#This Row],[Centre Status]]="Returned","NA",IF(Table1[[#This Row],[SD]]&gt;19000,"Full Payment",IF(Table1[[#This Row],[SD]]&lt;1,"No Payment","Partial Payment")))</f>
        <v>Full Payment</v>
      </c>
      <c r="J148" s="30" t="s">
        <v>58</v>
      </c>
      <c r="K148" s="32">
        <v>110000</v>
      </c>
      <c r="L148" s="33">
        <f>Q148+R148+U148+Table1[[#This Row],[Farmer Payment]]</f>
        <v>23722</v>
      </c>
      <c r="M148" s="30"/>
      <c r="N148" s="34"/>
      <c r="O148" s="34"/>
      <c r="P148" s="35">
        <f t="shared" si="27"/>
        <v>86278</v>
      </c>
      <c r="Q148" s="33">
        <f>AI148+AV148+CK148+Table1[[#This Row],[FY 25-26]]</f>
        <v>3722</v>
      </c>
      <c r="R148" s="36">
        <v>20000</v>
      </c>
      <c r="S148" s="37" t="s">
        <v>3041</v>
      </c>
      <c r="T148" s="38">
        <v>45681</v>
      </c>
      <c r="U148" s="39"/>
      <c r="V148" s="39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1">
        <f t="shared" si="28"/>
        <v>0</v>
      </c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>
        <f t="shared" si="29"/>
        <v>0</v>
      </c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>
        <v>0</v>
      </c>
      <c r="BQ148" s="42"/>
      <c r="BR148" s="42"/>
      <c r="BS148" s="42"/>
      <c r="BT148" s="42"/>
      <c r="BU148" s="42"/>
      <c r="BV148" s="42"/>
      <c r="BW148" s="42"/>
      <c r="BX148" s="42"/>
      <c r="BY148" s="42">
        <v>0</v>
      </c>
      <c r="BZ148" s="42"/>
      <c r="CA148" s="42">
        <v>0</v>
      </c>
      <c r="CB148" s="42">
        <v>0</v>
      </c>
      <c r="CC148" s="42">
        <v>0</v>
      </c>
      <c r="CD148" s="42">
        <v>0</v>
      </c>
      <c r="CE148" s="42">
        <v>0</v>
      </c>
      <c r="CF148" s="42">
        <v>0</v>
      </c>
      <c r="CG148" s="42">
        <v>0</v>
      </c>
      <c r="CH148" s="42">
        <v>0</v>
      </c>
      <c r="CI148" s="42">
        <v>0</v>
      </c>
      <c r="CJ148" s="42">
        <v>1861</v>
      </c>
      <c r="CK148" s="43">
        <f t="shared" si="30"/>
        <v>1861</v>
      </c>
      <c r="CL148" s="66"/>
      <c r="CM148" s="66">
        <v>0</v>
      </c>
      <c r="CN148" s="66">
        <v>0</v>
      </c>
      <c r="CO148" s="66">
        <v>0</v>
      </c>
      <c r="CP148" s="66">
        <v>0</v>
      </c>
      <c r="CQ148" s="66">
        <v>0</v>
      </c>
      <c r="CR148" s="66">
        <v>0</v>
      </c>
      <c r="CS148" s="66">
        <v>0</v>
      </c>
      <c r="CT148" s="66">
        <v>0</v>
      </c>
      <c r="CU148" s="66">
        <v>0</v>
      </c>
      <c r="CV148" s="66">
        <v>1861</v>
      </c>
      <c r="CW148" s="66">
        <v>0</v>
      </c>
      <c r="CX148" s="66">
        <v>0</v>
      </c>
      <c r="CY148" s="66">
        <v>0</v>
      </c>
      <c r="CZ148" s="66">
        <v>0</v>
      </c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>
        <f>SUM(Table1[[#This Row],[01-03 Apr]:[Mar-26]])</f>
        <v>1861</v>
      </c>
    </row>
    <row r="149" spans="1:115" hidden="1" x14ac:dyDescent="0.2">
      <c r="A149" s="28"/>
      <c r="B149" s="29"/>
      <c r="C149" s="29" t="s">
        <v>3037</v>
      </c>
      <c r="D149" s="30" t="s">
        <v>3032</v>
      </c>
      <c r="E149" s="30" t="s">
        <v>217</v>
      </c>
      <c r="F149" s="30"/>
      <c r="G149" s="31"/>
      <c r="H149" s="30"/>
      <c r="I149" s="30" t="str">
        <f>IF(Table1[[#This Row],[Centre Status]]="Returned","NA",IF(Table1[[#This Row],[SD]]&gt;19000,"Full Payment",IF(Table1[[#This Row],[SD]]&lt;1,"No Payment","Partial Payment")))</f>
        <v>Full Payment</v>
      </c>
      <c r="J149" s="30" t="s">
        <v>58</v>
      </c>
      <c r="K149" s="32">
        <v>110000</v>
      </c>
      <c r="L149" s="33">
        <f>Q149+R149+U149+Table1[[#This Row],[Farmer Payment]]</f>
        <v>21867</v>
      </c>
      <c r="M149" s="30"/>
      <c r="N149" s="34"/>
      <c r="O149" s="34"/>
      <c r="P149" s="35">
        <f t="shared" si="27"/>
        <v>88133</v>
      </c>
      <c r="Q149" s="33">
        <f>AI149+AV149+CK149+Table1[[#This Row],[FY 25-26]]</f>
        <v>1867</v>
      </c>
      <c r="R149" s="36">
        <v>20000</v>
      </c>
      <c r="S149" s="37" t="s">
        <v>3043</v>
      </c>
      <c r="T149" s="38">
        <v>45681</v>
      </c>
      <c r="U149" s="39"/>
      <c r="V149" s="39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1">
        <f t="shared" si="28"/>
        <v>0</v>
      </c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>
        <f t="shared" si="29"/>
        <v>0</v>
      </c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>
        <v>0</v>
      </c>
      <c r="BQ149" s="42"/>
      <c r="BR149" s="42"/>
      <c r="BS149" s="42"/>
      <c r="BT149" s="42"/>
      <c r="BU149" s="42"/>
      <c r="BV149" s="42"/>
      <c r="BW149" s="42"/>
      <c r="BX149" s="42"/>
      <c r="BY149" s="42">
        <v>0</v>
      </c>
      <c r="BZ149" s="42"/>
      <c r="CA149" s="42">
        <v>0</v>
      </c>
      <c r="CB149" s="42">
        <v>0</v>
      </c>
      <c r="CC149" s="42">
        <v>0</v>
      </c>
      <c r="CD149" s="42">
        <v>0</v>
      </c>
      <c r="CE149" s="42">
        <v>0</v>
      </c>
      <c r="CF149" s="42">
        <v>0</v>
      </c>
      <c r="CG149" s="42">
        <v>0</v>
      </c>
      <c r="CH149" s="42">
        <v>0</v>
      </c>
      <c r="CI149" s="42">
        <v>0</v>
      </c>
      <c r="CJ149" s="42">
        <v>39</v>
      </c>
      <c r="CK149" s="43">
        <f t="shared" si="30"/>
        <v>39</v>
      </c>
      <c r="CL149" s="66"/>
      <c r="CM149" s="66">
        <v>0</v>
      </c>
      <c r="CN149" s="66">
        <v>0</v>
      </c>
      <c r="CO149" s="66">
        <v>0</v>
      </c>
      <c r="CP149" s="66">
        <v>0</v>
      </c>
      <c r="CQ149" s="66">
        <v>0</v>
      </c>
      <c r="CR149" s="66">
        <v>0</v>
      </c>
      <c r="CS149" s="66">
        <v>0</v>
      </c>
      <c r="CT149" s="66">
        <v>0</v>
      </c>
      <c r="CU149" s="66">
        <v>0</v>
      </c>
      <c r="CV149" s="66">
        <v>1828</v>
      </c>
      <c r="CW149" s="66">
        <v>0</v>
      </c>
      <c r="CX149" s="66">
        <v>0</v>
      </c>
      <c r="CY149" s="66">
        <v>0</v>
      </c>
      <c r="CZ149" s="66">
        <v>0</v>
      </c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>
        <f>SUM(Table1[[#This Row],[01-03 Apr]:[Mar-26]])</f>
        <v>1828</v>
      </c>
    </row>
    <row r="150" spans="1:115" hidden="1" x14ac:dyDescent="0.2">
      <c r="A150" s="28"/>
      <c r="B150" s="29"/>
      <c r="C150" s="29" t="s">
        <v>3038</v>
      </c>
      <c r="D150" s="30" t="s">
        <v>3033</v>
      </c>
      <c r="E150" s="30" t="s">
        <v>217</v>
      </c>
      <c r="F150" s="30"/>
      <c r="G150" s="31"/>
      <c r="H150" s="30"/>
      <c r="I150" s="30" t="str">
        <f>IF(Table1[[#This Row],[Centre Status]]="Returned","NA",IF(Table1[[#This Row],[SD]]&gt;19000,"Full Payment",IF(Table1[[#This Row],[SD]]&lt;1,"No Payment","Partial Payment")))</f>
        <v>Full Payment</v>
      </c>
      <c r="J150" s="30" t="s">
        <v>58</v>
      </c>
      <c r="K150" s="32">
        <v>110000</v>
      </c>
      <c r="L150" s="33">
        <f>Q150+R150+U150+Table1[[#This Row],[Farmer Payment]]</f>
        <v>26038.40870551156</v>
      </c>
      <c r="M150" s="30"/>
      <c r="N150" s="34"/>
      <c r="O150" s="34"/>
      <c r="P150" s="35">
        <f t="shared" si="27"/>
        <v>83961.591294488433</v>
      </c>
      <c r="Q150" s="33">
        <f>AI150+AV150+CK150+Table1[[#This Row],[FY 25-26]]</f>
        <v>6038.4087055115615</v>
      </c>
      <c r="R150" s="36">
        <v>20000</v>
      </c>
      <c r="S150" s="37" t="s">
        <v>3044</v>
      </c>
      <c r="T150" s="38">
        <v>45681</v>
      </c>
      <c r="U150" s="39"/>
      <c r="V150" s="39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1">
        <f t="shared" si="28"/>
        <v>0</v>
      </c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>
        <f t="shared" si="29"/>
        <v>0</v>
      </c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>
        <v>0</v>
      </c>
      <c r="BQ150" s="42"/>
      <c r="BR150" s="42"/>
      <c r="BS150" s="42"/>
      <c r="BT150" s="42"/>
      <c r="BU150" s="42"/>
      <c r="BV150" s="42"/>
      <c r="BW150" s="42"/>
      <c r="BX150" s="42"/>
      <c r="BY150" s="42">
        <v>0</v>
      </c>
      <c r="BZ150" s="42"/>
      <c r="CA150" s="42">
        <v>0</v>
      </c>
      <c r="CB150" s="42">
        <v>0</v>
      </c>
      <c r="CC150" s="42">
        <v>0</v>
      </c>
      <c r="CD150" s="42">
        <v>0</v>
      </c>
      <c r="CE150" s="42">
        <v>0</v>
      </c>
      <c r="CF150" s="42">
        <v>0</v>
      </c>
      <c r="CG150" s="42">
        <v>0</v>
      </c>
      <c r="CH150" s="42">
        <v>0</v>
      </c>
      <c r="CI150" s="42">
        <v>0</v>
      </c>
      <c r="CJ150" s="42">
        <v>3105.270237158401</v>
      </c>
      <c r="CK150" s="43">
        <f t="shared" si="30"/>
        <v>3105.270237158401</v>
      </c>
      <c r="CL150" s="66"/>
      <c r="CM150" s="66">
        <v>0</v>
      </c>
      <c r="CN150" s="66">
        <v>0</v>
      </c>
      <c r="CO150" s="66">
        <v>0</v>
      </c>
      <c r="CP150" s="66">
        <v>0</v>
      </c>
      <c r="CQ150" s="66">
        <v>0</v>
      </c>
      <c r="CR150" s="66">
        <v>0</v>
      </c>
      <c r="CS150" s="66">
        <v>0</v>
      </c>
      <c r="CT150" s="66">
        <v>0</v>
      </c>
      <c r="CU150" s="66">
        <v>0</v>
      </c>
      <c r="CV150" s="66">
        <v>2933.1384683531605</v>
      </c>
      <c r="CW150" s="66">
        <v>0</v>
      </c>
      <c r="CX150" s="66">
        <v>0</v>
      </c>
      <c r="CY150" s="66">
        <v>0</v>
      </c>
      <c r="CZ150" s="66">
        <v>0</v>
      </c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>
        <f>SUM(Table1[[#This Row],[01-03 Apr]:[Mar-26]])</f>
        <v>2933.1384683531605</v>
      </c>
    </row>
    <row r="151" spans="1:115" x14ac:dyDescent="0.2">
      <c r="A151" s="28"/>
      <c r="B151" s="29"/>
      <c r="C151" s="29" t="s">
        <v>3039</v>
      </c>
      <c r="D151" s="30" t="s">
        <v>3034</v>
      </c>
      <c r="E151" s="30" t="s">
        <v>217</v>
      </c>
      <c r="F151" s="30"/>
      <c r="G151" s="31"/>
      <c r="H151" s="30"/>
      <c r="I151" s="30" t="str">
        <f>IF(Table1[[#This Row],[Centre Status]]="Returned","NA",IF(Table1[[#This Row],[SD]]&gt;19000,"Full Payment",IF(Table1[[#This Row],[SD]]&lt;1,"No Payment","Partial Payment")))</f>
        <v>Partial Payment</v>
      </c>
      <c r="J151" s="30" t="s">
        <v>58</v>
      </c>
      <c r="K151" s="32">
        <v>110000</v>
      </c>
      <c r="L151" s="33">
        <f>Q151+R151+U151+Table1[[#This Row],[Farmer Payment]]</f>
        <v>10000</v>
      </c>
      <c r="M151" s="30"/>
      <c r="N151" s="34"/>
      <c r="O151" s="34"/>
      <c r="P151" s="35">
        <f t="shared" si="27"/>
        <v>100000</v>
      </c>
      <c r="Q151" s="33">
        <f>AI151+AV151+CK151+Table1[[#This Row],[FY 25-26]]</f>
        <v>0</v>
      </c>
      <c r="R151" s="36">
        <v>10000</v>
      </c>
      <c r="S151" s="37" t="s">
        <v>3042</v>
      </c>
      <c r="T151" s="38">
        <v>45659</v>
      </c>
      <c r="U151" s="39"/>
      <c r="V151" s="39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1">
        <f t="shared" si="28"/>
        <v>0</v>
      </c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>
        <f t="shared" si="29"/>
        <v>0</v>
      </c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>
        <v>0</v>
      </c>
      <c r="BQ151" s="42"/>
      <c r="BR151" s="42"/>
      <c r="BS151" s="42"/>
      <c r="BT151" s="42"/>
      <c r="BU151" s="42"/>
      <c r="BV151" s="42"/>
      <c r="BW151" s="42"/>
      <c r="BX151" s="42"/>
      <c r="BY151" s="42">
        <v>0</v>
      </c>
      <c r="BZ151" s="42"/>
      <c r="CA151" s="42">
        <v>0</v>
      </c>
      <c r="CB151" s="42">
        <v>0</v>
      </c>
      <c r="CC151" s="42">
        <v>0</v>
      </c>
      <c r="CD151" s="42">
        <v>0</v>
      </c>
      <c r="CE151" s="42">
        <v>0</v>
      </c>
      <c r="CF151" s="42">
        <v>0</v>
      </c>
      <c r="CG151" s="42">
        <v>0</v>
      </c>
      <c r="CH151" s="42">
        <v>0</v>
      </c>
      <c r="CI151" s="42">
        <v>0</v>
      </c>
      <c r="CJ151" s="42">
        <v>0</v>
      </c>
      <c r="CK151" s="43">
        <f t="shared" si="30"/>
        <v>0</v>
      </c>
      <c r="CL151" s="66"/>
      <c r="CM151" s="66">
        <v>0</v>
      </c>
      <c r="CN151" s="66">
        <v>0</v>
      </c>
      <c r="CO151" s="66">
        <v>0</v>
      </c>
      <c r="CP151" s="66">
        <v>0</v>
      </c>
      <c r="CQ151" s="66">
        <v>0</v>
      </c>
      <c r="CR151" s="66">
        <v>0</v>
      </c>
      <c r="CS151" s="66">
        <v>0</v>
      </c>
      <c r="CT151" s="66">
        <v>0</v>
      </c>
      <c r="CU151" s="66">
        <v>0</v>
      </c>
      <c r="CV151" s="66">
        <v>0</v>
      </c>
      <c r="CW151" s="66">
        <v>0</v>
      </c>
      <c r="CX151" s="66">
        <v>0</v>
      </c>
      <c r="CY151" s="66">
        <v>0</v>
      </c>
      <c r="CZ151" s="66">
        <v>0</v>
      </c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>
        <f>SUM(Table1[[#This Row],[01-03 Apr]:[Mar-26]])</f>
        <v>0</v>
      </c>
    </row>
    <row r="152" spans="1:115" hidden="1" x14ac:dyDescent="0.2">
      <c r="A152" s="28"/>
      <c r="B152" s="29"/>
      <c r="C152" s="29" t="s">
        <v>3046</v>
      </c>
      <c r="D152" s="30" t="s">
        <v>3051</v>
      </c>
      <c r="E152" s="30" t="s">
        <v>217</v>
      </c>
      <c r="F152" s="30"/>
      <c r="G152" s="31"/>
      <c r="H152" s="30"/>
      <c r="I152" s="30" t="str">
        <f>IF(Table1[[#This Row],[Centre Status]]="Returned","NA",IF(Table1[[#This Row],[SD]]&gt;19000,"Full Payment",IF(Table1[[#This Row],[SD]]&lt;1,"No Payment","Partial Payment")))</f>
        <v>Full Payment</v>
      </c>
      <c r="J152" s="30" t="s">
        <v>58</v>
      </c>
      <c r="K152" s="32">
        <v>110000</v>
      </c>
      <c r="L152" s="33">
        <f>Q152+R152+U152+Table1[[#This Row],[Farmer Payment]]</f>
        <v>22029</v>
      </c>
      <c r="M152" s="30"/>
      <c r="N152" s="34"/>
      <c r="O152" s="34"/>
      <c r="P152" s="35">
        <f t="shared" si="27"/>
        <v>87971</v>
      </c>
      <c r="Q152" s="33">
        <f>AI152+AV152+CK152+Table1[[#This Row],[FY 25-26]]</f>
        <v>2029</v>
      </c>
      <c r="R152" s="36">
        <v>20000</v>
      </c>
      <c r="S152" s="37" t="s">
        <v>3055</v>
      </c>
      <c r="T152" s="38">
        <v>45706</v>
      </c>
      <c r="U152" s="39"/>
      <c r="V152" s="39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1">
        <f t="shared" si="28"/>
        <v>0</v>
      </c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>
        <f t="shared" si="29"/>
        <v>0</v>
      </c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  <c r="BO152" s="42"/>
      <c r="BP152" s="42">
        <v>0</v>
      </c>
      <c r="BQ152" s="42"/>
      <c r="BR152" s="42"/>
      <c r="BS152" s="42"/>
      <c r="BT152" s="42"/>
      <c r="BU152" s="42"/>
      <c r="BV152" s="42"/>
      <c r="BW152" s="42"/>
      <c r="BX152" s="42"/>
      <c r="BY152" s="42">
        <v>0</v>
      </c>
      <c r="BZ152" s="42"/>
      <c r="CA152" s="42"/>
      <c r="CB152" s="42">
        <v>0</v>
      </c>
      <c r="CC152" s="42">
        <v>0</v>
      </c>
      <c r="CD152" s="42">
        <v>0</v>
      </c>
      <c r="CE152" s="42">
        <v>0</v>
      </c>
      <c r="CF152" s="42">
        <v>0</v>
      </c>
      <c r="CG152" s="42">
        <v>0</v>
      </c>
      <c r="CH152" s="42">
        <v>0</v>
      </c>
      <c r="CI152" s="42">
        <v>0</v>
      </c>
      <c r="CJ152" s="42">
        <v>168</v>
      </c>
      <c r="CK152" s="43">
        <f t="shared" si="30"/>
        <v>168</v>
      </c>
      <c r="CL152" s="66"/>
      <c r="CM152" s="66">
        <v>0</v>
      </c>
      <c r="CN152" s="66">
        <v>0</v>
      </c>
      <c r="CO152" s="66">
        <v>0</v>
      </c>
      <c r="CP152" s="66">
        <v>0</v>
      </c>
      <c r="CQ152" s="66">
        <v>0</v>
      </c>
      <c r="CR152" s="66">
        <v>0</v>
      </c>
      <c r="CS152" s="66">
        <v>0</v>
      </c>
      <c r="CT152" s="66">
        <v>0</v>
      </c>
      <c r="CU152" s="66">
        <v>0</v>
      </c>
      <c r="CV152" s="66">
        <v>1861</v>
      </c>
      <c r="CW152" s="66">
        <v>0</v>
      </c>
      <c r="CX152" s="66">
        <v>0</v>
      </c>
      <c r="CY152" s="66">
        <v>0</v>
      </c>
      <c r="CZ152" s="66">
        <v>0</v>
      </c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>
        <f>SUM(Table1[[#This Row],[01-03 Apr]:[Mar-26]])</f>
        <v>1861</v>
      </c>
    </row>
    <row r="153" spans="1:115" x14ac:dyDescent="0.2">
      <c r="A153" s="28"/>
      <c r="B153" s="29"/>
      <c r="C153" s="29" t="s">
        <v>3047</v>
      </c>
      <c r="D153" s="30" t="s">
        <v>3052</v>
      </c>
      <c r="E153" s="30" t="s">
        <v>217</v>
      </c>
      <c r="F153" s="30"/>
      <c r="G153" s="31"/>
      <c r="H153" s="30"/>
      <c r="I153" s="30" t="str">
        <f>IF(Table1[[#This Row],[Centre Status]]="Returned","NA",IF(Table1[[#This Row],[SD]]&gt;19000,"Full Payment",IF(Table1[[#This Row],[SD]]&lt;1,"No Payment","Partial Payment")))</f>
        <v>Partial Payment</v>
      </c>
      <c r="J153" s="30" t="s">
        <v>58</v>
      </c>
      <c r="K153" s="32">
        <v>110000</v>
      </c>
      <c r="L153" s="33">
        <f>Q153+R153+U153+Table1[[#This Row],[Farmer Payment]]</f>
        <v>11882</v>
      </c>
      <c r="M153" s="30"/>
      <c r="N153" s="34"/>
      <c r="O153" s="34"/>
      <c r="P153" s="35">
        <f t="shared" si="27"/>
        <v>98118</v>
      </c>
      <c r="Q153" s="33">
        <f>AI153+AV153+CK153+Table1[[#This Row],[FY 25-26]]</f>
        <v>1882</v>
      </c>
      <c r="R153" s="36">
        <v>10000</v>
      </c>
      <c r="S153" s="37" t="s">
        <v>3056</v>
      </c>
      <c r="T153" s="38">
        <v>45660</v>
      </c>
      <c r="U153" s="39"/>
      <c r="V153" s="39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1">
        <f t="shared" si="28"/>
        <v>0</v>
      </c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>
        <f t="shared" si="29"/>
        <v>0</v>
      </c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>
        <v>0</v>
      </c>
      <c r="BQ153" s="42"/>
      <c r="BR153" s="42"/>
      <c r="BS153" s="42"/>
      <c r="BT153" s="42"/>
      <c r="BU153" s="42"/>
      <c r="BV153" s="42"/>
      <c r="BW153" s="42"/>
      <c r="BX153" s="42"/>
      <c r="BY153" s="42">
        <v>0</v>
      </c>
      <c r="BZ153" s="42"/>
      <c r="CA153" s="42"/>
      <c r="CB153" s="42">
        <v>0</v>
      </c>
      <c r="CC153" s="42">
        <v>0</v>
      </c>
      <c r="CD153" s="42">
        <v>0</v>
      </c>
      <c r="CE153" s="42">
        <v>0</v>
      </c>
      <c r="CF153" s="42">
        <v>0</v>
      </c>
      <c r="CG153" s="42">
        <v>0</v>
      </c>
      <c r="CH153" s="42">
        <v>0</v>
      </c>
      <c r="CI153" s="42">
        <v>0</v>
      </c>
      <c r="CJ153" s="42">
        <v>21</v>
      </c>
      <c r="CK153" s="43">
        <f t="shared" si="30"/>
        <v>21</v>
      </c>
      <c r="CL153" s="66"/>
      <c r="CM153" s="66">
        <v>0</v>
      </c>
      <c r="CN153" s="66">
        <v>0</v>
      </c>
      <c r="CO153" s="66">
        <v>0</v>
      </c>
      <c r="CP153" s="66">
        <v>0</v>
      </c>
      <c r="CQ153" s="66">
        <v>0</v>
      </c>
      <c r="CR153" s="66">
        <v>0</v>
      </c>
      <c r="CS153" s="66">
        <v>0</v>
      </c>
      <c r="CT153" s="66">
        <v>0</v>
      </c>
      <c r="CU153" s="66">
        <v>0</v>
      </c>
      <c r="CV153" s="66">
        <v>1861</v>
      </c>
      <c r="CW153" s="66">
        <v>0</v>
      </c>
      <c r="CX153" s="66">
        <v>0</v>
      </c>
      <c r="CY153" s="66">
        <v>0</v>
      </c>
      <c r="CZ153" s="66">
        <v>0</v>
      </c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>
        <f>SUM(Table1[[#This Row],[01-03 Apr]:[Mar-26]])</f>
        <v>1861</v>
      </c>
    </row>
    <row r="154" spans="1:115" x14ac:dyDescent="0.2">
      <c r="A154" s="28"/>
      <c r="B154" s="29"/>
      <c r="C154" s="29" t="s">
        <v>3048</v>
      </c>
      <c r="D154" s="30" t="s">
        <v>3053</v>
      </c>
      <c r="E154" s="30" t="s">
        <v>217</v>
      </c>
      <c r="F154" s="30"/>
      <c r="G154" s="31"/>
      <c r="H154" s="30"/>
      <c r="I154" s="30" t="str">
        <f>IF(Table1[[#This Row],[Centre Status]]="Returned","NA",IF(Table1[[#This Row],[SD]]&gt;19000,"Full Payment",IF(Table1[[#This Row],[SD]]&lt;1,"No Payment","Partial Payment")))</f>
        <v>Partial Payment</v>
      </c>
      <c r="J154" s="30" t="s">
        <v>58</v>
      </c>
      <c r="K154" s="32">
        <v>110000</v>
      </c>
      <c r="L154" s="33">
        <f>Q154+R154+U154+Table1[[#This Row],[Farmer Payment]]</f>
        <v>11696</v>
      </c>
      <c r="M154" s="30"/>
      <c r="N154" s="34"/>
      <c r="O154" s="34"/>
      <c r="P154" s="35">
        <f t="shared" si="27"/>
        <v>98304</v>
      </c>
      <c r="Q154" s="33">
        <f>AI154+AV154+CK154+Table1[[#This Row],[FY 25-26]]</f>
        <v>1696</v>
      </c>
      <c r="R154" s="36">
        <v>10000</v>
      </c>
      <c r="S154" s="37" t="s">
        <v>3057</v>
      </c>
      <c r="T154" s="38">
        <v>45657</v>
      </c>
      <c r="U154" s="39"/>
      <c r="V154" s="39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1">
        <f t="shared" si="28"/>
        <v>0</v>
      </c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>
        <f t="shared" si="29"/>
        <v>0</v>
      </c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>
        <v>0</v>
      </c>
      <c r="BQ154" s="42"/>
      <c r="BR154" s="42"/>
      <c r="BS154" s="42"/>
      <c r="BT154" s="42"/>
      <c r="BU154" s="42"/>
      <c r="BV154" s="42"/>
      <c r="BW154" s="42"/>
      <c r="BX154" s="42"/>
      <c r="BY154" s="42">
        <v>0</v>
      </c>
      <c r="BZ154" s="42"/>
      <c r="CA154" s="42"/>
      <c r="CB154" s="42">
        <v>0</v>
      </c>
      <c r="CC154" s="42">
        <v>0</v>
      </c>
      <c r="CD154" s="42">
        <v>0</v>
      </c>
      <c r="CE154" s="42">
        <v>0</v>
      </c>
      <c r="CF154" s="42">
        <v>0</v>
      </c>
      <c r="CG154" s="42">
        <v>0</v>
      </c>
      <c r="CH154" s="42">
        <v>0</v>
      </c>
      <c r="CI154" s="42">
        <v>0</v>
      </c>
      <c r="CJ154" s="42">
        <v>43</v>
      </c>
      <c r="CK154" s="43">
        <f t="shared" si="30"/>
        <v>43</v>
      </c>
      <c r="CL154" s="66"/>
      <c r="CM154" s="66">
        <v>0</v>
      </c>
      <c r="CN154" s="66">
        <v>0</v>
      </c>
      <c r="CO154" s="66">
        <v>0</v>
      </c>
      <c r="CP154" s="66">
        <v>0</v>
      </c>
      <c r="CQ154" s="66">
        <v>0</v>
      </c>
      <c r="CR154" s="66">
        <v>0</v>
      </c>
      <c r="CS154" s="66">
        <v>0</v>
      </c>
      <c r="CT154" s="66">
        <v>0</v>
      </c>
      <c r="CU154" s="66">
        <v>0</v>
      </c>
      <c r="CV154" s="66">
        <v>1653</v>
      </c>
      <c r="CW154" s="66">
        <v>0</v>
      </c>
      <c r="CX154" s="66">
        <v>0</v>
      </c>
      <c r="CY154" s="66">
        <v>0</v>
      </c>
      <c r="CZ154" s="66">
        <v>0</v>
      </c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>
        <f>SUM(Table1[[#This Row],[01-03 Apr]:[Mar-26]])</f>
        <v>1653</v>
      </c>
    </row>
    <row r="155" spans="1:115" x14ac:dyDescent="0.2">
      <c r="A155" s="28"/>
      <c r="B155" s="29"/>
      <c r="C155" s="29" t="s">
        <v>3049</v>
      </c>
      <c r="D155" s="30" t="s">
        <v>2968</v>
      </c>
      <c r="E155" s="30" t="s">
        <v>217</v>
      </c>
      <c r="F155" s="30"/>
      <c r="G155" s="31"/>
      <c r="H155" s="30"/>
      <c r="I155" s="30" t="str">
        <f>IF(Table1[[#This Row],[Centre Status]]="Returned","NA",IF(Table1[[#This Row],[SD]]&gt;19000,"Full Payment",IF(Table1[[#This Row],[SD]]&lt;1,"No Payment","Partial Payment")))</f>
        <v>Partial Payment</v>
      </c>
      <c r="J155" s="30" t="s">
        <v>58</v>
      </c>
      <c r="K155" s="32">
        <v>110000</v>
      </c>
      <c r="L155" s="33">
        <f>Q155+R155+U155+Table1[[#This Row],[Farmer Payment]]</f>
        <v>11924</v>
      </c>
      <c r="M155" s="30"/>
      <c r="N155" s="34"/>
      <c r="O155" s="34"/>
      <c r="P155" s="35">
        <f t="shared" si="27"/>
        <v>98076</v>
      </c>
      <c r="Q155" s="33">
        <f>AI155+AV155+CK155+Table1[[#This Row],[FY 25-26]]</f>
        <v>1924</v>
      </c>
      <c r="R155" s="36">
        <v>10000</v>
      </c>
      <c r="S155" s="37" t="s">
        <v>3058</v>
      </c>
      <c r="T155" s="38">
        <v>45660</v>
      </c>
      <c r="U155" s="39"/>
      <c r="V155" s="39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1">
        <f t="shared" si="28"/>
        <v>0</v>
      </c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>
        <f t="shared" si="29"/>
        <v>0</v>
      </c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  <c r="BO155" s="42"/>
      <c r="BP155" s="42">
        <v>0</v>
      </c>
      <c r="BQ155" s="42"/>
      <c r="BR155" s="42"/>
      <c r="BS155" s="42"/>
      <c r="BT155" s="42"/>
      <c r="BU155" s="42"/>
      <c r="BV155" s="42"/>
      <c r="BW155" s="42"/>
      <c r="BX155" s="42"/>
      <c r="BY155" s="42">
        <v>0</v>
      </c>
      <c r="BZ155" s="42"/>
      <c r="CA155" s="42"/>
      <c r="CB155" s="42">
        <v>0</v>
      </c>
      <c r="CC155" s="42">
        <v>0</v>
      </c>
      <c r="CD155" s="42">
        <v>0</v>
      </c>
      <c r="CE155" s="42">
        <v>0</v>
      </c>
      <c r="CF155" s="42">
        <v>0</v>
      </c>
      <c r="CG155" s="42">
        <v>0</v>
      </c>
      <c r="CH155" s="42">
        <v>0</v>
      </c>
      <c r="CI155" s="42">
        <v>0</v>
      </c>
      <c r="CJ155" s="42">
        <v>63</v>
      </c>
      <c r="CK155" s="43">
        <f t="shared" si="30"/>
        <v>63</v>
      </c>
      <c r="CL155" s="66"/>
      <c r="CM155" s="66">
        <v>0</v>
      </c>
      <c r="CN155" s="66">
        <v>0</v>
      </c>
      <c r="CO155" s="66">
        <v>0</v>
      </c>
      <c r="CP155" s="66">
        <v>0</v>
      </c>
      <c r="CQ155" s="66">
        <v>0</v>
      </c>
      <c r="CR155" s="66">
        <v>0</v>
      </c>
      <c r="CS155" s="66">
        <v>0</v>
      </c>
      <c r="CT155" s="66">
        <v>0</v>
      </c>
      <c r="CU155" s="66">
        <v>0</v>
      </c>
      <c r="CV155" s="66">
        <v>1861</v>
      </c>
      <c r="CW155" s="66">
        <v>0</v>
      </c>
      <c r="CX155" s="66">
        <v>0</v>
      </c>
      <c r="CY155" s="66">
        <v>0</v>
      </c>
      <c r="CZ155" s="66">
        <v>0</v>
      </c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>
        <f>SUM(Table1[[#This Row],[01-03 Apr]:[Mar-26]])</f>
        <v>1861</v>
      </c>
    </row>
    <row r="156" spans="1:115" hidden="1" x14ac:dyDescent="0.2">
      <c r="A156" s="28"/>
      <c r="B156" s="29"/>
      <c r="C156" s="29" t="s">
        <v>3050</v>
      </c>
      <c r="D156" s="30" t="s">
        <v>3054</v>
      </c>
      <c r="E156" s="30" t="s">
        <v>217</v>
      </c>
      <c r="F156" s="30"/>
      <c r="G156" s="31"/>
      <c r="H156" s="30"/>
      <c r="I156" s="30" t="str">
        <f>IF(Table1[[#This Row],[Centre Status]]="Returned","NA",IF(Table1[[#This Row],[SD]]&gt;19000,"Full Payment",IF(Table1[[#This Row],[SD]]&lt;1,"No Payment","Partial Payment")))</f>
        <v>Full Payment</v>
      </c>
      <c r="J156" s="30" t="s">
        <v>58</v>
      </c>
      <c r="K156" s="32">
        <v>110000</v>
      </c>
      <c r="L156" s="33">
        <f>Q156+R156+U156+Table1[[#This Row],[Farmer Payment]]</f>
        <v>20033</v>
      </c>
      <c r="M156" s="30"/>
      <c r="N156" s="34"/>
      <c r="O156" s="34"/>
      <c r="P156" s="35">
        <f t="shared" si="27"/>
        <v>89967</v>
      </c>
      <c r="Q156" s="33">
        <f>AI156+AV156+CK156+Table1[[#This Row],[FY 25-26]]</f>
        <v>33</v>
      </c>
      <c r="R156" s="36">
        <v>20000</v>
      </c>
      <c r="S156" s="37" t="s">
        <v>3059</v>
      </c>
      <c r="T156" s="38">
        <v>45705</v>
      </c>
      <c r="U156" s="39"/>
      <c r="V156" s="39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1">
        <f t="shared" si="28"/>
        <v>0</v>
      </c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>
        <f t="shared" si="29"/>
        <v>0</v>
      </c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>
        <v>0</v>
      </c>
      <c r="BQ156" s="42"/>
      <c r="BR156" s="42"/>
      <c r="BS156" s="42"/>
      <c r="BT156" s="42"/>
      <c r="BU156" s="42"/>
      <c r="BV156" s="42"/>
      <c r="BW156" s="42"/>
      <c r="BX156" s="42"/>
      <c r="BY156" s="42">
        <v>0</v>
      </c>
      <c r="BZ156" s="42"/>
      <c r="CA156" s="42"/>
      <c r="CB156" s="42">
        <v>0</v>
      </c>
      <c r="CC156" s="42">
        <v>0</v>
      </c>
      <c r="CD156" s="42">
        <v>0</v>
      </c>
      <c r="CE156" s="42">
        <v>0</v>
      </c>
      <c r="CF156" s="42">
        <v>0</v>
      </c>
      <c r="CG156" s="42">
        <v>0</v>
      </c>
      <c r="CH156" s="42">
        <v>0</v>
      </c>
      <c r="CI156" s="42">
        <v>0</v>
      </c>
      <c r="CJ156" s="42">
        <v>33</v>
      </c>
      <c r="CK156" s="43">
        <f t="shared" si="30"/>
        <v>33</v>
      </c>
      <c r="CL156" s="66"/>
      <c r="CM156" s="66">
        <v>0</v>
      </c>
      <c r="CN156" s="66">
        <v>0</v>
      </c>
      <c r="CO156" s="66">
        <v>0</v>
      </c>
      <c r="CP156" s="66">
        <v>0</v>
      </c>
      <c r="CQ156" s="66">
        <v>0</v>
      </c>
      <c r="CR156" s="66">
        <v>0</v>
      </c>
      <c r="CS156" s="66">
        <v>0</v>
      </c>
      <c r="CT156" s="66">
        <v>0</v>
      </c>
      <c r="CU156" s="66">
        <v>0</v>
      </c>
      <c r="CV156" s="66">
        <v>0</v>
      </c>
      <c r="CW156" s="66">
        <v>0</v>
      </c>
      <c r="CX156" s="66">
        <v>0</v>
      </c>
      <c r="CY156" s="66">
        <v>0</v>
      </c>
      <c r="CZ156" s="66">
        <v>0</v>
      </c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>
        <f>SUM(Table1[[#This Row],[01-03 Apr]:[Mar-26]])</f>
        <v>0</v>
      </c>
    </row>
    <row r="157" spans="1:115" hidden="1" x14ac:dyDescent="0.2">
      <c r="A157" s="28"/>
      <c r="B157" s="29"/>
      <c r="C157" s="29" t="s">
        <v>2898</v>
      </c>
      <c r="D157" s="30" t="s">
        <v>2892</v>
      </c>
      <c r="E157" s="30" t="s">
        <v>85</v>
      </c>
      <c r="F157" s="30"/>
      <c r="G157" s="31"/>
      <c r="H157" s="30">
        <v>360251</v>
      </c>
      <c r="I157" s="30" t="str">
        <f>IF(Table1[[#This Row],[Centre Status]]="Returned","NA",IF(Table1[[#This Row],[SD]]&gt;19000,"Full Payment",IF(Table1[[#This Row],[SD]]&lt;1,"No Payment","Partial Payment")))</f>
        <v>NA</v>
      </c>
      <c r="J157" s="30" t="s">
        <v>1903</v>
      </c>
      <c r="K157" s="32">
        <v>110000</v>
      </c>
      <c r="L157" s="33">
        <f>Q157+R157+U157+Table1[[#This Row],[Farmer Payment]]</f>
        <v>21659</v>
      </c>
      <c r="M157" s="30">
        <v>20000</v>
      </c>
      <c r="N157" s="34">
        <v>45824</v>
      </c>
      <c r="O157" s="34" t="s">
        <v>2425</v>
      </c>
      <c r="P157" s="35">
        <f t="shared" si="27"/>
        <v>108341</v>
      </c>
      <c r="Q157" s="33">
        <f>AI157+AV157+CK157+Table1[[#This Row],[FY 25-26]]</f>
        <v>1659</v>
      </c>
      <c r="R157" s="36">
        <v>20000</v>
      </c>
      <c r="S157" s="37" t="s">
        <v>2895</v>
      </c>
      <c r="T157" s="38">
        <v>45664</v>
      </c>
      <c r="U157" s="39"/>
      <c r="V157" s="39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1">
        <f t="shared" si="28"/>
        <v>0</v>
      </c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>
        <f t="shared" si="29"/>
        <v>0</v>
      </c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>
        <v>0</v>
      </c>
      <c r="BQ157" s="42"/>
      <c r="BR157" s="42">
        <v>0</v>
      </c>
      <c r="BS157" s="42"/>
      <c r="BT157" s="42"/>
      <c r="BU157" s="42"/>
      <c r="BV157" s="42">
        <v>0</v>
      </c>
      <c r="BW157" s="42">
        <v>0</v>
      </c>
      <c r="BX157" s="42">
        <v>0</v>
      </c>
      <c r="BY157" s="42">
        <v>0</v>
      </c>
      <c r="BZ157" s="42">
        <v>0</v>
      </c>
      <c r="CA157" s="42">
        <v>0</v>
      </c>
      <c r="CB157" s="42">
        <v>0</v>
      </c>
      <c r="CC157" s="42">
        <v>0</v>
      </c>
      <c r="CD157" s="42">
        <v>0</v>
      </c>
      <c r="CE157" s="42">
        <v>0</v>
      </c>
      <c r="CF157" s="42">
        <v>0</v>
      </c>
      <c r="CG157" s="42">
        <v>0</v>
      </c>
      <c r="CH157" s="42">
        <v>0</v>
      </c>
      <c r="CI157" s="42">
        <v>0</v>
      </c>
      <c r="CJ157" s="42">
        <v>1659</v>
      </c>
      <c r="CK157" s="43">
        <f t="shared" si="30"/>
        <v>1659</v>
      </c>
      <c r="CL157" s="66"/>
      <c r="CM157" s="66">
        <v>0</v>
      </c>
      <c r="CN157" s="66">
        <v>0</v>
      </c>
      <c r="CO157" s="66">
        <v>0</v>
      </c>
      <c r="CP157" s="66">
        <v>0</v>
      </c>
      <c r="CQ157" s="66">
        <v>0</v>
      </c>
      <c r="CR157" s="66">
        <v>0</v>
      </c>
      <c r="CS157" s="66">
        <v>0</v>
      </c>
      <c r="CT157" s="66">
        <v>0</v>
      </c>
      <c r="CU157" s="66">
        <v>0</v>
      </c>
      <c r="CV157" s="66">
        <v>0</v>
      </c>
      <c r="CW157" s="66">
        <v>0</v>
      </c>
      <c r="CX157" s="66">
        <v>0</v>
      </c>
      <c r="CY157" s="66">
        <v>0</v>
      </c>
      <c r="CZ157" s="66">
        <v>0</v>
      </c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>
        <f>SUM(Table1[[#This Row],[01-03 Apr]:[Mar-26]])</f>
        <v>0</v>
      </c>
    </row>
    <row r="158" spans="1:115" hidden="1" x14ac:dyDescent="0.2">
      <c r="A158" s="28"/>
      <c r="B158" s="29"/>
      <c r="C158" s="29" t="s">
        <v>2899</v>
      </c>
      <c r="D158" s="30" t="s">
        <v>2893</v>
      </c>
      <c r="E158" s="30" t="s">
        <v>85</v>
      </c>
      <c r="F158" s="30"/>
      <c r="G158" s="31"/>
      <c r="H158" s="30">
        <v>365835</v>
      </c>
      <c r="I158" s="30" t="str">
        <f>IF(Table1[[#This Row],[Centre Status]]="Returned","NA",IF(Table1[[#This Row],[SD]]&gt;19000,"Full Payment",IF(Table1[[#This Row],[SD]]&lt;1,"No Payment","Partial Payment")))</f>
        <v>Full Payment</v>
      </c>
      <c r="J158" s="30" t="s">
        <v>58</v>
      </c>
      <c r="K158" s="32">
        <v>110000</v>
      </c>
      <c r="L158" s="33">
        <f>Q158+R158+U158+Table1[[#This Row],[Farmer Payment]]</f>
        <v>25426.537248746241</v>
      </c>
      <c r="M158" s="30"/>
      <c r="N158" s="34"/>
      <c r="O158" s="34"/>
      <c r="P158" s="35">
        <f t="shared" si="27"/>
        <v>84573.462751253755</v>
      </c>
      <c r="Q158" s="33">
        <f>AI158+AV158+CK158+Table1[[#This Row],[FY 25-26]]</f>
        <v>5426.53724874624</v>
      </c>
      <c r="R158" s="36">
        <v>20000</v>
      </c>
      <c r="S158" s="37" t="s">
        <v>2896</v>
      </c>
      <c r="T158" s="38">
        <v>45664</v>
      </c>
      <c r="U158" s="39"/>
      <c r="V158" s="39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1">
        <f t="shared" si="28"/>
        <v>0</v>
      </c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>
        <f t="shared" si="29"/>
        <v>0</v>
      </c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>
        <v>0</v>
      </c>
      <c r="BQ158" s="42"/>
      <c r="BR158" s="42">
        <v>0</v>
      </c>
      <c r="BS158" s="42"/>
      <c r="BT158" s="42"/>
      <c r="BU158" s="42"/>
      <c r="BV158" s="42">
        <v>0</v>
      </c>
      <c r="BW158" s="42">
        <v>0</v>
      </c>
      <c r="BX158" s="42">
        <v>0</v>
      </c>
      <c r="BY158" s="42">
        <v>0</v>
      </c>
      <c r="BZ158" s="42">
        <v>0</v>
      </c>
      <c r="CA158" s="42">
        <v>0</v>
      </c>
      <c r="CB158" s="42">
        <v>0</v>
      </c>
      <c r="CC158" s="42">
        <v>0</v>
      </c>
      <c r="CD158" s="42">
        <v>0</v>
      </c>
      <c r="CE158" s="42">
        <v>0</v>
      </c>
      <c r="CF158" s="42">
        <v>0</v>
      </c>
      <c r="CG158" s="42">
        <v>0</v>
      </c>
      <c r="CH158" s="42">
        <v>0</v>
      </c>
      <c r="CI158" s="42">
        <v>0</v>
      </c>
      <c r="CJ158" s="42">
        <v>1991.5372487462403</v>
      </c>
      <c r="CK158" s="43">
        <f t="shared" si="30"/>
        <v>1991.5372487462403</v>
      </c>
      <c r="CL158" s="66"/>
      <c r="CM158" s="66">
        <v>0</v>
      </c>
      <c r="CN158" s="66">
        <v>0</v>
      </c>
      <c r="CO158" s="66">
        <v>0</v>
      </c>
      <c r="CP158" s="66">
        <v>1861</v>
      </c>
      <c r="CQ158" s="66">
        <v>0</v>
      </c>
      <c r="CR158" s="66">
        <v>0</v>
      </c>
      <c r="CS158" s="66">
        <v>0</v>
      </c>
      <c r="CT158" s="66">
        <v>0</v>
      </c>
      <c r="CU158" s="66">
        <v>0</v>
      </c>
      <c r="CV158" s="66">
        <v>1574</v>
      </c>
      <c r="CW158" s="66">
        <v>0</v>
      </c>
      <c r="CX158" s="66">
        <v>0</v>
      </c>
      <c r="CY158" s="66">
        <v>0</v>
      </c>
      <c r="CZ158" s="66">
        <v>0</v>
      </c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>
        <f>SUM(Table1[[#This Row],[01-03 Apr]:[Mar-26]])</f>
        <v>3435</v>
      </c>
    </row>
    <row r="159" spans="1:115" hidden="1" x14ac:dyDescent="0.2">
      <c r="A159" s="28"/>
      <c r="B159" s="29"/>
      <c r="C159" s="29" t="s">
        <v>2994</v>
      </c>
      <c r="D159" s="30" t="s">
        <v>2989</v>
      </c>
      <c r="E159" s="30" t="s">
        <v>203</v>
      </c>
      <c r="F159" s="30"/>
      <c r="G159" s="31"/>
      <c r="H159" s="30"/>
      <c r="I159" s="30" t="str">
        <f>IF(Table1[[#This Row],[Centre Status]]="Returned","NA",IF(Table1[[#This Row],[SD]]&gt;19000,"Full Payment",IF(Table1[[#This Row],[SD]]&lt;1,"No Payment","Partial Payment")))</f>
        <v>Full Payment</v>
      </c>
      <c r="J159" s="30" t="s">
        <v>58</v>
      </c>
      <c r="K159" s="32">
        <v>110000</v>
      </c>
      <c r="L159" s="33">
        <f>Q159+R159+U159+Table1[[#This Row],[Farmer Payment]]</f>
        <v>21528</v>
      </c>
      <c r="M159" s="30"/>
      <c r="N159" s="34"/>
      <c r="O159" s="34"/>
      <c r="P159" s="35">
        <f t="shared" si="27"/>
        <v>88472</v>
      </c>
      <c r="Q159" s="33">
        <f>AI159+AV159+CK159+Table1[[#This Row],[FY 25-26]]</f>
        <v>1528</v>
      </c>
      <c r="R159" s="36">
        <v>20000</v>
      </c>
      <c r="S159" s="37" t="s">
        <v>2999</v>
      </c>
      <c r="T159" s="38">
        <v>45628</v>
      </c>
      <c r="U159" s="39"/>
      <c r="V159" s="39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1">
        <f t="shared" si="28"/>
        <v>0</v>
      </c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>
        <f t="shared" si="29"/>
        <v>0</v>
      </c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>
        <v>0</v>
      </c>
      <c r="BQ159" s="42"/>
      <c r="BR159" s="42"/>
      <c r="BS159" s="42"/>
      <c r="BT159" s="42"/>
      <c r="BU159" s="42"/>
      <c r="BV159" s="42"/>
      <c r="BW159" s="42"/>
      <c r="BX159" s="42"/>
      <c r="BY159" s="42">
        <v>0</v>
      </c>
      <c r="BZ159" s="42">
        <v>0</v>
      </c>
      <c r="CA159" s="42">
        <v>0</v>
      </c>
      <c r="CB159" s="42">
        <v>0</v>
      </c>
      <c r="CC159" s="42">
        <v>0</v>
      </c>
      <c r="CD159" s="42">
        <v>0</v>
      </c>
      <c r="CE159" s="42">
        <v>0</v>
      </c>
      <c r="CF159" s="42">
        <v>0</v>
      </c>
      <c r="CG159" s="42">
        <v>0</v>
      </c>
      <c r="CH159" s="42">
        <v>0</v>
      </c>
      <c r="CI159" s="42">
        <v>0</v>
      </c>
      <c r="CJ159" s="42">
        <v>1528</v>
      </c>
      <c r="CK159" s="43">
        <f t="shared" si="30"/>
        <v>1528</v>
      </c>
      <c r="CL159" s="66"/>
      <c r="CM159" s="66">
        <v>0</v>
      </c>
      <c r="CN159" s="66">
        <v>0</v>
      </c>
      <c r="CO159" s="66">
        <v>0</v>
      </c>
      <c r="CP159" s="66">
        <v>0</v>
      </c>
      <c r="CQ159" s="66">
        <v>0</v>
      </c>
      <c r="CR159" s="66">
        <v>0</v>
      </c>
      <c r="CS159" s="66">
        <v>0</v>
      </c>
      <c r="CT159" s="66">
        <v>0</v>
      </c>
      <c r="CU159" s="66">
        <v>0</v>
      </c>
      <c r="CV159" s="66">
        <v>0</v>
      </c>
      <c r="CW159" s="66">
        <v>0</v>
      </c>
      <c r="CX159" s="66">
        <v>0</v>
      </c>
      <c r="CY159" s="66">
        <v>0</v>
      </c>
      <c r="CZ159" s="66">
        <v>0</v>
      </c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>
        <f>SUM(Table1[[#This Row],[01-03 Apr]:[Mar-26]])</f>
        <v>0</v>
      </c>
    </row>
    <row r="160" spans="1:115" x14ac:dyDescent="0.2">
      <c r="A160" s="28"/>
      <c r="B160" s="29"/>
      <c r="C160" s="29" t="s">
        <v>2995</v>
      </c>
      <c r="D160" s="30" t="s">
        <v>2990</v>
      </c>
      <c r="E160" s="30" t="s">
        <v>203</v>
      </c>
      <c r="F160" s="30"/>
      <c r="G160" s="31"/>
      <c r="H160" s="30"/>
      <c r="I160" s="30" t="str">
        <f>IF(Table1[[#This Row],[Centre Status]]="Returned","NA",IF(Table1[[#This Row],[SD]]&gt;19000,"Full Payment",IF(Table1[[#This Row],[SD]]&lt;1,"No Payment","Partial Payment")))</f>
        <v>Partial Payment</v>
      </c>
      <c r="J160" s="30" t="s">
        <v>58</v>
      </c>
      <c r="K160" s="32">
        <v>110000</v>
      </c>
      <c r="L160" s="33">
        <f>Q160+R160+U160+Table1[[#This Row],[Farmer Payment]]</f>
        <v>18524</v>
      </c>
      <c r="M160" s="30"/>
      <c r="N160" s="34"/>
      <c r="O160" s="34"/>
      <c r="P160" s="35">
        <f t="shared" si="27"/>
        <v>91476</v>
      </c>
      <c r="Q160" s="33">
        <f>AI160+AV160+CK160+Table1[[#This Row],[FY 25-26]]</f>
        <v>3524</v>
      </c>
      <c r="R160" s="36">
        <v>15000</v>
      </c>
      <c r="S160" s="37" t="s">
        <v>3000</v>
      </c>
      <c r="T160" s="38">
        <v>45641</v>
      </c>
      <c r="U160" s="39"/>
      <c r="V160" s="39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1">
        <f t="shared" si="28"/>
        <v>0</v>
      </c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>
        <f t="shared" si="29"/>
        <v>0</v>
      </c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>
        <v>0</v>
      </c>
      <c r="BQ160" s="42"/>
      <c r="BR160" s="42"/>
      <c r="BS160" s="42"/>
      <c r="BT160" s="42"/>
      <c r="BU160" s="42"/>
      <c r="BV160" s="42"/>
      <c r="BW160" s="42"/>
      <c r="BX160" s="42"/>
      <c r="BY160" s="42">
        <v>0</v>
      </c>
      <c r="BZ160" s="42">
        <v>0</v>
      </c>
      <c r="CA160" s="42">
        <v>0</v>
      </c>
      <c r="CB160" s="42">
        <v>0</v>
      </c>
      <c r="CC160" s="42">
        <v>0</v>
      </c>
      <c r="CD160" s="42">
        <v>0</v>
      </c>
      <c r="CE160" s="42">
        <v>0</v>
      </c>
      <c r="CF160" s="42">
        <v>0</v>
      </c>
      <c r="CG160" s="42">
        <v>0</v>
      </c>
      <c r="CH160" s="42">
        <v>0</v>
      </c>
      <c r="CI160" s="42">
        <v>0</v>
      </c>
      <c r="CJ160" s="42">
        <v>1861</v>
      </c>
      <c r="CK160" s="43">
        <f t="shared" si="30"/>
        <v>1861</v>
      </c>
      <c r="CL160" s="66"/>
      <c r="CM160" s="66">
        <v>0</v>
      </c>
      <c r="CN160" s="66">
        <v>0</v>
      </c>
      <c r="CO160" s="66">
        <v>0</v>
      </c>
      <c r="CP160" s="66">
        <v>0</v>
      </c>
      <c r="CQ160" s="66">
        <v>0</v>
      </c>
      <c r="CR160" s="66">
        <v>0</v>
      </c>
      <c r="CS160" s="66">
        <v>0</v>
      </c>
      <c r="CT160" s="66">
        <v>0</v>
      </c>
      <c r="CU160" s="66">
        <v>0</v>
      </c>
      <c r="CV160" s="66">
        <v>1663</v>
      </c>
      <c r="CW160" s="66">
        <v>0</v>
      </c>
      <c r="CX160" s="66">
        <v>0</v>
      </c>
      <c r="CY160" s="66">
        <v>0</v>
      </c>
      <c r="CZ160" s="66">
        <v>0</v>
      </c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>
        <f>SUM(Table1[[#This Row],[01-03 Apr]:[Mar-26]])</f>
        <v>1663</v>
      </c>
    </row>
    <row r="161" spans="1:115" hidden="1" x14ac:dyDescent="0.2">
      <c r="A161" s="28"/>
      <c r="B161" s="29"/>
      <c r="C161" s="29" t="s">
        <v>2996</v>
      </c>
      <c r="D161" s="30" t="s">
        <v>2991</v>
      </c>
      <c r="E161" s="30" t="s">
        <v>203</v>
      </c>
      <c r="F161" s="30"/>
      <c r="G161" s="31"/>
      <c r="H161" s="30"/>
      <c r="I161" s="30" t="str">
        <f>IF(Table1[[#This Row],[Centre Status]]="Returned","NA",IF(Table1[[#This Row],[SD]]&gt;19000,"Full Payment",IF(Table1[[#This Row],[SD]]&lt;1,"No Payment","Partial Payment")))</f>
        <v>Full Payment</v>
      </c>
      <c r="J161" s="30" t="s">
        <v>58</v>
      </c>
      <c r="K161" s="32">
        <v>110000</v>
      </c>
      <c r="L161" s="33">
        <f>Q161+R161+U161+Table1[[#This Row],[Farmer Payment]]</f>
        <v>20000</v>
      </c>
      <c r="M161" s="30"/>
      <c r="N161" s="34"/>
      <c r="O161" s="34"/>
      <c r="P161" s="35">
        <f t="shared" si="27"/>
        <v>90000</v>
      </c>
      <c r="Q161" s="33">
        <f>AI161+AV161+CK161+Table1[[#This Row],[FY 25-26]]</f>
        <v>0</v>
      </c>
      <c r="R161" s="36">
        <v>20000</v>
      </c>
      <c r="S161" s="37" t="s">
        <v>3001</v>
      </c>
      <c r="T161" s="38">
        <v>45638</v>
      </c>
      <c r="U161" s="39"/>
      <c r="V161" s="39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1">
        <f t="shared" si="28"/>
        <v>0</v>
      </c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>
        <f t="shared" si="29"/>
        <v>0</v>
      </c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42"/>
      <c r="BP161" s="42">
        <v>0</v>
      </c>
      <c r="BQ161" s="42"/>
      <c r="BR161" s="42"/>
      <c r="BS161" s="42"/>
      <c r="BT161" s="42"/>
      <c r="BU161" s="42"/>
      <c r="BV161" s="42"/>
      <c r="BW161" s="42"/>
      <c r="BX161" s="42"/>
      <c r="BY161" s="42">
        <v>0</v>
      </c>
      <c r="BZ161" s="42">
        <v>0</v>
      </c>
      <c r="CA161" s="42">
        <v>0</v>
      </c>
      <c r="CB161" s="42">
        <v>0</v>
      </c>
      <c r="CC161" s="42">
        <v>0</v>
      </c>
      <c r="CD161" s="42">
        <v>0</v>
      </c>
      <c r="CE161" s="42">
        <v>0</v>
      </c>
      <c r="CF161" s="42">
        <v>0</v>
      </c>
      <c r="CG161" s="42">
        <v>0</v>
      </c>
      <c r="CH161" s="42">
        <v>0</v>
      </c>
      <c r="CI161" s="42">
        <v>0</v>
      </c>
      <c r="CJ161" s="42">
        <v>0</v>
      </c>
      <c r="CK161" s="43">
        <f t="shared" si="30"/>
        <v>0</v>
      </c>
      <c r="CL161" s="66"/>
      <c r="CM161" s="66">
        <v>0</v>
      </c>
      <c r="CN161" s="66">
        <v>0</v>
      </c>
      <c r="CO161" s="66">
        <v>0</v>
      </c>
      <c r="CP161" s="66">
        <v>0</v>
      </c>
      <c r="CQ161" s="66">
        <v>0</v>
      </c>
      <c r="CR161" s="66">
        <v>0</v>
      </c>
      <c r="CS161" s="66">
        <v>0</v>
      </c>
      <c r="CT161" s="66">
        <v>0</v>
      </c>
      <c r="CU161" s="66">
        <v>0</v>
      </c>
      <c r="CV161" s="66">
        <v>0</v>
      </c>
      <c r="CW161" s="66">
        <v>0</v>
      </c>
      <c r="CX161" s="66">
        <v>0</v>
      </c>
      <c r="CY161" s="66">
        <v>0</v>
      </c>
      <c r="CZ161" s="66">
        <v>0</v>
      </c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>
        <f>SUM(Table1[[#This Row],[01-03 Apr]:[Mar-26]])</f>
        <v>0</v>
      </c>
    </row>
    <row r="162" spans="1:115" hidden="1" x14ac:dyDescent="0.2">
      <c r="A162" s="28"/>
      <c r="B162" s="29"/>
      <c r="C162" s="29" t="s">
        <v>2997</v>
      </c>
      <c r="D162" s="30" t="s">
        <v>2992</v>
      </c>
      <c r="E162" s="30" t="s">
        <v>203</v>
      </c>
      <c r="F162" s="30"/>
      <c r="G162" s="31"/>
      <c r="H162" s="30"/>
      <c r="I162" s="30" t="str">
        <f>IF(Table1[[#This Row],[Centre Status]]="Returned","NA",IF(Table1[[#This Row],[SD]]&gt;19000,"Full Payment",IF(Table1[[#This Row],[SD]]&lt;1,"No Payment","Partial Payment")))</f>
        <v>Full Payment</v>
      </c>
      <c r="J162" s="30" t="s">
        <v>58</v>
      </c>
      <c r="K162" s="32">
        <v>110000</v>
      </c>
      <c r="L162" s="33">
        <f>Q162+R162+U162+Table1[[#This Row],[Farmer Payment]]</f>
        <v>23582</v>
      </c>
      <c r="M162" s="30"/>
      <c r="N162" s="34"/>
      <c r="O162" s="34"/>
      <c r="P162" s="35">
        <f t="shared" si="27"/>
        <v>86418</v>
      </c>
      <c r="Q162" s="33">
        <f>AI162+AV162+CK162+Table1[[#This Row],[FY 25-26]]</f>
        <v>3582</v>
      </c>
      <c r="R162" s="36">
        <v>20000</v>
      </c>
      <c r="S162" s="37" t="s">
        <v>3002</v>
      </c>
      <c r="T162" s="38">
        <v>45664</v>
      </c>
      <c r="U162" s="39"/>
      <c r="V162" s="39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1">
        <f t="shared" si="28"/>
        <v>0</v>
      </c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>
        <f t="shared" si="29"/>
        <v>0</v>
      </c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>
        <v>0</v>
      </c>
      <c r="BQ162" s="42"/>
      <c r="BR162" s="42"/>
      <c r="BS162" s="42"/>
      <c r="BT162" s="42"/>
      <c r="BU162" s="42"/>
      <c r="BV162" s="42"/>
      <c r="BW162" s="42"/>
      <c r="BX162" s="42"/>
      <c r="BY162" s="42">
        <v>0</v>
      </c>
      <c r="BZ162" s="42">
        <v>0</v>
      </c>
      <c r="CA162" s="42">
        <v>0</v>
      </c>
      <c r="CB162" s="42">
        <v>0</v>
      </c>
      <c r="CC162" s="42">
        <v>0</v>
      </c>
      <c r="CD162" s="42">
        <v>0</v>
      </c>
      <c r="CE162" s="42">
        <v>0</v>
      </c>
      <c r="CF162" s="42">
        <v>0</v>
      </c>
      <c r="CG162" s="42">
        <v>0</v>
      </c>
      <c r="CH162" s="42">
        <v>0</v>
      </c>
      <c r="CI162" s="42">
        <v>0</v>
      </c>
      <c r="CJ162" s="42">
        <v>1861</v>
      </c>
      <c r="CK162" s="43">
        <f t="shared" si="30"/>
        <v>1861</v>
      </c>
      <c r="CL162" s="66"/>
      <c r="CM162" s="66">
        <v>0</v>
      </c>
      <c r="CN162" s="66">
        <v>0</v>
      </c>
      <c r="CO162" s="66">
        <v>0</v>
      </c>
      <c r="CP162" s="66">
        <v>0</v>
      </c>
      <c r="CQ162" s="66">
        <v>0</v>
      </c>
      <c r="CR162" s="66">
        <v>0</v>
      </c>
      <c r="CS162" s="66">
        <v>0</v>
      </c>
      <c r="CT162" s="66">
        <v>0</v>
      </c>
      <c r="CU162" s="66">
        <v>0</v>
      </c>
      <c r="CV162" s="66">
        <v>1721</v>
      </c>
      <c r="CW162" s="66">
        <v>0</v>
      </c>
      <c r="CX162" s="66">
        <v>0</v>
      </c>
      <c r="CY162" s="66">
        <v>0</v>
      </c>
      <c r="CZ162" s="66">
        <v>0</v>
      </c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>
        <f>SUM(Table1[[#This Row],[01-03 Apr]:[Mar-26]])</f>
        <v>1721</v>
      </c>
    </row>
    <row r="163" spans="1:115" hidden="1" x14ac:dyDescent="0.2">
      <c r="A163" s="28"/>
      <c r="B163" s="29"/>
      <c r="C163" s="29" t="s">
        <v>2998</v>
      </c>
      <c r="D163" s="30" t="s">
        <v>2993</v>
      </c>
      <c r="E163" s="30" t="s">
        <v>203</v>
      </c>
      <c r="F163" s="30"/>
      <c r="G163" s="31"/>
      <c r="H163" s="30"/>
      <c r="I163" s="30" t="str">
        <f>IF(Table1[[#This Row],[Centre Status]]="Returned","NA",IF(Table1[[#This Row],[SD]]&gt;19000,"Full Payment",IF(Table1[[#This Row],[SD]]&lt;1,"No Payment","Partial Payment")))</f>
        <v>Full Payment</v>
      </c>
      <c r="J163" s="30" t="s">
        <v>58</v>
      </c>
      <c r="K163" s="32">
        <v>110000</v>
      </c>
      <c r="L163" s="33">
        <f>Q163+R163+U163+Table1[[#This Row],[Farmer Payment]]</f>
        <v>23722</v>
      </c>
      <c r="M163" s="30"/>
      <c r="N163" s="34"/>
      <c r="O163" s="34"/>
      <c r="P163" s="35">
        <f t="shared" si="27"/>
        <v>86278</v>
      </c>
      <c r="Q163" s="33">
        <f>AI163+AV163+CK163+Table1[[#This Row],[FY 25-26]]</f>
        <v>3722</v>
      </c>
      <c r="R163" s="36">
        <v>20000</v>
      </c>
      <c r="S163" s="37" t="s">
        <v>3002</v>
      </c>
      <c r="T163" s="38">
        <v>45659</v>
      </c>
      <c r="U163" s="39"/>
      <c r="V163" s="39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1">
        <f t="shared" si="28"/>
        <v>0</v>
      </c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>
        <f t="shared" si="29"/>
        <v>0</v>
      </c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>
        <v>0</v>
      </c>
      <c r="BQ163" s="42"/>
      <c r="BR163" s="42"/>
      <c r="BS163" s="42"/>
      <c r="BT163" s="42"/>
      <c r="BU163" s="42"/>
      <c r="BV163" s="42"/>
      <c r="BW163" s="42"/>
      <c r="BX163" s="42"/>
      <c r="BY163" s="42">
        <v>0</v>
      </c>
      <c r="BZ163" s="42">
        <v>0</v>
      </c>
      <c r="CA163" s="42">
        <v>0</v>
      </c>
      <c r="CB163" s="42">
        <v>0</v>
      </c>
      <c r="CC163" s="42">
        <v>0</v>
      </c>
      <c r="CD163" s="42">
        <v>0</v>
      </c>
      <c r="CE163" s="42">
        <v>0</v>
      </c>
      <c r="CF163" s="42">
        <v>0</v>
      </c>
      <c r="CG163" s="42">
        <v>0</v>
      </c>
      <c r="CH163" s="42">
        <v>0</v>
      </c>
      <c r="CI163" s="42">
        <v>0</v>
      </c>
      <c r="CJ163" s="42">
        <v>1861</v>
      </c>
      <c r="CK163" s="43">
        <f t="shared" si="30"/>
        <v>1861</v>
      </c>
      <c r="CL163" s="66"/>
      <c r="CM163" s="66">
        <v>0</v>
      </c>
      <c r="CN163" s="66">
        <v>0</v>
      </c>
      <c r="CO163" s="66">
        <v>0</v>
      </c>
      <c r="CP163" s="66">
        <v>0</v>
      </c>
      <c r="CQ163" s="66">
        <v>0</v>
      </c>
      <c r="CR163" s="66">
        <v>0</v>
      </c>
      <c r="CS163" s="66">
        <v>0</v>
      </c>
      <c r="CT163" s="66">
        <v>0</v>
      </c>
      <c r="CU163" s="66">
        <v>0</v>
      </c>
      <c r="CV163" s="66">
        <v>1861</v>
      </c>
      <c r="CW163" s="66">
        <v>0</v>
      </c>
      <c r="CX163" s="66">
        <v>0</v>
      </c>
      <c r="CY163" s="66">
        <v>0</v>
      </c>
      <c r="CZ163" s="66">
        <v>0</v>
      </c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>
        <f>SUM(Table1[[#This Row],[01-03 Apr]:[Mar-26]])</f>
        <v>1861</v>
      </c>
    </row>
    <row r="164" spans="1:115" hidden="1" x14ac:dyDescent="0.2">
      <c r="A164" s="28"/>
      <c r="B164" s="29"/>
      <c r="C164" s="29" t="s">
        <v>2729</v>
      </c>
      <c r="D164" s="30" t="s">
        <v>2731</v>
      </c>
      <c r="E164" s="30" t="s">
        <v>1321</v>
      </c>
      <c r="F164" s="30"/>
      <c r="G164" s="31"/>
      <c r="H164" s="30">
        <v>387853</v>
      </c>
      <c r="I164" s="30" t="str">
        <f>IF(Table1[[#This Row],[Centre Status]]="Returned","NA",IF(Table1[[#This Row],[SD]]&gt;19000,"Full Payment",IF(Table1[[#This Row],[SD]]&lt;1,"No Payment","Partial Payment")))</f>
        <v>Full Payment</v>
      </c>
      <c r="J164" s="30" t="s">
        <v>58</v>
      </c>
      <c r="K164" s="32">
        <v>110000</v>
      </c>
      <c r="L164" s="33">
        <f>Q164+R164+U164+Table1[[#This Row],[Farmer Payment]]</f>
        <v>28062</v>
      </c>
      <c r="M164" s="30"/>
      <c r="N164" s="34"/>
      <c r="O164" s="34"/>
      <c r="P164" s="35">
        <f t="shared" si="27"/>
        <v>81938</v>
      </c>
      <c r="Q164" s="33">
        <f>AI164+AV164+CK164+Table1[[#This Row],[FY 25-26]]</f>
        <v>8062</v>
      </c>
      <c r="R164" s="36">
        <v>20000</v>
      </c>
      <c r="S164" s="37" t="s">
        <v>2733</v>
      </c>
      <c r="T164" s="38">
        <v>45600</v>
      </c>
      <c r="U164" s="39"/>
      <c r="V164" s="39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1">
        <f t="shared" si="28"/>
        <v>0</v>
      </c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>
        <f t="shared" si="29"/>
        <v>0</v>
      </c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>
        <v>0</v>
      </c>
      <c r="BJ164" s="42"/>
      <c r="BK164" s="42"/>
      <c r="BL164" s="42">
        <v>0</v>
      </c>
      <c r="BM164" s="42">
        <v>0</v>
      </c>
      <c r="BN164" s="42">
        <v>0</v>
      </c>
      <c r="BO164" s="42">
        <v>0</v>
      </c>
      <c r="BP164" s="42">
        <v>0</v>
      </c>
      <c r="BQ164" s="42">
        <v>0</v>
      </c>
      <c r="BR164" s="42">
        <v>0</v>
      </c>
      <c r="BS164" s="42">
        <v>701</v>
      </c>
      <c r="BT164" s="42">
        <v>0</v>
      </c>
      <c r="BU164" s="42">
        <v>0</v>
      </c>
      <c r="BV164" s="42">
        <v>0</v>
      </c>
      <c r="BW164" s="42">
        <v>0</v>
      </c>
      <c r="BX164" s="42">
        <v>0</v>
      </c>
      <c r="BY164" s="42">
        <v>0</v>
      </c>
      <c r="BZ164" s="42">
        <v>0</v>
      </c>
      <c r="CA164" s="42">
        <v>0</v>
      </c>
      <c r="CB164" s="42">
        <v>0</v>
      </c>
      <c r="CC164" s="42">
        <v>0</v>
      </c>
      <c r="CD164" s="42">
        <v>0</v>
      </c>
      <c r="CE164" s="42">
        <v>0</v>
      </c>
      <c r="CF164" s="42">
        <v>0</v>
      </c>
      <c r="CG164" s="42">
        <v>0</v>
      </c>
      <c r="CH164" s="42">
        <v>0</v>
      </c>
      <c r="CI164" s="42">
        <v>0</v>
      </c>
      <c r="CJ164" s="42">
        <v>1861</v>
      </c>
      <c r="CK164" s="43">
        <f t="shared" si="30"/>
        <v>2562</v>
      </c>
      <c r="CL164" s="66"/>
      <c r="CM164" s="66">
        <v>500</v>
      </c>
      <c r="CN164" s="66">
        <v>500</v>
      </c>
      <c r="CO164" s="66">
        <v>500</v>
      </c>
      <c r="CP164" s="66">
        <v>0</v>
      </c>
      <c r="CQ164" s="66">
        <v>500</v>
      </c>
      <c r="CR164" s="66">
        <v>500</v>
      </c>
      <c r="CS164" s="66">
        <v>500</v>
      </c>
      <c r="CT164" s="66">
        <v>500</v>
      </c>
      <c r="CU164" s="66">
        <v>0</v>
      </c>
      <c r="CV164" s="66">
        <v>0</v>
      </c>
      <c r="CW164" s="66">
        <v>500</v>
      </c>
      <c r="CX164" s="66">
        <v>500</v>
      </c>
      <c r="CY164" s="66">
        <v>500</v>
      </c>
      <c r="CZ164" s="66">
        <v>500</v>
      </c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>
        <f>SUM(Table1[[#This Row],[01-03 Apr]:[Mar-26]])</f>
        <v>5500</v>
      </c>
    </row>
    <row r="165" spans="1:115" x14ac:dyDescent="0.2">
      <c r="A165" s="28"/>
      <c r="B165" s="29"/>
      <c r="C165" s="29" t="s">
        <v>2730</v>
      </c>
      <c r="D165" s="30" t="s">
        <v>2732</v>
      </c>
      <c r="E165" s="30" t="s">
        <v>1321</v>
      </c>
      <c r="F165" s="30"/>
      <c r="G165" s="31"/>
      <c r="H165" s="30">
        <v>371223</v>
      </c>
      <c r="I165" s="30" t="str">
        <f>IF(Table1[[#This Row],[Centre Status]]="Returned","NA",IF(Table1[[#This Row],[SD]]&gt;19000,"Full Payment",IF(Table1[[#This Row],[SD]]&lt;1,"No Payment","Partial Payment")))</f>
        <v>Partial Payment</v>
      </c>
      <c r="J165" s="30" t="s">
        <v>58</v>
      </c>
      <c r="K165" s="32">
        <v>110000</v>
      </c>
      <c r="L165" s="33">
        <f>Q165+R165+U165+Table1[[#This Row],[Farmer Payment]]</f>
        <v>22600.345598794636</v>
      </c>
      <c r="M165" s="30"/>
      <c r="N165" s="34"/>
      <c r="O165" s="34"/>
      <c r="P165" s="35">
        <f t="shared" si="27"/>
        <v>87399.654401205364</v>
      </c>
      <c r="Q165" s="33">
        <f>AI165+AV165+CK165+Table1[[#This Row],[FY 25-26]]</f>
        <v>7600.3455987946381</v>
      </c>
      <c r="R165" s="36">
        <v>15000</v>
      </c>
      <c r="S165" s="37" t="s">
        <v>2734</v>
      </c>
      <c r="T165" s="38">
        <v>45611</v>
      </c>
      <c r="U165" s="39"/>
      <c r="V165" s="39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1">
        <f t="shared" si="28"/>
        <v>0</v>
      </c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>
        <f t="shared" si="29"/>
        <v>0</v>
      </c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>
        <v>0</v>
      </c>
      <c r="BJ165" s="42"/>
      <c r="BK165" s="42"/>
      <c r="BL165" s="42">
        <v>0</v>
      </c>
      <c r="BM165" s="42">
        <v>0</v>
      </c>
      <c r="BN165" s="42">
        <v>0</v>
      </c>
      <c r="BO165" s="42">
        <v>0</v>
      </c>
      <c r="BP165" s="42">
        <v>0</v>
      </c>
      <c r="BQ165" s="42">
        <v>0</v>
      </c>
      <c r="BR165" s="42">
        <v>0</v>
      </c>
      <c r="BS165" s="42">
        <v>1861</v>
      </c>
      <c r="BT165" s="42">
        <v>0</v>
      </c>
      <c r="BU165" s="42">
        <v>0</v>
      </c>
      <c r="BV165" s="42">
        <v>0</v>
      </c>
      <c r="BW165" s="42">
        <v>0</v>
      </c>
      <c r="BX165" s="42">
        <v>0</v>
      </c>
      <c r="BY165" s="42">
        <v>0</v>
      </c>
      <c r="BZ165" s="42">
        <v>0</v>
      </c>
      <c r="CA165" s="42">
        <v>0</v>
      </c>
      <c r="CB165" s="42">
        <v>0</v>
      </c>
      <c r="CC165" s="42">
        <v>0</v>
      </c>
      <c r="CD165" s="42">
        <v>0</v>
      </c>
      <c r="CE165" s="42">
        <v>0</v>
      </c>
      <c r="CF165" s="42">
        <v>0</v>
      </c>
      <c r="CG165" s="42">
        <v>0</v>
      </c>
      <c r="CH165" s="42">
        <v>0</v>
      </c>
      <c r="CI165" s="42">
        <v>0</v>
      </c>
      <c r="CJ165" s="42">
        <v>2017.3455987946381</v>
      </c>
      <c r="CK165" s="43">
        <f t="shared" si="30"/>
        <v>3878.3455987946381</v>
      </c>
      <c r="CL165" s="66"/>
      <c r="CM165" s="66">
        <v>0</v>
      </c>
      <c r="CN165" s="66">
        <v>0</v>
      </c>
      <c r="CO165" s="66">
        <v>0</v>
      </c>
      <c r="CP165" s="66">
        <v>1861</v>
      </c>
      <c r="CQ165" s="66">
        <v>0</v>
      </c>
      <c r="CR165" s="66">
        <v>0</v>
      </c>
      <c r="CS165" s="66">
        <v>0</v>
      </c>
      <c r="CT165" s="66">
        <v>0</v>
      </c>
      <c r="CU165" s="66">
        <v>0</v>
      </c>
      <c r="CV165" s="66">
        <v>1861</v>
      </c>
      <c r="CW165" s="66">
        <v>0</v>
      </c>
      <c r="CX165" s="66">
        <v>0</v>
      </c>
      <c r="CY165" s="66">
        <v>0</v>
      </c>
      <c r="CZ165" s="66">
        <v>0</v>
      </c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>
        <f>SUM(Table1[[#This Row],[01-03 Apr]:[Mar-26]])</f>
        <v>3722</v>
      </c>
    </row>
    <row r="166" spans="1:115" x14ac:dyDescent="0.2">
      <c r="A166" s="28"/>
      <c r="B166" s="29"/>
      <c r="C166" s="29" t="s">
        <v>2791</v>
      </c>
      <c r="D166" s="30" t="s">
        <v>2786</v>
      </c>
      <c r="E166" s="30" t="s">
        <v>101</v>
      </c>
      <c r="F166" s="30"/>
      <c r="G166" s="31"/>
      <c r="H166" s="30">
        <v>328959</v>
      </c>
      <c r="I166" s="30" t="str">
        <f>IF(Table1[[#This Row],[Centre Status]]="Returned","NA",IF(Table1[[#This Row],[SD]]&gt;19000,"Full Payment",IF(Table1[[#This Row],[SD]]&lt;1,"No Payment","Partial Payment")))</f>
        <v>Partial Payment</v>
      </c>
      <c r="J166" s="30" t="s">
        <v>58</v>
      </c>
      <c r="K166" s="32">
        <v>110000</v>
      </c>
      <c r="L166" s="33">
        <f>Q166+R166+U166+Table1[[#This Row],[Farmer Payment]]</f>
        <v>18637</v>
      </c>
      <c r="M166" s="30"/>
      <c r="N166" s="34"/>
      <c r="O166" s="34"/>
      <c r="P166" s="35">
        <f t="shared" si="27"/>
        <v>91363</v>
      </c>
      <c r="Q166" s="33">
        <f>AI166+AV166+CK166+Table1[[#This Row],[FY 25-26]]</f>
        <v>8637</v>
      </c>
      <c r="R166" s="36">
        <v>10000</v>
      </c>
      <c r="S166" s="37" t="s">
        <v>2796</v>
      </c>
      <c r="T166" s="38">
        <v>45618</v>
      </c>
      <c r="U166" s="39"/>
      <c r="V166" s="39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1">
        <f t="shared" si="28"/>
        <v>0</v>
      </c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>
        <f t="shared" si="29"/>
        <v>0</v>
      </c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>
        <v>0</v>
      </c>
      <c r="BN166" s="42">
        <v>0</v>
      </c>
      <c r="BO166" s="42">
        <v>0</v>
      </c>
      <c r="BP166" s="42">
        <v>0</v>
      </c>
      <c r="BQ166" s="42">
        <v>0</v>
      </c>
      <c r="BR166" s="42">
        <v>0</v>
      </c>
      <c r="BS166" s="42">
        <v>776</v>
      </c>
      <c r="BT166" s="42">
        <v>0</v>
      </c>
      <c r="BU166" s="42">
        <v>0</v>
      </c>
      <c r="BV166" s="42">
        <v>0</v>
      </c>
      <c r="BW166" s="42">
        <v>0</v>
      </c>
      <c r="BX166" s="42">
        <v>0</v>
      </c>
      <c r="BY166" s="42">
        <v>0</v>
      </c>
      <c r="BZ166" s="42">
        <v>0</v>
      </c>
      <c r="CA166" s="42">
        <v>0</v>
      </c>
      <c r="CB166" s="42">
        <v>0</v>
      </c>
      <c r="CC166" s="42">
        <v>0</v>
      </c>
      <c r="CD166" s="42">
        <v>0</v>
      </c>
      <c r="CE166" s="42">
        <v>0</v>
      </c>
      <c r="CF166" s="42">
        <v>0</v>
      </c>
      <c r="CG166" s="42">
        <v>0</v>
      </c>
      <c r="CH166" s="42">
        <v>0</v>
      </c>
      <c r="CI166" s="42">
        <v>500</v>
      </c>
      <c r="CJ166" s="42">
        <v>1361</v>
      </c>
      <c r="CK166" s="43">
        <f t="shared" si="30"/>
        <v>2637</v>
      </c>
      <c r="CL166" s="66"/>
      <c r="CM166" s="66">
        <v>500</v>
      </c>
      <c r="CN166" s="66">
        <v>500</v>
      </c>
      <c r="CO166" s="66">
        <v>500</v>
      </c>
      <c r="CP166" s="66">
        <v>0</v>
      </c>
      <c r="CQ166" s="66">
        <v>500</v>
      </c>
      <c r="CR166" s="66">
        <v>500</v>
      </c>
      <c r="CS166" s="66">
        <v>500</v>
      </c>
      <c r="CT166" s="66">
        <v>500</v>
      </c>
      <c r="CU166" s="66">
        <v>500</v>
      </c>
      <c r="CV166" s="66">
        <v>0</v>
      </c>
      <c r="CW166" s="66">
        <v>500</v>
      </c>
      <c r="CX166" s="66">
        <v>500</v>
      </c>
      <c r="CY166" s="66">
        <v>500</v>
      </c>
      <c r="CZ166" s="66">
        <v>500</v>
      </c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>
        <f>SUM(Table1[[#This Row],[01-03 Apr]:[Mar-26]])</f>
        <v>6000</v>
      </c>
    </row>
    <row r="167" spans="1:115" x14ac:dyDescent="0.2">
      <c r="A167" s="28"/>
      <c r="B167" s="29"/>
      <c r="C167" s="29" t="s">
        <v>2817</v>
      </c>
      <c r="D167" s="30" t="s">
        <v>2814</v>
      </c>
      <c r="E167" s="30" t="s">
        <v>1321</v>
      </c>
      <c r="F167" s="30"/>
      <c r="G167" s="31"/>
      <c r="H167" s="30"/>
      <c r="I167" s="30" t="str">
        <f>IF(Table1[[#This Row],[Centre Status]]="Returned","NA",IF(Table1[[#This Row],[SD]]&gt;19000,"Full Payment",IF(Table1[[#This Row],[SD]]&lt;1,"No Payment","Partial Payment")))</f>
        <v>Partial Payment</v>
      </c>
      <c r="J167" s="30" t="s">
        <v>58</v>
      </c>
      <c r="K167" s="32">
        <v>110000</v>
      </c>
      <c r="L167" s="33">
        <f>Q167+R167+U167+Table1[[#This Row],[Farmer Payment]]</f>
        <v>23684.609307794228</v>
      </c>
      <c r="M167" s="30"/>
      <c r="N167" s="34"/>
      <c r="O167" s="34"/>
      <c r="P167" s="35">
        <f t="shared" si="27"/>
        <v>86315.390692205779</v>
      </c>
      <c r="Q167" s="33">
        <f>AI167+AV167+CK167+Table1[[#This Row],[FY 25-26]]</f>
        <v>11684.609307794228</v>
      </c>
      <c r="R167" s="36">
        <v>12000</v>
      </c>
      <c r="S167" s="37" t="s">
        <v>2820</v>
      </c>
      <c r="T167" s="38">
        <v>45587</v>
      </c>
      <c r="U167" s="39"/>
      <c r="V167" s="39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1">
        <f t="shared" si="28"/>
        <v>0</v>
      </c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>
        <f t="shared" si="29"/>
        <v>0</v>
      </c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>
        <v>0</v>
      </c>
      <c r="BO167" s="42"/>
      <c r="BP167" s="42">
        <v>0</v>
      </c>
      <c r="BQ167" s="42">
        <v>0</v>
      </c>
      <c r="BR167" s="42">
        <v>0</v>
      </c>
      <c r="BS167" s="42">
        <v>0</v>
      </c>
      <c r="BT167" s="42">
        <v>0</v>
      </c>
      <c r="BU167" s="42">
        <v>0</v>
      </c>
      <c r="BV167" s="42">
        <v>0</v>
      </c>
      <c r="BW167" s="42">
        <v>0</v>
      </c>
      <c r="BX167" s="42">
        <v>0</v>
      </c>
      <c r="BY167" s="42">
        <v>0</v>
      </c>
      <c r="BZ167" s="42">
        <v>0</v>
      </c>
      <c r="CA167" s="42">
        <v>0</v>
      </c>
      <c r="CB167" s="42">
        <v>0</v>
      </c>
      <c r="CC167" s="42">
        <v>0</v>
      </c>
      <c r="CD167" s="42">
        <v>0</v>
      </c>
      <c r="CE167" s="42">
        <v>0</v>
      </c>
      <c r="CF167" s="42">
        <v>0</v>
      </c>
      <c r="CG167" s="42">
        <v>0</v>
      </c>
      <c r="CH167" s="42">
        <v>0</v>
      </c>
      <c r="CI167" s="42">
        <v>0</v>
      </c>
      <c r="CJ167" s="42">
        <v>5658.1326241603119</v>
      </c>
      <c r="CK167" s="43">
        <f t="shared" si="30"/>
        <v>5658.1326241603119</v>
      </c>
      <c r="CL167" s="66"/>
      <c r="CM167" s="66">
        <v>0</v>
      </c>
      <c r="CN167" s="66">
        <v>0</v>
      </c>
      <c r="CO167" s="66">
        <v>0</v>
      </c>
      <c r="CP167" s="66">
        <v>3684.5542595263969</v>
      </c>
      <c r="CQ167" s="66">
        <v>0</v>
      </c>
      <c r="CR167" s="66">
        <v>0</v>
      </c>
      <c r="CS167" s="66">
        <v>0</v>
      </c>
      <c r="CT167" s="66">
        <v>0</v>
      </c>
      <c r="CU167" s="66">
        <v>0</v>
      </c>
      <c r="CV167" s="66">
        <v>2341.9224241075199</v>
      </c>
      <c r="CW167" s="66">
        <v>0</v>
      </c>
      <c r="CX167" s="66">
        <v>0</v>
      </c>
      <c r="CY167" s="66">
        <v>0</v>
      </c>
      <c r="CZ167" s="66">
        <v>0</v>
      </c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>
        <f>SUM(Table1[[#This Row],[01-03 Apr]:[Mar-26]])</f>
        <v>6026.4766836339168</v>
      </c>
    </row>
    <row r="168" spans="1:115" hidden="1" x14ac:dyDescent="0.2">
      <c r="A168" s="28"/>
      <c r="B168" s="29"/>
      <c r="C168" s="29" t="s">
        <v>2949</v>
      </c>
      <c r="D168" s="30" t="s">
        <v>2948</v>
      </c>
      <c r="E168" s="30" t="s">
        <v>85</v>
      </c>
      <c r="F168" s="30"/>
      <c r="G168" s="31"/>
      <c r="H168" s="30">
        <v>385640</v>
      </c>
      <c r="I168" s="30" t="str">
        <f>IF(Table1[[#This Row],[Centre Status]]="Returned","NA",IF(Table1[[#This Row],[SD]]&gt;19000,"Full Payment",IF(Table1[[#This Row],[SD]]&lt;1,"No Payment","Partial Payment")))</f>
        <v>Full Payment</v>
      </c>
      <c r="J168" s="30" t="s">
        <v>58</v>
      </c>
      <c r="K168" s="32">
        <v>110000</v>
      </c>
      <c r="L168" s="33">
        <f>Q168+R168+U168+Table1[[#This Row],[Farmer Payment]]</f>
        <v>25696.964498481891</v>
      </c>
      <c r="M168" s="30"/>
      <c r="N168" s="34"/>
      <c r="O168" s="34"/>
      <c r="P168" s="35">
        <f t="shared" si="27"/>
        <v>84303.035501518112</v>
      </c>
      <c r="Q168" s="33">
        <f>AI168+AV168+CK168+Table1[[#This Row],[FY 25-26]]</f>
        <v>5696.9644984818906</v>
      </c>
      <c r="R168" s="36">
        <v>20000</v>
      </c>
      <c r="S168" s="37" t="s">
        <v>2950</v>
      </c>
      <c r="T168" s="38">
        <v>45688</v>
      </c>
      <c r="U168" s="39"/>
      <c r="V168" s="39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1">
        <f t="shared" si="28"/>
        <v>0</v>
      </c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>
        <f t="shared" si="29"/>
        <v>0</v>
      </c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>
        <v>0</v>
      </c>
      <c r="BQ168" s="42"/>
      <c r="BR168" s="42">
        <v>0</v>
      </c>
      <c r="BS168" s="42"/>
      <c r="BT168" s="42"/>
      <c r="BU168" s="42"/>
      <c r="BV168" s="42">
        <v>0</v>
      </c>
      <c r="BW168" s="42">
        <v>0</v>
      </c>
      <c r="BX168" s="42">
        <v>0</v>
      </c>
      <c r="BY168" s="42">
        <v>0</v>
      </c>
      <c r="BZ168" s="42">
        <v>0</v>
      </c>
      <c r="CA168" s="42">
        <v>0</v>
      </c>
      <c r="CB168" s="42">
        <v>0</v>
      </c>
      <c r="CC168" s="42">
        <v>0</v>
      </c>
      <c r="CD168" s="42">
        <v>0</v>
      </c>
      <c r="CE168" s="42">
        <v>0</v>
      </c>
      <c r="CF168" s="42">
        <v>0</v>
      </c>
      <c r="CG168" s="42">
        <v>0</v>
      </c>
      <c r="CH168" s="42">
        <v>0</v>
      </c>
      <c r="CI168" s="42">
        <v>0</v>
      </c>
      <c r="CJ168" s="42">
        <v>3098.8791506380803</v>
      </c>
      <c r="CK168" s="43">
        <f t="shared" si="30"/>
        <v>3098.8791506380803</v>
      </c>
      <c r="CL168" s="66"/>
      <c r="CM168" s="66">
        <v>0</v>
      </c>
      <c r="CN168" s="66">
        <v>0</v>
      </c>
      <c r="CO168" s="66">
        <v>0</v>
      </c>
      <c r="CP168" s="66">
        <v>0</v>
      </c>
      <c r="CQ168" s="66">
        <v>0</v>
      </c>
      <c r="CR168" s="66">
        <v>0</v>
      </c>
      <c r="CS168" s="66">
        <v>0</v>
      </c>
      <c r="CT168" s="66">
        <v>0</v>
      </c>
      <c r="CU168" s="66">
        <v>0</v>
      </c>
      <c r="CV168" s="66">
        <v>2598.0853478438103</v>
      </c>
      <c r="CW168" s="66">
        <v>0</v>
      </c>
      <c r="CX168" s="66">
        <v>0</v>
      </c>
      <c r="CY168" s="66">
        <v>0</v>
      </c>
      <c r="CZ168" s="66">
        <v>0</v>
      </c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>
        <f>SUM(Table1[[#This Row],[01-03 Apr]:[Mar-26]])</f>
        <v>2598.0853478438103</v>
      </c>
    </row>
    <row r="169" spans="1:115" hidden="1" x14ac:dyDescent="0.2">
      <c r="A169" s="28"/>
      <c r="B169" s="29"/>
      <c r="C169" s="29" t="s">
        <v>2954</v>
      </c>
      <c r="D169" s="30" t="s">
        <v>2952</v>
      </c>
      <c r="E169" s="30" t="s">
        <v>2951</v>
      </c>
      <c r="F169" s="30"/>
      <c r="G169" s="31"/>
      <c r="H169" s="30">
        <v>24010117</v>
      </c>
      <c r="I169" s="30" t="str">
        <f>IF(Table1[[#This Row],[Centre Status]]="Returned","NA",IF(Table1[[#This Row],[SD]]&gt;19000,"Full Payment",IF(Table1[[#This Row],[SD]]&lt;1,"No Payment","Partial Payment")))</f>
        <v>Full Payment</v>
      </c>
      <c r="J169" s="30" t="s">
        <v>58</v>
      </c>
      <c r="K169" s="32">
        <v>110000</v>
      </c>
      <c r="L169" s="33">
        <f>Q169+R169+U169+Table1[[#This Row],[Farmer Payment]]</f>
        <v>22396</v>
      </c>
      <c r="M169" s="30"/>
      <c r="N169" s="34"/>
      <c r="O169" s="34"/>
      <c r="P169" s="35">
        <f t="shared" ref="P169:P176" si="31">K169-L169+M169</f>
        <v>87604</v>
      </c>
      <c r="Q169" s="33">
        <f>AI169+AV169+CK169+Table1[[#This Row],[FY 25-26]]</f>
        <v>2396</v>
      </c>
      <c r="R169" s="36">
        <v>20000</v>
      </c>
      <c r="S169" s="37" t="s">
        <v>2956</v>
      </c>
      <c r="T169" s="38">
        <v>45681</v>
      </c>
      <c r="U169" s="39"/>
      <c r="V169" s="39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1">
        <f t="shared" ref="AI169:AI176" si="32">SUM(W169:AH169)</f>
        <v>0</v>
      </c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>
        <f t="shared" ref="AV169:AV176" si="33">SUM(AJ169:AU169)</f>
        <v>0</v>
      </c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>
        <v>0</v>
      </c>
      <c r="BQ169" s="42"/>
      <c r="BR169" s="42">
        <v>0</v>
      </c>
      <c r="BS169" s="42"/>
      <c r="BT169" s="42"/>
      <c r="BU169" s="42"/>
      <c r="BV169" s="42">
        <v>0</v>
      </c>
      <c r="BW169" s="42">
        <v>0</v>
      </c>
      <c r="BX169" s="42">
        <v>0</v>
      </c>
      <c r="BY169" s="42">
        <v>0</v>
      </c>
      <c r="BZ169" s="42">
        <v>0</v>
      </c>
      <c r="CA169" s="42">
        <v>0</v>
      </c>
      <c r="CB169" s="42">
        <v>0</v>
      </c>
      <c r="CC169" s="42">
        <v>0</v>
      </c>
      <c r="CD169" s="42">
        <v>0</v>
      </c>
      <c r="CE169" s="42">
        <v>0</v>
      </c>
      <c r="CF169" s="42">
        <v>0</v>
      </c>
      <c r="CG169" s="42">
        <v>0</v>
      </c>
      <c r="CH169" s="42">
        <v>0</v>
      </c>
      <c r="CI169" s="42">
        <v>0</v>
      </c>
      <c r="CJ169" s="42">
        <v>1861</v>
      </c>
      <c r="CK169" s="43">
        <f t="shared" ref="CK169:CK176" si="34">SUM(AW169:CJ169)</f>
        <v>1861</v>
      </c>
      <c r="CL169" s="66"/>
      <c r="CM169" s="66">
        <v>0</v>
      </c>
      <c r="CN169" s="66">
        <v>0</v>
      </c>
      <c r="CO169" s="66">
        <v>0</v>
      </c>
      <c r="CP169" s="66">
        <v>0</v>
      </c>
      <c r="CQ169" s="66">
        <v>0</v>
      </c>
      <c r="CR169" s="66">
        <v>0</v>
      </c>
      <c r="CS169" s="66">
        <v>0</v>
      </c>
      <c r="CT169" s="66">
        <v>0</v>
      </c>
      <c r="CU169" s="66">
        <v>0</v>
      </c>
      <c r="CV169" s="66">
        <v>535</v>
      </c>
      <c r="CW169" s="66">
        <v>0</v>
      </c>
      <c r="CX169" s="66">
        <v>0</v>
      </c>
      <c r="CY169" s="66">
        <v>0</v>
      </c>
      <c r="CZ169" s="66">
        <v>0</v>
      </c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>
        <f>SUM(Table1[[#This Row],[01-03 Apr]:[Mar-26]])</f>
        <v>535</v>
      </c>
    </row>
    <row r="170" spans="1:115" hidden="1" x14ac:dyDescent="0.2">
      <c r="A170" s="28"/>
      <c r="B170" s="29"/>
      <c r="C170" s="29" t="s">
        <v>2955</v>
      </c>
      <c r="D170" s="30" t="s">
        <v>2953</v>
      </c>
      <c r="E170" s="30" t="s">
        <v>2951</v>
      </c>
      <c r="F170" s="30"/>
      <c r="G170" s="31"/>
      <c r="H170" s="30">
        <v>23120078</v>
      </c>
      <c r="I170" s="30" t="str">
        <f>IF(Table1[[#This Row],[Centre Status]]="Returned","NA",IF(Table1[[#This Row],[SD]]&gt;19000,"Full Payment",IF(Table1[[#This Row],[SD]]&lt;1,"No Payment","Partial Payment")))</f>
        <v>Full Payment</v>
      </c>
      <c r="J170" s="30" t="s">
        <v>58</v>
      </c>
      <c r="K170" s="32">
        <v>110000</v>
      </c>
      <c r="L170" s="33">
        <f>Q170+R170+U170+Table1[[#This Row],[Farmer Payment]]</f>
        <v>23422.250836398009</v>
      </c>
      <c r="M170" s="30"/>
      <c r="N170" s="34"/>
      <c r="O170" s="34"/>
      <c r="P170" s="35">
        <f t="shared" si="31"/>
        <v>86577.749163601984</v>
      </c>
      <c r="Q170" s="33">
        <f>AI170+AV170+CK170+Table1[[#This Row],[FY 25-26]]</f>
        <v>3422.2508363980087</v>
      </c>
      <c r="R170" s="36">
        <v>20000</v>
      </c>
      <c r="S170" s="37" t="s">
        <v>2957</v>
      </c>
      <c r="T170" s="38">
        <v>45681</v>
      </c>
      <c r="U170" s="39"/>
      <c r="V170" s="39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1">
        <f t="shared" si="32"/>
        <v>0</v>
      </c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>
        <f t="shared" si="33"/>
        <v>0</v>
      </c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>
        <v>0</v>
      </c>
      <c r="BQ170" s="42"/>
      <c r="BR170" s="42">
        <v>0</v>
      </c>
      <c r="BS170" s="42"/>
      <c r="BT170" s="42"/>
      <c r="BU170" s="42"/>
      <c r="BV170" s="42">
        <v>0</v>
      </c>
      <c r="BW170" s="42">
        <v>0</v>
      </c>
      <c r="BX170" s="42">
        <v>0</v>
      </c>
      <c r="BY170" s="42">
        <v>0</v>
      </c>
      <c r="BZ170" s="42">
        <v>0</v>
      </c>
      <c r="CA170" s="42">
        <v>0</v>
      </c>
      <c r="CB170" s="42">
        <v>0</v>
      </c>
      <c r="CC170" s="42">
        <v>0</v>
      </c>
      <c r="CD170" s="42">
        <v>0</v>
      </c>
      <c r="CE170" s="42">
        <v>0</v>
      </c>
      <c r="CF170" s="42">
        <v>0</v>
      </c>
      <c r="CG170" s="42">
        <v>0</v>
      </c>
      <c r="CH170" s="42">
        <v>0</v>
      </c>
      <c r="CI170" s="42">
        <v>0</v>
      </c>
      <c r="CJ170" s="42">
        <v>1948.2508363980089</v>
      </c>
      <c r="CK170" s="43">
        <f t="shared" si="34"/>
        <v>1948.2508363980089</v>
      </c>
      <c r="CL170" s="66"/>
      <c r="CM170" s="66">
        <v>0</v>
      </c>
      <c r="CN170" s="66">
        <v>0</v>
      </c>
      <c r="CO170" s="66">
        <v>0</v>
      </c>
      <c r="CP170" s="66">
        <v>0</v>
      </c>
      <c r="CQ170" s="66">
        <v>0</v>
      </c>
      <c r="CR170" s="66">
        <v>0</v>
      </c>
      <c r="CS170" s="66">
        <v>0</v>
      </c>
      <c r="CT170" s="66">
        <v>0</v>
      </c>
      <c r="CU170" s="66">
        <v>0</v>
      </c>
      <c r="CV170" s="66">
        <v>1474</v>
      </c>
      <c r="CW170" s="66">
        <v>0</v>
      </c>
      <c r="CX170" s="66">
        <v>0</v>
      </c>
      <c r="CY170" s="66">
        <v>0</v>
      </c>
      <c r="CZ170" s="66">
        <v>0</v>
      </c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>
        <f>SUM(Table1[[#This Row],[01-03 Apr]:[Mar-26]])</f>
        <v>1474</v>
      </c>
    </row>
    <row r="171" spans="1:115" hidden="1" x14ac:dyDescent="0.2">
      <c r="A171" s="28"/>
      <c r="B171" s="29"/>
      <c r="C171" s="29" t="s">
        <v>2958</v>
      </c>
      <c r="D171" s="30" t="s">
        <v>2964</v>
      </c>
      <c r="E171" s="30" t="s">
        <v>2951</v>
      </c>
      <c r="F171" s="30"/>
      <c r="G171" s="31"/>
      <c r="H171" s="30">
        <v>23120076</v>
      </c>
      <c r="I171" s="30" t="str">
        <f>IF(Table1[[#This Row],[Centre Status]]="Returned","NA",IF(Table1[[#This Row],[SD]]&gt;19000,"Full Payment",IF(Table1[[#This Row],[SD]]&lt;1,"No Payment","Partial Payment")))</f>
        <v>Full Payment</v>
      </c>
      <c r="J171" s="30" t="s">
        <v>58</v>
      </c>
      <c r="K171" s="32">
        <v>110000</v>
      </c>
      <c r="L171" s="33">
        <f>Q171+R171+U171+Table1[[#This Row],[Farmer Payment]]</f>
        <v>24559.357561504032</v>
      </c>
      <c r="M171" s="30"/>
      <c r="N171" s="34"/>
      <c r="O171" s="34"/>
      <c r="P171" s="35">
        <f t="shared" si="31"/>
        <v>85440.642438495968</v>
      </c>
      <c r="Q171" s="33">
        <f>AI171+AV171+CK171+Table1[[#This Row],[FY 25-26]]</f>
        <v>4559.3575615040299</v>
      </c>
      <c r="R171" s="36">
        <v>20000</v>
      </c>
      <c r="S171" s="37" t="s">
        <v>2970</v>
      </c>
      <c r="T171" s="38">
        <v>45671</v>
      </c>
      <c r="U171" s="39"/>
      <c r="V171" s="39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1">
        <f t="shared" si="32"/>
        <v>0</v>
      </c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>
        <f t="shared" si="33"/>
        <v>0</v>
      </c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>
        <v>0</v>
      </c>
      <c r="BQ171" s="42"/>
      <c r="BR171" s="42">
        <v>0</v>
      </c>
      <c r="BS171" s="42"/>
      <c r="BT171" s="42"/>
      <c r="BU171" s="42"/>
      <c r="BV171" s="42">
        <v>0</v>
      </c>
      <c r="BW171" s="42">
        <v>0</v>
      </c>
      <c r="BX171" s="42">
        <v>0</v>
      </c>
      <c r="BY171" s="42">
        <v>0</v>
      </c>
      <c r="BZ171" s="42">
        <v>0</v>
      </c>
      <c r="CA171" s="42">
        <v>0</v>
      </c>
      <c r="CB171" s="42">
        <v>0</v>
      </c>
      <c r="CC171" s="42">
        <v>0</v>
      </c>
      <c r="CD171" s="42">
        <v>0</v>
      </c>
      <c r="CE171" s="42">
        <v>0</v>
      </c>
      <c r="CF171" s="42">
        <v>0</v>
      </c>
      <c r="CG171" s="42">
        <v>0</v>
      </c>
      <c r="CH171" s="42">
        <v>0</v>
      </c>
      <c r="CI171" s="42">
        <v>0</v>
      </c>
      <c r="CJ171" s="42">
        <v>2698.3575615040295</v>
      </c>
      <c r="CK171" s="43">
        <f t="shared" si="34"/>
        <v>2698.3575615040295</v>
      </c>
      <c r="CL171" s="66"/>
      <c r="CM171" s="66">
        <v>0</v>
      </c>
      <c r="CN171" s="66">
        <v>0</v>
      </c>
      <c r="CO171" s="66">
        <v>0</v>
      </c>
      <c r="CP171" s="66">
        <v>0</v>
      </c>
      <c r="CQ171" s="66">
        <v>0</v>
      </c>
      <c r="CR171" s="66">
        <v>0</v>
      </c>
      <c r="CS171" s="66">
        <v>0</v>
      </c>
      <c r="CT171" s="66">
        <v>0</v>
      </c>
      <c r="CU171" s="66">
        <v>0</v>
      </c>
      <c r="CV171" s="66">
        <v>1861</v>
      </c>
      <c r="CW171" s="66">
        <v>0</v>
      </c>
      <c r="CX171" s="66">
        <v>0</v>
      </c>
      <c r="CY171" s="66">
        <v>0</v>
      </c>
      <c r="CZ171" s="66">
        <v>0</v>
      </c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>
        <f>SUM(Table1[[#This Row],[01-03 Apr]:[Mar-26]])</f>
        <v>1861</v>
      </c>
    </row>
    <row r="172" spans="1:115" hidden="1" x14ac:dyDescent="0.2">
      <c r="A172" s="28"/>
      <c r="B172" s="29"/>
      <c r="C172" s="29" t="s">
        <v>2959</v>
      </c>
      <c r="D172" s="30" t="s">
        <v>2965</v>
      </c>
      <c r="E172" s="30" t="s">
        <v>2951</v>
      </c>
      <c r="F172" s="30"/>
      <c r="G172" s="31"/>
      <c r="H172" s="30">
        <v>24010141</v>
      </c>
      <c r="I172" s="30" t="str">
        <f>IF(Table1[[#This Row],[Centre Status]]="Returned","NA",IF(Table1[[#This Row],[SD]]&gt;19000,"Full Payment",IF(Table1[[#This Row],[SD]]&lt;1,"No Payment","Partial Payment")))</f>
        <v>Full Payment</v>
      </c>
      <c r="J172" s="30" t="s">
        <v>58</v>
      </c>
      <c r="K172" s="32">
        <v>110000</v>
      </c>
      <c r="L172" s="33">
        <f>Q172+R172+U172+Table1[[#This Row],[Farmer Payment]]</f>
        <v>25384.599886376258</v>
      </c>
      <c r="M172" s="30"/>
      <c r="N172" s="34"/>
      <c r="O172" s="34"/>
      <c r="P172" s="35">
        <f t="shared" si="31"/>
        <v>84615.400113623735</v>
      </c>
      <c r="Q172" s="33">
        <f>AI172+AV172+CK172+Table1[[#This Row],[FY 25-26]]</f>
        <v>5384.5998863762561</v>
      </c>
      <c r="R172" s="36">
        <v>20000</v>
      </c>
      <c r="S172" s="37" t="s">
        <v>2971</v>
      </c>
      <c r="T172" s="38">
        <v>45675</v>
      </c>
      <c r="U172" s="39"/>
      <c r="V172" s="39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1">
        <f t="shared" si="32"/>
        <v>0</v>
      </c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>
        <f t="shared" si="33"/>
        <v>0</v>
      </c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>
        <v>0</v>
      </c>
      <c r="BQ172" s="42"/>
      <c r="BR172" s="42">
        <v>0</v>
      </c>
      <c r="BS172" s="42"/>
      <c r="BT172" s="42"/>
      <c r="BU172" s="42"/>
      <c r="BV172" s="42">
        <v>0</v>
      </c>
      <c r="BW172" s="42">
        <v>0</v>
      </c>
      <c r="BX172" s="42">
        <v>0</v>
      </c>
      <c r="BY172" s="42">
        <v>0</v>
      </c>
      <c r="BZ172" s="42">
        <v>0</v>
      </c>
      <c r="CA172" s="42">
        <v>0</v>
      </c>
      <c r="CB172" s="42">
        <v>0</v>
      </c>
      <c r="CC172" s="42">
        <v>0</v>
      </c>
      <c r="CD172" s="42">
        <v>0</v>
      </c>
      <c r="CE172" s="42">
        <v>0</v>
      </c>
      <c r="CF172" s="42">
        <v>0</v>
      </c>
      <c r="CG172" s="42">
        <v>0</v>
      </c>
      <c r="CH172" s="42">
        <v>0</v>
      </c>
      <c r="CI172" s="42">
        <v>0</v>
      </c>
      <c r="CJ172" s="42">
        <v>3217.355686376256</v>
      </c>
      <c r="CK172" s="43">
        <f t="shared" si="34"/>
        <v>3217.355686376256</v>
      </c>
      <c r="CL172" s="66"/>
      <c r="CM172" s="66">
        <v>0</v>
      </c>
      <c r="CN172" s="66">
        <v>0</v>
      </c>
      <c r="CO172" s="66">
        <v>0</v>
      </c>
      <c r="CP172" s="66">
        <v>0</v>
      </c>
      <c r="CQ172" s="66">
        <v>0</v>
      </c>
      <c r="CR172" s="66">
        <v>0</v>
      </c>
      <c r="CS172" s="66">
        <v>0</v>
      </c>
      <c r="CT172" s="66">
        <v>0</v>
      </c>
      <c r="CU172" s="66">
        <v>0</v>
      </c>
      <c r="CV172" s="66">
        <v>2167.2442000000001</v>
      </c>
      <c r="CW172" s="66">
        <v>0</v>
      </c>
      <c r="CX172" s="66">
        <v>0</v>
      </c>
      <c r="CY172" s="66">
        <v>0</v>
      </c>
      <c r="CZ172" s="66">
        <v>0</v>
      </c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>
        <f>SUM(Table1[[#This Row],[01-03 Apr]:[Mar-26]])</f>
        <v>2167.2442000000001</v>
      </c>
    </row>
    <row r="173" spans="1:115" hidden="1" x14ac:dyDescent="0.2">
      <c r="A173" s="28"/>
      <c r="B173" s="29"/>
      <c r="C173" s="29" t="s">
        <v>2960</v>
      </c>
      <c r="D173" s="30" t="s">
        <v>2966</v>
      </c>
      <c r="E173" s="30" t="s">
        <v>2951</v>
      </c>
      <c r="F173" s="30"/>
      <c r="G173" s="31"/>
      <c r="H173" s="30">
        <v>24010142</v>
      </c>
      <c r="I173" s="30" t="str">
        <f>IF(Table1[[#This Row],[Centre Status]]="Returned","NA",IF(Table1[[#This Row],[SD]]&gt;19000,"Full Payment",IF(Table1[[#This Row],[SD]]&lt;1,"No Payment","Partial Payment")))</f>
        <v>Full Payment</v>
      </c>
      <c r="J173" s="30" t="s">
        <v>58</v>
      </c>
      <c r="K173" s="32">
        <v>110000</v>
      </c>
      <c r="L173" s="33">
        <f>Q173+R173+U173+Table1[[#This Row],[Farmer Payment]]</f>
        <v>26678.156516678013</v>
      </c>
      <c r="M173" s="30"/>
      <c r="N173" s="34"/>
      <c r="O173" s="34"/>
      <c r="P173" s="35">
        <f t="shared" si="31"/>
        <v>83321.84348332198</v>
      </c>
      <c r="Q173" s="33">
        <f>AI173+AV173+CK173+Table1[[#This Row],[FY 25-26]]</f>
        <v>6678.1565166780119</v>
      </c>
      <c r="R173" s="36">
        <v>20000</v>
      </c>
      <c r="S173" s="37" t="s">
        <v>2972</v>
      </c>
      <c r="T173" s="38">
        <v>45675</v>
      </c>
      <c r="U173" s="39"/>
      <c r="V173" s="39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1">
        <f t="shared" si="32"/>
        <v>0</v>
      </c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>
        <f t="shared" si="33"/>
        <v>0</v>
      </c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>
        <v>0</v>
      </c>
      <c r="BQ173" s="42"/>
      <c r="BR173" s="42">
        <v>0</v>
      </c>
      <c r="BS173" s="42"/>
      <c r="BT173" s="42"/>
      <c r="BU173" s="42"/>
      <c r="BV173" s="42">
        <v>0</v>
      </c>
      <c r="BW173" s="42">
        <v>0</v>
      </c>
      <c r="BX173" s="42">
        <v>0</v>
      </c>
      <c r="BY173" s="42">
        <v>0</v>
      </c>
      <c r="BZ173" s="42">
        <v>0</v>
      </c>
      <c r="CA173" s="42">
        <v>0</v>
      </c>
      <c r="CB173" s="42">
        <v>0</v>
      </c>
      <c r="CC173" s="42">
        <v>0</v>
      </c>
      <c r="CD173" s="42">
        <v>0</v>
      </c>
      <c r="CE173" s="42">
        <v>0</v>
      </c>
      <c r="CF173" s="42">
        <v>0</v>
      </c>
      <c r="CG173" s="42">
        <v>0</v>
      </c>
      <c r="CH173" s="42">
        <v>0</v>
      </c>
      <c r="CI173" s="42">
        <v>0</v>
      </c>
      <c r="CJ173" s="42">
        <v>3875.2003166780114</v>
      </c>
      <c r="CK173" s="43">
        <f t="shared" si="34"/>
        <v>3875.2003166780114</v>
      </c>
      <c r="CL173" s="66"/>
      <c r="CM173" s="66">
        <v>0</v>
      </c>
      <c r="CN173" s="66">
        <v>0</v>
      </c>
      <c r="CO173" s="66">
        <v>0</v>
      </c>
      <c r="CP173" s="66">
        <v>0</v>
      </c>
      <c r="CQ173" s="66">
        <v>0</v>
      </c>
      <c r="CR173" s="66">
        <v>0</v>
      </c>
      <c r="CS173" s="66">
        <v>0</v>
      </c>
      <c r="CT173" s="66">
        <v>0</v>
      </c>
      <c r="CU173" s="66">
        <v>0</v>
      </c>
      <c r="CV173" s="66">
        <v>2802.9562000000005</v>
      </c>
      <c r="CW173" s="66">
        <v>0</v>
      </c>
      <c r="CX173" s="66">
        <v>0</v>
      </c>
      <c r="CY173" s="66">
        <v>0</v>
      </c>
      <c r="CZ173" s="66">
        <v>0</v>
      </c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>
        <f>SUM(Table1[[#This Row],[01-03 Apr]:[Mar-26]])</f>
        <v>2802.9562000000005</v>
      </c>
    </row>
    <row r="174" spans="1:115" hidden="1" x14ac:dyDescent="0.2">
      <c r="A174" s="28"/>
      <c r="B174" s="29"/>
      <c r="C174" s="29" t="s">
        <v>2961</v>
      </c>
      <c r="D174" s="30" t="s">
        <v>2967</v>
      </c>
      <c r="E174" s="30" t="s">
        <v>2951</v>
      </c>
      <c r="F174" s="30"/>
      <c r="G174" s="31"/>
      <c r="H174" s="30">
        <v>24010124</v>
      </c>
      <c r="I174" s="30" t="str">
        <f>IF(Table1[[#This Row],[Centre Status]]="Returned","NA",IF(Table1[[#This Row],[SD]]&gt;19000,"Full Payment",IF(Table1[[#This Row],[SD]]&lt;1,"No Payment","Partial Payment")))</f>
        <v>Full Payment</v>
      </c>
      <c r="J174" s="30" t="s">
        <v>58</v>
      </c>
      <c r="K174" s="32">
        <v>110000</v>
      </c>
      <c r="L174" s="33">
        <f>Q174+R174+U174+Table1[[#This Row],[Farmer Payment]]</f>
        <v>21861</v>
      </c>
      <c r="M174" s="30"/>
      <c r="N174" s="34"/>
      <c r="O174" s="34"/>
      <c r="P174" s="35">
        <f t="shared" si="31"/>
        <v>88139</v>
      </c>
      <c r="Q174" s="33">
        <f>AI174+AV174+CK174+Table1[[#This Row],[FY 25-26]]</f>
        <v>1861</v>
      </c>
      <c r="R174" s="36">
        <v>20000</v>
      </c>
      <c r="S174" s="37" t="s">
        <v>2973</v>
      </c>
      <c r="T174" s="38">
        <v>45675</v>
      </c>
      <c r="U174" s="39"/>
      <c r="V174" s="39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1">
        <f t="shared" si="32"/>
        <v>0</v>
      </c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>
        <f t="shared" si="33"/>
        <v>0</v>
      </c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>
        <v>0</v>
      </c>
      <c r="BQ174" s="42"/>
      <c r="BR174" s="42">
        <v>0</v>
      </c>
      <c r="BS174" s="42"/>
      <c r="BT174" s="42"/>
      <c r="BU174" s="42"/>
      <c r="BV174" s="42">
        <v>0</v>
      </c>
      <c r="BW174" s="42">
        <v>0</v>
      </c>
      <c r="BX174" s="42">
        <v>0</v>
      </c>
      <c r="BY174" s="42">
        <v>0</v>
      </c>
      <c r="BZ174" s="42">
        <v>0</v>
      </c>
      <c r="CA174" s="42">
        <v>0</v>
      </c>
      <c r="CB174" s="42">
        <v>0</v>
      </c>
      <c r="CC174" s="42">
        <v>0</v>
      </c>
      <c r="CD174" s="42">
        <v>0</v>
      </c>
      <c r="CE174" s="42">
        <v>0</v>
      </c>
      <c r="CF174" s="42">
        <v>0</v>
      </c>
      <c r="CG174" s="42">
        <v>0</v>
      </c>
      <c r="CH174" s="42">
        <v>0</v>
      </c>
      <c r="CI174" s="42">
        <v>0</v>
      </c>
      <c r="CJ174" s="42">
        <v>1861</v>
      </c>
      <c r="CK174" s="43">
        <f t="shared" si="34"/>
        <v>1861</v>
      </c>
      <c r="CL174" s="66"/>
      <c r="CM174" s="66">
        <v>0</v>
      </c>
      <c r="CN174" s="66">
        <v>0</v>
      </c>
      <c r="CO174" s="66">
        <v>0</v>
      </c>
      <c r="CP174" s="66">
        <v>0</v>
      </c>
      <c r="CQ174" s="66">
        <v>0</v>
      </c>
      <c r="CR174" s="66">
        <v>0</v>
      </c>
      <c r="CS174" s="66">
        <v>0</v>
      </c>
      <c r="CT174" s="66">
        <v>0</v>
      </c>
      <c r="CU174" s="66">
        <v>0</v>
      </c>
      <c r="CV174" s="66">
        <v>0</v>
      </c>
      <c r="CW174" s="66">
        <v>0</v>
      </c>
      <c r="CX174" s="66">
        <v>0</v>
      </c>
      <c r="CY174" s="66">
        <v>0</v>
      </c>
      <c r="CZ174" s="66">
        <v>0</v>
      </c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>
        <f>SUM(Table1[[#This Row],[01-03 Apr]:[Mar-26]])</f>
        <v>0</v>
      </c>
    </row>
    <row r="175" spans="1:115" hidden="1" x14ac:dyDescent="0.2">
      <c r="A175" s="28"/>
      <c r="B175" s="29"/>
      <c r="C175" s="29" t="s">
        <v>2962</v>
      </c>
      <c r="D175" s="30" t="s">
        <v>2968</v>
      </c>
      <c r="E175" s="30" t="s">
        <v>2951</v>
      </c>
      <c r="F175" s="30"/>
      <c r="G175" s="31"/>
      <c r="H175" s="30">
        <v>24010134</v>
      </c>
      <c r="I175" s="30" t="str">
        <f>IF(Table1[[#This Row],[Centre Status]]="Returned","NA",IF(Table1[[#This Row],[SD]]&gt;19000,"Full Payment",IF(Table1[[#This Row],[SD]]&lt;1,"No Payment","Partial Payment")))</f>
        <v>Full Payment</v>
      </c>
      <c r="J175" s="30" t="s">
        <v>58</v>
      </c>
      <c r="K175" s="32">
        <v>110000</v>
      </c>
      <c r="L175" s="33">
        <f>Q175+R175+U175+Table1[[#This Row],[Farmer Payment]]</f>
        <v>25064.093752874353</v>
      </c>
      <c r="M175" s="30"/>
      <c r="N175" s="34"/>
      <c r="O175" s="34"/>
      <c r="P175" s="35">
        <f t="shared" si="31"/>
        <v>84935.906247125647</v>
      </c>
      <c r="Q175" s="33">
        <f>AI175+AV175+CK175+Table1[[#This Row],[FY 25-26]]</f>
        <v>5064.0937528743525</v>
      </c>
      <c r="R175" s="36">
        <v>20000</v>
      </c>
      <c r="S175" s="37" t="s">
        <v>2975</v>
      </c>
      <c r="T175" s="38">
        <v>45675</v>
      </c>
      <c r="U175" s="39"/>
      <c r="V175" s="39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1">
        <f t="shared" si="32"/>
        <v>0</v>
      </c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>
        <f t="shared" si="33"/>
        <v>0</v>
      </c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>
        <v>0</v>
      </c>
      <c r="BQ175" s="42"/>
      <c r="BR175" s="42">
        <v>0</v>
      </c>
      <c r="BS175" s="42"/>
      <c r="BT175" s="42"/>
      <c r="BU175" s="42"/>
      <c r="BV175" s="42">
        <v>0</v>
      </c>
      <c r="BW175" s="42">
        <v>0</v>
      </c>
      <c r="BX175" s="42">
        <v>0</v>
      </c>
      <c r="BY175" s="42">
        <v>0</v>
      </c>
      <c r="BZ175" s="42">
        <v>0</v>
      </c>
      <c r="CA175" s="42">
        <v>0</v>
      </c>
      <c r="CB175" s="42">
        <v>0</v>
      </c>
      <c r="CC175" s="42">
        <v>0</v>
      </c>
      <c r="CD175" s="42">
        <v>0</v>
      </c>
      <c r="CE175" s="42">
        <v>0</v>
      </c>
      <c r="CF175" s="42">
        <v>0</v>
      </c>
      <c r="CG175" s="42">
        <v>0</v>
      </c>
      <c r="CH175" s="42">
        <v>0</v>
      </c>
      <c r="CI175" s="42">
        <v>0</v>
      </c>
      <c r="CJ175" s="42">
        <v>3203.0937528743525</v>
      </c>
      <c r="CK175" s="43">
        <f t="shared" si="34"/>
        <v>3203.0937528743525</v>
      </c>
      <c r="CL175" s="66"/>
      <c r="CM175" s="66">
        <v>0</v>
      </c>
      <c r="CN175" s="66">
        <v>0</v>
      </c>
      <c r="CO175" s="66">
        <v>0</v>
      </c>
      <c r="CP175" s="66">
        <v>0</v>
      </c>
      <c r="CQ175" s="66">
        <v>0</v>
      </c>
      <c r="CR175" s="66">
        <v>0</v>
      </c>
      <c r="CS175" s="66">
        <v>0</v>
      </c>
      <c r="CT175" s="66">
        <v>0</v>
      </c>
      <c r="CU175" s="66">
        <v>0</v>
      </c>
      <c r="CV175" s="66">
        <v>1861</v>
      </c>
      <c r="CW175" s="66">
        <v>0</v>
      </c>
      <c r="CX175" s="66">
        <v>0</v>
      </c>
      <c r="CY175" s="66">
        <v>0</v>
      </c>
      <c r="CZ175" s="66">
        <v>0</v>
      </c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>
        <f>SUM(Table1[[#This Row],[01-03 Apr]:[Mar-26]])</f>
        <v>1861</v>
      </c>
    </row>
    <row r="176" spans="1:115" hidden="1" x14ac:dyDescent="0.2">
      <c r="A176" s="28"/>
      <c r="B176" s="29"/>
      <c r="C176" s="29" t="s">
        <v>2963</v>
      </c>
      <c r="D176" s="30" t="s">
        <v>2969</v>
      </c>
      <c r="E176" s="30" t="s">
        <v>2951</v>
      </c>
      <c r="F176" s="30"/>
      <c r="G176" s="31"/>
      <c r="H176" s="30">
        <v>24010120</v>
      </c>
      <c r="I176" s="30" t="str">
        <f>IF(Table1[[#This Row],[Centre Status]]="Returned","NA",IF(Table1[[#This Row],[SD]]&gt;19000,"Full Payment",IF(Table1[[#This Row],[SD]]&lt;1,"No Payment","Partial Payment")))</f>
        <v>Full Payment</v>
      </c>
      <c r="J176" s="30" t="s">
        <v>58</v>
      </c>
      <c r="K176" s="32">
        <v>110000</v>
      </c>
      <c r="L176" s="33">
        <f>Q176+R176+U176+Table1[[#This Row],[Farmer Payment]]</f>
        <v>24822.951544779193</v>
      </c>
      <c r="M176" s="30"/>
      <c r="N176" s="34"/>
      <c r="O176" s="34"/>
      <c r="P176" s="35">
        <f t="shared" si="31"/>
        <v>85177.048455220807</v>
      </c>
      <c r="Q176" s="33">
        <f>AI176+AV176+CK176+Table1[[#This Row],[FY 25-26]]</f>
        <v>4822.9515447791937</v>
      </c>
      <c r="R176" s="36">
        <v>20000</v>
      </c>
      <c r="S176" s="37" t="s">
        <v>2974</v>
      </c>
      <c r="T176" s="38">
        <v>45652</v>
      </c>
      <c r="U176" s="39"/>
      <c r="V176" s="39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1">
        <f t="shared" si="32"/>
        <v>0</v>
      </c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>
        <f t="shared" si="33"/>
        <v>0</v>
      </c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>
        <v>0</v>
      </c>
      <c r="BQ176" s="42"/>
      <c r="BR176" s="42">
        <v>0</v>
      </c>
      <c r="BS176" s="42"/>
      <c r="BT176" s="42"/>
      <c r="BU176" s="42"/>
      <c r="BV176" s="42">
        <v>0</v>
      </c>
      <c r="BW176" s="42">
        <v>0</v>
      </c>
      <c r="BX176" s="42">
        <v>0</v>
      </c>
      <c r="BY176" s="42">
        <v>0</v>
      </c>
      <c r="BZ176" s="42">
        <v>0</v>
      </c>
      <c r="CA176" s="42">
        <v>0</v>
      </c>
      <c r="CB176" s="42">
        <v>0</v>
      </c>
      <c r="CC176" s="42">
        <v>0</v>
      </c>
      <c r="CD176" s="42">
        <v>0</v>
      </c>
      <c r="CE176" s="42">
        <v>0</v>
      </c>
      <c r="CF176" s="42">
        <v>0</v>
      </c>
      <c r="CG176" s="42">
        <v>0</v>
      </c>
      <c r="CH176" s="42">
        <v>0</v>
      </c>
      <c r="CI176" s="42">
        <v>0</v>
      </c>
      <c r="CJ176" s="42">
        <v>2531.8295447791934</v>
      </c>
      <c r="CK176" s="43">
        <f t="shared" si="34"/>
        <v>2531.8295447791934</v>
      </c>
      <c r="CL176" s="66"/>
      <c r="CM176" s="66">
        <v>0</v>
      </c>
      <c r="CN176" s="66">
        <v>0</v>
      </c>
      <c r="CO176" s="66">
        <v>0</v>
      </c>
      <c r="CP176" s="66">
        <v>0</v>
      </c>
      <c r="CQ176" s="66">
        <v>0</v>
      </c>
      <c r="CR176" s="66">
        <v>0</v>
      </c>
      <c r="CS176" s="66">
        <v>0</v>
      </c>
      <c r="CT176" s="66">
        <v>0</v>
      </c>
      <c r="CU176" s="66">
        <v>0</v>
      </c>
      <c r="CV176" s="66">
        <v>2291.1220000000003</v>
      </c>
      <c r="CW176" s="66">
        <v>0</v>
      </c>
      <c r="CX176" s="66">
        <v>0</v>
      </c>
      <c r="CY176" s="66">
        <v>0</v>
      </c>
      <c r="CZ176" s="66">
        <v>0</v>
      </c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>
        <f>SUM(Table1[[#This Row],[01-03 Apr]:[Mar-26]])</f>
        <v>2291.1220000000003</v>
      </c>
    </row>
    <row r="177" spans="1:115" x14ac:dyDescent="0.2">
      <c r="A177" s="28"/>
      <c r="B177" s="29"/>
      <c r="C177" s="29" t="s">
        <v>2818</v>
      </c>
      <c r="D177" s="30" t="s">
        <v>2815</v>
      </c>
      <c r="E177" s="30" t="s">
        <v>1321</v>
      </c>
      <c r="F177" s="30"/>
      <c r="G177" s="31"/>
      <c r="H177" s="30">
        <v>383993</v>
      </c>
      <c r="I177" s="30" t="str">
        <f>IF(Table1[[#This Row],[Centre Status]]="Returned","NA",IF(Table1[[#This Row],[SD]]&gt;19000,"Full Payment",IF(Table1[[#This Row],[SD]]&lt;1,"No Payment","Partial Payment")))</f>
        <v>Partial Payment</v>
      </c>
      <c r="J177" s="30" t="s">
        <v>58</v>
      </c>
      <c r="K177" s="32">
        <v>110000</v>
      </c>
      <c r="L177" s="33">
        <f>Q177+R177+U177+Table1[[#This Row],[Farmer Payment]]</f>
        <v>33166.124297829083</v>
      </c>
      <c r="M177" s="30"/>
      <c r="N177" s="34"/>
      <c r="O177" s="34"/>
      <c r="P177" s="35">
        <f t="shared" ref="P177:P208" si="35">K177-L177+M177</f>
        <v>76833.875702170917</v>
      </c>
      <c r="Q177" s="33">
        <f>AI177+AV177+CK177+Table1[[#This Row],[FY 25-26]]</f>
        <v>18166.124297829083</v>
      </c>
      <c r="R177" s="36">
        <f>10000+5000</f>
        <v>15000</v>
      </c>
      <c r="S177" s="37" t="s">
        <v>2822</v>
      </c>
      <c r="T177" s="38">
        <v>45637</v>
      </c>
      <c r="U177" s="39"/>
      <c r="V177" s="39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1">
        <f t="shared" ref="AI177:AI208" si="36">SUM(W177:AH177)</f>
        <v>0</v>
      </c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>
        <f t="shared" ref="AV177:AV208" si="37">SUM(AJ177:AU177)</f>
        <v>0</v>
      </c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>
        <v>0</v>
      </c>
      <c r="BO177" s="42"/>
      <c r="BP177" s="42">
        <v>0</v>
      </c>
      <c r="BQ177" s="42">
        <v>0</v>
      </c>
      <c r="BR177" s="42">
        <v>0</v>
      </c>
      <c r="BS177" s="42">
        <v>509</v>
      </c>
      <c r="BT177" s="42">
        <v>0</v>
      </c>
      <c r="BU177" s="42">
        <v>0</v>
      </c>
      <c r="BV177" s="42">
        <v>0</v>
      </c>
      <c r="BW177" s="42">
        <v>0</v>
      </c>
      <c r="BX177" s="42">
        <v>0</v>
      </c>
      <c r="BY177" s="42">
        <v>0</v>
      </c>
      <c r="BZ177" s="42">
        <v>0</v>
      </c>
      <c r="CA177" s="42">
        <v>0</v>
      </c>
      <c r="CB177" s="42">
        <v>0</v>
      </c>
      <c r="CC177" s="42">
        <v>0</v>
      </c>
      <c r="CD177" s="42">
        <v>0</v>
      </c>
      <c r="CE177" s="42">
        <v>0</v>
      </c>
      <c r="CF177" s="42">
        <v>0</v>
      </c>
      <c r="CG177" s="42">
        <v>0</v>
      </c>
      <c r="CH177" s="42">
        <v>0</v>
      </c>
      <c r="CI177" s="42">
        <v>500</v>
      </c>
      <c r="CJ177" s="42">
        <v>5323.8420183611033</v>
      </c>
      <c r="CK177" s="43">
        <f t="shared" ref="CK177:CK208" si="38">SUM(AW177:CJ177)</f>
        <v>6332.8420183611033</v>
      </c>
      <c r="CL177" s="66"/>
      <c r="CM177" s="66">
        <v>500</v>
      </c>
      <c r="CN177" s="66">
        <v>500</v>
      </c>
      <c r="CO177" s="66">
        <v>500</v>
      </c>
      <c r="CP177" s="66">
        <v>4477.2798511963383</v>
      </c>
      <c r="CQ177" s="66">
        <v>0</v>
      </c>
      <c r="CR177" s="66">
        <v>0</v>
      </c>
      <c r="CS177" s="66">
        <v>0</v>
      </c>
      <c r="CT177" s="66">
        <v>500</v>
      </c>
      <c r="CU177" s="66">
        <v>41</v>
      </c>
      <c r="CV177" s="66">
        <v>4815.0024282716404</v>
      </c>
      <c r="CW177" s="66">
        <v>0</v>
      </c>
      <c r="CX177" s="66">
        <v>0</v>
      </c>
      <c r="CY177" s="66">
        <v>0</v>
      </c>
      <c r="CZ177" s="66">
        <v>500</v>
      </c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>
        <f>SUM(Table1[[#This Row],[01-03 Apr]:[Mar-26]])</f>
        <v>11833.282279467978</v>
      </c>
    </row>
    <row r="178" spans="1:115" hidden="1" x14ac:dyDescent="0.2">
      <c r="A178" s="28"/>
      <c r="B178" s="29"/>
      <c r="C178" s="29" t="s">
        <v>2980</v>
      </c>
      <c r="D178" s="30" t="s">
        <v>2867</v>
      </c>
      <c r="E178" s="30" t="s">
        <v>101</v>
      </c>
      <c r="F178" s="30"/>
      <c r="G178" s="31"/>
      <c r="H178" s="30"/>
      <c r="I178" s="30" t="str">
        <f>IF(Table1[[#This Row],[Centre Status]]="Returned","NA",IF(Table1[[#This Row],[SD]]&gt;19000,"Full Payment",IF(Table1[[#This Row],[SD]]&lt;1,"No Payment","Partial Payment")))</f>
        <v>NA</v>
      </c>
      <c r="J178" s="30" t="s">
        <v>1903</v>
      </c>
      <c r="K178" s="32">
        <v>110000</v>
      </c>
      <c r="L178" s="33">
        <f>Q178+R178+U178+Table1[[#This Row],[Farmer Payment]]</f>
        <v>10000</v>
      </c>
      <c r="M178" s="30">
        <v>10000</v>
      </c>
      <c r="N178" s="34">
        <v>45688</v>
      </c>
      <c r="O178" s="34" t="s">
        <v>3161</v>
      </c>
      <c r="P178" s="35">
        <f t="shared" si="35"/>
        <v>110000</v>
      </c>
      <c r="Q178" s="33">
        <f>AI178+AV178+CK178+Table1[[#This Row],[FY 25-26]]</f>
        <v>0</v>
      </c>
      <c r="R178" s="36">
        <v>10000</v>
      </c>
      <c r="S178" s="37" t="s">
        <v>2871</v>
      </c>
      <c r="T178" s="38" t="s">
        <v>2870</v>
      </c>
      <c r="U178" s="39"/>
      <c r="V178" s="39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1">
        <f t="shared" si="36"/>
        <v>0</v>
      </c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>
        <f t="shared" si="37"/>
        <v>0</v>
      </c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>
        <v>0</v>
      </c>
      <c r="BQ178" s="42"/>
      <c r="BR178" s="42">
        <v>0</v>
      </c>
      <c r="BS178" s="42">
        <v>0</v>
      </c>
      <c r="BT178" s="42">
        <v>0</v>
      </c>
      <c r="BU178" s="42">
        <v>0</v>
      </c>
      <c r="BV178" s="42">
        <v>0</v>
      </c>
      <c r="BW178" s="42">
        <v>0</v>
      </c>
      <c r="BX178" s="42">
        <v>0</v>
      </c>
      <c r="BY178" s="42">
        <v>0</v>
      </c>
      <c r="BZ178" s="42">
        <v>0</v>
      </c>
      <c r="CA178" s="42">
        <v>0</v>
      </c>
      <c r="CB178" s="42">
        <v>0</v>
      </c>
      <c r="CC178" s="42">
        <v>0</v>
      </c>
      <c r="CD178" s="42">
        <v>0</v>
      </c>
      <c r="CE178" s="42">
        <v>0</v>
      </c>
      <c r="CF178" s="42">
        <v>0</v>
      </c>
      <c r="CG178" s="42">
        <v>0</v>
      </c>
      <c r="CH178" s="42">
        <v>0</v>
      </c>
      <c r="CI178" s="42">
        <v>0</v>
      </c>
      <c r="CJ178" s="42">
        <v>0</v>
      </c>
      <c r="CK178" s="43">
        <f t="shared" si="38"/>
        <v>0</v>
      </c>
      <c r="CL178" s="66"/>
      <c r="CM178" s="66">
        <v>0</v>
      </c>
      <c r="CN178" s="66">
        <v>0</v>
      </c>
      <c r="CO178" s="66">
        <v>0</v>
      </c>
      <c r="CP178" s="66">
        <v>0</v>
      </c>
      <c r="CQ178" s="66">
        <v>0</v>
      </c>
      <c r="CR178" s="66">
        <v>0</v>
      </c>
      <c r="CS178" s="66">
        <v>0</v>
      </c>
      <c r="CT178" s="66">
        <v>0</v>
      </c>
      <c r="CU178" s="66">
        <v>0</v>
      </c>
      <c r="CV178" s="66">
        <v>0</v>
      </c>
      <c r="CW178" s="66">
        <v>0</v>
      </c>
      <c r="CX178" s="66">
        <v>0</v>
      </c>
      <c r="CY178" s="66">
        <v>0</v>
      </c>
      <c r="CZ178" s="66">
        <v>0</v>
      </c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>
        <f>SUM(Table1[[#This Row],[01-03 Apr]:[Mar-26]])</f>
        <v>0</v>
      </c>
    </row>
    <row r="179" spans="1:115" x14ac:dyDescent="0.2">
      <c r="A179" s="28"/>
      <c r="B179" s="29"/>
      <c r="C179" s="29" t="s">
        <v>2979</v>
      </c>
      <c r="D179" s="30" t="s">
        <v>2868</v>
      </c>
      <c r="E179" s="30" t="s">
        <v>101</v>
      </c>
      <c r="F179" s="30"/>
      <c r="G179" s="31"/>
      <c r="H179" s="30"/>
      <c r="I179" s="30" t="str">
        <f>IF(Table1[[#This Row],[Centre Status]]="Returned","NA",IF(Table1[[#This Row],[SD]]&gt;19000,"Full Payment",IF(Table1[[#This Row],[SD]]&lt;1,"No Payment","Partial Payment")))</f>
        <v>Partial Payment</v>
      </c>
      <c r="J179" s="30" t="s">
        <v>58</v>
      </c>
      <c r="K179" s="32">
        <v>110000</v>
      </c>
      <c r="L179" s="33">
        <f>Q179+R179+U179+Table1[[#This Row],[Farmer Payment]]</f>
        <v>15583</v>
      </c>
      <c r="M179" s="30"/>
      <c r="N179" s="34"/>
      <c r="O179" s="34"/>
      <c r="P179" s="35">
        <f t="shared" si="35"/>
        <v>94417</v>
      </c>
      <c r="Q179" s="33">
        <f>AI179+AV179+CK179+Table1[[#This Row],[FY 25-26]]</f>
        <v>5583</v>
      </c>
      <c r="R179" s="36">
        <v>10000</v>
      </c>
      <c r="S179" s="37" t="s">
        <v>2872</v>
      </c>
      <c r="T179" s="38" t="s">
        <v>2870</v>
      </c>
      <c r="U179" s="39"/>
      <c r="V179" s="39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1">
        <f t="shared" si="36"/>
        <v>0</v>
      </c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>
        <f t="shared" si="37"/>
        <v>0</v>
      </c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>
        <v>0</v>
      </c>
      <c r="BQ179" s="42"/>
      <c r="BR179" s="42">
        <v>0</v>
      </c>
      <c r="BS179" s="42">
        <v>0</v>
      </c>
      <c r="BT179" s="42">
        <v>0</v>
      </c>
      <c r="BU179" s="42">
        <v>0</v>
      </c>
      <c r="BV179" s="42">
        <v>0</v>
      </c>
      <c r="BW179" s="42">
        <v>0</v>
      </c>
      <c r="BX179" s="42">
        <v>0</v>
      </c>
      <c r="BY179" s="42">
        <v>0</v>
      </c>
      <c r="BZ179" s="42">
        <v>0</v>
      </c>
      <c r="CA179" s="42">
        <v>0</v>
      </c>
      <c r="CB179" s="42">
        <v>0</v>
      </c>
      <c r="CC179" s="42">
        <v>0</v>
      </c>
      <c r="CD179" s="42">
        <v>0</v>
      </c>
      <c r="CE179" s="42">
        <v>0</v>
      </c>
      <c r="CF179" s="42">
        <v>0</v>
      </c>
      <c r="CG179" s="42">
        <v>0</v>
      </c>
      <c r="CH179" s="42">
        <v>0</v>
      </c>
      <c r="CI179" s="42">
        <v>0</v>
      </c>
      <c r="CJ179" s="42">
        <v>1861</v>
      </c>
      <c r="CK179" s="43">
        <f t="shared" si="38"/>
        <v>1861</v>
      </c>
      <c r="CL179" s="66"/>
      <c r="CM179" s="66">
        <v>0</v>
      </c>
      <c r="CN179" s="66">
        <v>0</v>
      </c>
      <c r="CO179" s="66">
        <v>0</v>
      </c>
      <c r="CP179" s="66">
        <v>1861</v>
      </c>
      <c r="CQ179" s="66">
        <v>0</v>
      </c>
      <c r="CR179" s="66">
        <v>0</v>
      </c>
      <c r="CS179" s="66">
        <v>0</v>
      </c>
      <c r="CT179" s="66">
        <v>0</v>
      </c>
      <c r="CU179" s="66">
        <v>0</v>
      </c>
      <c r="CV179" s="66">
        <v>1861</v>
      </c>
      <c r="CW179" s="66">
        <v>0</v>
      </c>
      <c r="CX179" s="66">
        <v>0</v>
      </c>
      <c r="CY179" s="66">
        <v>0</v>
      </c>
      <c r="CZ179" s="66">
        <v>0</v>
      </c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>
        <f>SUM(Table1[[#This Row],[01-03 Apr]:[Mar-26]])</f>
        <v>3722</v>
      </c>
    </row>
    <row r="180" spans="1:115" hidden="1" x14ac:dyDescent="0.2">
      <c r="A180" s="28"/>
      <c r="B180" s="29"/>
      <c r="C180" s="29" t="s">
        <v>2987</v>
      </c>
      <c r="D180" s="30" t="s">
        <v>2983</v>
      </c>
      <c r="E180" s="30" t="s">
        <v>1630</v>
      </c>
      <c r="F180" s="30"/>
      <c r="G180" s="31"/>
      <c r="H180" s="30"/>
      <c r="I180" s="30" t="str">
        <f>IF(Table1[[#This Row],[Centre Status]]="Returned","NA",IF(Table1[[#This Row],[SD]]&gt;19000,"Full Payment",IF(Table1[[#This Row],[SD]]&lt;1,"No Payment","Partial Payment")))</f>
        <v>Full Payment</v>
      </c>
      <c r="J180" s="30" t="s">
        <v>58</v>
      </c>
      <c r="K180" s="32">
        <v>110000</v>
      </c>
      <c r="L180" s="33">
        <f>Q180+R180+U180+Table1[[#This Row],[Farmer Payment]]</f>
        <v>22095</v>
      </c>
      <c r="M180" s="30"/>
      <c r="N180" s="34"/>
      <c r="O180" s="34"/>
      <c r="P180" s="35">
        <f t="shared" si="35"/>
        <v>87905</v>
      </c>
      <c r="Q180" s="33">
        <f>AI180+AV180+CK180+Table1[[#This Row],[FY 25-26]]</f>
        <v>2095</v>
      </c>
      <c r="R180" s="36">
        <v>20000</v>
      </c>
      <c r="S180" s="37" t="s">
        <v>2985</v>
      </c>
      <c r="T180" s="38">
        <v>45679</v>
      </c>
      <c r="U180" s="39"/>
      <c r="V180" s="39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1">
        <f t="shared" si="36"/>
        <v>0</v>
      </c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>
        <f t="shared" si="37"/>
        <v>0</v>
      </c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>
        <v>0</v>
      </c>
      <c r="BQ180" s="42"/>
      <c r="BR180" s="42"/>
      <c r="BS180" s="42"/>
      <c r="BT180" s="42"/>
      <c r="BU180" s="42"/>
      <c r="BV180" s="42"/>
      <c r="BW180" s="42"/>
      <c r="BX180" s="42"/>
      <c r="BY180" s="42">
        <v>0</v>
      </c>
      <c r="BZ180" s="42">
        <v>0</v>
      </c>
      <c r="CA180" s="42">
        <v>0</v>
      </c>
      <c r="CB180" s="42">
        <v>0</v>
      </c>
      <c r="CC180" s="42">
        <v>0</v>
      </c>
      <c r="CD180" s="42">
        <v>0</v>
      </c>
      <c r="CE180" s="42">
        <v>0</v>
      </c>
      <c r="CF180" s="42">
        <v>0</v>
      </c>
      <c r="CG180" s="42">
        <v>0</v>
      </c>
      <c r="CH180" s="42">
        <v>0</v>
      </c>
      <c r="CI180" s="42">
        <v>0</v>
      </c>
      <c r="CJ180" s="42">
        <v>530</v>
      </c>
      <c r="CK180" s="43">
        <f t="shared" si="38"/>
        <v>530</v>
      </c>
      <c r="CL180" s="66"/>
      <c r="CM180" s="66">
        <v>0</v>
      </c>
      <c r="CN180" s="66">
        <v>0</v>
      </c>
      <c r="CO180" s="66">
        <v>0</v>
      </c>
      <c r="CP180" s="66">
        <v>0</v>
      </c>
      <c r="CQ180" s="66">
        <v>0</v>
      </c>
      <c r="CR180" s="66">
        <v>0</v>
      </c>
      <c r="CS180" s="66">
        <v>0</v>
      </c>
      <c r="CT180" s="66">
        <v>0</v>
      </c>
      <c r="CU180" s="66">
        <v>0</v>
      </c>
      <c r="CV180" s="66">
        <v>1565</v>
      </c>
      <c r="CW180" s="66">
        <v>0</v>
      </c>
      <c r="CX180" s="66">
        <v>0</v>
      </c>
      <c r="CY180" s="66">
        <v>0</v>
      </c>
      <c r="CZ180" s="66">
        <v>0</v>
      </c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>
        <f>SUM(Table1[[#This Row],[01-03 Apr]:[Mar-26]])</f>
        <v>1565</v>
      </c>
    </row>
    <row r="181" spans="1:115" x14ac:dyDescent="0.2">
      <c r="A181" s="28"/>
      <c r="B181" s="29"/>
      <c r="C181" s="29" t="s">
        <v>2988</v>
      </c>
      <c r="D181" s="30" t="s">
        <v>2984</v>
      </c>
      <c r="E181" s="30" t="s">
        <v>1630</v>
      </c>
      <c r="F181" s="30"/>
      <c r="G181" s="31"/>
      <c r="H181" s="30"/>
      <c r="I181" s="30" t="str">
        <f>IF(Table1[[#This Row],[Centre Status]]="Returned","NA",IF(Table1[[#This Row],[SD]]&gt;19000,"Full Payment",IF(Table1[[#This Row],[SD]]&lt;1,"No Payment","Partial Payment")))</f>
        <v>Partial Payment</v>
      </c>
      <c r="J181" s="30" t="s">
        <v>58</v>
      </c>
      <c r="K181" s="32">
        <v>110000</v>
      </c>
      <c r="L181" s="33">
        <f>Q181+R181+U181+Table1[[#This Row],[Farmer Payment]]</f>
        <v>13745.008723758132</v>
      </c>
      <c r="M181" s="30"/>
      <c r="N181" s="34"/>
      <c r="O181" s="34"/>
      <c r="P181" s="35">
        <f t="shared" si="35"/>
        <v>96254.991276241868</v>
      </c>
      <c r="Q181" s="33">
        <f>AI181+AV181+CK181+Table1[[#This Row],[FY 25-26]]</f>
        <v>3745.008723758132</v>
      </c>
      <c r="R181" s="36">
        <v>10000</v>
      </c>
      <c r="S181" s="37" t="s">
        <v>2986</v>
      </c>
      <c r="T181" s="38">
        <v>45679</v>
      </c>
      <c r="U181" s="39"/>
      <c r="V181" s="39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1">
        <f t="shared" si="36"/>
        <v>0</v>
      </c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>
        <f t="shared" si="37"/>
        <v>0</v>
      </c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>
        <v>0</v>
      </c>
      <c r="BQ181" s="42"/>
      <c r="BR181" s="42"/>
      <c r="BS181" s="42"/>
      <c r="BT181" s="42"/>
      <c r="BU181" s="42"/>
      <c r="BV181" s="42"/>
      <c r="BW181" s="42"/>
      <c r="BX181" s="42"/>
      <c r="BY181" s="42">
        <v>0</v>
      </c>
      <c r="BZ181" s="42">
        <v>0</v>
      </c>
      <c r="CA181" s="42">
        <v>0</v>
      </c>
      <c r="CB181" s="42">
        <v>0</v>
      </c>
      <c r="CC181" s="42">
        <v>0</v>
      </c>
      <c r="CD181" s="42">
        <v>0</v>
      </c>
      <c r="CE181" s="42">
        <v>0</v>
      </c>
      <c r="CF181" s="42">
        <v>0</v>
      </c>
      <c r="CG181" s="42">
        <v>0</v>
      </c>
      <c r="CH181" s="42">
        <v>0</v>
      </c>
      <c r="CI181" s="42">
        <v>0</v>
      </c>
      <c r="CJ181" s="42">
        <v>1884.0087237581322</v>
      </c>
      <c r="CK181" s="43">
        <f t="shared" si="38"/>
        <v>1884.0087237581322</v>
      </c>
      <c r="CL181" s="66"/>
      <c r="CM181" s="66">
        <v>0</v>
      </c>
      <c r="CN181" s="66">
        <v>0</v>
      </c>
      <c r="CO181" s="66">
        <v>0</v>
      </c>
      <c r="CP181" s="66">
        <v>0</v>
      </c>
      <c r="CQ181" s="66">
        <v>0</v>
      </c>
      <c r="CR181" s="66">
        <v>0</v>
      </c>
      <c r="CS181" s="66">
        <v>0</v>
      </c>
      <c r="CT181" s="66">
        <v>0</v>
      </c>
      <c r="CU181" s="66">
        <v>0</v>
      </c>
      <c r="CV181" s="66">
        <v>1861</v>
      </c>
      <c r="CW181" s="66">
        <v>0</v>
      </c>
      <c r="CX181" s="66">
        <v>0</v>
      </c>
      <c r="CY181" s="66">
        <v>0</v>
      </c>
      <c r="CZ181" s="66">
        <v>0</v>
      </c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>
        <f>SUM(Table1[[#This Row],[01-03 Apr]:[Mar-26]])</f>
        <v>1861</v>
      </c>
    </row>
    <row r="182" spans="1:115" x14ac:dyDescent="0.2">
      <c r="A182" s="28"/>
      <c r="B182" s="29"/>
      <c r="C182" s="29" t="s">
        <v>2978</v>
      </c>
      <c r="D182" s="30" t="s">
        <v>2981</v>
      </c>
      <c r="E182" s="30" t="s">
        <v>906</v>
      </c>
      <c r="F182" s="30"/>
      <c r="G182" s="31"/>
      <c r="H182" s="30"/>
      <c r="I182" s="30" t="str">
        <f>IF(Table1[[#This Row],[Centre Status]]="Returned","NA",IF(Table1[[#This Row],[SD]]&gt;19000,"Full Payment",IF(Table1[[#This Row],[SD]]&lt;1,"No Payment","Partial Payment")))</f>
        <v>Partial Payment</v>
      </c>
      <c r="J182" s="30" t="s">
        <v>58</v>
      </c>
      <c r="K182" s="32">
        <v>110000</v>
      </c>
      <c r="L182" s="33">
        <f>Q182+R182+U182+Table1[[#This Row],[Farmer Payment]]</f>
        <v>10769</v>
      </c>
      <c r="M182" s="30"/>
      <c r="N182" s="34"/>
      <c r="O182" s="34"/>
      <c r="P182" s="35">
        <f t="shared" si="35"/>
        <v>99231</v>
      </c>
      <c r="Q182" s="33">
        <f>AI182+AV182+CK182+Table1[[#This Row],[FY 25-26]]</f>
        <v>769</v>
      </c>
      <c r="R182" s="36">
        <v>10000</v>
      </c>
      <c r="S182" s="37" t="s">
        <v>2982</v>
      </c>
      <c r="T182" s="38">
        <v>45680</v>
      </c>
      <c r="U182" s="39"/>
      <c r="V182" s="39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1">
        <f t="shared" si="36"/>
        <v>0</v>
      </c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>
        <f t="shared" si="37"/>
        <v>0</v>
      </c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>
        <v>0</v>
      </c>
      <c r="BQ182" s="42"/>
      <c r="BR182" s="42"/>
      <c r="BS182" s="42"/>
      <c r="BT182" s="42"/>
      <c r="BU182" s="42"/>
      <c r="BV182" s="42"/>
      <c r="BW182" s="42"/>
      <c r="BX182" s="42"/>
      <c r="BY182" s="42">
        <v>0</v>
      </c>
      <c r="BZ182" s="42">
        <v>0</v>
      </c>
      <c r="CA182" s="42">
        <v>0</v>
      </c>
      <c r="CB182" s="42">
        <v>0</v>
      </c>
      <c r="CC182" s="42">
        <v>0</v>
      </c>
      <c r="CD182" s="42">
        <v>0</v>
      </c>
      <c r="CE182" s="42">
        <v>0</v>
      </c>
      <c r="CF182" s="42">
        <v>0</v>
      </c>
      <c r="CG182" s="42">
        <v>0</v>
      </c>
      <c r="CH182" s="42">
        <v>0</v>
      </c>
      <c r="CI182" s="42">
        <v>0</v>
      </c>
      <c r="CJ182" s="42">
        <v>278</v>
      </c>
      <c r="CK182" s="43">
        <f t="shared" si="38"/>
        <v>278</v>
      </c>
      <c r="CL182" s="66"/>
      <c r="CM182" s="66">
        <v>0</v>
      </c>
      <c r="CN182" s="66">
        <v>0</v>
      </c>
      <c r="CO182" s="66">
        <v>0</v>
      </c>
      <c r="CP182" s="66">
        <v>0</v>
      </c>
      <c r="CQ182" s="66">
        <v>0</v>
      </c>
      <c r="CR182" s="66">
        <v>0</v>
      </c>
      <c r="CS182" s="66">
        <v>0</v>
      </c>
      <c r="CT182" s="66">
        <v>0</v>
      </c>
      <c r="CU182" s="66">
        <v>0</v>
      </c>
      <c r="CV182" s="66">
        <v>491</v>
      </c>
      <c r="CW182" s="66">
        <v>0</v>
      </c>
      <c r="CX182" s="66">
        <v>0</v>
      </c>
      <c r="CY182" s="66">
        <v>0</v>
      </c>
      <c r="CZ182" s="66">
        <v>0</v>
      </c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>
        <f>SUM(Table1[[#This Row],[01-03 Apr]:[Mar-26]])</f>
        <v>491</v>
      </c>
    </row>
    <row r="183" spans="1:115" x14ac:dyDescent="0.2">
      <c r="A183" s="28"/>
      <c r="B183" s="29"/>
      <c r="C183" s="29" t="s">
        <v>3264</v>
      </c>
      <c r="D183" s="30" t="s">
        <v>2869</v>
      </c>
      <c r="E183" s="30" t="s">
        <v>101</v>
      </c>
      <c r="F183" s="30"/>
      <c r="G183" s="31"/>
      <c r="H183" s="30"/>
      <c r="I183" s="30" t="str">
        <f>IF(Table1[[#This Row],[Centre Status]]="Returned","NA",IF(Table1[[#This Row],[SD]]&gt;19000,"Full Payment",IF(Table1[[#This Row],[SD]]&lt;1,"No Payment","Partial Payment")))</f>
        <v>Partial Payment</v>
      </c>
      <c r="J183" s="30" t="s">
        <v>58</v>
      </c>
      <c r="K183" s="32">
        <v>110000</v>
      </c>
      <c r="L183" s="33">
        <f>Q183+R183+U183+Table1[[#This Row],[Farmer Payment]]</f>
        <v>12334</v>
      </c>
      <c r="M183" s="30"/>
      <c r="N183" s="34"/>
      <c r="O183" s="34"/>
      <c r="P183" s="35">
        <f t="shared" si="35"/>
        <v>97666</v>
      </c>
      <c r="Q183" s="33">
        <f>AI183+AV183+CK183+Table1[[#This Row],[FY 25-26]]</f>
        <v>2334</v>
      </c>
      <c r="R183" s="36">
        <v>10000</v>
      </c>
      <c r="S183" s="37" t="s">
        <v>2873</v>
      </c>
      <c r="T183" s="38" t="s">
        <v>2870</v>
      </c>
      <c r="U183" s="39"/>
      <c r="V183" s="39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1">
        <f t="shared" si="36"/>
        <v>0</v>
      </c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>
        <f t="shared" si="37"/>
        <v>0</v>
      </c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>
        <v>0</v>
      </c>
      <c r="BQ183" s="42"/>
      <c r="BR183" s="42">
        <v>0</v>
      </c>
      <c r="BS183" s="42">
        <v>0</v>
      </c>
      <c r="BT183" s="42">
        <v>0</v>
      </c>
      <c r="BU183" s="42">
        <v>0</v>
      </c>
      <c r="BV183" s="42">
        <v>0</v>
      </c>
      <c r="BW183" s="42">
        <v>0</v>
      </c>
      <c r="BX183" s="42">
        <v>0</v>
      </c>
      <c r="BY183" s="42">
        <v>0</v>
      </c>
      <c r="BZ183" s="42">
        <v>0</v>
      </c>
      <c r="CA183" s="42">
        <v>0</v>
      </c>
      <c r="CB183" s="42">
        <v>0</v>
      </c>
      <c r="CC183" s="42">
        <v>0</v>
      </c>
      <c r="CD183" s="42">
        <v>0</v>
      </c>
      <c r="CE183" s="42">
        <v>0</v>
      </c>
      <c r="CF183" s="42">
        <v>0</v>
      </c>
      <c r="CG183" s="42">
        <v>0</v>
      </c>
      <c r="CH183" s="42">
        <v>0</v>
      </c>
      <c r="CI183" s="42">
        <v>0</v>
      </c>
      <c r="CJ183" s="42">
        <v>1861</v>
      </c>
      <c r="CK183" s="43">
        <f t="shared" si="38"/>
        <v>1861</v>
      </c>
      <c r="CL183" s="66"/>
      <c r="CM183" s="66">
        <v>0</v>
      </c>
      <c r="CN183" s="66">
        <v>0</v>
      </c>
      <c r="CO183" s="66">
        <v>0</v>
      </c>
      <c r="CP183" s="66">
        <v>0</v>
      </c>
      <c r="CQ183" s="66">
        <v>0</v>
      </c>
      <c r="CR183" s="66">
        <v>0</v>
      </c>
      <c r="CS183" s="66">
        <v>0</v>
      </c>
      <c r="CT183" s="66">
        <v>0</v>
      </c>
      <c r="CU183" s="66">
        <v>0</v>
      </c>
      <c r="CV183" s="66">
        <v>473</v>
      </c>
      <c r="CW183" s="66">
        <v>0</v>
      </c>
      <c r="CX183" s="66">
        <v>0</v>
      </c>
      <c r="CY183" s="66">
        <v>0</v>
      </c>
      <c r="CZ183" s="66">
        <v>0</v>
      </c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>
        <f>SUM(Table1[[#This Row],[01-03 Apr]:[Mar-26]])</f>
        <v>473</v>
      </c>
    </row>
    <row r="184" spans="1:115" hidden="1" x14ac:dyDescent="0.2">
      <c r="A184" s="28"/>
      <c r="B184" s="29"/>
      <c r="C184" s="29" t="s">
        <v>2877</v>
      </c>
      <c r="D184" s="30" t="s">
        <v>2851</v>
      </c>
      <c r="E184" s="30" t="s">
        <v>906</v>
      </c>
      <c r="F184" s="30"/>
      <c r="G184" s="31"/>
      <c r="H184" s="30">
        <v>396099</v>
      </c>
      <c r="I184" s="30" t="str">
        <f>IF(Table1[[#This Row],[Centre Status]]="Returned","NA",IF(Table1[[#This Row],[SD]]&gt;19000,"Full Payment",IF(Table1[[#This Row],[SD]]&lt;1,"No Payment","Partial Payment")))</f>
        <v>Full Payment</v>
      </c>
      <c r="J184" s="30" t="s">
        <v>58</v>
      </c>
      <c r="K184" s="32">
        <v>110000</v>
      </c>
      <c r="L184" s="33">
        <f>Q184+R184+U184+Table1[[#This Row],[Farmer Payment]]</f>
        <v>28606.440328288103</v>
      </c>
      <c r="M184" s="30"/>
      <c r="N184" s="34"/>
      <c r="O184" s="34"/>
      <c r="P184" s="35">
        <f t="shared" si="35"/>
        <v>81393.559671711904</v>
      </c>
      <c r="Q184" s="33">
        <f>AI184+AV184+CK184+Table1[[#This Row],[FY 25-26]]</f>
        <v>8606.4403282881049</v>
      </c>
      <c r="R184" s="36">
        <v>20000</v>
      </c>
      <c r="S184" s="37" t="s">
        <v>2854</v>
      </c>
      <c r="T184" s="38">
        <v>45646</v>
      </c>
      <c r="U184" s="39"/>
      <c r="V184" s="39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1">
        <f t="shared" si="36"/>
        <v>0</v>
      </c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>
        <f t="shared" si="37"/>
        <v>0</v>
      </c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>
        <v>0</v>
      </c>
      <c r="BQ184" s="42">
        <v>0</v>
      </c>
      <c r="BR184" s="42">
        <v>0</v>
      </c>
      <c r="BS184" s="42">
        <v>330</v>
      </c>
      <c r="BT184" s="42">
        <v>0</v>
      </c>
      <c r="BU184" s="42">
        <v>0</v>
      </c>
      <c r="BV184" s="42">
        <v>0</v>
      </c>
      <c r="BW184" s="42">
        <v>0</v>
      </c>
      <c r="BX184" s="42">
        <v>0</v>
      </c>
      <c r="BY184" s="42">
        <v>0</v>
      </c>
      <c r="BZ184" s="42">
        <v>0</v>
      </c>
      <c r="CA184" s="42">
        <v>0</v>
      </c>
      <c r="CB184" s="42">
        <v>0</v>
      </c>
      <c r="CC184" s="42">
        <v>0</v>
      </c>
      <c r="CD184" s="42">
        <v>0</v>
      </c>
      <c r="CE184" s="42">
        <v>0</v>
      </c>
      <c r="CF184" s="42">
        <v>0</v>
      </c>
      <c r="CG184" s="42">
        <v>0</v>
      </c>
      <c r="CH184" s="42">
        <v>0</v>
      </c>
      <c r="CI184" s="42">
        <v>500</v>
      </c>
      <c r="CJ184" s="42">
        <v>2926.1505242731605</v>
      </c>
      <c r="CK184" s="43">
        <f t="shared" si="38"/>
        <v>3756.1505242731605</v>
      </c>
      <c r="CL184" s="66"/>
      <c r="CM184" s="66">
        <v>500</v>
      </c>
      <c r="CN184" s="66">
        <v>500</v>
      </c>
      <c r="CO184" s="66">
        <v>500</v>
      </c>
      <c r="CP184" s="66">
        <v>398.81761567574404</v>
      </c>
      <c r="CQ184" s="66">
        <v>500</v>
      </c>
      <c r="CR184" s="66">
        <v>0</v>
      </c>
      <c r="CS184" s="66">
        <v>0</v>
      </c>
      <c r="CT184" s="66">
        <v>500</v>
      </c>
      <c r="CU184" s="66">
        <v>500</v>
      </c>
      <c r="CV184" s="66">
        <v>951.47218833919987</v>
      </c>
      <c r="CW184" s="66">
        <v>0</v>
      </c>
      <c r="CX184" s="66">
        <v>0</v>
      </c>
      <c r="CY184" s="66">
        <v>0</v>
      </c>
      <c r="CZ184" s="66">
        <v>500</v>
      </c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>
        <f>SUM(Table1[[#This Row],[01-03 Apr]:[Mar-26]])</f>
        <v>4850.2898040149439</v>
      </c>
    </row>
    <row r="185" spans="1:115" hidden="1" x14ac:dyDescent="0.2">
      <c r="A185" s="28"/>
      <c r="B185" s="29"/>
      <c r="C185" s="29" t="s">
        <v>2878</v>
      </c>
      <c r="D185" s="30" t="s">
        <v>2852</v>
      </c>
      <c r="E185" s="30" t="s">
        <v>906</v>
      </c>
      <c r="F185" s="30"/>
      <c r="G185" s="31"/>
      <c r="H185" s="30">
        <v>384300</v>
      </c>
      <c r="I185" s="30" t="str">
        <f>IF(Table1[[#This Row],[Centre Status]]="Returned","NA",IF(Table1[[#This Row],[SD]]&gt;19000,"Full Payment",IF(Table1[[#This Row],[SD]]&lt;1,"No Payment","Partial Payment")))</f>
        <v>Full Payment</v>
      </c>
      <c r="J185" s="30" t="s">
        <v>58</v>
      </c>
      <c r="K185" s="32">
        <v>110000</v>
      </c>
      <c r="L185" s="33">
        <f>Q185+R185+U185+Table1[[#This Row],[Farmer Payment]]</f>
        <v>27378</v>
      </c>
      <c r="M185" s="30"/>
      <c r="N185" s="34"/>
      <c r="O185" s="34"/>
      <c r="P185" s="35">
        <f t="shared" si="35"/>
        <v>82622</v>
      </c>
      <c r="Q185" s="33">
        <f>AI185+AV185+CK185+Table1[[#This Row],[FY 25-26]]</f>
        <v>7378</v>
      </c>
      <c r="R185" s="36">
        <v>20000</v>
      </c>
      <c r="S185" s="37" t="s">
        <v>2855</v>
      </c>
      <c r="T185" s="38">
        <v>45649</v>
      </c>
      <c r="U185" s="39"/>
      <c r="V185" s="39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1">
        <f t="shared" si="36"/>
        <v>0</v>
      </c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>
        <f t="shared" si="37"/>
        <v>0</v>
      </c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>
        <v>0</v>
      </c>
      <c r="BQ185" s="42">
        <v>0</v>
      </c>
      <c r="BR185" s="42">
        <v>0</v>
      </c>
      <c r="BS185" s="42">
        <v>172</v>
      </c>
      <c r="BT185" s="42">
        <v>0</v>
      </c>
      <c r="BU185" s="42">
        <v>0</v>
      </c>
      <c r="BV185" s="42">
        <v>0</v>
      </c>
      <c r="BW185" s="42">
        <v>0</v>
      </c>
      <c r="BX185" s="42">
        <v>0</v>
      </c>
      <c r="BY185" s="42">
        <v>0</v>
      </c>
      <c r="BZ185" s="42">
        <v>0</v>
      </c>
      <c r="CA185" s="42">
        <v>0</v>
      </c>
      <c r="CB185" s="42">
        <v>0</v>
      </c>
      <c r="CC185" s="42">
        <v>0</v>
      </c>
      <c r="CD185" s="42">
        <v>0</v>
      </c>
      <c r="CE185" s="42">
        <v>0</v>
      </c>
      <c r="CF185" s="42">
        <v>0</v>
      </c>
      <c r="CG185" s="42">
        <v>0</v>
      </c>
      <c r="CH185" s="42">
        <v>0</v>
      </c>
      <c r="CI185" s="42">
        <v>0</v>
      </c>
      <c r="CJ185" s="42">
        <v>1845</v>
      </c>
      <c r="CK185" s="43">
        <f t="shared" si="38"/>
        <v>2017</v>
      </c>
      <c r="CL185" s="66"/>
      <c r="CM185" s="66">
        <v>0</v>
      </c>
      <c r="CN185" s="66">
        <v>500</v>
      </c>
      <c r="CO185" s="66">
        <v>500</v>
      </c>
      <c r="CP185" s="66">
        <v>361</v>
      </c>
      <c r="CQ185" s="66">
        <v>500</v>
      </c>
      <c r="CR185" s="66">
        <v>500</v>
      </c>
      <c r="CS185" s="66">
        <v>500</v>
      </c>
      <c r="CT185" s="66">
        <v>500</v>
      </c>
      <c r="CU185" s="66">
        <v>0</v>
      </c>
      <c r="CV185" s="66">
        <v>0</v>
      </c>
      <c r="CW185" s="66">
        <v>500</v>
      </c>
      <c r="CX185" s="66">
        <v>500</v>
      </c>
      <c r="CY185" s="66">
        <v>500</v>
      </c>
      <c r="CZ185" s="66">
        <v>500</v>
      </c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>
        <f>SUM(Table1[[#This Row],[01-03 Apr]:[Mar-26]])</f>
        <v>5361</v>
      </c>
    </row>
    <row r="186" spans="1:115" hidden="1" x14ac:dyDescent="0.2">
      <c r="A186" s="28"/>
      <c r="B186" s="29"/>
      <c r="C186" s="29" t="s">
        <v>2879</v>
      </c>
      <c r="D186" s="30" t="s">
        <v>2857</v>
      </c>
      <c r="E186" s="30" t="s">
        <v>906</v>
      </c>
      <c r="F186" s="30"/>
      <c r="G186" s="31"/>
      <c r="H186" s="30">
        <v>390550</v>
      </c>
      <c r="I186" s="30" t="str">
        <f>IF(Table1[[#This Row],[Centre Status]]="Returned","NA",IF(Table1[[#This Row],[SD]]&gt;19000,"Full Payment",IF(Table1[[#This Row],[SD]]&lt;1,"No Payment","Partial Payment")))</f>
        <v>Full Payment</v>
      </c>
      <c r="J186" s="30" t="s">
        <v>58</v>
      </c>
      <c r="K186" s="32">
        <v>110000</v>
      </c>
      <c r="L186" s="33">
        <f>Q186+R186+U186+Table1[[#This Row],[Farmer Payment]]</f>
        <v>29875.170654353369</v>
      </c>
      <c r="M186" s="30"/>
      <c r="N186" s="34"/>
      <c r="O186" s="34"/>
      <c r="P186" s="35">
        <f t="shared" si="35"/>
        <v>80124.829345646634</v>
      </c>
      <c r="Q186" s="33">
        <f>AI186+AV186+CK186+Table1[[#This Row],[FY 25-26]]</f>
        <v>9875.1706543533692</v>
      </c>
      <c r="R186" s="36">
        <v>20000</v>
      </c>
      <c r="S186" s="37" t="s">
        <v>2859</v>
      </c>
      <c r="T186" s="38">
        <v>45645</v>
      </c>
      <c r="U186" s="39"/>
      <c r="V186" s="39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1">
        <f t="shared" si="36"/>
        <v>0</v>
      </c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>
        <f t="shared" si="37"/>
        <v>0</v>
      </c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>
        <v>0</v>
      </c>
      <c r="BQ186" s="42">
        <v>0</v>
      </c>
      <c r="BR186" s="42">
        <v>0</v>
      </c>
      <c r="BS186" s="42">
        <v>141</v>
      </c>
      <c r="BT186" s="42">
        <v>0</v>
      </c>
      <c r="BU186" s="42">
        <v>0</v>
      </c>
      <c r="BV186" s="42">
        <v>0</v>
      </c>
      <c r="BW186" s="42">
        <v>0</v>
      </c>
      <c r="BX186" s="42">
        <v>0</v>
      </c>
      <c r="BY186" s="42">
        <v>0</v>
      </c>
      <c r="BZ186" s="42">
        <v>0</v>
      </c>
      <c r="CA186" s="42">
        <v>0</v>
      </c>
      <c r="CB186" s="42">
        <v>0</v>
      </c>
      <c r="CC186" s="42">
        <v>0</v>
      </c>
      <c r="CD186" s="42">
        <v>0</v>
      </c>
      <c r="CE186" s="42">
        <v>0</v>
      </c>
      <c r="CF186" s="42">
        <v>0</v>
      </c>
      <c r="CG186" s="42">
        <v>0</v>
      </c>
      <c r="CH186" s="42">
        <v>0</v>
      </c>
      <c r="CI186" s="42">
        <v>500</v>
      </c>
      <c r="CJ186" s="42">
        <v>4104.305624758148</v>
      </c>
      <c r="CK186" s="43">
        <f t="shared" si="38"/>
        <v>4745.305624758148</v>
      </c>
      <c r="CL186" s="66"/>
      <c r="CM186" s="66">
        <v>500</v>
      </c>
      <c r="CN186" s="66">
        <v>500</v>
      </c>
      <c r="CO186" s="66">
        <v>500</v>
      </c>
      <c r="CP186" s="66">
        <v>933.64644439541962</v>
      </c>
      <c r="CQ186" s="66">
        <v>500</v>
      </c>
      <c r="CR186" s="66">
        <v>0</v>
      </c>
      <c r="CS186" s="66">
        <v>0</v>
      </c>
      <c r="CT186" s="66">
        <v>500</v>
      </c>
      <c r="CU186" s="66">
        <v>0</v>
      </c>
      <c r="CV186" s="66">
        <v>1196.2185851998006</v>
      </c>
      <c r="CW186" s="66">
        <v>0</v>
      </c>
      <c r="CX186" s="66">
        <v>0</v>
      </c>
      <c r="CY186" s="66">
        <v>0</v>
      </c>
      <c r="CZ186" s="66">
        <v>500</v>
      </c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>
        <f>SUM(Table1[[#This Row],[01-03 Apr]:[Mar-26]])</f>
        <v>5129.8650295952202</v>
      </c>
    </row>
    <row r="187" spans="1:115" hidden="1" x14ac:dyDescent="0.2">
      <c r="A187" s="28"/>
      <c r="B187" s="29"/>
      <c r="C187" s="29" t="s">
        <v>2880</v>
      </c>
      <c r="D187" s="30" t="s">
        <v>2858</v>
      </c>
      <c r="E187" s="30" t="s">
        <v>906</v>
      </c>
      <c r="F187" s="30"/>
      <c r="G187" s="31"/>
      <c r="H187" s="30">
        <v>396090</v>
      </c>
      <c r="I187" s="30" t="str">
        <f>IF(Table1[[#This Row],[Centre Status]]="Returned","NA",IF(Table1[[#This Row],[SD]]&gt;19000,"Full Payment",IF(Table1[[#This Row],[SD]]&lt;1,"No Payment","Partial Payment")))</f>
        <v>Full Payment</v>
      </c>
      <c r="J187" s="30" t="s">
        <v>58</v>
      </c>
      <c r="K187" s="32">
        <v>110000</v>
      </c>
      <c r="L187" s="33">
        <f>Q187+R187+U187+Table1[[#This Row],[Farmer Payment]]</f>
        <v>28044.442659407698</v>
      </c>
      <c r="M187" s="30"/>
      <c r="N187" s="34"/>
      <c r="O187" s="34"/>
      <c r="P187" s="35">
        <f t="shared" si="35"/>
        <v>81955.557340592306</v>
      </c>
      <c r="Q187" s="33">
        <f>AI187+AV187+CK187+Table1[[#This Row],[FY 25-26]]</f>
        <v>8044.4426594076976</v>
      </c>
      <c r="R187" s="36">
        <v>20000</v>
      </c>
      <c r="S187" s="37" t="s">
        <v>2860</v>
      </c>
      <c r="T187" s="38">
        <v>45645</v>
      </c>
      <c r="U187" s="39"/>
      <c r="V187" s="39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1">
        <f t="shared" si="36"/>
        <v>0</v>
      </c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>
        <f t="shared" si="37"/>
        <v>0</v>
      </c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>
        <v>0</v>
      </c>
      <c r="BQ187" s="42">
        <v>0</v>
      </c>
      <c r="BR187" s="42">
        <v>0</v>
      </c>
      <c r="BS187" s="42">
        <v>0</v>
      </c>
      <c r="BT187" s="42">
        <v>0</v>
      </c>
      <c r="BU187" s="42">
        <v>0</v>
      </c>
      <c r="BV187" s="42">
        <v>0</v>
      </c>
      <c r="BW187" s="42">
        <v>0</v>
      </c>
      <c r="BX187" s="42">
        <v>0</v>
      </c>
      <c r="BY187" s="42">
        <v>0</v>
      </c>
      <c r="BZ187" s="42">
        <v>0</v>
      </c>
      <c r="CA187" s="42">
        <v>0</v>
      </c>
      <c r="CB187" s="42">
        <v>0</v>
      </c>
      <c r="CC187" s="42">
        <v>0</v>
      </c>
      <c r="CD187" s="42">
        <v>0</v>
      </c>
      <c r="CE187" s="42">
        <v>0</v>
      </c>
      <c r="CF187" s="42">
        <v>0</v>
      </c>
      <c r="CG187" s="42">
        <v>0</v>
      </c>
      <c r="CH187" s="42">
        <v>0</v>
      </c>
      <c r="CI187" s="42">
        <v>0</v>
      </c>
      <c r="CJ187" s="42">
        <v>3248.7110042155359</v>
      </c>
      <c r="CK187" s="43">
        <f t="shared" si="38"/>
        <v>3248.7110042155359</v>
      </c>
      <c r="CL187" s="66"/>
      <c r="CM187" s="66">
        <v>0</v>
      </c>
      <c r="CN187" s="66">
        <v>0</v>
      </c>
      <c r="CO187" s="66">
        <v>0</v>
      </c>
      <c r="CP187" s="66">
        <v>2628.403420364994</v>
      </c>
      <c r="CQ187" s="66">
        <v>0</v>
      </c>
      <c r="CR187" s="66">
        <v>0</v>
      </c>
      <c r="CS187" s="66">
        <v>0</v>
      </c>
      <c r="CT187" s="66">
        <v>0</v>
      </c>
      <c r="CU187" s="66">
        <v>0</v>
      </c>
      <c r="CV187" s="66">
        <v>2167.3282348271682</v>
      </c>
      <c r="CW187" s="66">
        <v>0</v>
      </c>
      <c r="CX187" s="66">
        <v>0</v>
      </c>
      <c r="CY187" s="66">
        <v>0</v>
      </c>
      <c r="CZ187" s="66">
        <v>0</v>
      </c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>
        <f>SUM(Table1[[#This Row],[01-03 Apr]:[Mar-26]])</f>
        <v>4795.7316551921622</v>
      </c>
    </row>
    <row r="188" spans="1:115" hidden="1" x14ac:dyDescent="0.2">
      <c r="A188" s="28"/>
      <c r="B188" s="29"/>
      <c r="C188" s="29" t="s">
        <v>2881</v>
      </c>
      <c r="D188" s="30" t="s">
        <v>2853</v>
      </c>
      <c r="E188" s="30" t="s">
        <v>906</v>
      </c>
      <c r="F188" s="30"/>
      <c r="G188" s="31"/>
      <c r="H188" s="30">
        <v>385964</v>
      </c>
      <c r="I188" s="30" t="str">
        <f>IF(Table1[[#This Row],[Centre Status]]="Returned","NA",IF(Table1[[#This Row],[SD]]&gt;19000,"Full Payment",IF(Table1[[#This Row],[SD]]&lt;1,"No Payment","Partial Payment")))</f>
        <v>Full Payment</v>
      </c>
      <c r="J188" s="30" t="s">
        <v>58</v>
      </c>
      <c r="K188" s="32">
        <v>110000</v>
      </c>
      <c r="L188" s="33">
        <f>Q188+R188+U188+Table1[[#This Row],[Farmer Payment]]</f>
        <v>22875.557774160639</v>
      </c>
      <c r="M188" s="30"/>
      <c r="N188" s="34"/>
      <c r="O188" s="34"/>
      <c r="P188" s="35">
        <f t="shared" si="35"/>
        <v>87124.442225839361</v>
      </c>
      <c r="Q188" s="33">
        <f>AI188+AV188+CK188+Table1[[#This Row],[FY 25-26]]</f>
        <v>2875.5577741606403</v>
      </c>
      <c r="R188" s="36">
        <v>20000</v>
      </c>
      <c r="S188" s="37" t="s">
        <v>2856</v>
      </c>
      <c r="T188" s="38">
        <v>45649</v>
      </c>
      <c r="U188" s="39"/>
      <c r="V188" s="39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1">
        <f t="shared" si="36"/>
        <v>0</v>
      </c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>
        <f t="shared" si="37"/>
        <v>0</v>
      </c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>
        <v>0</v>
      </c>
      <c r="BQ188" s="42">
        <v>0</v>
      </c>
      <c r="BR188" s="42">
        <v>0</v>
      </c>
      <c r="BS188" s="42">
        <v>0</v>
      </c>
      <c r="BT188" s="42">
        <v>0</v>
      </c>
      <c r="BU188" s="42">
        <v>0</v>
      </c>
      <c r="BV188" s="42">
        <v>0</v>
      </c>
      <c r="BW188" s="42">
        <v>0</v>
      </c>
      <c r="BX188" s="42">
        <v>0</v>
      </c>
      <c r="BY188" s="42">
        <v>0</v>
      </c>
      <c r="BZ188" s="42">
        <v>0</v>
      </c>
      <c r="CA188" s="42">
        <v>0</v>
      </c>
      <c r="CB188" s="42">
        <v>0</v>
      </c>
      <c r="CC188" s="42">
        <v>0</v>
      </c>
      <c r="CD188" s="42">
        <v>0</v>
      </c>
      <c r="CE188" s="42">
        <v>0</v>
      </c>
      <c r="CF188" s="42">
        <v>0</v>
      </c>
      <c r="CG188" s="42">
        <v>0</v>
      </c>
      <c r="CH188" s="42">
        <v>0</v>
      </c>
      <c r="CI188" s="42">
        <v>0</v>
      </c>
      <c r="CJ188" s="42">
        <v>1895.5577741606403</v>
      </c>
      <c r="CK188" s="43">
        <f t="shared" si="38"/>
        <v>1895.5577741606403</v>
      </c>
      <c r="CL188" s="66"/>
      <c r="CM188" s="66">
        <v>0</v>
      </c>
      <c r="CN188" s="66">
        <v>0</v>
      </c>
      <c r="CO188" s="66">
        <v>0</v>
      </c>
      <c r="CP188" s="66">
        <v>980</v>
      </c>
      <c r="CQ188" s="66">
        <v>0</v>
      </c>
      <c r="CR188" s="66">
        <v>0</v>
      </c>
      <c r="CS188" s="66">
        <v>0</v>
      </c>
      <c r="CT188" s="66">
        <v>0</v>
      </c>
      <c r="CU188" s="66">
        <v>0</v>
      </c>
      <c r="CV188" s="66">
        <v>0</v>
      </c>
      <c r="CW188" s="66">
        <v>0</v>
      </c>
      <c r="CX188" s="66">
        <v>0</v>
      </c>
      <c r="CY188" s="66">
        <v>0</v>
      </c>
      <c r="CZ188" s="66">
        <v>0</v>
      </c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>
        <f>SUM(Table1[[#This Row],[01-03 Apr]:[Mar-26]])</f>
        <v>980</v>
      </c>
    </row>
    <row r="189" spans="1:115" hidden="1" x14ac:dyDescent="0.2">
      <c r="A189" s="28"/>
      <c r="B189" s="29"/>
      <c r="C189" s="29" t="s">
        <v>2819</v>
      </c>
      <c r="D189" s="30" t="s">
        <v>2816</v>
      </c>
      <c r="E189" s="30" t="s">
        <v>1321</v>
      </c>
      <c r="F189" s="30"/>
      <c r="G189" s="31"/>
      <c r="H189" s="30">
        <v>371223</v>
      </c>
      <c r="I189" s="30" t="str">
        <f>IF(Table1[[#This Row],[Centre Status]]="Returned","NA",IF(Table1[[#This Row],[SD]]&gt;19000,"Full Payment",IF(Table1[[#This Row],[SD]]&lt;1,"No Payment","Partial Payment")))</f>
        <v>Full Payment</v>
      </c>
      <c r="J189" s="30" t="s">
        <v>58</v>
      </c>
      <c r="K189" s="32">
        <v>110000</v>
      </c>
      <c r="L189" s="33">
        <f>Q189+R189+U189+Table1[[#This Row],[Farmer Payment]]</f>
        <v>20217</v>
      </c>
      <c r="M189" s="30">
        <v>20000</v>
      </c>
      <c r="N189" s="34">
        <v>45839</v>
      </c>
      <c r="O189" s="34" t="s">
        <v>2862</v>
      </c>
      <c r="P189" s="35">
        <f t="shared" si="35"/>
        <v>109783</v>
      </c>
      <c r="Q189" s="33">
        <f>AI189+AV189+CK189+Table1[[#This Row],[FY 25-26]]</f>
        <v>217</v>
      </c>
      <c r="R189" s="36">
        <v>20000</v>
      </c>
      <c r="S189" s="37" t="s">
        <v>2821</v>
      </c>
      <c r="T189" s="38">
        <v>45598</v>
      </c>
      <c r="U189" s="39"/>
      <c r="V189" s="39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1">
        <f t="shared" si="36"/>
        <v>0</v>
      </c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>
        <f t="shared" si="37"/>
        <v>0</v>
      </c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>
        <v>0</v>
      </c>
      <c r="BO189" s="42"/>
      <c r="BP189" s="42">
        <v>0</v>
      </c>
      <c r="BQ189" s="42">
        <v>0</v>
      </c>
      <c r="BR189" s="42">
        <v>0</v>
      </c>
      <c r="BS189" s="42">
        <v>217</v>
      </c>
      <c r="BT189" s="42">
        <v>0</v>
      </c>
      <c r="BU189" s="42">
        <v>0</v>
      </c>
      <c r="BV189" s="42">
        <v>0</v>
      </c>
      <c r="BW189" s="42">
        <v>0</v>
      </c>
      <c r="BX189" s="42">
        <v>0</v>
      </c>
      <c r="BY189" s="42">
        <v>0</v>
      </c>
      <c r="BZ189" s="42">
        <v>0</v>
      </c>
      <c r="CA189" s="42">
        <v>0</v>
      </c>
      <c r="CB189" s="42">
        <v>0</v>
      </c>
      <c r="CC189" s="42">
        <v>0</v>
      </c>
      <c r="CD189" s="42">
        <v>0</v>
      </c>
      <c r="CE189" s="42">
        <v>0</v>
      </c>
      <c r="CF189" s="42">
        <v>0</v>
      </c>
      <c r="CG189" s="42">
        <v>0</v>
      </c>
      <c r="CH189" s="42">
        <v>0</v>
      </c>
      <c r="CI189" s="42">
        <v>0</v>
      </c>
      <c r="CJ189" s="42">
        <v>0</v>
      </c>
      <c r="CK189" s="43">
        <f t="shared" si="38"/>
        <v>217</v>
      </c>
      <c r="CL189" s="66"/>
      <c r="CM189" s="66">
        <v>0</v>
      </c>
      <c r="CN189" s="66">
        <v>0</v>
      </c>
      <c r="CO189" s="66">
        <v>0</v>
      </c>
      <c r="CP189" s="66">
        <v>0</v>
      </c>
      <c r="CQ189" s="66">
        <v>0</v>
      </c>
      <c r="CR189" s="66">
        <v>0</v>
      </c>
      <c r="CS189" s="66">
        <v>0</v>
      </c>
      <c r="CT189" s="66">
        <v>0</v>
      </c>
      <c r="CU189" s="66">
        <v>0</v>
      </c>
      <c r="CV189" s="66">
        <v>0</v>
      </c>
      <c r="CW189" s="66">
        <v>0</v>
      </c>
      <c r="CX189" s="66">
        <v>0</v>
      </c>
      <c r="CY189" s="66">
        <v>0</v>
      </c>
      <c r="CZ189" s="66">
        <v>0</v>
      </c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>
        <f>SUM(Table1[[#This Row],[01-03 Apr]:[Mar-26]])</f>
        <v>0</v>
      </c>
    </row>
    <row r="190" spans="1:115" hidden="1" x14ac:dyDescent="0.2">
      <c r="A190" s="28"/>
      <c r="B190" s="29"/>
      <c r="C190" s="29" t="s">
        <v>2829</v>
      </c>
      <c r="D190" s="30" t="s">
        <v>71</v>
      </c>
      <c r="E190" s="30" t="s">
        <v>177</v>
      </c>
      <c r="F190" s="30"/>
      <c r="G190" s="31"/>
      <c r="H190" s="30">
        <v>389205</v>
      </c>
      <c r="I190" s="30" t="str">
        <f>IF(Table1[[#This Row],[Centre Status]]="Returned","NA",IF(Table1[[#This Row],[SD]]&gt;19000,"Full Payment",IF(Table1[[#This Row],[SD]]&lt;1,"No Payment","Partial Payment")))</f>
        <v>Full Payment</v>
      </c>
      <c r="J190" s="30" t="s">
        <v>58</v>
      </c>
      <c r="K190" s="32">
        <v>110000</v>
      </c>
      <c r="L190" s="33">
        <f>Q190+R190+U190+Table1[[#This Row],[Farmer Payment]]</f>
        <v>28913.5920621312</v>
      </c>
      <c r="M190" s="30"/>
      <c r="N190" s="34"/>
      <c r="O190" s="34"/>
      <c r="P190" s="35">
        <f t="shared" si="35"/>
        <v>81086.407937868804</v>
      </c>
      <c r="Q190" s="33">
        <f>AI190+AV190+CK190+Table1[[#This Row],[FY 25-26]]</f>
        <v>8913.5920621311998</v>
      </c>
      <c r="R190" s="36">
        <v>20000</v>
      </c>
      <c r="S190" s="37" t="s">
        <v>2833</v>
      </c>
      <c r="T190" s="38">
        <v>45644</v>
      </c>
      <c r="U190" s="39"/>
      <c r="V190" s="39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1">
        <f t="shared" si="36"/>
        <v>0</v>
      </c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>
        <f t="shared" si="37"/>
        <v>0</v>
      </c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>
        <v>0</v>
      </c>
      <c r="BQ190" s="42">
        <v>0</v>
      </c>
      <c r="BR190" s="42">
        <v>0</v>
      </c>
      <c r="BS190" s="42">
        <v>760</v>
      </c>
      <c r="BT190" s="42">
        <v>0</v>
      </c>
      <c r="BU190" s="42">
        <v>0</v>
      </c>
      <c r="BV190" s="42">
        <v>0</v>
      </c>
      <c r="BW190" s="42">
        <v>0</v>
      </c>
      <c r="BX190" s="42">
        <v>0</v>
      </c>
      <c r="BY190" s="42">
        <v>0</v>
      </c>
      <c r="BZ190" s="42">
        <v>0</v>
      </c>
      <c r="CA190" s="42">
        <v>0</v>
      </c>
      <c r="CB190" s="42">
        <v>0</v>
      </c>
      <c r="CC190" s="42">
        <v>0</v>
      </c>
      <c r="CD190" s="42">
        <v>0</v>
      </c>
      <c r="CE190" s="42">
        <v>0</v>
      </c>
      <c r="CF190" s="42">
        <v>0</v>
      </c>
      <c r="CG190" s="42">
        <v>0</v>
      </c>
      <c r="CH190" s="42">
        <v>0</v>
      </c>
      <c r="CI190" s="42">
        <v>500</v>
      </c>
      <c r="CJ190" s="42">
        <v>1653.5920621311998</v>
      </c>
      <c r="CK190" s="43">
        <f t="shared" si="38"/>
        <v>2913.5920621311998</v>
      </c>
      <c r="CL190" s="66"/>
      <c r="CM190" s="66">
        <v>500</v>
      </c>
      <c r="CN190" s="66">
        <v>500</v>
      </c>
      <c r="CO190" s="66">
        <v>500</v>
      </c>
      <c r="CP190" s="66">
        <v>0</v>
      </c>
      <c r="CQ190" s="66">
        <v>500</v>
      </c>
      <c r="CR190" s="66">
        <v>500</v>
      </c>
      <c r="CS190" s="66">
        <v>500</v>
      </c>
      <c r="CT190" s="66">
        <v>500</v>
      </c>
      <c r="CU190" s="66">
        <v>500</v>
      </c>
      <c r="CV190" s="66">
        <v>0</v>
      </c>
      <c r="CW190" s="66">
        <v>500</v>
      </c>
      <c r="CX190" s="66">
        <v>500</v>
      </c>
      <c r="CY190" s="66">
        <v>500</v>
      </c>
      <c r="CZ190" s="66">
        <v>500</v>
      </c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>
        <f>SUM(Table1[[#This Row],[01-03 Apr]:[Mar-26]])</f>
        <v>6000</v>
      </c>
    </row>
    <row r="191" spans="1:115" x14ac:dyDescent="0.2">
      <c r="A191" s="28"/>
      <c r="B191" s="29"/>
      <c r="C191" s="29" t="s">
        <v>2830</v>
      </c>
      <c r="D191" s="30" t="s">
        <v>2832</v>
      </c>
      <c r="E191" s="30" t="s">
        <v>1630</v>
      </c>
      <c r="F191" s="30"/>
      <c r="G191" s="31"/>
      <c r="H191" s="30"/>
      <c r="I191" s="30" t="str">
        <f>IF(Table1[[#This Row],[Centre Status]]="Returned","NA",IF(Table1[[#This Row],[SD]]&gt;19000,"Full Payment",IF(Table1[[#This Row],[SD]]&lt;1,"No Payment","Partial Payment")))</f>
        <v>Partial Payment</v>
      </c>
      <c r="J191" s="30" t="s">
        <v>58</v>
      </c>
      <c r="K191" s="32">
        <v>110000</v>
      </c>
      <c r="L191" s="33">
        <f>Q191+R191+U191+Table1[[#This Row],[Farmer Payment]]</f>
        <v>13772</v>
      </c>
      <c r="M191" s="30"/>
      <c r="N191" s="34"/>
      <c r="O191" s="34"/>
      <c r="P191" s="35">
        <f t="shared" si="35"/>
        <v>96228</v>
      </c>
      <c r="Q191" s="33">
        <f>AI191+AV191+CK191+Table1[[#This Row],[FY 25-26]]</f>
        <v>3772</v>
      </c>
      <c r="R191" s="36">
        <v>10000</v>
      </c>
      <c r="S191" s="37" t="s">
        <v>2834</v>
      </c>
      <c r="T191" s="38">
        <v>45646</v>
      </c>
      <c r="U191" s="39"/>
      <c r="V191" s="39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1">
        <f t="shared" si="36"/>
        <v>0</v>
      </c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>
        <f t="shared" si="37"/>
        <v>0</v>
      </c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>
        <v>0</v>
      </c>
      <c r="BQ191" s="42">
        <v>0</v>
      </c>
      <c r="BR191" s="42">
        <v>0</v>
      </c>
      <c r="BS191" s="42">
        <v>0</v>
      </c>
      <c r="BT191" s="42">
        <v>0</v>
      </c>
      <c r="BU191" s="42">
        <v>0</v>
      </c>
      <c r="BV191" s="42">
        <v>0</v>
      </c>
      <c r="BW191" s="42">
        <v>0</v>
      </c>
      <c r="BX191" s="42">
        <v>0</v>
      </c>
      <c r="BY191" s="42">
        <v>0</v>
      </c>
      <c r="BZ191" s="42">
        <v>0</v>
      </c>
      <c r="CA191" s="42">
        <v>0</v>
      </c>
      <c r="CB191" s="42">
        <v>0</v>
      </c>
      <c r="CC191" s="42">
        <v>0</v>
      </c>
      <c r="CD191" s="42">
        <v>0</v>
      </c>
      <c r="CE191" s="42">
        <v>0</v>
      </c>
      <c r="CF191" s="42">
        <v>0</v>
      </c>
      <c r="CG191" s="42">
        <v>0</v>
      </c>
      <c r="CH191" s="42">
        <v>0</v>
      </c>
      <c r="CI191" s="42">
        <v>0</v>
      </c>
      <c r="CJ191" s="42">
        <v>1861</v>
      </c>
      <c r="CK191" s="43">
        <f t="shared" si="38"/>
        <v>1861</v>
      </c>
      <c r="CL191" s="66"/>
      <c r="CM191" s="66">
        <v>0</v>
      </c>
      <c r="CN191" s="66">
        <v>0</v>
      </c>
      <c r="CO191" s="66">
        <v>0</v>
      </c>
      <c r="CP191" s="66">
        <v>1785</v>
      </c>
      <c r="CQ191" s="66">
        <v>0</v>
      </c>
      <c r="CR191" s="66">
        <v>0</v>
      </c>
      <c r="CS191" s="66">
        <v>0</v>
      </c>
      <c r="CT191" s="66">
        <v>0</v>
      </c>
      <c r="CU191" s="66">
        <v>0</v>
      </c>
      <c r="CV191" s="66">
        <v>126</v>
      </c>
      <c r="CW191" s="66">
        <v>0</v>
      </c>
      <c r="CX191" s="66">
        <v>0</v>
      </c>
      <c r="CY191" s="66">
        <v>0</v>
      </c>
      <c r="CZ191" s="66">
        <v>0</v>
      </c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>
        <f>SUM(Table1[[#This Row],[01-03 Apr]:[Mar-26]])</f>
        <v>1911</v>
      </c>
    </row>
    <row r="192" spans="1:115" x14ac:dyDescent="0.2">
      <c r="A192" s="28"/>
      <c r="B192" s="29"/>
      <c r="C192" s="29" t="s">
        <v>2831</v>
      </c>
      <c r="D192" s="30" t="s">
        <v>483</v>
      </c>
      <c r="E192" s="30" t="s">
        <v>1630</v>
      </c>
      <c r="F192" s="30"/>
      <c r="G192" s="31"/>
      <c r="H192" s="30">
        <v>277229</v>
      </c>
      <c r="I192" s="30" t="str">
        <f>IF(Table1[[#This Row],[Centre Status]]="Returned","NA",IF(Table1[[#This Row],[SD]]&gt;19000,"Full Payment",IF(Table1[[#This Row],[SD]]&lt;1,"No Payment","Partial Payment")))</f>
        <v>Partial Payment</v>
      </c>
      <c r="J192" s="30" t="s">
        <v>58</v>
      </c>
      <c r="K192" s="32">
        <v>110000</v>
      </c>
      <c r="L192" s="33">
        <f>Q192+R192+U192+Table1[[#This Row],[Farmer Payment]]</f>
        <v>21503.79908135677</v>
      </c>
      <c r="M192" s="30"/>
      <c r="N192" s="34"/>
      <c r="O192" s="34"/>
      <c r="P192" s="35">
        <f t="shared" si="35"/>
        <v>88496.200918643226</v>
      </c>
      <c r="Q192" s="33">
        <f>AI192+AV192+CK192+Table1[[#This Row],[FY 25-26]]</f>
        <v>11503.79908135677</v>
      </c>
      <c r="R192" s="36">
        <v>10000</v>
      </c>
      <c r="S192" s="37" t="s">
        <v>2835</v>
      </c>
      <c r="T192" s="38">
        <v>45645</v>
      </c>
      <c r="U192" s="39"/>
      <c r="V192" s="39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1">
        <f t="shared" si="36"/>
        <v>0</v>
      </c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>
        <f t="shared" si="37"/>
        <v>0</v>
      </c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>
        <v>0</v>
      </c>
      <c r="BQ192" s="42">
        <v>0</v>
      </c>
      <c r="BR192" s="42">
        <v>0</v>
      </c>
      <c r="BS192" s="42">
        <v>713</v>
      </c>
      <c r="BT192" s="42">
        <v>0</v>
      </c>
      <c r="BU192" s="42">
        <v>0</v>
      </c>
      <c r="BV192" s="42">
        <v>0</v>
      </c>
      <c r="BW192" s="42">
        <v>0</v>
      </c>
      <c r="BX192" s="42">
        <v>0</v>
      </c>
      <c r="BY192" s="42">
        <v>0</v>
      </c>
      <c r="BZ192" s="42">
        <v>0</v>
      </c>
      <c r="CA192" s="42">
        <v>0</v>
      </c>
      <c r="CB192" s="42">
        <v>0</v>
      </c>
      <c r="CC192" s="42">
        <v>0</v>
      </c>
      <c r="CD192" s="42">
        <v>0</v>
      </c>
      <c r="CE192" s="42">
        <v>0</v>
      </c>
      <c r="CF192" s="42">
        <v>0</v>
      </c>
      <c r="CG192" s="42">
        <v>0</v>
      </c>
      <c r="CH192" s="42">
        <v>0</v>
      </c>
      <c r="CI192" s="42">
        <v>500</v>
      </c>
      <c r="CJ192" s="42">
        <v>3691.3318575646799</v>
      </c>
      <c r="CK192" s="43">
        <f t="shared" si="38"/>
        <v>4904.3318575646799</v>
      </c>
      <c r="CL192" s="66"/>
      <c r="CM192" s="66">
        <v>500</v>
      </c>
      <c r="CN192" s="66">
        <v>500</v>
      </c>
      <c r="CO192" s="66">
        <v>500</v>
      </c>
      <c r="CP192" s="66">
        <v>738.46722379209132</v>
      </c>
      <c r="CQ192" s="66">
        <v>500</v>
      </c>
      <c r="CR192" s="66">
        <v>500</v>
      </c>
      <c r="CS192" s="66">
        <v>317</v>
      </c>
      <c r="CT192" s="66">
        <v>0</v>
      </c>
      <c r="CU192" s="66">
        <v>500</v>
      </c>
      <c r="CV192" s="66">
        <v>544</v>
      </c>
      <c r="CW192" s="66">
        <v>500</v>
      </c>
      <c r="CX192" s="66">
        <v>500</v>
      </c>
      <c r="CY192" s="66">
        <v>500</v>
      </c>
      <c r="CZ192" s="66">
        <v>500</v>
      </c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>
        <f>SUM(Table1[[#This Row],[01-03 Apr]:[Mar-26]])</f>
        <v>6599.4672237920913</v>
      </c>
    </row>
    <row r="193" spans="1:115" x14ac:dyDescent="0.2">
      <c r="A193" s="28"/>
      <c r="B193" s="29"/>
      <c r="C193" s="29" t="s">
        <v>2838</v>
      </c>
      <c r="D193" s="30" t="s">
        <v>2836</v>
      </c>
      <c r="E193" s="30" t="s">
        <v>85</v>
      </c>
      <c r="F193" s="30"/>
      <c r="G193" s="31"/>
      <c r="H193" s="30">
        <v>386388</v>
      </c>
      <c r="I193" s="30" t="str">
        <f>IF(Table1[[#This Row],[Centre Status]]="Returned","NA",IF(Table1[[#This Row],[SD]]&gt;19000,"Full Payment",IF(Table1[[#This Row],[SD]]&lt;1,"No Payment","Partial Payment")))</f>
        <v>Partial Payment</v>
      </c>
      <c r="J193" s="30" t="s">
        <v>58</v>
      </c>
      <c r="K193" s="32">
        <v>110000</v>
      </c>
      <c r="L193" s="33">
        <f>Q193+R193+U193+Table1[[#This Row],[Farmer Payment]]</f>
        <v>17537</v>
      </c>
      <c r="M193" s="30"/>
      <c r="N193" s="34"/>
      <c r="O193" s="34"/>
      <c r="P193" s="35">
        <f t="shared" si="35"/>
        <v>92463</v>
      </c>
      <c r="Q193" s="33">
        <f>AI193+AV193+CK193+Table1[[#This Row],[FY 25-26]]</f>
        <v>7537</v>
      </c>
      <c r="R193" s="36">
        <v>10000</v>
      </c>
      <c r="S193" s="37" t="s">
        <v>2837</v>
      </c>
      <c r="T193" s="38">
        <v>45647</v>
      </c>
      <c r="U193" s="39"/>
      <c r="V193" s="39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1">
        <f t="shared" si="36"/>
        <v>0</v>
      </c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>
        <f t="shared" si="37"/>
        <v>0</v>
      </c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>
        <v>0</v>
      </c>
      <c r="BQ193" s="42">
        <v>0</v>
      </c>
      <c r="BR193" s="42">
        <v>0</v>
      </c>
      <c r="BS193" s="42">
        <v>176</v>
      </c>
      <c r="BT193" s="42">
        <v>0</v>
      </c>
      <c r="BU193" s="42">
        <v>0</v>
      </c>
      <c r="BV193" s="42">
        <v>0</v>
      </c>
      <c r="BW193" s="42">
        <v>0</v>
      </c>
      <c r="BX193" s="42">
        <v>0</v>
      </c>
      <c r="BY193" s="42">
        <v>0</v>
      </c>
      <c r="BZ193" s="42">
        <v>0</v>
      </c>
      <c r="CA193" s="42">
        <v>0</v>
      </c>
      <c r="CB193" s="42">
        <v>0</v>
      </c>
      <c r="CC193" s="42">
        <v>0</v>
      </c>
      <c r="CD193" s="42">
        <v>0</v>
      </c>
      <c r="CE193" s="42">
        <v>0</v>
      </c>
      <c r="CF193" s="42">
        <v>0</v>
      </c>
      <c r="CG193" s="42">
        <v>0</v>
      </c>
      <c r="CH193" s="42">
        <v>0</v>
      </c>
      <c r="CI193" s="42">
        <v>500</v>
      </c>
      <c r="CJ193" s="42">
        <v>1361</v>
      </c>
      <c r="CK193" s="43">
        <f t="shared" si="38"/>
        <v>2037</v>
      </c>
      <c r="CL193" s="66"/>
      <c r="CM193" s="66">
        <v>500</v>
      </c>
      <c r="CN193" s="66">
        <v>500</v>
      </c>
      <c r="CO193" s="66">
        <v>500</v>
      </c>
      <c r="CP193" s="66">
        <v>0</v>
      </c>
      <c r="CQ193" s="66">
        <v>500</v>
      </c>
      <c r="CR193" s="66">
        <v>500</v>
      </c>
      <c r="CS193" s="66">
        <v>500</v>
      </c>
      <c r="CT193" s="66">
        <v>500</v>
      </c>
      <c r="CU193" s="66">
        <v>0</v>
      </c>
      <c r="CV193" s="66">
        <v>0</v>
      </c>
      <c r="CW193" s="66">
        <v>500</v>
      </c>
      <c r="CX193" s="66">
        <v>500</v>
      </c>
      <c r="CY193" s="66">
        <v>500</v>
      </c>
      <c r="CZ193" s="66">
        <v>500</v>
      </c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>
        <f>SUM(Table1[[#This Row],[01-03 Apr]:[Mar-26]])</f>
        <v>5500</v>
      </c>
    </row>
    <row r="194" spans="1:115" hidden="1" x14ac:dyDescent="0.2">
      <c r="A194" s="28"/>
      <c r="B194" s="29"/>
      <c r="C194" s="29" t="s">
        <v>2842</v>
      </c>
      <c r="D194" s="30" t="s">
        <v>2839</v>
      </c>
      <c r="E194" s="30" t="s">
        <v>85</v>
      </c>
      <c r="F194" s="30"/>
      <c r="G194" s="31"/>
      <c r="H194" s="30">
        <v>359826</v>
      </c>
      <c r="I194" s="30" t="str">
        <f>IF(Table1[[#This Row],[Centre Status]]="Returned","NA",IF(Table1[[#This Row],[SD]]&gt;19000,"Full Payment",IF(Table1[[#This Row],[SD]]&lt;1,"No Payment","Partial Payment")))</f>
        <v>NA</v>
      </c>
      <c r="J194" s="30" t="s">
        <v>1903</v>
      </c>
      <c r="K194" s="32">
        <v>110000</v>
      </c>
      <c r="L194" s="33">
        <f>Q194+R194+U194+Table1[[#This Row],[Farmer Payment]]</f>
        <v>21868</v>
      </c>
      <c r="M194" s="30"/>
      <c r="N194" s="34"/>
      <c r="O194" s="34"/>
      <c r="P194" s="35">
        <f t="shared" si="35"/>
        <v>88132</v>
      </c>
      <c r="Q194" s="33">
        <f>AI194+AV194+CK194+Table1[[#This Row],[FY 25-26]]</f>
        <v>1868</v>
      </c>
      <c r="R194" s="36">
        <v>20000</v>
      </c>
      <c r="S194" s="37" t="s">
        <v>2845</v>
      </c>
      <c r="T194" s="38">
        <v>45647</v>
      </c>
      <c r="U194" s="39"/>
      <c r="V194" s="39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1">
        <f t="shared" si="36"/>
        <v>0</v>
      </c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>
        <f t="shared" si="37"/>
        <v>0</v>
      </c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>
        <v>0</v>
      </c>
      <c r="BQ194" s="42">
        <v>0</v>
      </c>
      <c r="BR194" s="42">
        <v>0</v>
      </c>
      <c r="BS194" s="42">
        <v>7</v>
      </c>
      <c r="BT194" s="42">
        <v>0</v>
      </c>
      <c r="BU194" s="42">
        <v>0</v>
      </c>
      <c r="BV194" s="42">
        <v>0</v>
      </c>
      <c r="BW194" s="42">
        <v>0</v>
      </c>
      <c r="BX194" s="42">
        <v>0</v>
      </c>
      <c r="BY194" s="42">
        <v>0</v>
      </c>
      <c r="BZ194" s="42">
        <v>0</v>
      </c>
      <c r="CA194" s="42">
        <v>0</v>
      </c>
      <c r="CB194" s="42">
        <v>0</v>
      </c>
      <c r="CC194" s="42">
        <v>0</v>
      </c>
      <c r="CD194" s="42">
        <v>0</v>
      </c>
      <c r="CE194" s="42">
        <v>0</v>
      </c>
      <c r="CF194" s="42">
        <v>0</v>
      </c>
      <c r="CG194" s="42">
        <v>0</v>
      </c>
      <c r="CH194" s="42">
        <v>0</v>
      </c>
      <c r="CI194" s="42">
        <v>0</v>
      </c>
      <c r="CJ194" s="42">
        <v>1861</v>
      </c>
      <c r="CK194" s="43">
        <f t="shared" si="38"/>
        <v>1868</v>
      </c>
      <c r="CL194" s="66"/>
      <c r="CM194" s="66">
        <v>0</v>
      </c>
      <c r="CN194" s="66">
        <v>0</v>
      </c>
      <c r="CO194" s="66">
        <v>0</v>
      </c>
      <c r="CP194" s="66">
        <v>0</v>
      </c>
      <c r="CQ194" s="66">
        <v>0</v>
      </c>
      <c r="CR194" s="66">
        <v>0</v>
      </c>
      <c r="CS194" s="66">
        <v>0</v>
      </c>
      <c r="CT194" s="66">
        <v>0</v>
      </c>
      <c r="CU194" s="66">
        <v>0</v>
      </c>
      <c r="CV194" s="66">
        <v>0</v>
      </c>
      <c r="CW194" s="66">
        <v>0</v>
      </c>
      <c r="CX194" s="66">
        <v>0</v>
      </c>
      <c r="CY194" s="66">
        <v>0</v>
      </c>
      <c r="CZ194" s="66">
        <v>0</v>
      </c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>
        <f>SUM(Table1[[#This Row],[01-03 Apr]:[Mar-26]])</f>
        <v>0</v>
      </c>
    </row>
    <row r="195" spans="1:115" hidden="1" x14ac:dyDescent="0.2">
      <c r="A195" s="28"/>
      <c r="B195" s="29"/>
      <c r="C195" s="29" t="s">
        <v>2843</v>
      </c>
      <c r="D195" s="30" t="s">
        <v>2840</v>
      </c>
      <c r="E195" s="30" t="s">
        <v>85</v>
      </c>
      <c r="F195" s="30"/>
      <c r="G195" s="31"/>
      <c r="H195" s="30">
        <v>383925</v>
      </c>
      <c r="I195" s="30" t="str">
        <f>IF(Table1[[#This Row],[Centre Status]]="Returned","NA",IF(Table1[[#This Row],[SD]]&gt;19000,"Full Payment",IF(Table1[[#This Row],[SD]]&lt;1,"No Payment","Partial Payment")))</f>
        <v>Full Payment</v>
      </c>
      <c r="J195" s="30" t="s">
        <v>58</v>
      </c>
      <c r="K195" s="32">
        <v>110000</v>
      </c>
      <c r="L195" s="33">
        <f>Q195+R195+U195+Table1[[#This Row],[Farmer Payment]]</f>
        <v>25072</v>
      </c>
      <c r="M195" s="30"/>
      <c r="N195" s="34"/>
      <c r="O195" s="34"/>
      <c r="P195" s="35">
        <f t="shared" si="35"/>
        <v>84928</v>
      </c>
      <c r="Q195" s="33">
        <f>AI195+AV195+CK195+Table1[[#This Row],[FY 25-26]]</f>
        <v>5072</v>
      </c>
      <c r="R195" s="36">
        <v>20000</v>
      </c>
      <c r="S195" s="37" t="s">
        <v>2846</v>
      </c>
      <c r="T195" s="38">
        <v>45647</v>
      </c>
      <c r="U195" s="39"/>
      <c r="V195" s="39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1">
        <f t="shared" si="36"/>
        <v>0</v>
      </c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>
        <f t="shared" si="37"/>
        <v>0</v>
      </c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>
        <v>0</v>
      </c>
      <c r="BQ195" s="42">
        <v>0</v>
      </c>
      <c r="BR195" s="42">
        <v>0</v>
      </c>
      <c r="BS195" s="42">
        <v>211</v>
      </c>
      <c r="BT195" s="42">
        <v>0</v>
      </c>
      <c r="BU195" s="42">
        <v>0</v>
      </c>
      <c r="BV195" s="42">
        <v>0</v>
      </c>
      <c r="BW195" s="42">
        <v>0</v>
      </c>
      <c r="BX195" s="42">
        <v>0</v>
      </c>
      <c r="BY195" s="42">
        <v>0</v>
      </c>
      <c r="BZ195" s="42">
        <v>0</v>
      </c>
      <c r="CA195" s="42">
        <v>0</v>
      </c>
      <c r="CB195" s="42">
        <v>0</v>
      </c>
      <c r="CC195" s="42">
        <v>0</v>
      </c>
      <c r="CD195" s="42">
        <v>0</v>
      </c>
      <c r="CE195" s="42">
        <v>0</v>
      </c>
      <c r="CF195" s="42">
        <v>0</v>
      </c>
      <c r="CG195" s="42">
        <v>0</v>
      </c>
      <c r="CH195" s="42">
        <v>0</v>
      </c>
      <c r="CI195" s="42">
        <v>500</v>
      </c>
      <c r="CJ195" s="42">
        <v>1361</v>
      </c>
      <c r="CK195" s="43">
        <f t="shared" si="38"/>
        <v>2072</v>
      </c>
      <c r="CL195" s="66"/>
      <c r="CM195" s="66">
        <v>500</v>
      </c>
      <c r="CN195" s="66">
        <v>500</v>
      </c>
      <c r="CO195" s="66">
        <v>500</v>
      </c>
      <c r="CP195" s="66">
        <v>0</v>
      </c>
      <c r="CQ195" s="66">
        <v>500</v>
      </c>
      <c r="CR195" s="66">
        <v>500</v>
      </c>
      <c r="CS195" s="66">
        <v>500</v>
      </c>
      <c r="CT195" s="66">
        <v>0</v>
      </c>
      <c r="CU195" s="66">
        <v>0</v>
      </c>
      <c r="CV195" s="66">
        <v>0</v>
      </c>
      <c r="CW195" s="66">
        <v>0</v>
      </c>
      <c r="CX195" s="66">
        <v>0</v>
      </c>
      <c r="CY195" s="66">
        <v>0</v>
      </c>
      <c r="CZ195" s="66">
        <v>0</v>
      </c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>
        <f>SUM(Table1[[#This Row],[01-03 Apr]:[Mar-26]])</f>
        <v>3000</v>
      </c>
    </row>
    <row r="196" spans="1:115" hidden="1" x14ac:dyDescent="0.2">
      <c r="A196" s="28"/>
      <c r="B196" s="29"/>
      <c r="C196" s="29" t="s">
        <v>2844</v>
      </c>
      <c r="D196" s="30" t="s">
        <v>2841</v>
      </c>
      <c r="E196" s="30" t="s">
        <v>85</v>
      </c>
      <c r="F196" s="30"/>
      <c r="G196" s="31"/>
      <c r="H196" s="30">
        <v>381769</v>
      </c>
      <c r="I196" s="30" t="str">
        <f>IF(Table1[[#This Row],[Centre Status]]="Returned","NA",IF(Table1[[#This Row],[SD]]&gt;19000,"Full Payment",IF(Table1[[#This Row],[SD]]&lt;1,"No Payment","Partial Payment")))</f>
        <v>Full Payment</v>
      </c>
      <c r="J196" s="30" t="s">
        <v>58</v>
      </c>
      <c r="K196" s="32">
        <v>110000</v>
      </c>
      <c r="L196" s="33">
        <f>Q196+R196+U196+Table1[[#This Row],[Farmer Payment]]</f>
        <v>25478</v>
      </c>
      <c r="M196" s="30"/>
      <c r="N196" s="34"/>
      <c r="O196" s="34"/>
      <c r="P196" s="35">
        <f t="shared" si="35"/>
        <v>84522</v>
      </c>
      <c r="Q196" s="33">
        <f>AI196+AV196+CK196+Table1[[#This Row],[FY 25-26]]</f>
        <v>5478</v>
      </c>
      <c r="R196" s="36">
        <v>20000</v>
      </c>
      <c r="S196" s="37" t="s">
        <v>2847</v>
      </c>
      <c r="T196" s="38">
        <v>45647</v>
      </c>
      <c r="U196" s="39"/>
      <c r="V196" s="39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1">
        <f t="shared" si="36"/>
        <v>0</v>
      </c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>
        <f t="shared" si="37"/>
        <v>0</v>
      </c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>
        <v>0</v>
      </c>
      <c r="BQ196" s="42">
        <v>0</v>
      </c>
      <c r="BR196" s="42">
        <v>0</v>
      </c>
      <c r="BS196" s="42">
        <v>117</v>
      </c>
      <c r="BT196" s="42">
        <v>0</v>
      </c>
      <c r="BU196" s="42">
        <v>0</v>
      </c>
      <c r="BV196" s="42">
        <v>0</v>
      </c>
      <c r="BW196" s="42">
        <v>0</v>
      </c>
      <c r="BX196" s="42">
        <v>0</v>
      </c>
      <c r="BY196" s="42">
        <v>0</v>
      </c>
      <c r="BZ196" s="42">
        <v>0</v>
      </c>
      <c r="CA196" s="42">
        <v>0</v>
      </c>
      <c r="CB196" s="42">
        <v>0</v>
      </c>
      <c r="CC196" s="42">
        <v>0</v>
      </c>
      <c r="CD196" s="42">
        <v>0</v>
      </c>
      <c r="CE196" s="42">
        <v>0</v>
      </c>
      <c r="CF196" s="42">
        <v>0</v>
      </c>
      <c r="CG196" s="42">
        <v>0</v>
      </c>
      <c r="CH196" s="42">
        <v>0</v>
      </c>
      <c r="CI196" s="42">
        <v>500</v>
      </c>
      <c r="CJ196" s="42">
        <v>1361</v>
      </c>
      <c r="CK196" s="43">
        <f t="shared" si="38"/>
        <v>1978</v>
      </c>
      <c r="CL196" s="66"/>
      <c r="CM196" s="66">
        <v>500</v>
      </c>
      <c r="CN196" s="66">
        <v>500</v>
      </c>
      <c r="CO196" s="66">
        <v>500</v>
      </c>
      <c r="CP196" s="66">
        <v>0</v>
      </c>
      <c r="CQ196" s="66">
        <v>500</v>
      </c>
      <c r="CR196" s="66">
        <v>500</v>
      </c>
      <c r="CS196" s="66">
        <v>500</v>
      </c>
      <c r="CT196" s="66">
        <v>500</v>
      </c>
      <c r="CU196" s="66">
        <v>0</v>
      </c>
      <c r="CV196" s="66">
        <v>0</v>
      </c>
      <c r="CW196" s="66">
        <v>0</v>
      </c>
      <c r="CX196" s="66">
        <v>0</v>
      </c>
      <c r="CY196" s="66">
        <v>0</v>
      </c>
      <c r="CZ196" s="66">
        <v>0</v>
      </c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>
        <f>SUM(Table1[[#This Row],[01-03 Apr]:[Mar-26]])</f>
        <v>3500</v>
      </c>
    </row>
    <row r="197" spans="1:115" x14ac:dyDescent="0.2">
      <c r="A197" s="28"/>
      <c r="B197" s="29"/>
      <c r="C197" s="29" t="s">
        <v>2792</v>
      </c>
      <c r="D197" s="30" t="s">
        <v>2787</v>
      </c>
      <c r="E197" s="30" t="s">
        <v>101</v>
      </c>
      <c r="F197" s="30"/>
      <c r="G197" s="31"/>
      <c r="H197" s="30">
        <v>310521</v>
      </c>
      <c r="I197" s="30" t="str">
        <f>IF(Table1[[#This Row],[Centre Status]]="Returned","NA",IF(Table1[[#This Row],[SD]]&gt;19000,"Full Payment",IF(Table1[[#This Row],[SD]]&lt;1,"No Payment","Partial Payment")))</f>
        <v>Partial Payment</v>
      </c>
      <c r="J197" s="30" t="s">
        <v>58</v>
      </c>
      <c r="K197" s="32">
        <v>110000</v>
      </c>
      <c r="L197" s="33">
        <f>Q197+R197+U197+Table1[[#This Row],[Farmer Payment]]</f>
        <v>18516</v>
      </c>
      <c r="M197" s="30"/>
      <c r="N197" s="34"/>
      <c r="O197" s="34"/>
      <c r="P197" s="35">
        <f t="shared" si="35"/>
        <v>91484</v>
      </c>
      <c r="Q197" s="33">
        <f>AI197+AV197+CK197+Table1[[#This Row],[FY 25-26]]</f>
        <v>8516</v>
      </c>
      <c r="R197" s="36">
        <v>10000</v>
      </c>
      <c r="S197" s="37" t="s">
        <v>2797</v>
      </c>
      <c r="T197" s="38">
        <v>45560</v>
      </c>
      <c r="U197" s="39"/>
      <c r="V197" s="39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1">
        <f t="shared" si="36"/>
        <v>0</v>
      </c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>
        <f t="shared" si="37"/>
        <v>0</v>
      </c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>
        <v>0</v>
      </c>
      <c r="BN197" s="42">
        <v>0</v>
      </c>
      <c r="BO197" s="42">
        <v>0</v>
      </c>
      <c r="BP197" s="42">
        <v>0</v>
      </c>
      <c r="BQ197" s="42">
        <v>0</v>
      </c>
      <c r="BR197" s="42">
        <v>0</v>
      </c>
      <c r="BS197" s="42">
        <v>655</v>
      </c>
      <c r="BT197" s="42">
        <v>0</v>
      </c>
      <c r="BU197" s="42">
        <v>0</v>
      </c>
      <c r="BV197" s="42">
        <v>0</v>
      </c>
      <c r="BW197" s="42">
        <v>0</v>
      </c>
      <c r="BX197" s="42">
        <v>0</v>
      </c>
      <c r="BY197" s="42">
        <v>0</v>
      </c>
      <c r="BZ197" s="42">
        <v>0</v>
      </c>
      <c r="CA197" s="42">
        <v>0</v>
      </c>
      <c r="CB197" s="42">
        <v>0</v>
      </c>
      <c r="CC197" s="42">
        <v>0</v>
      </c>
      <c r="CD197" s="42">
        <v>0</v>
      </c>
      <c r="CE197" s="42">
        <v>0</v>
      </c>
      <c r="CF197" s="42">
        <v>0</v>
      </c>
      <c r="CG197" s="42">
        <v>0</v>
      </c>
      <c r="CH197" s="42">
        <v>0</v>
      </c>
      <c r="CI197" s="42">
        <v>500</v>
      </c>
      <c r="CJ197" s="42">
        <v>1361</v>
      </c>
      <c r="CK197" s="43">
        <f t="shared" si="38"/>
        <v>2516</v>
      </c>
      <c r="CL197" s="66"/>
      <c r="CM197" s="66">
        <v>500</v>
      </c>
      <c r="CN197" s="66">
        <v>500</v>
      </c>
      <c r="CO197" s="66">
        <v>500</v>
      </c>
      <c r="CP197" s="66">
        <v>0</v>
      </c>
      <c r="CQ197" s="66">
        <v>500</v>
      </c>
      <c r="CR197" s="66">
        <v>500</v>
      </c>
      <c r="CS197" s="66">
        <v>500</v>
      </c>
      <c r="CT197" s="66">
        <v>500</v>
      </c>
      <c r="CU197" s="66">
        <v>500</v>
      </c>
      <c r="CV197" s="66">
        <v>0</v>
      </c>
      <c r="CW197" s="66">
        <v>500</v>
      </c>
      <c r="CX197" s="66">
        <v>500</v>
      </c>
      <c r="CY197" s="66">
        <v>500</v>
      </c>
      <c r="CZ197" s="66">
        <v>500</v>
      </c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>
        <f>SUM(Table1[[#This Row],[01-03 Apr]:[Mar-26]])</f>
        <v>6000</v>
      </c>
    </row>
    <row r="198" spans="1:115" x14ac:dyDescent="0.2">
      <c r="A198" s="28"/>
      <c r="B198" s="29"/>
      <c r="C198" s="29" t="s">
        <v>2793</v>
      </c>
      <c r="D198" s="30" t="s">
        <v>2788</v>
      </c>
      <c r="E198" s="30" t="s">
        <v>1630</v>
      </c>
      <c r="F198" s="30"/>
      <c r="G198" s="31"/>
      <c r="H198" s="30">
        <v>274749</v>
      </c>
      <c r="I198" s="30" t="str">
        <f>IF(Table1[[#This Row],[Centre Status]]="Returned","NA",IF(Table1[[#This Row],[SD]]&gt;19000,"Full Payment",IF(Table1[[#This Row],[SD]]&lt;1,"No Payment","Partial Payment")))</f>
        <v>Partial Payment</v>
      </c>
      <c r="J198" s="30" t="s">
        <v>58</v>
      </c>
      <c r="K198" s="32">
        <v>110000</v>
      </c>
      <c r="L198" s="33">
        <f>Q198+R198+U198+Table1[[#This Row],[Farmer Payment]]</f>
        <v>16032</v>
      </c>
      <c r="M198" s="30"/>
      <c r="N198" s="34"/>
      <c r="O198" s="34"/>
      <c r="P198" s="35">
        <f t="shared" si="35"/>
        <v>93968</v>
      </c>
      <c r="Q198" s="33">
        <f>AI198+AV198+CK198+Table1[[#This Row],[FY 25-26]]</f>
        <v>6032</v>
      </c>
      <c r="R198" s="36">
        <v>10000</v>
      </c>
      <c r="S198" s="37" t="s">
        <v>2798</v>
      </c>
      <c r="T198" s="38">
        <v>45616</v>
      </c>
      <c r="U198" s="39"/>
      <c r="V198" s="39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1">
        <f t="shared" si="36"/>
        <v>0</v>
      </c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>
        <f t="shared" si="37"/>
        <v>0</v>
      </c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>
        <v>0</v>
      </c>
      <c r="BN198" s="42">
        <v>0</v>
      </c>
      <c r="BO198" s="42">
        <v>0</v>
      </c>
      <c r="BP198" s="42">
        <v>0</v>
      </c>
      <c r="BQ198" s="42">
        <v>0</v>
      </c>
      <c r="BR198" s="42">
        <v>0</v>
      </c>
      <c r="BS198" s="42">
        <v>1861</v>
      </c>
      <c r="BT198" s="42">
        <v>0</v>
      </c>
      <c r="BU198" s="42">
        <v>0</v>
      </c>
      <c r="BV198" s="42">
        <v>0</v>
      </c>
      <c r="BW198" s="42">
        <v>0</v>
      </c>
      <c r="BX198" s="42">
        <v>0</v>
      </c>
      <c r="BY198" s="42">
        <v>0</v>
      </c>
      <c r="BZ198" s="42">
        <v>0</v>
      </c>
      <c r="CA198" s="42">
        <v>0</v>
      </c>
      <c r="CB198" s="42">
        <v>0</v>
      </c>
      <c r="CC198" s="42">
        <v>0</v>
      </c>
      <c r="CD198" s="42">
        <v>0</v>
      </c>
      <c r="CE198" s="42">
        <v>0</v>
      </c>
      <c r="CF198" s="42">
        <v>0</v>
      </c>
      <c r="CG198" s="42">
        <v>0</v>
      </c>
      <c r="CH198" s="42">
        <v>0</v>
      </c>
      <c r="CI198" s="42">
        <v>0</v>
      </c>
      <c r="CJ198" s="42">
        <v>1861</v>
      </c>
      <c r="CK198" s="43">
        <f t="shared" si="38"/>
        <v>3722</v>
      </c>
      <c r="CL198" s="66"/>
      <c r="CM198" s="66">
        <v>0</v>
      </c>
      <c r="CN198" s="66">
        <v>0</v>
      </c>
      <c r="CO198" s="66">
        <v>0</v>
      </c>
      <c r="CP198" s="66">
        <v>1154</v>
      </c>
      <c r="CQ198" s="66">
        <v>0</v>
      </c>
      <c r="CR198" s="66">
        <v>0</v>
      </c>
      <c r="CS198" s="66">
        <v>0</v>
      </c>
      <c r="CT198" s="66">
        <v>0</v>
      </c>
      <c r="CU198" s="66">
        <v>0</v>
      </c>
      <c r="CV198" s="66">
        <v>1156</v>
      </c>
      <c r="CW198" s="66">
        <v>0</v>
      </c>
      <c r="CX198" s="66">
        <v>0</v>
      </c>
      <c r="CY198" s="66">
        <v>0</v>
      </c>
      <c r="CZ198" s="66">
        <v>0</v>
      </c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>
        <f>SUM(Table1[[#This Row],[01-03 Apr]:[Mar-26]])</f>
        <v>2310</v>
      </c>
    </row>
    <row r="199" spans="1:115" hidden="1" x14ac:dyDescent="0.2">
      <c r="A199" s="28"/>
      <c r="B199" s="29"/>
      <c r="C199" s="29" t="s">
        <v>2794</v>
      </c>
      <c r="D199" s="30" t="s">
        <v>2789</v>
      </c>
      <c r="E199" s="30" t="s">
        <v>1630</v>
      </c>
      <c r="F199" s="30"/>
      <c r="G199" s="31"/>
      <c r="H199" s="30">
        <v>276881</v>
      </c>
      <c r="I199" s="30" t="str">
        <f>IF(Table1[[#This Row],[Centre Status]]="Returned","NA",IF(Table1[[#This Row],[SD]]&gt;19000,"Full Payment",IF(Table1[[#This Row],[SD]]&lt;1,"No Payment","Partial Payment")))</f>
        <v>NA</v>
      </c>
      <c r="J199" s="30" t="s">
        <v>1903</v>
      </c>
      <c r="K199" s="32">
        <v>110000</v>
      </c>
      <c r="L199" s="33">
        <f>Q199+R199+U199+Table1[[#This Row],[Farmer Payment]]</f>
        <v>14733</v>
      </c>
      <c r="M199" s="30"/>
      <c r="N199" s="34"/>
      <c r="O199" s="34"/>
      <c r="P199" s="35">
        <f t="shared" si="35"/>
        <v>95267</v>
      </c>
      <c r="Q199" s="33">
        <f>AI199+AV199+CK199+Table1[[#This Row],[FY 25-26]]</f>
        <v>4733</v>
      </c>
      <c r="R199" s="36">
        <v>10000</v>
      </c>
      <c r="S199" s="37" t="s">
        <v>2799</v>
      </c>
      <c r="T199" s="38">
        <v>45614</v>
      </c>
      <c r="U199" s="39"/>
      <c r="V199" s="39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1">
        <f t="shared" si="36"/>
        <v>0</v>
      </c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>
        <f t="shared" si="37"/>
        <v>0</v>
      </c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>
        <v>0</v>
      </c>
      <c r="BN199" s="42">
        <v>0</v>
      </c>
      <c r="BO199" s="42">
        <v>0</v>
      </c>
      <c r="BP199" s="42">
        <v>0</v>
      </c>
      <c r="BQ199" s="42">
        <v>0</v>
      </c>
      <c r="BR199" s="42">
        <v>0</v>
      </c>
      <c r="BS199" s="42">
        <v>1416</v>
      </c>
      <c r="BT199" s="42">
        <v>0</v>
      </c>
      <c r="BU199" s="42">
        <v>0</v>
      </c>
      <c r="BV199" s="42">
        <v>0</v>
      </c>
      <c r="BW199" s="42">
        <v>0</v>
      </c>
      <c r="BX199" s="42">
        <v>0</v>
      </c>
      <c r="BY199" s="42">
        <v>0</v>
      </c>
      <c r="BZ199" s="42">
        <v>0</v>
      </c>
      <c r="CA199" s="42">
        <v>0</v>
      </c>
      <c r="CB199" s="42">
        <v>0</v>
      </c>
      <c r="CC199" s="42">
        <v>0</v>
      </c>
      <c r="CD199" s="42">
        <v>0</v>
      </c>
      <c r="CE199" s="42">
        <v>0</v>
      </c>
      <c r="CF199" s="42">
        <v>0</v>
      </c>
      <c r="CG199" s="42">
        <v>0</v>
      </c>
      <c r="CH199" s="42">
        <v>0</v>
      </c>
      <c r="CI199" s="42">
        <v>500</v>
      </c>
      <c r="CJ199" s="42">
        <v>1317</v>
      </c>
      <c r="CK199" s="43">
        <f t="shared" si="38"/>
        <v>3233</v>
      </c>
      <c r="CL199" s="66"/>
      <c r="CM199" s="66">
        <v>500</v>
      </c>
      <c r="CN199" s="66">
        <v>500</v>
      </c>
      <c r="CO199" s="66">
        <v>500</v>
      </c>
      <c r="CP199" s="66">
        <v>0</v>
      </c>
      <c r="CQ199" s="66">
        <v>0</v>
      </c>
      <c r="CR199" s="66">
        <v>0</v>
      </c>
      <c r="CS199" s="66">
        <v>0</v>
      </c>
      <c r="CT199" s="66">
        <v>0</v>
      </c>
      <c r="CU199" s="66">
        <v>0</v>
      </c>
      <c r="CV199" s="66">
        <v>0</v>
      </c>
      <c r="CW199" s="66">
        <v>0</v>
      </c>
      <c r="CX199" s="66">
        <v>0</v>
      </c>
      <c r="CY199" s="66">
        <v>0</v>
      </c>
      <c r="CZ199" s="66">
        <v>0</v>
      </c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>
        <f>SUM(Table1[[#This Row],[01-03 Apr]:[Mar-26]])</f>
        <v>1500</v>
      </c>
    </row>
    <row r="200" spans="1:115" x14ac:dyDescent="0.2">
      <c r="A200" s="28"/>
      <c r="B200" s="29"/>
      <c r="C200" s="29" t="s">
        <v>2795</v>
      </c>
      <c r="D200" s="30" t="s">
        <v>2790</v>
      </c>
      <c r="E200" s="30" t="s">
        <v>1630</v>
      </c>
      <c r="F200" s="30"/>
      <c r="G200" s="31"/>
      <c r="H200" s="30">
        <v>311454</v>
      </c>
      <c r="I200" s="30" t="str">
        <f>IF(Table1[[#This Row],[Centre Status]]="Returned","NA",IF(Table1[[#This Row],[SD]]&gt;19000,"Full Payment",IF(Table1[[#This Row],[SD]]&lt;1,"No Payment","Partial Payment")))</f>
        <v>Partial Payment</v>
      </c>
      <c r="J200" s="30" t="s">
        <v>58</v>
      </c>
      <c r="K200" s="32">
        <v>110000</v>
      </c>
      <c r="L200" s="33">
        <f>Q200+R200+U200+Table1[[#This Row],[Farmer Payment]]</f>
        <v>18484.199767946688</v>
      </c>
      <c r="M200" s="30"/>
      <c r="N200" s="34"/>
      <c r="O200" s="34"/>
      <c r="P200" s="35">
        <f t="shared" si="35"/>
        <v>91515.800232053312</v>
      </c>
      <c r="Q200" s="33">
        <f>AI200+AV200+CK200+Table1[[#This Row],[FY 25-26]]</f>
        <v>8484.1997679466876</v>
      </c>
      <c r="R200" s="36">
        <v>10000</v>
      </c>
      <c r="S200" s="37" t="s">
        <v>2800</v>
      </c>
      <c r="T200" s="38">
        <v>45616</v>
      </c>
      <c r="U200" s="39"/>
      <c r="V200" s="39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1">
        <f t="shared" si="36"/>
        <v>0</v>
      </c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>
        <f t="shared" si="37"/>
        <v>0</v>
      </c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>
        <v>0</v>
      </c>
      <c r="BN200" s="42">
        <v>0</v>
      </c>
      <c r="BO200" s="42">
        <v>0</v>
      </c>
      <c r="BP200" s="42">
        <v>0</v>
      </c>
      <c r="BQ200" s="42">
        <v>0</v>
      </c>
      <c r="BR200" s="42">
        <v>0</v>
      </c>
      <c r="BS200" s="42">
        <v>1861</v>
      </c>
      <c r="BT200" s="42">
        <v>0</v>
      </c>
      <c r="BU200" s="42">
        <v>0</v>
      </c>
      <c r="BV200" s="42">
        <v>0</v>
      </c>
      <c r="BW200" s="42">
        <v>0</v>
      </c>
      <c r="BX200" s="42">
        <v>0</v>
      </c>
      <c r="BY200" s="42">
        <v>0</v>
      </c>
      <c r="BZ200" s="42">
        <v>0</v>
      </c>
      <c r="CA200" s="42">
        <v>0</v>
      </c>
      <c r="CB200" s="42">
        <v>0</v>
      </c>
      <c r="CC200" s="42">
        <v>0</v>
      </c>
      <c r="CD200" s="42">
        <v>0</v>
      </c>
      <c r="CE200" s="42">
        <v>0</v>
      </c>
      <c r="CF200" s="42">
        <v>0</v>
      </c>
      <c r="CG200" s="42">
        <v>0</v>
      </c>
      <c r="CH200" s="42">
        <v>0</v>
      </c>
      <c r="CI200" s="42">
        <v>0</v>
      </c>
      <c r="CJ200" s="42">
        <v>2646.7370529385439</v>
      </c>
      <c r="CK200" s="43">
        <f t="shared" si="38"/>
        <v>4507.7370529385444</v>
      </c>
      <c r="CL200" s="66"/>
      <c r="CM200" s="66">
        <v>0</v>
      </c>
      <c r="CN200" s="66">
        <v>0</v>
      </c>
      <c r="CO200" s="66">
        <v>0</v>
      </c>
      <c r="CP200" s="66">
        <v>2115.4627150081442</v>
      </c>
      <c r="CQ200" s="66">
        <v>0</v>
      </c>
      <c r="CR200" s="66">
        <v>0</v>
      </c>
      <c r="CS200" s="66">
        <v>0</v>
      </c>
      <c r="CT200" s="66">
        <v>0</v>
      </c>
      <c r="CU200" s="66">
        <v>0</v>
      </c>
      <c r="CV200" s="66">
        <v>1861</v>
      </c>
      <c r="CW200" s="66">
        <v>0</v>
      </c>
      <c r="CX200" s="66">
        <v>0</v>
      </c>
      <c r="CY200" s="66">
        <v>0</v>
      </c>
      <c r="CZ200" s="66">
        <v>0</v>
      </c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>
        <f>SUM(Table1[[#This Row],[01-03 Apr]:[Mar-26]])</f>
        <v>3976.4627150081442</v>
      </c>
    </row>
    <row r="201" spans="1:115" x14ac:dyDescent="0.2">
      <c r="A201" s="28"/>
      <c r="B201" s="29"/>
      <c r="C201" s="29" t="s">
        <v>2783</v>
      </c>
      <c r="D201" s="30" t="s">
        <v>2784</v>
      </c>
      <c r="E201" s="30" t="s">
        <v>297</v>
      </c>
      <c r="F201" s="30"/>
      <c r="G201" s="31"/>
      <c r="H201" s="30">
        <v>360018</v>
      </c>
      <c r="I201" s="30" t="str">
        <f>IF(Table1[[#This Row],[Centre Status]]="Returned","NA",IF(Table1[[#This Row],[SD]]&gt;19000,"Full Payment",IF(Table1[[#This Row],[SD]]&lt;1,"No Payment","Partial Payment")))</f>
        <v>Partial Payment</v>
      </c>
      <c r="J201" s="30" t="s">
        <v>58</v>
      </c>
      <c r="K201" s="32">
        <v>110000</v>
      </c>
      <c r="L201" s="33">
        <f>Q201+R201+U201+Table1[[#This Row],[Farmer Payment]]</f>
        <v>18722</v>
      </c>
      <c r="M201" s="30"/>
      <c r="N201" s="34"/>
      <c r="O201" s="34"/>
      <c r="P201" s="35">
        <f t="shared" si="35"/>
        <v>91278</v>
      </c>
      <c r="Q201" s="33">
        <f>AI201+AV201+CK201+Table1[[#This Row],[FY 25-26]]</f>
        <v>3722</v>
      </c>
      <c r="R201" s="36">
        <v>15000</v>
      </c>
      <c r="S201" s="37" t="s">
        <v>2785</v>
      </c>
      <c r="T201" s="38">
        <v>45595</v>
      </c>
      <c r="U201" s="39"/>
      <c r="V201" s="39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1">
        <f t="shared" si="36"/>
        <v>0</v>
      </c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>
        <f t="shared" si="37"/>
        <v>0</v>
      </c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>
        <v>0</v>
      </c>
      <c r="BN201" s="42">
        <v>0</v>
      </c>
      <c r="BO201" s="42">
        <v>0</v>
      </c>
      <c r="BP201" s="42">
        <v>0</v>
      </c>
      <c r="BQ201" s="42">
        <v>0</v>
      </c>
      <c r="BR201" s="42">
        <v>0</v>
      </c>
      <c r="BS201" s="42">
        <v>1861</v>
      </c>
      <c r="BT201" s="42">
        <v>0</v>
      </c>
      <c r="BU201" s="42">
        <v>0</v>
      </c>
      <c r="BV201" s="42">
        <v>0</v>
      </c>
      <c r="BW201" s="42">
        <v>0</v>
      </c>
      <c r="BX201" s="42">
        <v>0</v>
      </c>
      <c r="BY201" s="42">
        <v>0</v>
      </c>
      <c r="BZ201" s="42">
        <v>0</v>
      </c>
      <c r="CA201" s="42">
        <v>0</v>
      </c>
      <c r="CB201" s="42">
        <v>0</v>
      </c>
      <c r="CC201" s="42">
        <v>0</v>
      </c>
      <c r="CD201" s="42">
        <v>0</v>
      </c>
      <c r="CE201" s="42">
        <v>0</v>
      </c>
      <c r="CF201" s="42">
        <v>0</v>
      </c>
      <c r="CG201" s="42">
        <v>0</v>
      </c>
      <c r="CH201" s="42">
        <v>0</v>
      </c>
      <c r="CI201" s="42">
        <v>0</v>
      </c>
      <c r="CJ201" s="42">
        <v>1861</v>
      </c>
      <c r="CK201" s="43">
        <f t="shared" si="38"/>
        <v>3722</v>
      </c>
      <c r="CL201" s="66"/>
      <c r="CM201" s="66">
        <v>0</v>
      </c>
      <c r="CN201" s="66">
        <v>0</v>
      </c>
      <c r="CO201" s="66">
        <v>0</v>
      </c>
      <c r="CP201" s="66">
        <v>0</v>
      </c>
      <c r="CQ201" s="66">
        <v>0</v>
      </c>
      <c r="CR201" s="66">
        <v>0</v>
      </c>
      <c r="CS201" s="66">
        <v>0</v>
      </c>
      <c r="CT201" s="66">
        <v>0</v>
      </c>
      <c r="CU201" s="66">
        <v>0</v>
      </c>
      <c r="CV201" s="66">
        <v>0</v>
      </c>
      <c r="CW201" s="66">
        <v>0</v>
      </c>
      <c r="CX201" s="66">
        <v>0</v>
      </c>
      <c r="CY201" s="66">
        <v>0</v>
      </c>
      <c r="CZ201" s="66">
        <v>0</v>
      </c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>
        <f>SUM(Table1[[#This Row],[01-03 Apr]:[Mar-26]])</f>
        <v>0</v>
      </c>
    </row>
    <row r="202" spans="1:115" hidden="1" x14ac:dyDescent="0.2">
      <c r="A202" s="28"/>
      <c r="B202" s="29"/>
      <c r="C202" s="29" t="s">
        <v>2804</v>
      </c>
      <c r="D202" s="30" t="s">
        <v>2802</v>
      </c>
      <c r="E202" s="30" t="s">
        <v>85</v>
      </c>
      <c r="F202" s="30"/>
      <c r="G202" s="31"/>
      <c r="H202" s="30">
        <v>360116</v>
      </c>
      <c r="I202" s="30" t="str">
        <f>IF(Table1[[#This Row],[Centre Status]]="Returned","NA",IF(Table1[[#This Row],[SD]]&gt;19000,"Full Payment",IF(Table1[[#This Row],[SD]]&lt;1,"No Payment","Partial Payment")))</f>
        <v>Full Payment</v>
      </c>
      <c r="J202" s="30" t="s">
        <v>58</v>
      </c>
      <c r="K202" s="32">
        <v>110000</v>
      </c>
      <c r="L202" s="33">
        <f>Q202+R202+U202+Table1[[#This Row],[Farmer Payment]]</f>
        <v>28419.044336856685</v>
      </c>
      <c r="M202" s="30"/>
      <c r="N202" s="34"/>
      <c r="O202" s="34"/>
      <c r="P202" s="35">
        <f t="shared" si="35"/>
        <v>81580.955663143308</v>
      </c>
      <c r="Q202" s="33">
        <f>AI202+AV202+CK202+Table1[[#This Row],[FY 25-26]]</f>
        <v>8419.044336856683</v>
      </c>
      <c r="R202" s="36">
        <v>20000</v>
      </c>
      <c r="S202" s="37" t="s">
        <v>2806</v>
      </c>
      <c r="T202" s="38">
        <v>45636</v>
      </c>
      <c r="U202" s="39"/>
      <c r="V202" s="39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1">
        <f t="shared" si="36"/>
        <v>0</v>
      </c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>
        <f t="shared" si="37"/>
        <v>0</v>
      </c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>
        <v>0</v>
      </c>
      <c r="BO202" s="42">
        <v>0</v>
      </c>
      <c r="BP202" s="42">
        <v>0</v>
      </c>
      <c r="BQ202" s="42">
        <v>0</v>
      </c>
      <c r="BR202" s="42">
        <v>0</v>
      </c>
      <c r="BS202" s="42">
        <v>964</v>
      </c>
      <c r="BT202" s="42">
        <v>0</v>
      </c>
      <c r="BU202" s="42">
        <v>0</v>
      </c>
      <c r="BV202" s="42">
        <v>0</v>
      </c>
      <c r="BW202" s="42">
        <v>0</v>
      </c>
      <c r="BX202" s="42">
        <v>0</v>
      </c>
      <c r="BY202" s="42">
        <v>0</v>
      </c>
      <c r="BZ202" s="42">
        <v>0</v>
      </c>
      <c r="CA202" s="42">
        <v>0</v>
      </c>
      <c r="CB202" s="42">
        <v>500</v>
      </c>
      <c r="CC202" s="42">
        <v>0</v>
      </c>
      <c r="CD202" s="42">
        <v>0</v>
      </c>
      <c r="CE202" s="42">
        <v>0</v>
      </c>
      <c r="CF202" s="42">
        <v>0</v>
      </c>
      <c r="CG202" s="42">
        <v>0</v>
      </c>
      <c r="CH202" s="42">
        <v>0</v>
      </c>
      <c r="CI202" s="42">
        <v>500</v>
      </c>
      <c r="CJ202" s="42">
        <v>1861</v>
      </c>
      <c r="CK202" s="43">
        <f t="shared" si="38"/>
        <v>3825</v>
      </c>
      <c r="CL202" s="66"/>
      <c r="CM202" s="66">
        <v>500</v>
      </c>
      <c r="CN202" s="66">
        <v>500</v>
      </c>
      <c r="CO202" s="66">
        <v>500</v>
      </c>
      <c r="CP202" s="66">
        <v>0</v>
      </c>
      <c r="CQ202" s="66">
        <v>500</v>
      </c>
      <c r="CR202" s="66">
        <v>0</v>
      </c>
      <c r="CS202" s="66">
        <v>0</v>
      </c>
      <c r="CT202" s="66">
        <v>500</v>
      </c>
      <c r="CU202" s="66">
        <v>0</v>
      </c>
      <c r="CV202" s="66">
        <v>1094.044336856683</v>
      </c>
      <c r="CW202" s="66">
        <v>0</v>
      </c>
      <c r="CX202" s="66">
        <v>0</v>
      </c>
      <c r="CY202" s="66">
        <v>500</v>
      </c>
      <c r="CZ202" s="66">
        <v>500</v>
      </c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>
        <f>SUM(Table1[[#This Row],[01-03 Apr]:[Mar-26]])</f>
        <v>4594.044336856683</v>
      </c>
    </row>
    <row r="203" spans="1:115" x14ac:dyDescent="0.2">
      <c r="A203" s="28"/>
      <c r="B203" s="29"/>
      <c r="C203" s="29" t="s">
        <v>2805</v>
      </c>
      <c r="D203" s="30" t="s">
        <v>2803</v>
      </c>
      <c r="E203" s="30" t="s">
        <v>85</v>
      </c>
      <c r="F203" s="30"/>
      <c r="G203" s="31"/>
      <c r="H203" s="30"/>
      <c r="I203" s="30" t="str">
        <f>IF(Table1[[#This Row],[Centre Status]]="Returned","NA",IF(Table1[[#This Row],[SD]]&gt;19000,"Full Payment",IF(Table1[[#This Row],[SD]]&lt;1,"No Payment","Partial Payment")))</f>
        <v>Partial Payment</v>
      </c>
      <c r="J203" s="30" t="s">
        <v>58</v>
      </c>
      <c r="K203" s="32">
        <v>110000</v>
      </c>
      <c r="L203" s="33">
        <f>Q203+R203+U203+Table1[[#This Row],[Farmer Payment]]</f>
        <v>10864</v>
      </c>
      <c r="M203" s="30"/>
      <c r="N203" s="34"/>
      <c r="O203" s="34"/>
      <c r="P203" s="35">
        <f t="shared" si="35"/>
        <v>99136</v>
      </c>
      <c r="Q203" s="33">
        <f>AI203+AV203+CK203+Table1[[#This Row],[FY 25-26]]</f>
        <v>864</v>
      </c>
      <c r="R203" s="36">
        <v>10000</v>
      </c>
      <c r="S203" s="37" t="s">
        <v>2807</v>
      </c>
      <c r="T203" s="38">
        <v>41334</v>
      </c>
      <c r="U203" s="39"/>
      <c r="V203" s="39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1">
        <f t="shared" si="36"/>
        <v>0</v>
      </c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>
        <f t="shared" si="37"/>
        <v>0</v>
      </c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>
        <v>0</v>
      </c>
      <c r="BO203" s="42">
        <v>0</v>
      </c>
      <c r="BP203" s="42">
        <v>0</v>
      </c>
      <c r="BQ203" s="42">
        <v>0</v>
      </c>
      <c r="BR203" s="42">
        <v>0</v>
      </c>
      <c r="BS203" s="42">
        <v>0</v>
      </c>
      <c r="BT203" s="42">
        <v>0</v>
      </c>
      <c r="BU203" s="42">
        <v>0</v>
      </c>
      <c r="BV203" s="42">
        <v>0</v>
      </c>
      <c r="BW203" s="42">
        <v>0</v>
      </c>
      <c r="BX203" s="42">
        <v>0</v>
      </c>
      <c r="BY203" s="42">
        <v>0</v>
      </c>
      <c r="BZ203" s="42">
        <v>0</v>
      </c>
      <c r="CA203" s="42">
        <v>0</v>
      </c>
      <c r="CB203" s="42">
        <v>0</v>
      </c>
      <c r="CC203" s="42">
        <v>0</v>
      </c>
      <c r="CD203" s="42">
        <v>0</v>
      </c>
      <c r="CE203" s="42">
        <v>0</v>
      </c>
      <c r="CF203" s="42">
        <v>0</v>
      </c>
      <c r="CG203" s="42">
        <v>0</v>
      </c>
      <c r="CH203" s="42">
        <v>0</v>
      </c>
      <c r="CI203" s="42">
        <v>0</v>
      </c>
      <c r="CJ203" s="42">
        <v>864</v>
      </c>
      <c r="CK203" s="43">
        <f t="shared" si="38"/>
        <v>864</v>
      </c>
      <c r="CL203" s="66"/>
      <c r="CM203" s="66">
        <v>0</v>
      </c>
      <c r="CN203" s="66">
        <v>0</v>
      </c>
      <c r="CO203" s="66">
        <v>0</v>
      </c>
      <c r="CP203" s="66">
        <v>0</v>
      </c>
      <c r="CQ203" s="66">
        <v>0</v>
      </c>
      <c r="CR203" s="66">
        <v>0</v>
      </c>
      <c r="CS203" s="66">
        <v>0</v>
      </c>
      <c r="CT203" s="66">
        <v>0</v>
      </c>
      <c r="CU203" s="66">
        <v>0</v>
      </c>
      <c r="CV203" s="66">
        <v>0</v>
      </c>
      <c r="CW203" s="66">
        <v>0</v>
      </c>
      <c r="CX203" s="66">
        <v>0</v>
      </c>
      <c r="CY203" s="66">
        <v>0</v>
      </c>
      <c r="CZ203" s="66">
        <v>0</v>
      </c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>
        <f>SUM(Table1[[#This Row],[01-03 Apr]:[Mar-26]])</f>
        <v>0</v>
      </c>
    </row>
    <row r="204" spans="1:115" x14ac:dyDescent="0.2">
      <c r="A204" s="28"/>
      <c r="B204" s="29"/>
      <c r="C204" s="29" t="s">
        <v>2850</v>
      </c>
      <c r="D204" s="30" t="s">
        <v>2848</v>
      </c>
      <c r="E204" s="30" t="s">
        <v>85</v>
      </c>
      <c r="F204" s="30"/>
      <c r="G204" s="31"/>
      <c r="H204" s="30">
        <v>361585</v>
      </c>
      <c r="I204" s="30" t="str">
        <f>IF(Table1[[#This Row],[Centre Status]]="Returned","NA",IF(Table1[[#This Row],[SD]]&gt;19000,"Full Payment",IF(Table1[[#This Row],[SD]]&lt;1,"No Payment","Partial Payment")))</f>
        <v>Partial Payment</v>
      </c>
      <c r="J204" s="30" t="s">
        <v>58</v>
      </c>
      <c r="K204" s="32">
        <v>110000</v>
      </c>
      <c r="L204" s="33">
        <f>Q204+R204+U204+Table1[[#This Row],[Farmer Payment]]</f>
        <v>17331</v>
      </c>
      <c r="M204" s="30"/>
      <c r="N204" s="34"/>
      <c r="O204" s="34"/>
      <c r="P204" s="35">
        <f t="shared" si="35"/>
        <v>92669</v>
      </c>
      <c r="Q204" s="33">
        <f>AI204+AV204+CK204+Table1[[#This Row],[FY 25-26]]</f>
        <v>7331</v>
      </c>
      <c r="R204" s="36">
        <v>10000</v>
      </c>
      <c r="S204" s="37" t="s">
        <v>2849</v>
      </c>
      <c r="T204" s="38">
        <v>45646</v>
      </c>
      <c r="U204" s="39"/>
      <c r="V204" s="39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1">
        <f t="shared" si="36"/>
        <v>0</v>
      </c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>
        <f t="shared" si="37"/>
        <v>0</v>
      </c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>
        <v>0</v>
      </c>
      <c r="BO204" s="42">
        <v>0</v>
      </c>
      <c r="BP204" s="42">
        <v>0</v>
      </c>
      <c r="BQ204" s="42">
        <v>0</v>
      </c>
      <c r="BR204" s="42">
        <v>0</v>
      </c>
      <c r="BS204" s="42">
        <v>70</v>
      </c>
      <c r="BT204" s="42">
        <v>0</v>
      </c>
      <c r="BU204" s="42">
        <v>0</v>
      </c>
      <c r="BV204" s="42">
        <v>0</v>
      </c>
      <c r="BW204" s="42">
        <v>0</v>
      </c>
      <c r="BX204" s="42">
        <v>0</v>
      </c>
      <c r="BY204" s="42">
        <v>0</v>
      </c>
      <c r="BZ204" s="42">
        <v>0</v>
      </c>
      <c r="CA204" s="42">
        <v>0</v>
      </c>
      <c r="CB204" s="42">
        <v>0</v>
      </c>
      <c r="CC204" s="42">
        <v>0</v>
      </c>
      <c r="CD204" s="42">
        <v>0</v>
      </c>
      <c r="CE204" s="42">
        <v>0</v>
      </c>
      <c r="CF204" s="42">
        <v>0</v>
      </c>
      <c r="CG204" s="42">
        <v>0</v>
      </c>
      <c r="CH204" s="42">
        <v>0</v>
      </c>
      <c r="CI204" s="42">
        <v>500</v>
      </c>
      <c r="CJ204" s="42">
        <v>1261</v>
      </c>
      <c r="CK204" s="43">
        <f t="shared" si="38"/>
        <v>1831</v>
      </c>
      <c r="CL204" s="66"/>
      <c r="CM204" s="66">
        <v>500</v>
      </c>
      <c r="CN204" s="66">
        <v>500</v>
      </c>
      <c r="CO204" s="66">
        <v>500</v>
      </c>
      <c r="CP204" s="66">
        <v>0</v>
      </c>
      <c r="CQ204" s="66">
        <v>500</v>
      </c>
      <c r="CR204" s="66">
        <v>500</v>
      </c>
      <c r="CS204" s="66">
        <v>500</v>
      </c>
      <c r="CT204" s="66">
        <v>500</v>
      </c>
      <c r="CU204" s="66">
        <v>0</v>
      </c>
      <c r="CV204" s="66">
        <v>0</v>
      </c>
      <c r="CW204" s="66">
        <v>500</v>
      </c>
      <c r="CX204" s="66">
        <v>500</v>
      </c>
      <c r="CY204" s="66">
        <v>500</v>
      </c>
      <c r="CZ204" s="66">
        <v>500</v>
      </c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>
        <f>SUM(Table1[[#This Row],[01-03 Apr]:[Mar-26]])</f>
        <v>5500</v>
      </c>
    </row>
    <row r="205" spans="1:115" hidden="1" x14ac:dyDescent="0.2">
      <c r="A205" s="28"/>
      <c r="B205" s="29"/>
      <c r="C205" s="29" t="s">
        <v>2761</v>
      </c>
      <c r="D205" s="30" t="s">
        <v>2682</v>
      </c>
      <c r="E205" s="30" t="s">
        <v>1321</v>
      </c>
      <c r="F205" s="30"/>
      <c r="G205" s="31">
        <v>45573</v>
      </c>
      <c r="H205" s="30"/>
      <c r="I205" s="30" t="str">
        <f>IF(Table1[[#This Row],[Centre Status]]="Returned","NA",IF(Table1[[#This Row],[SD]]&gt;19000,"Full Payment",IF(Table1[[#This Row],[SD]]&lt;1,"No Payment","Partial Payment")))</f>
        <v>NA</v>
      </c>
      <c r="J205" s="30" t="s">
        <v>1903</v>
      </c>
      <c r="K205" s="32">
        <v>110000</v>
      </c>
      <c r="L205" s="33">
        <f>Q205+R205+U205+Table1[[#This Row],[Farmer Payment]]</f>
        <v>36977.098784549002</v>
      </c>
      <c r="M205" s="30">
        <f>15000+9841</f>
        <v>24841</v>
      </c>
      <c r="N205" s="34">
        <v>45701</v>
      </c>
      <c r="O205" s="34" t="s">
        <v>3154</v>
      </c>
      <c r="P205" s="35">
        <f t="shared" si="35"/>
        <v>97863.901215450998</v>
      </c>
      <c r="Q205" s="33">
        <f>AI205+AV205+CK205+Table1[[#This Row],[FY 25-26]]</f>
        <v>21977.098784549002</v>
      </c>
      <c r="R205" s="36">
        <v>15000</v>
      </c>
      <c r="S205" s="37" t="s">
        <v>2685</v>
      </c>
      <c r="T205" s="38">
        <v>45555</v>
      </c>
      <c r="U205" s="39"/>
      <c r="V205" s="39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1">
        <f t="shared" si="36"/>
        <v>0</v>
      </c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>
        <f t="shared" si="37"/>
        <v>0</v>
      </c>
      <c r="AW205" s="42"/>
      <c r="AX205" s="42"/>
      <c r="AY205" s="42"/>
      <c r="AZ205" s="42"/>
      <c r="BA205" s="42"/>
      <c r="BB205" s="42"/>
      <c r="BC205" s="42">
        <v>0</v>
      </c>
      <c r="BD205" s="42">
        <v>0</v>
      </c>
      <c r="BE205" s="42">
        <v>0</v>
      </c>
      <c r="BF205" s="42">
        <v>0</v>
      </c>
      <c r="BG205" s="42">
        <v>0</v>
      </c>
      <c r="BH205" s="42">
        <v>0</v>
      </c>
      <c r="BI205" s="42">
        <v>3051.6955147302046</v>
      </c>
      <c r="BJ205" s="42">
        <v>0</v>
      </c>
      <c r="BK205" s="42">
        <v>0</v>
      </c>
      <c r="BL205" s="42">
        <v>0</v>
      </c>
      <c r="BM205" s="42">
        <v>0</v>
      </c>
      <c r="BN205" s="42">
        <v>3003.4389923197486</v>
      </c>
      <c r="BO205" s="42">
        <v>0</v>
      </c>
      <c r="BP205" s="42">
        <v>0</v>
      </c>
      <c r="BQ205" s="42">
        <v>0</v>
      </c>
      <c r="BR205" s="42">
        <v>0</v>
      </c>
      <c r="BS205" s="42">
        <v>6080.6755494067811</v>
      </c>
      <c r="BT205" s="42">
        <v>0</v>
      </c>
      <c r="BU205" s="42">
        <v>0</v>
      </c>
      <c r="BV205" s="42">
        <v>0</v>
      </c>
      <c r="BW205" s="42">
        <v>0</v>
      </c>
      <c r="BX205" s="42">
        <v>0</v>
      </c>
      <c r="BY205" s="42">
        <v>5024.7998227073476</v>
      </c>
      <c r="BZ205" s="42">
        <v>0</v>
      </c>
      <c r="CA205" s="42">
        <v>0</v>
      </c>
      <c r="CB205" s="42">
        <v>0</v>
      </c>
      <c r="CC205" s="42">
        <v>0</v>
      </c>
      <c r="CD205" s="42">
        <v>4816.4889053849183</v>
      </c>
      <c r="CE205" s="42">
        <v>0</v>
      </c>
      <c r="CF205" s="42">
        <v>0</v>
      </c>
      <c r="CG205" s="42">
        <v>0</v>
      </c>
      <c r="CH205" s="42">
        <v>0</v>
      </c>
      <c r="CI205" s="42">
        <v>0</v>
      </c>
      <c r="CJ205" s="42">
        <v>0</v>
      </c>
      <c r="CK205" s="43">
        <f t="shared" si="38"/>
        <v>21977.098784549002</v>
      </c>
      <c r="CL205" s="66"/>
      <c r="CM205" s="66">
        <v>0</v>
      </c>
      <c r="CN205" s="66">
        <v>0</v>
      </c>
      <c r="CO205" s="66">
        <v>0</v>
      </c>
      <c r="CP205" s="66">
        <v>0</v>
      </c>
      <c r="CQ205" s="66">
        <v>0</v>
      </c>
      <c r="CR205" s="66">
        <v>0</v>
      </c>
      <c r="CS205" s="66">
        <v>0</v>
      </c>
      <c r="CT205" s="66">
        <v>0</v>
      </c>
      <c r="CU205" s="66">
        <v>0</v>
      </c>
      <c r="CV205" s="66">
        <v>0</v>
      </c>
      <c r="CW205" s="66">
        <v>0</v>
      </c>
      <c r="CX205" s="66">
        <v>0</v>
      </c>
      <c r="CY205" s="66">
        <v>0</v>
      </c>
      <c r="CZ205" s="66">
        <v>0</v>
      </c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>
        <f>SUM(Table1[[#This Row],[01-03 Apr]:[Mar-26]])</f>
        <v>0</v>
      </c>
    </row>
    <row r="206" spans="1:115" hidden="1" x14ac:dyDescent="0.2">
      <c r="A206" s="28"/>
      <c r="B206" s="29"/>
      <c r="C206" s="29" t="s">
        <v>2723</v>
      </c>
      <c r="D206" s="30" t="s">
        <v>2724</v>
      </c>
      <c r="E206" s="30" t="s">
        <v>85</v>
      </c>
      <c r="F206" s="30"/>
      <c r="G206" s="31">
        <v>45610</v>
      </c>
      <c r="H206" s="30">
        <v>371394</v>
      </c>
      <c r="I206" s="30" t="str">
        <f>IF(Table1[[#This Row],[Centre Status]]="Returned","NA",IF(Table1[[#This Row],[SD]]&gt;19000,"Full Payment",IF(Table1[[#This Row],[SD]]&lt;1,"No Payment","Partial Payment")))</f>
        <v>Full Payment</v>
      </c>
      <c r="J206" s="30" t="s">
        <v>58</v>
      </c>
      <c r="K206" s="32">
        <v>110000</v>
      </c>
      <c r="L206" s="33">
        <f>Q206+R206+U206+Table1[[#This Row],[Farmer Payment]]</f>
        <v>41547.605262940167</v>
      </c>
      <c r="M206" s="30"/>
      <c r="N206" s="34"/>
      <c r="O206" s="34"/>
      <c r="P206" s="35">
        <f t="shared" si="35"/>
        <v>68452.394737059833</v>
      </c>
      <c r="Q206" s="33">
        <f>AI206+AV206+CK206+Table1[[#This Row],[FY 25-26]]</f>
        <v>21547.605262940167</v>
      </c>
      <c r="R206" s="36">
        <v>20000</v>
      </c>
      <c r="S206" s="37" t="s">
        <v>2725</v>
      </c>
      <c r="T206" s="38">
        <v>45626</v>
      </c>
      <c r="U206" s="39"/>
      <c r="V206" s="39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1">
        <f t="shared" si="36"/>
        <v>0</v>
      </c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>
        <f t="shared" si="37"/>
        <v>0</v>
      </c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>
        <v>0</v>
      </c>
      <c r="BJ206" s="42"/>
      <c r="BK206" s="42">
        <v>0</v>
      </c>
      <c r="BL206" s="42">
        <v>0</v>
      </c>
      <c r="BM206" s="42">
        <v>0</v>
      </c>
      <c r="BN206" s="42">
        <v>383</v>
      </c>
      <c r="BO206" s="42">
        <v>0</v>
      </c>
      <c r="BP206" s="42">
        <v>0</v>
      </c>
      <c r="BQ206" s="42">
        <v>0</v>
      </c>
      <c r="BR206" s="42">
        <v>500</v>
      </c>
      <c r="BS206" s="42">
        <v>1641.8760672571425</v>
      </c>
      <c r="BT206" s="42">
        <v>0</v>
      </c>
      <c r="BU206" s="42">
        <v>0</v>
      </c>
      <c r="BV206" s="42">
        <v>0</v>
      </c>
      <c r="BW206" s="42">
        <v>0</v>
      </c>
      <c r="BX206" s="42">
        <v>0</v>
      </c>
      <c r="BY206" s="42">
        <v>3208.3810976371601</v>
      </c>
      <c r="BZ206" s="42">
        <v>0</v>
      </c>
      <c r="CA206" s="42">
        <v>0</v>
      </c>
      <c r="CB206" s="42">
        <v>0</v>
      </c>
      <c r="CC206" s="42">
        <v>0</v>
      </c>
      <c r="CD206" s="42">
        <v>3987.374303229592</v>
      </c>
      <c r="CE206" s="42">
        <v>0</v>
      </c>
      <c r="CF206" s="42">
        <v>0</v>
      </c>
      <c r="CG206" s="42">
        <v>0</v>
      </c>
      <c r="CH206" s="42">
        <v>0</v>
      </c>
      <c r="CI206" s="42">
        <v>0</v>
      </c>
      <c r="CJ206" s="42">
        <v>4632.4002884074889</v>
      </c>
      <c r="CK206" s="43">
        <f t="shared" si="38"/>
        <v>14353.031756531384</v>
      </c>
      <c r="CL206" s="66"/>
      <c r="CM206" s="66">
        <v>0</v>
      </c>
      <c r="CN206" s="66">
        <v>0</v>
      </c>
      <c r="CO206" s="66">
        <v>0</v>
      </c>
      <c r="CP206" s="66">
        <v>3740.7061437436723</v>
      </c>
      <c r="CQ206" s="66">
        <v>0</v>
      </c>
      <c r="CR206" s="66">
        <v>0</v>
      </c>
      <c r="CS206" s="66">
        <v>0</v>
      </c>
      <c r="CT206" s="66">
        <v>0</v>
      </c>
      <c r="CU206" s="66">
        <v>0</v>
      </c>
      <c r="CV206" s="66">
        <v>3453.8673626651116</v>
      </c>
      <c r="CW206" s="66">
        <v>0</v>
      </c>
      <c r="CX206" s="66">
        <v>0</v>
      </c>
      <c r="CY206" s="66">
        <v>0</v>
      </c>
      <c r="CZ206" s="66">
        <v>0</v>
      </c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>
        <f>SUM(Table1[[#This Row],[01-03 Apr]:[Mar-26]])</f>
        <v>7194.5735064087839</v>
      </c>
    </row>
    <row r="207" spans="1:115" hidden="1" x14ac:dyDescent="0.2">
      <c r="A207" s="28"/>
      <c r="B207" s="29"/>
      <c r="C207" s="29" t="s">
        <v>2739</v>
      </c>
      <c r="D207" s="30" t="s">
        <v>2740</v>
      </c>
      <c r="E207" s="30" t="s">
        <v>217</v>
      </c>
      <c r="F207" s="30"/>
      <c r="G207" s="31"/>
      <c r="H207" s="30">
        <v>390550</v>
      </c>
      <c r="I207" s="30" t="str">
        <f>IF(Table1[[#This Row],[Centre Status]]="Returned","NA",IF(Table1[[#This Row],[SD]]&gt;19000,"Full Payment",IF(Table1[[#This Row],[SD]]&lt;1,"No Payment","Partial Payment")))</f>
        <v>Full Payment</v>
      </c>
      <c r="J207" s="30" t="s">
        <v>58</v>
      </c>
      <c r="K207" s="32">
        <v>110000</v>
      </c>
      <c r="L207" s="33">
        <f>Q207+R207+U207+Table1[[#This Row],[Farmer Payment]]</f>
        <v>27281.50512839104</v>
      </c>
      <c r="M207" s="30"/>
      <c r="N207" s="34"/>
      <c r="O207" s="34"/>
      <c r="P207" s="35">
        <f t="shared" si="35"/>
        <v>82718.494871608957</v>
      </c>
      <c r="Q207" s="33">
        <f>AI207+AV207+CK207+Table1[[#This Row],[FY 25-26]]</f>
        <v>7281.5051283910407</v>
      </c>
      <c r="R207" s="36">
        <v>20000</v>
      </c>
      <c r="S207" s="37" t="s">
        <v>2741</v>
      </c>
      <c r="T207" s="38">
        <v>45594</v>
      </c>
      <c r="U207" s="39"/>
      <c r="V207" s="39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1">
        <f t="shared" si="36"/>
        <v>0</v>
      </c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>
        <f t="shared" si="37"/>
        <v>0</v>
      </c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>
        <v>0</v>
      </c>
      <c r="BJ207" s="42"/>
      <c r="BK207" s="42"/>
      <c r="BL207" s="42">
        <v>0</v>
      </c>
      <c r="BM207" s="42">
        <v>0</v>
      </c>
      <c r="BN207" s="42">
        <v>0</v>
      </c>
      <c r="BO207" s="42">
        <v>0</v>
      </c>
      <c r="BP207" s="42">
        <v>0</v>
      </c>
      <c r="BQ207" s="42">
        <v>0</v>
      </c>
      <c r="BR207" s="42">
        <v>0</v>
      </c>
      <c r="BS207" s="42">
        <v>2341.5051283910407</v>
      </c>
      <c r="BT207" s="42">
        <v>0</v>
      </c>
      <c r="BU207" s="42">
        <v>0</v>
      </c>
      <c r="BV207" s="42">
        <v>0</v>
      </c>
      <c r="BW207" s="42">
        <v>0</v>
      </c>
      <c r="BX207" s="42">
        <v>0</v>
      </c>
      <c r="BY207" s="42">
        <v>0</v>
      </c>
      <c r="BZ207" s="42">
        <v>0</v>
      </c>
      <c r="CA207" s="42">
        <v>0</v>
      </c>
      <c r="CB207" s="42">
        <v>0</v>
      </c>
      <c r="CC207" s="42">
        <v>0</v>
      </c>
      <c r="CD207" s="42">
        <v>0</v>
      </c>
      <c r="CE207" s="42">
        <v>0</v>
      </c>
      <c r="CF207" s="42">
        <v>0</v>
      </c>
      <c r="CG207" s="42">
        <v>0</v>
      </c>
      <c r="CH207" s="42">
        <v>0</v>
      </c>
      <c r="CI207" s="42">
        <v>0</v>
      </c>
      <c r="CJ207" s="42">
        <v>1861</v>
      </c>
      <c r="CK207" s="43">
        <f t="shared" si="38"/>
        <v>4202.5051283910407</v>
      </c>
      <c r="CL207" s="66"/>
      <c r="CM207" s="66">
        <v>0</v>
      </c>
      <c r="CN207" s="66">
        <v>0</v>
      </c>
      <c r="CO207" s="66">
        <v>0</v>
      </c>
      <c r="CP207" s="66">
        <v>1861</v>
      </c>
      <c r="CQ207" s="66">
        <v>0</v>
      </c>
      <c r="CR207" s="66">
        <v>0</v>
      </c>
      <c r="CS207" s="66">
        <v>0</v>
      </c>
      <c r="CT207" s="66">
        <v>0</v>
      </c>
      <c r="CU207" s="66">
        <v>0</v>
      </c>
      <c r="CV207" s="66">
        <v>1218</v>
      </c>
      <c r="CW207" s="66">
        <v>0</v>
      </c>
      <c r="CX207" s="66">
        <v>0</v>
      </c>
      <c r="CY207" s="66">
        <v>0</v>
      </c>
      <c r="CZ207" s="66">
        <v>0</v>
      </c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>
        <f>SUM(Table1[[#This Row],[01-03 Apr]:[Mar-26]])</f>
        <v>3079</v>
      </c>
    </row>
    <row r="208" spans="1:115" hidden="1" x14ac:dyDescent="0.2">
      <c r="A208" s="28"/>
      <c r="B208" s="29"/>
      <c r="C208" s="29" t="s">
        <v>2938</v>
      </c>
      <c r="D208" s="30" t="s">
        <v>2936</v>
      </c>
      <c r="E208" s="30" t="s">
        <v>85</v>
      </c>
      <c r="F208" s="30"/>
      <c r="G208" s="31"/>
      <c r="H208" s="30">
        <v>378105</v>
      </c>
      <c r="I208" s="30" t="str">
        <f>IF(Table1[[#This Row],[Centre Status]]="Returned","NA",IF(Table1[[#This Row],[SD]]&gt;19000,"Full Payment",IF(Table1[[#This Row],[SD]]&lt;1,"No Payment","Partial Payment")))</f>
        <v>NA</v>
      </c>
      <c r="J208" s="30" t="s">
        <v>1903</v>
      </c>
      <c r="K208" s="32">
        <v>110000</v>
      </c>
      <c r="L208" s="33">
        <f>Q208+R208+U208+Table1[[#This Row],[Farmer Payment]]</f>
        <v>10000</v>
      </c>
      <c r="M208" s="30">
        <v>10000</v>
      </c>
      <c r="N208" s="34">
        <v>45720</v>
      </c>
      <c r="O208" s="34" t="s">
        <v>2445</v>
      </c>
      <c r="P208" s="35">
        <f t="shared" si="35"/>
        <v>110000</v>
      </c>
      <c r="Q208" s="33">
        <f>AI208+AV208+CK208+Table1[[#This Row],[FY 25-26]]</f>
        <v>0</v>
      </c>
      <c r="R208" s="36">
        <v>10000</v>
      </c>
      <c r="S208" s="37" t="s">
        <v>2940</v>
      </c>
      <c r="T208" s="38">
        <v>45675</v>
      </c>
      <c r="U208" s="39"/>
      <c r="V208" s="39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1">
        <f t="shared" si="36"/>
        <v>0</v>
      </c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>
        <f t="shared" si="37"/>
        <v>0</v>
      </c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>
        <v>0</v>
      </c>
      <c r="BQ208" s="42"/>
      <c r="BR208" s="42">
        <v>0</v>
      </c>
      <c r="BS208" s="42"/>
      <c r="BT208" s="42"/>
      <c r="BU208" s="42"/>
      <c r="BV208" s="42">
        <v>0</v>
      </c>
      <c r="BW208" s="42">
        <v>0</v>
      </c>
      <c r="BX208" s="42">
        <v>0</v>
      </c>
      <c r="BY208" s="42">
        <v>0</v>
      </c>
      <c r="BZ208" s="42">
        <v>0</v>
      </c>
      <c r="CA208" s="42">
        <v>0</v>
      </c>
      <c r="CB208" s="42">
        <v>0</v>
      </c>
      <c r="CC208" s="42">
        <v>0</v>
      </c>
      <c r="CD208" s="42">
        <v>0</v>
      </c>
      <c r="CE208" s="42">
        <v>0</v>
      </c>
      <c r="CF208" s="42">
        <v>0</v>
      </c>
      <c r="CG208" s="42">
        <v>0</v>
      </c>
      <c r="CH208" s="42">
        <v>0</v>
      </c>
      <c r="CI208" s="42">
        <v>0</v>
      </c>
      <c r="CJ208" s="42">
        <v>0</v>
      </c>
      <c r="CK208" s="43">
        <f t="shared" si="38"/>
        <v>0</v>
      </c>
      <c r="CL208" s="66"/>
      <c r="CM208" s="66">
        <v>0</v>
      </c>
      <c r="CN208" s="66">
        <v>0</v>
      </c>
      <c r="CO208" s="66">
        <v>0</v>
      </c>
      <c r="CP208" s="66">
        <v>0</v>
      </c>
      <c r="CQ208" s="66">
        <v>0</v>
      </c>
      <c r="CR208" s="66">
        <v>0</v>
      </c>
      <c r="CS208" s="66">
        <v>0</v>
      </c>
      <c r="CT208" s="66">
        <v>0</v>
      </c>
      <c r="CU208" s="66">
        <v>0</v>
      </c>
      <c r="CV208" s="66">
        <v>0</v>
      </c>
      <c r="CW208" s="66">
        <v>0</v>
      </c>
      <c r="CX208" s="66">
        <v>0</v>
      </c>
      <c r="CY208" s="66">
        <v>0</v>
      </c>
      <c r="CZ208" s="66">
        <v>0</v>
      </c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>
        <f>SUM(Table1[[#This Row],[01-03 Apr]:[Mar-26]])</f>
        <v>0</v>
      </c>
    </row>
    <row r="209" spans="1:115" hidden="1" x14ac:dyDescent="0.2">
      <c r="A209" s="28"/>
      <c r="B209" s="29"/>
      <c r="C209" s="29" t="s">
        <v>2939</v>
      </c>
      <c r="D209" s="30" t="s">
        <v>2937</v>
      </c>
      <c r="E209" s="30" t="s">
        <v>85</v>
      </c>
      <c r="F209" s="30"/>
      <c r="G209" s="31"/>
      <c r="H209" s="30">
        <v>360243</v>
      </c>
      <c r="I209" s="30" t="str">
        <f>IF(Table1[[#This Row],[Centre Status]]="Returned","NA",IF(Table1[[#This Row],[SD]]&gt;19000,"Full Payment",IF(Table1[[#This Row],[SD]]&lt;1,"No Payment","Partial Payment")))</f>
        <v>Full Payment</v>
      </c>
      <c r="J209" s="30" t="s">
        <v>58</v>
      </c>
      <c r="K209" s="32">
        <v>110000</v>
      </c>
      <c r="L209" s="33">
        <f>Q209+R209+U209+Table1[[#This Row],[Farmer Payment]]</f>
        <v>25925.629224952416</v>
      </c>
      <c r="M209" s="30"/>
      <c r="N209" s="34"/>
      <c r="O209" s="34"/>
      <c r="P209" s="35">
        <f t="shared" ref="P209:P232" si="39">K209-L209+M209</f>
        <v>84074.370775047588</v>
      </c>
      <c r="Q209" s="33">
        <f>AI209+AV209+CK209+Table1[[#This Row],[FY 25-26]]</f>
        <v>5925.6292249524149</v>
      </c>
      <c r="R209" s="36">
        <v>20000</v>
      </c>
      <c r="S209" s="37" t="s">
        <v>2941</v>
      </c>
      <c r="T209" s="38">
        <v>45678</v>
      </c>
      <c r="U209" s="39"/>
      <c r="V209" s="39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1">
        <f t="shared" ref="AI209:AI232" si="40">SUM(W209:AH209)</f>
        <v>0</v>
      </c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>
        <f t="shared" ref="AV209:AV232" si="41">SUM(AJ209:AU209)</f>
        <v>0</v>
      </c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>
        <v>0</v>
      </c>
      <c r="BQ209" s="42"/>
      <c r="BR209" s="42">
        <v>0</v>
      </c>
      <c r="BS209" s="42"/>
      <c r="BT209" s="42"/>
      <c r="BU209" s="42"/>
      <c r="BV209" s="42">
        <v>0</v>
      </c>
      <c r="BW209" s="42">
        <v>0</v>
      </c>
      <c r="BX209" s="42">
        <v>0</v>
      </c>
      <c r="BY209" s="42">
        <v>0</v>
      </c>
      <c r="BZ209" s="42">
        <v>0</v>
      </c>
      <c r="CA209" s="42">
        <v>0</v>
      </c>
      <c r="CB209" s="42">
        <v>0</v>
      </c>
      <c r="CC209" s="42">
        <v>0</v>
      </c>
      <c r="CD209" s="42">
        <v>0</v>
      </c>
      <c r="CE209" s="42">
        <v>0</v>
      </c>
      <c r="CF209" s="42">
        <v>0</v>
      </c>
      <c r="CG209" s="42">
        <v>0</v>
      </c>
      <c r="CH209" s="42">
        <v>0</v>
      </c>
      <c r="CI209" s="42">
        <v>0</v>
      </c>
      <c r="CJ209" s="42">
        <v>2137.29070715136</v>
      </c>
      <c r="CK209" s="43">
        <f t="shared" ref="CK209:CK232" si="42">SUM(AW209:CJ209)</f>
        <v>2137.29070715136</v>
      </c>
      <c r="CL209" s="66"/>
      <c r="CM209" s="66">
        <v>0</v>
      </c>
      <c r="CN209" s="66">
        <v>0</v>
      </c>
      <c r="CO209" s="66">
        <v>0</v>
      </c>
      <c r="CP209" s="66">
        <v>1927.3385178010551</v>
      </c>
      <c r="CQ209" s="66">
        <v>0</v>
      </c>
      <c r="CR209" s="66">
        <v>0</v>
      </c>
      <c r="CS209" s="66">
        <v>0</v>
      </c>
      <c r="CT209" s="66">
        <v>0</v>
      </c>
      <c r="CU209" s="66">
        <v>0</v>
      </c>
      <c r="CV209" s="66">
        <v>1861</v>
      </c>
      <c r="CW209" s="66">
        <v>0</v>
      </c>
      <c r="CX209" s="66">
        <v>0</v>
      </c>
      <c r="CY209" s="66">
        <v>0</v>
      </c>
      <c r="CZ209" s="66">
        <v>0</v>
      </c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>
        <f>SUM(Table1[[#This Row],[01-03 Apr]:[Mar-26]])</f>
        <v>3788.3385178010549</v>
      </c>
    </row>
    <row r="210" spans="1:115" x14ac:dyDescent="0.2">
      <c r="A210" s="28"/>
      <c r="B210" s="29"/>
      <c r="C210" s="29" t="s">
        <v>2769</v>
      </c>
      <c r="D210" s="30" t="s">
        <v>2774</v>
      </c>
      <c r="E210" s="30" t="s">
        <v>217</v>
      </c>
      <c r="F210" s="30"/>
      <c r="G210" s="31"/>
      <c r="H210" s="30">
        <v>390556</v>
      </c>
      <c r="I210" s="30" t="str">
        <f>IF(Table1[[#This Row],[Centre Status]]="Returned","NA",IF(Table1[[#This Row],[SD]]&gt;19000,"Full Payment",IF(Table1[[#This Row],[SD]]&lt;1,"No Payment","Partial Payment")))</f>
        <v>Partial Payment</v>
      </c>
      <c r="J210" s="30" t="s">
        <v>58</v>
      </c>
      <c r="K210" s="32">
        <v>110000</v>
      </c>
      <c r="L210" s="33">
        <f>Q210+R210+U210+Table1[[#This Row],[Farmer Payment]]</f>
        <v>19417.434969909122</v>
      </c>
      <c r="M210" s="30"/>
      <c r="N210" s="34"/>
      <c r="O210" s="34"/>
      <c r="P210" s="35">
        <f t="shared" si="39"/>
        <v>90582.565030090875</v>
      </c>
      <c r="Q210" s="33">
        <f>AI210+AV210+CK210+Table1[[#This Row],[FY 25-26]]</f>
        <v>9417.4349699091217</v>
      </c>
      <c r="R210" s="36">
        <v>10000</v>
      </c>
      <c r="S210" s="37" t="s">
        <v>2779</v>
      </c>
      <c r="T210" s="38">
        <v>45618</v>
      </c>
      <c r="U210" s="39"/>
      <c r="V210" s="39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1">
        <f t="shared" si="40"/>
        <v>0</v>
      </c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>
        <f t="shared" si="41"/>
        <v>0</v>
      </c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>
        <v>0</v>
      </c>
      <c r="BN210" s="42">
        <v>0</v>
      </c>
      <c r="BO210" s="42">
        <v>0</v>
      </c>
      <c r="BP210" s="42">
        <v>0</v>
      </c>
      <c r="BQ210" s="42">
        <v>0</v>
      </c>
      <c r="BR210" s="42">
        <v>0</v>
      </c>
      <c r="BS210" s="42">
        <v>1861</v>
      </c>
      <c r="BT210" s="42">
        <v>0</v>
      </c>
      <c r="BU210" s="42">
        <v>0</v>
      </c>
      <c r="BV210" s="42">
        <v>0</v>
      </c>
      <c r="BW210" s="42">
        <v>0</v>
      </c>
      <c r="BX210" s="42">
        <v>0</v>
      </c>
      <c r="BY210" s="42">
        <v>0</v>
      </c>
      <c r="BZ210" s="42">
        <v>0</v>
      </c>
      <c r="CA210" s="42">
        <v>0</v>
      </c>
      <c r="CB210" s="42">
        <v>0</v>
      </c>
      <c r="CC210" s="42">
        <v>0</v>
      </c>
      <c r="CD210" s="42">
        <v>0</v>
      </c>
      <c r="CE210" s="42">
        <v>0</v>
      </c>
      <c r="CF210" s="42">
        <v>0</v>
      </c>
      <c r="CG210" s="42">
        <v>0</v>
      </c>
      <c r="CH210" s="42">
        <v>0</v>
      </c>
      <c r="CI210" s="42">
        <v>0</v>
      </c>
      <c r="CJ210" s="42">
        <v>3418.1781886464005</v>
      </c>
      <c r="CK210" s="43">
        <f t="shared" si="42"/>
        <v>5279.1781886464005</v>
      </c>
      <c r="CL210" s="66"/>
      <c r="CM210" s="66">
        <v>0</v>
      </c>
      <c r="CN210" s="66">
        <v>0</v>
      </c>
      <c r="CO210" s="66">
        <v>0</v>
      </c>
      <c r="CP210" s="66">
        <v>2277.2567812627203</v>
      </c>
      <c r="CQ210" s="66">
        <v>0</v>
      </c>
      <c r="CR210" s="66">
        <v>0</v>
      </c>
      <c r="CS210" s="66">
        <v>0</v>
      </c>
      <c r="CT210" s="66">
        <v>0</v>
      </c>
      <c r="CU210" s="66">
        <v>0</v>
      </c>
      <c r="CV210" s="66">
        <v>1861</v>
      </c>
      <c r="CW210" s="66">
        <v>0</v>
      </c>
      <c r="CX210" s="66">
        <v>0</v>
      </c>
      <c r="CY210" s="66">
        <v>0</v>
      </c>
      <c r="CZ210" s="66">
        <v>0</v>
      </c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>
        <f>SUM(Table1[[#This Row],[01-03 Apr]:[Mar-26]])</f>
        <v>4138.2567812627203</v>
      </c>
    </row>
    <row r="211" spans="1:115" hidden="1" x14ac:dyDescent="0.2">
      <c r="A211" s="28"/>
      <c r="B211" s="29"/>
      <c r="C211" s="29" t="s">
        <v>2770</v>
      </c>
      <c r="D211" s="30" t="s">
        <v>2775</v>
      </c>
      <c r="E211" s="30" t="s">
        <v>217</v>
      </c>
      <c r="F211" s="30"/>
      <c r="G211" s="31"/>
      <c r="H211" s="30">
        <v>389227</v>
      </c>
      <c r="I211" s="30" t="str">
        <f>IF(Table1[[#This Row],[Centre Status]]="Returned","NA",IF(Table1[[#This Row],[SD]]&gt;19000,"Full Payment",IF(Table1[[#This Row],[SD]]&lt;1,"No Payment","Partial Payment")))</f>
        <v>Full Payment</v>
      </c>
      <c r="J211" s="30" t="s">
        <v>58</v>
      </c>
      <c r="K211" s="32">
        <v>110000</v>
      </c>
      <c r="L211" s="33">
        <f>Q211+R211+U211+Table1[[#This Row],[Farmer Payment]]</f>
        <v>28506</v>
      </c>
      <c r="M211" s="30"/>
      <c r="N211" s="34"/>
      <c r="O211" s="34"/>
      <c r="P211" s="35">
        <f t="shared" si="39"/>
        <v>81494</v>
      </c>
      <c r="Q211" s="33">
        <f>AI211+AV211+CK211+Table1[[#This Row],[FY 25-26]]</f>
        <v>8506</v>
      </c>
      <c r="R211" s="36">
        <v>20000</v>
      </c>
      <c r="S211" s="37" t="s">
        <v>2780</v>
      </c>
      <c r="T211" s="38">
        <v>45616</v>
      </c>
      <c r="U211" s="39"/>
      <c r="V211" s="39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1">
        <f t="shared" si="40"/>
        <v>0</v>
      </c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>
        <f t="shared" si="41"/>
        <v>0</v>
      </c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>
        <v>0</v>
      </c>
      <c r="BN211" s="42">
        <v>0</v>
      </c>
      <c r="BO211" s="42">
        <v>0</v>
      </c>
      <c r="BP211" s="42">
        <v>0</v>
      </c>
      <c r="BQ211" s="42">
        <v>0</v>
      </c>
      <c r="BR211" s="42">
        <v>0</v>
      </c>
      <c r="BS211" s="42">
        <v>131</v>
      </c>
      <c r="BT211" s="42">
        <v>0</v>
      </c>
      <c r="BU211" s="42">
        <v>0</v>
      </c>
      <c r="BV211" s="42">
        <v>0</v>
      </c>
      <c r="BW211" s="42">
        <v>0</v>
      </c>
      <c r="BX211" s="42">
        <v>0</v>
      </c>
      <c r="BY211" s="42">
        <v>0</v>
      </c>
      <c r="BZ211" s="42">
        <v>0</v>
      </c>
      <c r="CA211" s="42">
        <v>0</v>
      </c>
      <c r="CB211" s="42">
        <v>0</v>
      </c>
      <c r="CC211" s="42">
        <v>0</v>
      </c>
      <c r="CD211" s="42">
        <v>0</v>
      </c>
      <c r="CE211" s="42">
        <v>0</v>
      </c>
      <c r="CF211" s="42">
        <v>0</v>
      </c>
      <c r="CG211" s="42">
        <v>0</v>
      </c>
      <c r="CH211" s="42">
        <v>0</v>
      </c>
      <c r="CI211" s="42">
        <v>500</v>
      </c>
      <c r="CJ211" s="42">
        <v>1815</v>
      </c>
      <c r="CK211" s="43">
        <f t="shared" si="42"/>
        <v>2446</v>
      </c>
      <c r="CL211" s="66"/>
      <c r="CM211" s="66">
        <v>500</v>
      </c>
      <c r="CN211" s="66">
        <v>500</v>
      </c>
      <c r="CO211" s="66">
        <v>500</v>
      </c>
      <c r="CP211" s="66">
        <v>0</v>
      </c>
      <c r="CQ211" s="66">
        <v>500</v>
      </c>
      <c r="CR211" s="66">
        <v>0</v>
      </c>
      <c r="CS211" s="66">
        <v>0</v>
      </c>
      <c r="CT211" s="66">
        <v>0</v>
      </c>
      <c r="CU211" s="66">
        <v>500</v>
      </c>
      <c r="CV211" s="66">
        <v>1560</v>
      </c>
      <c r="CW211" s="66">
        <v>500</v>
      </c>
      <c r="CX211" s="66">
        <v>500</v>
      </c>
      <c r="CY211" s="66">
        <v>500</v>
      </c>
      <c r="CZ211" s="66">
        <v>500</v>
      </c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>
        <f>SUM(Table1[[#This Row],[01-03 Apr]:[Mar-26]])</f>
        <v>6060</v>
      </c>
    </row>
    <row r="212" spans="1:115" hidden="1" x14ac:dyDescent="0.2">
      <c r="A212" s="28"/>
      <c r="B212" s="29"/>
      <c r="C212" s="29" t="s">
        <v>2771</v>
      </c>
      <c r="D212" s="30" t="s">
        <v>2776</v>
      </c>
      <c r="E212" s="30" t="s">
        <v>217</v>
      </c>
      <c r="F212" s="30"/>
      <c r="G212" s="31"/>
      <c r="H212" s="30">
        <v>396093</v>
      </c>
      <c r="I212" s="30" t="str">
        <f>IF(Table1[[#This Row],[Centre Status]]="Returned","NA",IF(Table1[[#This Row],[SD]]&gt;19000,"Full Payment",IF(Table1[[#This Row],[SD]]&lt;1,"No Payment","Partial Payment")))</f>
        <v>Full Payment</v>
      </c>
      <c r="J212" s="30" t="s">
        <v>58</v>
      </c>
      <c r="K212" s="32">
        <v>110000</v>
      </c>
      <c r="L212" s="33">
        <f>Q212+R212+U212+Table1[[#This Row],[Farmer Payment]]</f>
        <v>20256</v>
      </c>
      <c r="M212" s="30"/>
      <c r="N212" s="34"/>
      <c r="O212" s="34"/>
      <c r="P212" s="35">
        <f t="shared" si="39"/>
        <v>89744</v>
      </c>
      <c r="Q212" s="33">
        <f>AI212+AV212+CK212+Table1[[#This Row],[FY 25-26]]</f>
        <v>256</v>
      </c>
      <c r="R212" s="36">
        <v>20000</v>
      </c>
      <c r="S212" s="37" t="s">
        <v>2781</v>
      </c>
      <c r="T212" s="38">
        <v>45593</v>
      </c>
      <c r="U212" s="39"/>
      <c r="V212" s="39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1">
        <f t="shared" si="40"/>
        <v>0</v>
      </c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>
        <f t="shared" si="41"/>
        <v>0</v>
      </c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>
        <v>0</v>
      </c>
      <c r="BN212" s="42">
        <v>0</v>
      </c>
      <c r="BO212" s="42">
        <v>0</v>
      </c>
      <c r="BP212" s="42">
        <v>0</v>
      </c>
      <c r="BQ212" s="42">
        <v>0</v>
      </c>
      <c r="BR212" s="42">
        <v>0</v>
      </c>
      <c r="BS212" s="42">
        <v>213</v>
      </c>
      <c r="BT212" s="42">
        <v>0</v>
      </c>
      <c r="BU212" s="42">
        <v>0</v>
      </c>
      <c r="BV212" s="42">
        <v>0</v>
      </c>
      <c r="BW212" s="42">
        <v>0</v>
      </c>
      <c r="BX212" s="42">
        <v>0</v>
      </c>
      <c r="BY212" s="42">
        <v>0</v>
      </c>
      <c r="BZ212" s="42">
        <v>0</v>
      </c>
      <c r="CA212" s="42">
        <v>0</v>
      </c>
      <c r="CB212" s="42">
        <v>0</v>
      </c>
      <c r="CC212" s="42">
        <v>0</v>
      </c>
      <c r="CD212" s="42">
        <v>0</v>
      </c>
      <c r="CE212" s="42">
        <v>0</v>
      </c>
      <c r="CF212" s="42">
        <v>0</v>
      </c>
      <c r="CG212" s="42">
        <v>0</v>
      </c>
      <c r="CH212" s="42">
        <v>0</v>
      </c>
      <c r="CI212" s="42">
        <v>0</v>
      </c>
      <c r="CJ212" s="42">
        <v>43</v>
      </c>
      <c r="CK212" s="43">
        <f t="shared" si="42"/>
        <v>256</v>
      </c>
      <c r="CL212" s="66"/>
      <c r="CM212" s="66">
        <v>0</v>
      </c>
      <c r="CN212" s="66">
        <v>0</v>
      </c>
      <c r="CO212" s="66">
        <v>0</v>
      </c>
      <c r="CP212" s="66">
        <v>0</v>
      </c>
      <c r="CQ212" s="66">
        <v>0</v>
      </c>
      <c r="CR212" s="66">
        <v>0</v>
      </c>
      <c r="CS212" s="66">
        <v>0</v>
      </c>
      <c r="CT212" s="66">
        <v>0</v>
      </c>
      <c r="CU212" s="66">
        <v>0</v>
      </c>
      <c r="CV212" s="66">
        <v>0</v>
      </c>
      <c r="CW212" s="66">
        <v>0</v>
      </c>
      <c r="CX212" s="66">
        <v>0</v>
      </c>
      <c r="CY212" s="66">
        <v>0</v>
      </c>
      <c r="CZ212" s="66">
        <v>0</v>
      </c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>
        <f>SUM(Table1[[#This Row],[01-03 Apr]:[Mar-26]])</f>
        <v>0</v>
      </c>
    </row>
    <row r="213" spans="1:115" x14ac:dyDescent="0.2">
      <c r="A213" s="28"/>
      <c r="B213" s="29"/>
      <c r="C213" s="29" t="s">
        <v>2943</v>
      </c>
      <c r="D213" s="30" t="s">
        <v>2942</v>
      </c>
      <c r="E213" s="30" t="s">
        <v>57</v>
      </c>
      <c r="F213" s="30"/>
      <c r="G213" s="31"/>
      <c r="H213" s="30">
        <v>391374</v>
      </c>
      <c r="I213" s="30" t="str">
        <f>IF(Table1[[#This Row],[Centre Status]]="Returned","NA",IF(Table1[[#This Row],[SD]]&gt;19000,"Full Payment",IF(Table1[[#This Row],[SD]]&lt;1,"No Payment","Partial Payment")))</f>
        <v>Partial Payment</v>
      </c>
      <c r="J213" s="30" t="s">
        <v>58</v>
      </c>
      <c r="K213" s="32">
        <v>110000</v>
      </c>
      <c r="L213" s="33">
        <f>Q213+R213+U213+Table1[[#This Row],[Farmer Payment]]</f>
        <v>18861</v>
      </c>
      <c r="M213" s="30"/>
      <c r="N213" s="34"/>
      <c r="O213" s="34"/>
      <c r="P213" s="35">
        <f t="shared" si="39"/>
        <v>91139</v>
      </c>
      <c r="Q213" s="33">
        <f>AI213+AV213+CK213+Table1[[#This Row],[FY 25-26]]</f>
        <v>1861</v>
      </c>
      <c r="R213" s="36">
        <v>17000</v>
      </c>
      <c r="S213" s="37" t="s">
        <v>2944</v>
      </c>
      <c r="T213" s="38">
        <v>45646</v>
      </c>
      <c r="U213" s="39"/>
      <c r="V213" s="39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1">
        <f t="shared" si="40"/>
        <v>0</v>
      </c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>
        <f t="shared" si="41"/>
        <v>0</v>
      </c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>
        <v>0</v>
      </c>
      <c r="BQ213" s="42"/>
      <c r="BR213" s="42">
        <v>0</v>
      </c>
      <c r="BS213" s="42"/>
      <c r="BT213" s="42"/>
      <c r="BU213" s="42"/>
      <c r="BV213" s="42">
        <v>0</v>
      </c>
      <c r="BW213" s="42">
        <v>0</v>
      </c>
      <c r="BX213" s="42">
        <v>0</v>
      </c>
      <c r="BY213" s="42">
        <v>0</v>
      </c>
      <c r="BZ213" s="42">
        <v>0</v>
      </c>
      <c r="CA213" s="42">
        <v>0</v>
      </c>
      <c r="CB213" s="42">
        <v>0</v>
      </c>
      <c r="CC213" s="42">
        <v>0</v>
      </c>
      <c r="CD213" s="42">
        <v>0</v>
      </c>
      <c r="CE213" s="42">
        <v>0</v>
      </c>
      <c r="CF213" s="42">
        <v>0</v>
      </c>
      <c r="CG213" s="42">
        <v>0</v>
      </c>
      <c r="CH213" s="42">
        <v>0</v>
      </c>
      <c r="CI213" s="42">
        <v>0</v>
      </c>
      <c r="CJ213" s="42">
        <v>1861</v>
      </c>
      <c r="CK213" s="43">
        <f t="shared" si="42"/>
        <v>1861</v>
      </c>
      <c r="CL213" s="66"/>
      <c r="CM213" s="66">
        <v>0</v>
      </c>
      <c r="CN213" s="66">
        <v>0</v>
      </c>
      <c r="CO213" s="66">
        <v>0</v>
      </c>
      <c r="CP213" s="66">
        <v>0</v>
      </c>
      <c r="CQ213" s="66">
        <v>0</v>
      </c>
      <c r="CR213" s="66">
        <v>0</v>
      </c>
      <c r="CS213" s="66">
        <v>0</v>
      </c>
      <c r="CT213" s="66">
        <v>0</v>
      </c>
      <c r="CU213" s="66">
        <v>0</v>
      </c>
      <c r="CV213" s="66">
        <v>0</v>
      </c>
      <c r="CW213" s="66">
        <v>0</v>
      </c>
      <c r="CX213" s="66">
        <v>0</v>
      </c>
      <c r="CY213" s="66">
        <v>0</v>
      </c>
      <c r="CZ213" s="66">
        <v>0</v>
      </c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>
        <f>SUM(Table1[[#This Row],[01-03 Apr]:[Mar-26]])</f>
        <v>0</v>
      </c>
    </row>
    <row r="214" spans="1:115" hidden="1" x14ac:dyDescent="0.2">
      <c r="A214" s="28"/>
      <c r="B214" s="29"/>
      <c r="C214" s="29" t="s">
        <v>2772</v>
      </c>
      <c r="D214" s="30" t="s">
        <v>2777</v>
      </c>
      <c r="E214" s="30" t="s">
        <v>217</v>
      </c>
      <c r="F214" s="30"/>
      <c r="G214" s="31"/>
      <c r="H214" s="30">
        <v>396094</v>
      </c>
      <c r="I214" s="30" t="str">
        <f>IF(Table1[[#This Row],[Centre Status]]="Returned","NA",IF(Table1[[#This Row],[SD]]&gt;19000,"Full Payment",IF(Table1[[#This Row],[SD]]&lt;1,"No Payment","Partial Payment")))</f>
        <v>Full Payment</v>
      </c>
      <c r="J214" s="30" t="s">
        <v>58</v>
      </c>
      <c r="K214" s="32">
        <v>110000</v>
      </c>
      <c r="L214" s="33">
        <f>Q214+R214+U214+Table1[[#This Row],[Farmer Payment]]</f>
        <v>31388.866149288344</v>
      </c>
      <c r="M214" s="30"/>
      <c r="N214" s="34"/>
      <c r="O214" s="34"/>
      <c r="P214" s="35">
        <f t="shared" si="39"/>
        <v>78611.13385071166</v>
      </c>
      <c r="Q214" s="33">
        <f>AI214+AV214+CK214+Table1[[#This Row],[FY 25-26]]</f>
        <v>11388.866149288344</v>
      </c>
      <c r="R214" s="36">
        <v>20000</v>
      </c>
      <c r="S214" s="37">
        <v>73523353236</v>
      </c>
      <c r="T214" s="38">
        <v>45593</v>
      </c>
      <c r="U214" s="39"/>
      <c r="V214" s="39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1">
        <f t="shared" si="40"/>
        <v>0</v>
      </c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>
        <f t="shared" si="41"/>
        <v>0</v>
      </c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>
        <v>0</v>
      </c>
      <c r="BN214" s="42">
        <v>0</v>
      </c>
      <c r="BO214" s="42">
        <v>0</v>
      </c>
      <c r="BP214" s="42">
        <v>0</v>
      </c>
      <c r="BQ214" s="42">
        <v>0</v>
      </c>
      <c r="BR214" s="42">
        <v>0</v>
      </c>
      <c r="BS214" s="42">
        <v>890</v>
      </c>
      <c r="BT214" s="42">
        <v>0</v>
      </c>
      <c r="BU214" s="42">
        <v>0</v>
      </c>
      <c r="BV214" s="42">
        <v>0</v>
      </c>
      <c r="BW214" s="42">
        <v>0</v>
      </c>
      <c r="BX214" s="42">
        <v>0</v>
      </c>
      <c r="BY214" s="42">
        <v>0</v>
      </c>
      <c r="BZ214" s="42">
        <v>0</v>
      </c>
      <c r="CA214" s="42">
        <v>0</v>
      </c>
      <c r="CB214" s="42">
        <v>0</v>
      </c>
      <c r="CC214" s="42">
        <v>0</v>
      </c>
      <c r="CD214" s="42">
        <v>0</v>
      </c>
      <c r="CE214" s="42">
        <v>0</v>
      </c>
      <c r="CF214" s="42">
        <v>0</v>
      </c>
      <c r="CG214" s="42">
        <v>0</v>
      </c>
      <c r="CH214" s="42">
        <v>0</v>
      </c>
      <c r="CI214" s="42">
        <v>500</v>
      </c>
      <c r="CJ214" s="42">
        <v>3375.8720470592807</v>
      </c>
      <c r="CK214" s="43">
        <f t="shared" si="42"/>
        <v>4765.8720470592807</v>
      </c>
      <c r="CL214" s="66"/>
      <c r="CM214" s="66">
        <v>500</v>
      </c>
      <c r="CN214" s="66">
        <v>500</v>
      </c>
      <c r="CO214" s="66">
        <v>500</v>
      </c>
      <c r="CP214" s="66">
        <v>1125.3888873649803</v>
      </c>
      <c r="CQ214" s="66">
        <v>500</v>
      </c>
      <c r="CR214" s="66">
        <v>0</v>
      </c>
      <c r="CS214" s="66">
        <v>0</v>
      </c>
      <c r="CT214" s="66">
        <v>0</v>
      </c>
      <c r="CU214" s="66">
        <v>500</v>
      </c>
      <c r="CV214" s="66">
        <v>2497.605214864082</v>
      </c>
      <c r="CW214" s="66">
        <v>0</v>
      </c>
      <c r="CX214" s="66">
        <v>0</v>
      </c>
      <c r="CY214" s="66">
        <v>0</v>
      </c>
      <c r="CZ214" s="66">
        <v>500</v>
      </c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>
        <f>SUM(Table1[[#This Row],[01-03 Apr]:[Mar-26]])</f>
        <v>6622.9941022290623</v>
      </c>
    </row>
    <row r="215" spans="1:115" x14ac:dyDescent="0.2">
      <c r="A215" s="28"/>
      <c r="B215" s="29"/>
      <c r="C215" s="29" t="s">
        <v>2773</v>
      </c>
      <c r="D215" s="30" t="s">
        <v>2778</v>
      </c>
      <c r="E215" s="30" t="s">
        <v>217</v>
      </c>
      <c r="F215" s="30"/>
      <c r="G215" s="31"/>
      <c r="H215" s="30">
        <v>384295</v>
      </c>
      <c r="I215" s="30" t="str">
        <f>IF(Table1[[#This Row],[Centre Status]]="Returned","NA",IF(Table1[[#This Row],[SD]]&gt;19000,"Full Payment",IF(Table1[[#This Row],[SD]]&lt;1,"No Payment","Partial Payment")))</f>
        <v>Partial Payment</v>
      </c>
      <c r="J215" s="30" t="s">
        <v>58</v>
      </c>
      <c r="K215" s="32">
        <v>110000</v>
      </c>
      <c r="L215" s="33">
        <f>Q215+R215+U215+Table1[[#This Row],[Farmer Payment]]</f>
        <v>15583</v>
      </c>
      <c r="M215" s="30"/>
      <c r="N215" s="34"/>
      <c r="O215" s="34"/>
      <c r="P215" s="35">
        <f t="shared" si="39"/>
        <v>94417</v>
      </c>
      <c r="Q215" s="33">
        <f>AI215+AV215+CK215+Table1[[#This Row],[FY 25-26]]</f>
        <v>5583</v>
      </c>
      <c r="R215" s="36">
        <v>10000</v>
      </c>
      <c r="S215" s="37" t="s">
        <v>2782</v>
      </c>
      <c r="T215" s="38">
        <v>45593</v>
      </c>
      <c r="U215" s="39"/>
      <c r="V215" s="39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1">
        <f t="shared" si="40"/>
        <v>0</v>
      </c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>
        <f t="shared" si="41"/>
        <v>0</v>
      </c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>
        <v>0</v>
      </c>
      <c r="BN215" s="42">
        <v>0</v>
      </c>
      <c r="BO215" s="42">
        <v>0</v>
      </c>
      <c r="BP215" s="42">
        <v>0</v>
      </c>
      <c r="BQ215" s="42">
        <v>0</v>
      </c>
      <c r="BR215" s="42">
        <v>0</v>
      </c>
      <c r="BS215" s="42">
        <v>0</v>
      </c>
      <c r="BT215" s="42">
        <v>0</v>
      </c>
      <c r="BU215" s="42">
        <v>0</v>
      </c>
      <c r="BV215" s="42">
        <v>0</v>
      </c>
      <c r="BW215" s="42">
        <v>0</v>
      </c>
      <c r="BX215" s="42">
        <v>0</v>
      </c>
      <c r="BY215" s="42">
        <v>0</v>
      </c>
      <c r="BZ215" s="42">
        <v>0</v>
      </c>
      <c r="CA215" s="42">
        <v>0</v>
      </c>
      <c r="CB215" s="42">
        <v>0</v>
      </c>
      <c r="CC215" s="42">
        <v>0</v>
      </c>
      <c r="CD215" s="42">
        <v>0</v>
      </c>
      <c r="CE215" s="42">
        <v>0</v>
      </c>
      <c r="CF215" s="42">
        <v>0</v>
      </c>
      <c r="CG215" s="42">
        <v>0</v>
      </c>
      <c r="CH215" s="42">
        <v>0</v>
      </c>
      <c r="CI215" s="42">
        <v>0</v>
      </c>
      <c r="CJ215" s="42">
        <v>1861</v>
      </c>
      <c r="CK215" s="43">
        <f t="shared" si="42"/>
        <v>1861</v>
      </c>
      <c r="CL215" s="66"/>
      <c r="CM215" s="66">
        <v>0</v>
      </c>
      <c r="CN215" s="66">
        <v>0</v>
      </c>
      <c r="CO215" s="66">
        <v>0</v>
      </c>
      <c r="CP215" s="66">
        <v>1861</v>
      </c>
      <c r="CQ215" s="66">
        <v>0</v>
      </c>
      <c r="CR215" s="66">
        <v>0</v>
      </c>
      <c r="CS215" s="66">
        <v>0</v>
      </c>
      <c r="CT215" s="66">
        <v>0</v>
      </c>
      <c r="CU215" s="66">
        <v>0</v>
      </c>
      <c r="CV215" s="66">
        <v>1861</v>
      </c>
      <c r="CW215" s="66">
        <v>0</v>
      </c>
      <c r="CX215" s="66">
        <v>0</v>
      </c>
      <c r="CY215" s="66">
        <v>0</v>
      </c>
      <c r="CZ215" s="66">
        <v>0</v>
      </c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>
        <f>SUM(Table1[[#This Row],[01-03 Apr]:[Mar-26]])</f>
        <v>3722</v>
      </c>
    </row>
    <row r="216" spans="1:115" hidden="1" x14ac:dyDescent="0.2">
      <c r="A216" s="28"/>
      <c r="B216" s="29"/>
      <c r="C216" s="29" t="s">
        <v>2742</v>
      </c>
      <c r="D216" s="30" t="s">
        <v>2743</v>
      </c>
      <c r="E216" s="30" t="s">
        <v>217</v>
      </c>
      <c r="F216" s="30"/>
      <c r="G216" s="31"/>
      <c r="H216" s="30">
        <v>396090</v>
      </c>
      <c r="I216" s="30" t="str">
        <f>IF(Table1[[#This Row],[Centre Status]]="Returned","NA",IF(Table1[[#This Row],[SD]]&gt;19000,"Full Payment",IF(Table1[[#This Row],[SD]]&lt;1,"No Payment","Partial Payment")))</f>
        <v>Full Payment</v>
      </c>
      <c r="J216" s="30" t="s">
        <v>58</v>
      </c>
      <c r="K216" s="32">
        <v>110000</v>
      </c>
      <c r="L216" s="33">
        <f>Q216+R216+U216+Table1[[#This Row],[Farmer Payment]]</f>
        <v>31334.844173519356</v>
      </c>
      <c r="M216" s="30"/>
      <c r="N216" s="34"/>
      <c r="O216" s="34"/>
      <c r="P216" s="35">
        <f t="shared" si="39"/>
        <v>78665.155826480652</v>
      </c>
      <c r="Q216" s="33">
        <f>AI216+AV216+CK216+Table1[[#This Row],[FY 25-26]]</f>
        <v>11334.844173519354</v>
      </c>
      <c r="R216" s="36">
        <v>20000</v>
      </c>
      <c r="S216" s="37" t="s">
        <v>2744</v>
      </c>
      <c r="T216" s="38">
        <v>45601</v>
      </c>
      <c r="U216" s="39"/>
      <c r="V216" s="39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1">
        <f t="shared" si="40"/>
        <v>0</v>
      </c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>
        <f t="shared" si="41"/>
        <v>0</v>
      </c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>
        <v>0</v>
      </c>
      <c r="BJ216" s="42"/>
      <c r="BK216" s="42"/>
      <c r="BL216" s="42">
        <v>0</v>
      </c>
      <c r="BM216" s="42">
        <v>0</v>
      </c>
      <c r="BN216" s="42">
        <v>0</v>
      </c>
      <c r="BO216" s="42">
        <v>0</v>
      </c>
      <c r="BP216" s="42">
        <v>0</v>
      </c>
      <c r="BQ216" s="42">
        <v>0</v>
      </c>
      <c r="BR216" s="42">
        <v>0</v>
      </c>
      <c r="BS216" s="42">
        <v>1805</v>
      </c>
      <c r="BT216" s="42">
        <v>0</v>
      </c>
      <c r="BU216" s="42">
        <v>0</v>
      </c>
      <c r="BV216" s="42">
        <v>0</v>
      </c>
      <c r="BW216" s="42">
        <v>0</v>
      </c>
      <c r="BX216" s="42">
        <v>0</v>
      </c>
      <c r="BY216" s="42">
        <v>0</v>
      </c>
      <c r="BZ216" s="42">
        <v>0</v>
      </c>
      <c r="CA216" s="42">
        <v>0</v>
      </c>
      <c r="CB216" s="42">
        <v>0</v>
      </c>
      <c r="CC216" s="42">
        <v>0</v>
      </c>
      <c r="CD216" s="42">
        <v>0</v>
      </c>
      <c r="CE216" s="42">
        <v>0</v>
      </c>
      <c r="CF216" s="42">
        <v>0</v>
      </c>
      <c r="CG216" s="42">
        <v>0</v>
      </c>
      <c r="CH216" s="42">
        <v>0</v>
      </c>
      <c r="CI216" s="42">
        <v>0</v>
      </c>
      <c r="CJ216" s="42">
        <v>3877.7276853350486</v>
      </c>
      <c r="CK216" s="43">
        <f t="shared" si="42"/>
        <v>5682.7276853350486</v>
      </c>
      <c r="CL216" s="66"/>
      <c r="CM216" s="66">
        <v>0</v>
      </c>
      <c r="CN216" s="66">
        <v>0</v>
      </c>
      <c r="CO216" s="66">
        <v>0</v>
      </c>
      <c r="CP216" s="66">
        <v>3133.5799875456</v>
      </c>
      <c r="CQ216" s="66">
        <v>0</v>
      </c>
      <c r="CR216" s="66">
        <v>0</v>
      </c>
      <c r="CS216" s="66">
        <v>0</v>
      </c>
      <c r="CT216" s="66">
        <v>0</v>
      </c>
      <c r="CU216" s="66">
        <v>0</v>
      </c>
      <c r="CV216" s="66">
        <v>2518.5365006387046</v>
      </c>
      <c r="CW216" s="66">
        <v>0</v>
      </c>
      <c r="CX216" s="66">
        <v>0</v>
      </c>
      <c r="CY216" s="66">
        <v>0</v>
      </c>
      <c r="CZ216" s="66">
        <v>0</v>
      </c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>
        <f>SUM(Table1[[#This Row],[01-03 Apr]:[Mar-26]])</f>
        <v>5652.1164881843051</v>
      </c>
    </row>
    <row r="217" spans="1:115" hidden="1" x14ac:dyDescent="0.2">
      <c r="A217" s="28"/>
      <c r="B217" s="29"/>
      <c r="C217" s="29" t="s">
        <v>2745</v>
      </c>
      <c r="D217" s="30" t="s">
        <v>2684</v>
      </c>
      <c r="E217" s="30" t="s">
        <v>217</v>
      </c>
      <c r="F217" s="30"/>
      <c r="G217" s="31"/>
      <c r="H217" s="30">
        <v>385964</v>
      </c>
      <c r="I217" s="30" t="str">
        <f>IF(Table1[[#This Row],[Centre Status]]="Returned","NA",IF(Table1[[#This Row],[SD]]&gt;19000,"Full Payment",IF(Table1[[#This Row],[SD]]&lt;1,"No Payment","Partial Payment")))</f>
        <v>Full Payment</v>
      </c>
      <c r="J217" s="30" t="s">
        <v>58</v>
      </c>
      <c r="K217" s="32">
        <v>110000</v>
      </c>
      <c r="L217" s="33">
        <f>Q217+R217+U217+Table1[[#This Row],[Farmer Payment]]</f>
        <v>27295</v>
      </c>
      <c r="M217" s="30"/>
      <c r="N217" s="34"/>
      <c r="O217" s="34"/>
      <c r="P217" s="35">
        <f t="shared" si="39"/>
        <v>82705</v>
      </c>
      <c r="Q217" s="33">
        <f>AI217+AV217+CK217+Table1[[#This Row],[FY 25-26]]</f>
        <v>7295</v>
      </c>
      <c r="R217" s="36">
        <v>20000</v>
      </c>
      <c r="S217" s="37" t="s">
        <v>2746</v>
      </c>
      <c r="T217" s="38">
        <v>45594</v>
      </c>
      <c r="U217" s="39"/>
      <c r="V217" s="39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1">
        <f t="shared" si="40"/>
        <v>0</v>
      </c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>
        <f t="shared" si="41"/>
        <v>0</v>
      </c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>
        <v>0</v>
      </c>
      <c r="BJ217" s="42"/>
      <c r="BK217" s="42"/>
      <c r="BL217" s="42">
        <v>0</v>
      </c>
      <c r="BM217" s="42">
        <v>0</v>
      </c>
      <c r="BN217" s="42">
        <v>0</v>
      </c>
      <c r="BO217" s="42">
        <v>0</v>
      </c>
      <c r="BP217" s="42">
        <v>0</v>
      </c>
      <c r="BQ217" s="42">
        <v>0</v>
      </c>
      <c r="BR217" s="42">
        <v>0</v>
      </c>
      <c r="BS217" s="42">
        <v>1712</v>
      </c>
      <c r="BT217" s="42">
        <v>0</v>
      </c>
      <c r="BU217" s="42">
        <v>0</v>
      </c>
      <c r="BV217" s="42">
        <v>0</v>
      </c>
      <c r="BW217" s="42">
        <v>0</v>
      </c>
      <c r="BX217" s="42">
        <v>0</v>
      </c>
      <c r="BY217" s="42">
        <v>0</v>
      </c>
      <c r="BZ217" s="42">
        <v>0</v>
      </c>
      <c r="CA217" s="42">
        <v>0</v>
      </c>
      <c r="CB217" s="42">
        <v>0</v>
      </c>
      <c r="CC217" s="42">
        <v>0</v>
      </c>
      <c r="CD217" s="42">
        <v>0</v>
      </c>
      <c r="CE217" s="42">
        <v>0</v>
      </c>
      <c r="CF217" s="42">
        <v>0</v>
      </c>
      <c r="CG217" s="42">
        <v>0</v>
      </c>
      <c r="CH217" s="42">
        <v>0</v>
      </c>
      <c r="CI217" s="42">
        <v>0</v>
      </c>
      <c r="CJ217" s="42">
        <v>1861</v>
      </c>
      <c r="CK217" s="43">
        <f t="shared" si="42"/>
        <v>3573</v>
      </c>
      <c r="CL217" s="66"/>
      <c r="CM217" s="66">
        <v>0</v>
      </c>
      <c r="CN217" s="66">
        <v>0</v>
      </c>
      <c r="CO217" s="66">
        <v>0</v>
      </c>
      <c r="CP217" s="66">
        <v>1861</v>
      </c>
      <c r="CQ217" s="66">
        <v>0</v>
      </c>
      <c r="CR217" s="66">
        <v>0</v>
      </c>
      <c r="CS217" s="66">
        <v>0</v>
      </c>
      <c r="CT217" s="66">
        <v>0</v>
      </c>
      <c r="CU217" s="66">
        <v>0</v>
      </c>
      <c r="CV217" s="66">
        <v>1861</v>
      </c>
      <c r="CW217" s="66">
        <v>0</v>
      </c>
      <c r="CX217" s="66">
        <v>0</v>
      </c>
      <c r="CY217" s="66">
        <v>0</v>
      </c>
      <c r="CZ217" s="66">
        <v>0</v>
      </c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>
        <f>SUM(Table1[[#This Row],[01-03 Apr]:[Mar-26]])</f>
        <v>3722</v>
      </c>
    </row>
    <row r="218" spans="1:115" hidden="1" x14ac:dyDescent="0.2">
      <c r="A218" s="28"/>
      <c r="B218" s="29"/>
      <c r="C218" s="29" t="s">
        <v>2756</v>
      </c>
      <c r="D218" s="30" t="s">
        <v>2747</v>
      </c>
      <c r="E218" s="30" t="s">
        <v>584</v>
      </c>
      <c r="F218" s="30"/>
      <c r="G218" s="31"/>
      <c r="H218" s="30">
        <v>2347806</v>
      </c>
      <c r="I218" s="30" t="str">
        <f>IF(Table1[[#This Row],[Centre Status]]="Returned","NA",IF(Table1[[#This Row],[SD]]&gt;19000,"Full Payment",IF(Table1[[#This Row],[SD]]&lt;1,"No Payment","Partial Payment")))</f>
        <v>Full Payment</v>
      </c>
      <c r="J218" s="30" t="s">
        <v>58</v>
      </c>
      <c r="K218" s="32">
        <v>110000</v>
      </c>
      <c r="L218" s="33">
        <f>Q218+R218+U218+Table1[[#This Row],[Farmer Payment]]</f>
        <v>27111</v>
      </c>
      <c r="M218" s="30"/>
      <c r="N218" s="34"/>
      <c r="O218" s="34"/>
      <c r="P218" s="35">
        <f t="shared" si="39"/>
        <v>82889</v>
      </c>
      <c r="Q218" s="33">
        <f>AI218+AV218+CK218+Table1[[#This Row],[FY 25-26]]</f>
        <v>7111</v>
      </c>
      <c r="R218" s="36">
        <v>20000</v>
      </c>
      <c r="S218" s="37" t="s">
        <v>2752</v>
      </c>
      <c r="T218" s="38">
        <v>45602</v>
      </c>
      <c r="U218" s="39"/>
      <c r="V218" s="39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1">
        <f t="shared" si="40"/>
        <v>0</v>
      </c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>
        <f t="shared" si="41"/>
        <v>0</v>
      </c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>
        <v>0</v>
      </c>
      <c r="BJ218" s="42"/>
      <c r="BK218" s="42"/>
      <c r="BL218" s="42">
        <v>0</v>
      </c>
      <c r="BM218" s="42">
        <v>0</v>
      </c>
      <c r="BN218" s="42">
        <v>0</v>
      </c>
      <c r="BO218" s="42">
        <v>0</v>
      </c>
      <c r="BP218" s="42">
        <v>0</v>
      </c>
      <c r="BQ218" s="42">
        <v>0</v>
      </c>
      <c r="BR218" s="42">
        <v>0</v>
      </c>
      <c r="BS218" s="42">
        <v>1861</v>
      </c>
      <c r="BT218" s="42">
        <v>0</v>
      </c>
      <c r="BU218" s="42">
        <v>0</v>
      </c>
      <c r="BV218" s="42">
        <v>0</v>
      </c>
      <c r="BW218" s="42">
        <v>0</v>
      </c>
      <c r="BX218" s="42">
        <v>0</v>
      </c>
      <c r="BY218" s="42">
        <v>0</v>
      </c>
      <c r="BZ218" s="42">
        <v>0</v>
      </c>
      <c r="CA218" s="42">
        <v>0</v>
      </c>
      <c r="CB218" s="42">
        <v>0</v>
      </c>
      <c r="CC218" s="42">
        <v>0</v>
      </c>
      <c r="CD218" s="42">
        <v>0</v>
      </c>
      <c r="CE218" s="42">
        <v>0</v>
      </c>
      <c r="CF218" s="42">
        <v>0</v>
      </c>
      <c r="CG218" s="42">
        <v>0</v>
      </c>
      <c r="CH218" s="42">
        <v>0</v>
      </c>
      <c r="CI218" s="42">
        <v>0</v>
      </c>
      <c r="CJ218" s="42">
        <v>1861</v>
      </c>
      <c r="CK218" s="43">
        <f t="shared" si="42"/>
        <v>3722</v>
      </c>
      <c r="CL218" s="66"/>
      <c r="CM218" s="66">
        <v>0</v>
      </c>
      <c r="CN218" s="66">
        <v>0</v>
      </c>
      <c r="CO218" s="66">
        <v>0</v>
      </c>
      <c r="CP218" s="66">
        <v>1861</v>
      </c>
      <c r="CQ218" s="66">
        <v>0</v>
      </c>
      <c r="CR218" s="66">
        <v>0</v>
      </c>
      <c r="CS218" s="66">
        <v>0</v>
      </c>
      <c r="CT218" s="66">
        <v>0</v>
      </c>
      <c r="CU218" s="66">
        <v>0</v>
      </c>
      <c r="CV218" s="66">
        <v>1528</v>
      </c>
      <c r="CW218" s="66">
        <v>0</v>
      </c>
      <c r="CX218" s="66">
        <v>0</v>
      </c>
      <c r="CY218" s="66">
        <v>0</v>
      </c>
      <c r="CZ218" s="66">
        <v>0</v>
      </c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>
        <f>SUM(Table1[[#This Row],[01-03 Apr]:[Mar-26]])</f>
        <v>3389</v>
      </c>
    </row>
    <row r="219" spans="1:115" hidden="1" x14ac:dyDescent="0.2">
      <c r="A219" s="28"/>
      <c r="B219" s="29"/>
      <c r="C219" s="29" t="s">
        <v>2757</v>
      </c>
      <c r="D219" s="30" t="s">
        <v>2748</v>
      </c>
      <c r="E219" s="30" t="s">
        <v>584</v>
      </c>
      <c r="F219" s="30"/>
      <c r="G219" s="31"/>
      <c r="H219" s="30">
        <v>391603</v>
      </c>
      <c r="I219" s="30" t="str">
        <f>IF(Table1[[#This Row],[Centre Status]]="Returned","NA",IF(Table1[[#This Row],[SD]]&gt;19000,"Full Payment",IF(Table1[[#This Row],[SD]]&lt;1,"No Payment","Partial Payment")))</f>
        <v>Full Payment</v>
      </c>
      <c r="J219" s="30" t="s">
        <v>58</v>
      </c>
      <c r="K219" s="32">
        <v>110000</v>
      </c>
      <c r="L219" s="33">
        <f>Q219+R219+U219+Table1[[#This Row],[Farmer Payment]]</f>
        <v>30638.154165503998</v>
      </c>
      <c r="M219" s="30"/>
      <c r="N219" s="34"/>
      <c r="O219" s="34"/>
      <c r="P219" s="35">
        <f t="shared" si="39"/>
        <v>79361.845834495994</v>
      </c>
      <c r="Q219" s="33">
        <f>AI219+AV219+CK219+Table1[[#This Row],[FY 25-26]]</f>
        <v>10638.154165504</v>
      </c>
      <c r="R219" s="36">
        <v>20000</v>
      </c>
      <c r="S219" s="37">
        <v>81693596778</v>
      </c>
      <c r="T219" s="38">
        <v>45602</v>
      </c>
      <c r="U219" s="39"/>
      <c r="V219" s="39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1">
        <f t="shared" si="40"/>
        <v>0</v>
      </c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>
        <f t="shared" si="41"/>
        <v>0</v>
      </c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>
        <v>0</v>
      </c>
      <c r="BJ219" s="42"/>
      <c r="BK219" s="42"/>
      <c r="BL219" s="42">
        <v>0</v>
      </c>
      <c r="BM219" s="42">
        <v>0</v>
      </c>
      <c r="BN219" s="42">
        <v>0</v>
      </c>
      <c r="BO219" s="42">
        <v>0</v>
      </c>
      <c r="BP219" s="42">
        <v>0</v>
      </c>
      <c r="BQ219" s="42">
        <v>0</v>
      </c>
      <c r="BR219" s="42">
        <v>0</v>
      </c>
      <c r="BS219" s="42">
        <v>293</v>
      </c>
      <c r="BT219" s="42">
        <v>0</v>
      </c>
      <c r="BU219" s="42">
        <v>0</v>
      </c>
      <c r="BV219" s="42">
        <v>0</v>
      </c>
      <c r="BW219" s="42">
        <v>0</v>
      </c>
      <c r="BX219" s="42">
        <v>0</v>
      </c>
      <c r="BY219" s="42">
        <v>0</v>
      </c>
      <c r="BZ219" s="42">
        <v>0</v>
      </c>
      <c r="CA219" s="42">
        <v>0</v>
      </c>
      <c r="CB219" s="42">
        <v>0</v>
      </c>
      <c r="CC219" s="42">
        <v>0</v>
      </c>
      <c r="CD219" s="42">
        <v>0</v>
      </c>
      <c r="CE219" s="42">
        <v>0</v>
      </c>
      <c r="CF219" s="42">
        <v>0</v>
      </c>
      <c r="CG219" s="42">
        <v>0</v>
      </c>
      <c r="CH219" s="42">
        <v>0</v>
      </c>
      <c r="CI219" s="42">
        <v>0</v>
      </c>
      <c r="CJ219" s="42">
        <v>3125.4192140544001</v>
      </c>
      <c r="CK219" s="43">
        <f t="shared" si="42"/>
        <v>3418.4192140544001</v>
      </c>
      <c r="CL219" s="66"/>
      <c r="CM219" s="66">
        <v>500</v>
      </c>
      <c r="CN219" s="66">
        <v>500</v>
      </c>
      <c r="CO219" s="66">
        <v>500</v>
      </c>
      <c r="CP219" s="66">
        <v>1514.6674453887995</v>
      </c>
      <c r="CQ219" s="66">
        <v>500</v>
      </c>
      <c r="CR219" s="66">
        <v>0</v>
      </c>
      <c r="CS219" s="66">
        <v>0</v>
      </c>
      <c r="CT219" s="66">
        <v>500</v>
      </c>
      <c r="CU219" s="66">
        <v>500</v>
      </c>
      <c r="CV219" s="66">
        <v>2205.0675060608005</v>
      </c>
      <c r="CW219" s="66">
        <v>0</v>
      </c>
      <c r="CX219" s="66">
        <v>0</v>
      </c>
      <c r="CY219" s="66">
        <v>0</v>
      </c>
      <c r="CZ219" s="66">
        <v>500</v>
      </c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>
        <f>SUM(Table1[[#This Row],[01-03 Apr]:[Mar-26]])</f>
        <v>7219.7349514496</v>
      </c>
    </row>
    <row r="220" spans="1:115" hidden="1" x14ac:dyDescent="0.2">
      <c r="A220" s="28"/>
      <c r="B220" s="29"/>
      <c r="C220" s="29" t="s">
        <v>2758</v>
      </c>
      <c r="D220" s="30" t="s">
        <v>2749</v>
      </c>
      <c r="E220" s="30" t="s">
        <v>584</v>
      </c>
      <c r="F220" s="30"/>
      <c r="G220" s="31"/>
      <c r="H220" s="30">
        <v>361584</v>
      </c>
      <c r="I220" s="30" t="str">
        <f>IF(Table1[[#This Row],[Centre Status]]="Returned","NA",IF(Table1[[#This Row],[SD]]&gt;19000,"Full Payment",IF(Table1[[#This Row],[SD]]&lt;1,"No Payment","Partial Payment")))</f>
        <v>Full Payment</v>
      </c>
      <c r="J220" s="30" t="s">
        <v>58</v>
      </c>
      <c r="K220" s="32">
        <v>110000</v>
      </c>
      <c r="L220" s="33">
        <f>Q220+R220+U220+Table1[[#This Row],[Farmer Payment]]</f>
        <v>25909</v>
      </c>
      <c r="M220" s="30"/>
      <c r="N220" s="34"/>
      <c r="O220" s="34"/>
      <c r="P220" s="35">
        <f t="shared" si="39"/>
        <v>84091</v>
      </c>
      <c r="Q220" s="33">
        <f>AI220+AV220+CK220+Table1[[#This Row],[FY 25-26]]</f>
        <v>5909</v>
      </c>
      <c r="R220" s="36">
        <v>20000</v>
      </c>
      <c r="S220" s="37" t="s">
        <v>2753</v>
      </c>
      <c r="T220" s="38">
        <v>45602</v>
      </c>
      <c r="U220" s="39"/>
      <c r="V220" s="39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1">
        <f t="shared" si="40"/>
        <v>0</v>
      </c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>
        <f t="shared" si="41"/>
        <v>0</v>
      </c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>
        <v>0</v>
      </c>
      <c r="BJ220" s="42"/>
      <c r="BK220" s="42"/>
      <c r="BL220" s="42">
        <v>0</v>
      </c>
      <c r="BM220" s="42">
        <v>0</v>
      </c>
      <c r="BN220" s="42">
        <v>0</v>
      </c>
      <c r="BO220" s="42">
        <v>0</v>
      </c>
      <c r="BP220" s="42">
        <v>0</v>
      </c>
      <c r="BQ220" s="42">
        <v>0</v>
      </c>
      <c r="BR220" s="42">
        <v>0</v>
      </c>
      <c r="BS220" s="42">
        <v>1861</v>
      </c>
      <c r="BT220" s="42">
        <v>0</v>
      </c>
      <c r="BU220" s="42">
        <v>0</v>
      </c>
      <c r="BV220" s="42">
        <v>0</v>
      </c>
      <c r="BW220" s="42">
        <v>0</v>
      </c>
      <c r="BX220" s="42">
        <v>0</v>
      </c>
      <c r="BY220" s="42">
        <v>0</v>
      </c>
      <c r="BZ220" s="42">
        <v>0</v>
      </c>
      <c r="CA220" s="42">
        <v>0</v>
      </c>
      <c r="CB220" s="42">
        <v>0</v>
      </c>
      <c r="CC220" s="42">
        <v>0</v>
      </c>
      <c r="CD220" s="42">
        <v>0</v>
      </c>
      <c r="CE220" s="42">
        <v>0</v>
      </c>
      <c r="CF220" s="42">
        <v>0</v>
      </c>
      <c r="CG220" s="42">
        <v>0</v>
      </c>
      <c r="CH220" s="42">
        <v>0</v>
      </c>
      <c r="CI220" s="42">
        <v>0</v>
      </c>
      <c r="CJ220" s="42">
        <v>1861</v>
      </c>
      <c r="CK220" s="43">
        <f t="shared" si="42"/>
        <v>3722</v>
      </c>
      <c r="CL220" s="66"/>
      <c r="CM220" s="66">
        <v>0</v>
      </c>
      <c r="CN220" s="66">
        <v>0</v>
      </c>
      <c r="CO220" s="66">
        <v>0</v>
      </c>
      <c r="CP220" s="66">
        <v>1861</v>
      </c>
      <c r="CQ220" s="66">
        <v>0</v>
      </c>
      <c r="CR220" s="66">
        <v>0</v>
      </c>
      <c r="CS220" s="66">
        <v>0</v>
      </c>
      <c r="CT220" s="66">
        <v>0</v>
      </c>
      <c r="CU220" s="66">
        <v>0</v>
      </c>
      <c r="CV220" s="66">
        <v>326</v>
      </c>
      <c r="CW220" s="66">
        <v>0</v>
      </c>
      <c r="CX220" s="66">
        <v>0</v>
      </c>
      <c r="CY220" s="66">
        <v>0</v>
      </c>
      <c r="CZ220" s="66">
        <v>0</v>
      </c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>
        <f>SUM(Table1[[#This Row],[01-03 Apr]:[Mar-26]])</f>
        <v>2187</v>
      </c>
    </row>
    <row r="221" spans="1:115" hidden="1" x14ac:dyDescent="0.2">
      <c r="A221" s="28"/>
      <c r="B221" s="29"/>
      <c r="C221" s="29" t="s">
        <v>2759</v>
      </c>
      <c r="D221" s="30" t="s">
        <v>2750</v>
      </c>
      <c r="E221" s="30" t="s">
        <v>584</v>
      </c>
      <c r="F221" s="30"/>
      <c r="G221" s="31"/>
      <c r="H221" s="30">
        <v>390552</v>
      </c>
      <c r="I221" s="30" t="str">
        <f>IF(Table1[[#This Row],[Centre Status]]="Returned","NA",IF(Table1[[#This Row],[SD]]&gt;19000,"Full Payment",IF(Table1[[#This Row],[SD]]&lt;1,"No Payment","Partial Payment")))</f>
        <v>Full Payment</v>
      </c>
      <c r="J221" s="30" t="s">
        <v>58</v>
      </c>
      <c r="K221" s="32">
        <v>110000</v>
      </c>
      <c r="L221" s="33">
        <f>Q221+R221+U221+Table1[[#This Row],[Farmer Payment]]</f>
        <v>27328</v>
      </c>
      <c r="M221" s="30"/>
      <c r="N221" s="34"/>
      <c r="O221" s="34"/>
      <c r="P221" s="35">
        <f t="shared" si="39"/>
        <v>82672</v>
      </c>
      <c r="Q221" s="33">
        <f>AI221+AV221+CK221+Table1[[#This Row],[FY 25-26]]</f>
        <v>7328</v>
      </c>
      <c r="R221" s="36">
        <v>20000</v>
      </c>
      <c r="S221" s="37" t="s">
        <v>2754</v>
      </c>
      <c r="T221" s="38">
        <v>45602</v>
      </c>
      <c r="U221" s="39"/>
      <c r="V221" s="39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1">
        <f t="shared" si="40"/>
        <v>0</v>
      </c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>
        <f t="shared" si="41"/>
        <v>0</v>
      </c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>
        <v>0</v>
      </c>
      <c r="BJ221" s="42"/>
      <c r="BK221" s="42"/>
      <c r="BL221" s="42">
        <v>0</v>
      </c>
      <c r="BM221" s="42">
        <v>0</v>
      </c>
      <c r="BN221" s="42">
        <v>0</v>
      </c>
      <c r="BO221" s="42">
        <v>0</v>
      </c>
      <c r="BP221" s="42">
        <v>0</v>
      </c>
      <c r="BQ221" s="42">
        <v>0</v>
      </c>
      <c r="BR221" s="42">
        <v>0</v>
      </c>
      <c r="BS221" s="42">
        <v>106</v>
      </c>
      <c r="BT221" s="42">
        <v>0</v>
      </c>
      <c r="BU221" s="42">
        <v>0</v>
      </c>
      <c r="BV221" s="42">
        <v>0</v>
      </c>
      <c r="BW221" s="42">
        <v>0</v>
      </c>
      <c r="BX221" s="42">
        <v>0</v>
      </c>
      <c r="BY221" s="42">
        <v>0</v>
      </c>
      <c r="BZ221" s="42">
        <v>0</v>
      </c>
      <c r="CA221" s="42">
        <v>0</v>
      </c>
      <c r="CB221" s="42">
        <v>0</v>
      </c>
      <c r="CC221" s="42">
        <v>0</v>
      </c>
      <c r="CD221" s="42">
        <v>0</v>
      </c>
      <c r="CE221" s="42">
        <v>0</v>
      </c>
      <c r="CF221" s="42">
        <v>0</v>
      </c>
      <c r="CG221" s="42">
        <v>0</v>
      </c>
      <c r="CH221" s="42">
        <v>0</v>
      </c>
      <c r="CI221" s="42">
        <v>500</v>
      </c>
      <c r="CJ221" s="42">
        <v>1361</v>
      </c>
      <c r="CK221" s="43">
        <f t="shared" si="42"/>
        <v>1967</v>
      </c>
      <c r="CL221" s="66"/>
      <c r="CM221" s="66">
        <v>500</v>
      </c>
      <c r="CN221" s="66">
        <v>500</v>
      </c>
      <c r="CO221" s="66">
        <v>500</v>
      </c>
      <c r="CP221" s="66">
        <v>0</v>
      </c>
      <c r="CQ221" s="66">
        <v>500</v>
      </c>
      <c r="CR221" s="66">
        <v>0</v>
      </c>
      <c r="CS221" s="66">
        <v>500</v>
      </c>
      <c r="CT221" s="66">
        <v>500</v>
      </c>
      <c r="CU221" s="66">
        <v>500</v>
      </c>
      <c r="CV221" s="66">
        <v>361</v>
      </c>
      <c r="CW221" s="66">
        <v>0</v>
      </c>
      <c r="CX221" s="66">
        <v>500</v>
      </c>
      <c r="CY221" s="66">
        <v>500</v>
      </c>
      <c r="CZ221" s="66">
        <v>500</v>
      </c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>
        <f>SUM(Table1[[#This Row],[01-03 Apr]:[Mar-26]])</f>
        <v>5361</v>
      </c>
    </row>
    <row r="222" spans="1:115" hidden="1" x14ac:dyDescent="0.2">
      <c r="A222" s="28"/>
      <c r="B222" s="29"/>
      <c r="C222" s="29" t="s">
        <v>2760</v>
      </c>
      <c r="D222" s="30" t="s">
        <v>2751</v>
      </c>
      <c r="E222" s="30" t="s">
        <v>1321</v>
      </c>
      <c r="F222" s="30"/>
      <c r="G222" s="31"/>
      <c r="H222" s="30">
        <v>391374</v>
      </c>
      <c r="I222" s="30" t="str">
        <f>IF(Table1[[#This Row],[Centre Status]]="Returned","NA",IF(Table1[[#This Row],[SD]]&gt;19000,"Full Payment",IF(Table1[[#This Row],[SD]]&lt;1,"No Payment","Partial Payment")))</f>
        <v>NA</v>
      </c>
      <c r="J222" s="30" t="s">
        <v>1903</v>
      </c>
      <c r="K222" s="32">
        <v>110000</v>
      </c>
      <c r="L222" s="33">
        <f>Q222+R222+U222+Table1[[#This Row],[Farmer Payment]]</f>
        <v>19000</v>
      </c>
      <c r="M222" s="30"/>
      <c r="N222" s="34"/>
      <c r="O222" s="34"/>
      <c r="P222" s="35">
        <f t="shared" si="39"/>
        <v>91000</v>
      </c>
      <c r="Q222" s="33">
        <f>AI222+AV222+CK222+Table1[[#This Row],[FY 25-26]]</f>
        <v>0</v>
      </c>
      <c r="R222" s="36">
        <v>19000</v>
      </c>
      <c r="S222" s="37" t="s">
        <v>2755</v>
      </c>
      <c r="T222" s="38">
        <v>45508</v>
      </c>
      <c r="U222" s="39"/>
      <c r="V222" s="39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1">
        <f t="shared" si="40"/>
        <v>0</v>
      </c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>
        <f t="shared" si="41"/>
        <v>0</v>
      </c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>
        <v>0</v>
      </c>
      <c r="BJ222" s="42"/>
      <c r="BK222" s="42"/>
      <c r="BL222" s="42">
        <v>0</v>
      </c>
      <c r="BM222" s="42">
        <v>0</v>
      </c>
      <c r="BN222" s="42">
        <v>0</v>
      </c>
      <c r="BO222" s="42">
        <v>0</v>
      </c>
      <c r="BP222" s="42">
        <v>0</v>
      </c>
      <c r="BQ222" s="42">
        <v>0</v>
      </c>
      <c r="BR222" s="42">
        <v>0</v>
      </c>
      <c r="BS222" s="42">
        <v>0</v>
      </c>
      <c r="BT222" s="42">
        <v>0</v>
      </c>
      <c r="BU222" s="42">
        <v>0</v>
      </c>
      <c r="BV222" s="42">
        <v>0</v>
      </c>
      <c r="BW222" s="42">
        <v>0</v>
      </c>
      <c r="BX222" s="42">
        <v>0</v>
      </c>
      <c r="BY222" s="42">
        <v>0</v>
      </c>
      <c r="BZ222" s="42">
        <v>0</v>
      </c>
      <c r="CA222" s="42">
        <v>0</v>
      </c>
      <c r="CB222" s="42">
        <v>0</v>
      </c>
      <c r="CC222" s="42">
        <v>0</v>
      </c>
      <c r="CD222" s="42">
        <v>0</v>
      </c>
      <c r="CE222" s="42">
        <v>0</v>
      </c>
      <c r="CF222" s="42">
        <v>0</v>
      </c>
      <c r="CG222" s="42">
        <v>0</v>
      </c>
      <c r="CH222" s="42">
        <v>0</v>
      </c>
      <c r="CI222" s="42">
        <v>0</v>
      </c>
      <c r="CJ222" s="42">
        <v>0</v>
      </c>
      <c r="CK222" s="43">
        <f t="shared" si="42"/>
        <v>0</v>
      </c>
      <c r="CL222" s="66"/>
      <c r="CM222" s="66">
        <v>0</v>
      </c>
      <c r="CN222" s="66">
        <v>0</v>
      </c>
      <c r="CO222" s="66">
        <v>0</v>
      </c>
      <c r="CP222" s="66">
        <v>0</v>
      </c>
      <c r="CQ222" s="66">
        <v>0</v>
      </c>
      <c r="CR222" s="66">
        <v>0</v>
      </c>
      <c r="CS222" s="66">
        <v>0</v>
      </c>
      <c r="CT222" s="66">
        <v>0</v>
      </c>
      <c r="CU222" s="66">
        <v>0</v>
      </c>
      <c r="CV222" s="66">
        <v>0</v>
      </c>
      <c r="CW222" s="66">
        <v>0</v>
      </c>
      <c r="CX222" s="66">
        <v>0</v>
      </c>
      <c r="CY222" s="66">
        <v>0</v>
      </c>
      <c r="CZ222" s="66">
        <v>0</v>
      </c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>
        <f>SUM(Table1[[#This Row],[01-03 Apr]:[Mar-26]])</f>
        <v>0</v>
      </c>
    </row>
    <row r="223" spans="1:115" x14ac:dyDescent="0.2">
      <c r="A223" s="28"/>
      <c r="B223" s="29"/>
      <c r="C223" s="29" t="s">
        <v>2718</v>
      </c>
      <c r="D223" s="30" t="s">
        <v>2719</v>
      </c>
      <c r="E223" s="30" t="s">
        <v>297</v>
      </c>
      <c r="F223" s="30"/>
      <c r="G223" s="31"/>
      <c r="H223" s="30">
        <v>383999</v>
      </c>
      <c r="I223" s="30" t="str">
        <f>IF(Table1[[#This Row],[Centre Status]]="Returned","NA",IF(Table1[[#This Row],[SD]]&gt;19000,"Full Payment",IF(Table1[[#This Row],[SD]]&lt;1,"No Payment","Partial Payment")))</f>
        <v>Partial Payment</v>
      </c>
      <c r="J223" s="30" t="s">
        <v>58</v>
      </c>
      <c r="K223" s="32">
        <v>110000</v>
      </c>
      <c r="L223" s="33">
        <f>Q223+R223+U223+Table1[[#This Row],[Farmer Payment]]</f>
        <v>28023.283283302415</v>
      </c>
      <c r="M223" s="30"/>
      <c r="N223" s="34"/>
      <c r="O223" s="34"/>
      <c r="P223" s="35">
        <f t="shared" si="39"/>
        <v>81976.716716697585</v>
      </c>
      <c r="Q223" s="33">
        <f>AI223+AV223+CK223+Table1[[#This Row],[FY 25-26]]</f>
        <v>13023.283283302417</v>
      </c>
      <c r="R223" s="36">
        <v>15000</v>
      </c>
      <c r="S223" s="37" t="s">
        <v>2720</v>
      </c>
      <c r="T223" s="38">
        <v>45588</v>
      </c>
      <c r="U223" s="39"/>
      <c r="V223" s="39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1">
        <f t="shared" si="40"/>
        <v>0</v>
      </c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>
        <f t="shared" si="41"/>
        <v>0</v>
      </c>
      <c r="AW223" s="42"/>
      <c r="AX223" s="42"/>
      <c r="AY223" s="42"/>
      <c r="AZ223" s="42"/>
      <c r="BA223" s="42"/>
      <c r="BB223" s="42"/>
      <c r="BC223" s="42"/>
      <c r="BD223" s="42"/>
      <c r="BE223" s="42">
        <v>0</v>
      </c>
      <c r="BF223" s="42"/>
      <c r="BG223" s="42"/>
      <c r="BH223" s="42"/>
      <c r="BI223" s="42">
        <v>0</v>
      </c>
      <c r="BJ223" s="42">
        <v>0</v>
      </c>
      <c r="BK223" s="42">
        <v>0</v>
      </c>
      <c r="BL223" s="42">
        <v>0</v>
      </c>
      <c r="BM223" s="42">
        <v>0</v>
      </c>
      <c r="BN223" s="42">
        <v>183</v>
      </c>
      <c r="BO223" s="42">
        <v>500</v>
      </c>
      <c r="BP223" s="42">
        <v>0</v>
      </c>
      <c r="BQ223" s="42">
        <v>0</v>
      </c>
      <c r="BR223" s="42">
        <v>500</v>
      </c>
      <c r="BS223" s="42">
        <v>861</v>
      </c>
      <c r="BT223" s="42">
        <v>0</v>
      </c>
      <c r="BU223" s="42">
        <v>0</v>
      </c>
      <c r="BV223" s="42">
        <v>0</v>
      </c>
      <c r="BW223" s="42">
        <v>0</v>
      </c>
      <c r="BX223" s="42">
        <v>0</v>
      </c>
      <c r="BY223" s="42">
        <v>3086.1544691119902</v>
      </c>
      <c r="BZ223" s="42">
        <v>0</v>
      </c>
      <c r="CA223" s="42">
        <v>0</v>
      </c>
      <c r="CB223" s="42">
        <v>0</v>
      </c>
      <c r="CC223" s="42">
        <v>0</v>
      </c>
      <c r="CD223" s="42">
        <v>3410.1288141904265</v>
      </c>
      <c r="CE223" s="42">
        <v>0</v>
      </c>
      <c r="CF223" s="42">
        <v>0</v>
      </c>
      <c r="CG223" s="42">
        <v>0</v>
      </c>
      <c r="CH223" s="42">
        <v>0</v>
      </c>
      <c r="CI223" s="42">
        <v>0</v>
      </c>
      <c r="CJ223" s="42">
        <v>1861</v>
      </c>
      <c r="CK223" s="43">
        <f t="shared" si="42"/>
        <v>10401.283283302417</v>
      </c>
      <c r="CL223" s="66"/>
      <c r="CM223" s="66">
        <v>0</v>
      </c>
      <c r="CN223" s="66">
        <v>0</v>
      </c>
      <c r="CO223" s="66">
        <v>0</v>
      </c>
      <c r="CP223" s="66">
        <v>761</v>
      </c>
      <c r="CQ223" s="66">
        <v>0</v>
      </c>
      <c r="CR223" s="66">
        <v>0</v>
      </c>
      <c r="CS223" s="66">
        <v>0</v>
      </c>
      <c r="CT223" s="66">
        <v>0</v>
      </c>
      <c r="CU223" s="66">
        <v>0</v>
      </c>
      <c r="CV223" s="66">
        <v>1861</v>
      </c>
      <c r="CW223" s="66">
        <v>0</v>
      </c>
      <c r="CX223" s="66">
        <v>0</v>
      </c>
      <c r="CY223" s="66">
        <v>0</v>
      </c>
      <c r="CZ223" s="66">
        <v>0</v>
      </c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>
        <f>SUM(Table1[[#This Row],[01-03 Apr]:[Mar-26]])</f>
        <v>2622</v>
      </c>
    </row>
    <row r="224" spans="1:115" hidden="1" x14ac:dyDescent="0.2">
      <c r="A224" s="28"/>
      <c r="B224" s="29"/>
      <c r="C224" s="29" t="s">
        <v>2824</v>
      </c>
      <c r="D224" s="30" t="s">
        <v>2683</v>
      </c>
      <c r="E224" s="30" t="s">
        <v>1321</v>
      </c>
      <c r="F224" s="30"/>
      <c r="G224" s="31">
        <v>45573</v>
      </c>
      <c r="H224" s="30"/>
      <c r="I224" s="30" t="str">
        <f>IF(Table1[[#This Row],[Centre Status]]="Returned","NA",IF(Table1[[#This Row],[SD]]&gt;19000,"Full Payment",IF(Table1[[#This Row],[SD]]&lt;1,"No Payment","Partial Payment")))</f>
        <v>Full Payment</v>
      </c>
      <c r="J224" s="30" t="s">
        <v>58</v>
      </c>
      <c r="K224" s="32">
        <v>110000</v>
      </c>
      <c r="L224" s="33">
        <f>Q224+R224+U224+Table1[[#This Row],[Farmer Payment]]</f>
        <v>27561</v>
      </c>
      <c r="M224" s="30"/>
      <c r="N224" s="34"/>
      <c r="O224" s="34"/>
      <c r="P224" s="35">
        <f t="shared" si="39"/>
        <v>82439</v>
      </c>
      <c r="Q224" s="33">
        <f>AI224+AV224+CK224+Table1[[#This Row],[FY 25-26]]</f>
        <v>7561</v>
      </c>
      <c r="R224" s="36">
        <v>20000</v>
      </c>
      <c r="S224" s="37" t="s">
        <v>2686</v>
      </c>
      <c r="T224" s="38">
        <v>45561</v>
      </c>
      <c r="U224" s="39"/>
      <c r="V224" s="39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1">
        <f t="shared" si="40"/>
        <v>0</v>
      </c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>
        <f t="shared" si="41"/>
        <v>0</v>
      </c>
      <c r="AW224" s="42"/>
      <c r="AX224" s="42"/>
      <c r="AY224" s="42"/>
      <c r="AZ224" s="42"/>
      <c r="BA224" s="42"/>
      <c r="BB224" s="42"/>
      <c r="BC224" s="42">
        <v>0</v>
      </c>
      <c r="BD224" s="42">
        <v>0</v>
      </c>
      <c r="BE224" s="42">
        <v>0</v>
      </c>
      <c r="BF224" s="42">
        <v>0</v>
      </c>
      <c r="BG224" s="42">
        <v>0</v>
      </c>
      <c r="BH224" s="42">
        <v>0</v>
      </c>
      <c r="BI224" s="42">
        <v>0</v>
      </c>
      <c r="BJ224" s="42">
        <v>0</v>
      </c>
      <c r="BK224" s="42">
        <v>0</v>
      </c>
      <c r="BL224" s="42">
        <v>0</v>
      </c>
      <c r="BM224" s="42">
        <v>0</v>
      </c>
      <c r="BN224" s="42">
        <v>1738</v>
      </c>
      <c r="BO224" s="42">
        <v>0</v>
      </c>
      <c r="BP224" s="42">
        <v>0</v>
      </c>
      <c r="BQ224" s="42">
        <v>0</v>
      </c>
      <c r="BR224" s="42">
        <v>0</v>
      </c>
      <c r="BS224" s="42">
        <v>1861</v>
      </c>
      <c r="BT224" s="42">
        <v>0</v>
      </c>
      <c r="BU224" s="42">
        <v>0</v>
      </c>
      <c r="BV224" s="42">
        <v>0</v>
      </c>
      <c r="BW224" s="42">
        <v>0</v>
      </c>
      <c r="BX224" s="42">
        <v>0</v>
      </c>
      <c r="BY224" s="42">
        <v>1861</v>
      </c>
      <c r="BZ224" s="42">
        <v>0</v>
      </c>
      <c r="CA224" s="42">
        <v>0</v>
      </c>
      <c r="CB224" s="42">
        <v>0</v>
      </c>
      <c r="CC224" s="42">
        <v>0</v>
      </c>
      <c r="CD224" s="42">
        <v>1706</v>
      </c>
      <c r="CE224" s="42">
        <v>0</v>
      </c>
      <c r="CF224" s="42">
        <v>0</v>
      </c>
      <c r="CG224" s="42">
        <v>0</v>
      </c>
      <c r="CH224" s="42">
        <v>0</v>
      </c>
      <c r="CI224" s="42">
        <v>0</v>
      </c>
      <c r="CJ224" s="42">
        <v>395</v>
      </c>
      <c r="CK224" s="43">
        <f t="shared" si="42"/>
        <v>7561</v>
      </c>
      <c r="CL224" s="66"/>
      <c r="CM224" s="66">
        <v>0</v>
      </c>
      <c r="CN224" s="66">
        <v>0</v>
      </c>
      <c r="CO224" s="66">
        <v>0</v>
      </c>
      <c r="CP224" s="66">
        <v>0</v>
      </c>
      <c r="CQ224" s="66">
        <v>0</v>
      </c>
      <c r="CR224" s="66">
        <v>0</v>
      </c>
      <c r="CS224" s="66">
        <v>0</v>
      </c>
      <c r="CT224" s="66">
        <v>0</v>
      </c>
      <c r="CU224" s="66">
        <v>0</v>
      </c>
      <c r="CV224" s="66">
        <v>0</v>
      </c>
      <c r="CW224" s="66">
        <v>0</v>
      </c>
      <c r="CX224" s="66">
        <v>0</v>
      </c>
      <c r="CY224" s="66">
        <v>0</v>
      </c>
      <c r="CZ224" s="66">
        <v>0</v>
      </c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>
        <f>SUM(Table1[[#This Row],[01-03 Apr]:[Mar-26]])</f>
        <v>0</v>
      </c>
    </row>
    <row r="225" spans="1:115" hidden="1" x14ac:dyDescent="0.2">
      <c r="A225" s="28"/>
      <c r="B225" s="29"/>
      <c r="C225" s="29" t="s">
        <v>2823</v>
      </c>
      <c r="D225" s="30" t="s">
        <v>2684</v>
      </c>
      <c r="E225" s="30" t="s">
        <v>63</v>
      </c>
      <c r="F225" s="30"/>
      <c r="G225" s="31">
        <v>45573</v>
      </c>
      <c r="H225" s="30"/>
      <c r="I225" s="30" t="str">
        <f>IF(Table1[[#This Row],[Centre Status]]="Returned","NA",IF(Table1[[#This Row],[SD]]&gt;19000,"Full Payment",IF(Table1[[#This Row],[SD]]&lt;1,"No Payment","Partial Payment")))</f>
        <v>Full Payment</v>
      </c>
      <c r="J225" s="30" t="s">
        <v>58</v>
      </c>
      <c r="K225" s="32">
        <v>110000</v>
      </c>
      <c r="L225" s="33">
        <f>Q225+R225+U225+Table1[[#This Row],[Farmer Payment]]</f>
        <v>39310.717610932334</v>
      </c>
      <c r="M225" s="30"/>
      <c r="N225" s="34"/>
      <c r="O225" s="34"/>
      <c r="P225" s="35">
        <f t="shared" si="39"/>
        <v>70689.282389067666</v>
      </c>
      <c r="Q225" s="33">
        <f>AI225+AV225+CK225+Table1[[#This Row],[FY 25-26]]</f>
        <v>19310.717610932334</v>
      </c>
      <c r="R225" s="36">
        <v>20000</v>
      </c>
      <c r="S225" s="37" t="s">
        <v>2687</v>
      </c>
      <c r="T225" s="38">
        <v>45554</v>
      </c>
      <c r="U225" s="39"/>
      <c r="V225" s="39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1">
        <f t="shared" si="40"/>
        <v>0</v>
      </c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>
        <f t="shared" si="41"/>
        <v>0</v>
      </c>
      <c r="AW225" s="42"/>
      <c r="AX225" s="42"/>
      <c r="AY225" s="42"/>
      <c r="AZ225" s="42"/>
      <c r="BA225" s="42"/>
      <c r="BB225" s="42"/>
      <c r="BC225" s="42">
        <v>0</v>
      </c>
      <c r="BD225" s="42">
        <v>0</v>
      </c>
      <c r="BE225" s="42">
        <v>0</v>
      </c>
      <c r="BF225" s="42">
        <v>0</v>
      </c>
      <c r="BG225" s="42">
        <v>0</v>
      </c>
      <c r="BH225" s="42">
        <v>0</v>
      </c>
      <c r="BI225" s="42">
        <v>0</v>
      </c>
      <c r="BJ225" s="42">
        <v>0</v>
      </c>
      <c r="BK225" s="42">
        <v>0</v>
      </c>
      <c r="BL225" s="42">
        <v>0</v>
      </c>
      <c r="BM225" s="42">
        <v>0</v>
      </c>
      <c r="BN225" s="42">
        <v>985</v>
      </c>
      <c r="BO225" s="42">
        <v>0</v>
      </c>
      <c r="BP225" s="42">
        <v>500</v>
      </c>
      <c r="BQ225" s="42">
        <v>0</v>
      </c>
      <c r="BR225" s="42">
        <v>500</v>
      </c>
      <c r="BS225" s="42">
        <v>1195.1222093311999</v>
      </c>
      <c r="BT225" s="42">
        <v>0</v>
      </c>
      <c r="BU225" s="42">
        <v>0</v>
      </c>
      <c r="BV225" s="42">
        <v>0</v>
      </c>
      <c r="BW225" s="42">
        <v>0</v>
      </c>
      <c r="BX225" s="42">
        <v>0</v>
      </c>
      <c r="BY225" s="42">
        <v>2667.4620442368005</v>
      </c>
      <c r="BZ225" s="42">
        <v>0</v>
      </c>
      <c r="CA225" s="42">
        <v>0</v>
      </c>
      <c r="CB225" s="42">
        <v>0</v>
      </c>
      <c r="CC225" s="42">
        <v>0</v>
      </c>
      <c r="CD225" s="42">
        <v>3654.1522492416002</v>
      </c>
      <c r="CE225" s="42">
        <v>0</v>
      </c>
      <c r="CF225" s="42">
        <v>0</v>
      </c>
      <c r="CG225" s="42">
        <v>0</v>
      </c>
      <c r="CH225" s="42">
        <v>0</v>
      </c>
      <c r="CI225" s="42">
        <v>0</v>
      </c>
      <c r="CJ225" s="42">
        <v>3635.6702098589985</v>
      </c>
      <c r="CK225" s="43">
        <f t="shared" si="42"/>
        <v>13137.406712668599</v>
      </c>
      <c r="CL225" s="66"/>
      <c r="CM225" s="66">
        <v>0</v>
      </c>
      <c r="CN225" s="66">
        <v>0</v>
      </c>
      <c r="CO225" s="66">
        <v>0</v>
      </c>
      <c r="CP225" s="66">
        <v>3156.1805498089307</v>
      </c>
      <c r="CQ225" s="66">
        <v>0</v>
      </c>
      <c r="CR225" s="66">
        <v>0</v>
      </c>
      <c r="CS225" s="66">
        <v>0</v>
      </c>
      <c r="CT225" s="66">
        <v>0</v>
      </c>
      <c r="CU225" s="66">
        <v>0</v>
      </c>
      <c r="CV225" s="66">
        <v>3017.1303484548025</v>
      </c>
      <c r="CW225" s="66">
        <v>0</v>
      </c>
      <c r="CX225" s="66">
        <v>0</v>
      </c>
      <c r="CY225" s="66">
        <v>0</v>
      </c>
      <c r="CZ225" s="66">
        <v>0</v>
      </c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>
        <f>SUM(Table1[[#This Row],[01-03 Apr]:[Mar-26]])</f>
        <v>6173.3108982637332</v>
      </c>
    </row>
    <row r="226" spans="1:115" hidden="1" x14ac:dyDescent="0.2">
      <c r="A226" s="28"/>
      <c r="B226" s="29"/>
      <c r="C226" s="29" t="s">
        <v>2762</v>
      </c>
      <c r="D226" s="30" t="s">
        <v>2698</v>
      </c>
      <c r="E226" s="30" t="s">
        <v>906</v>
      </c>
      <c r="F226" s="30"/>
      <c r="G226" s="31"/>
      <c r="H226" s="30">
        <v>2328248</v>
      </c>
      <c r="I226" s="30" t="str">
        <f>IF(Table1[[#This Row],[Centre Status]]="Returned","NA",IF(Table1[[#This Row],[SD]]&gt;19000,"Full Payment",IF(Table1[[#This Row],[SD]]&lt;1,"No Payment","Partial Payment")))</f>
        <v>Full Payment</v>
      </c>
      <c r="J226" s="30" t="s">
        <v>58</v>
      </c>
      <c r="K226" s="32">
        <v>110000</v>
      </c>
      <c r="L226" s="33">
        <f>Q226+R226+U226+Table1[[#This Row],[Farmer Payment]]</f>
        <v>27260</v>
      </c>
      <c r="M226" s="30"/>
      <c r="N226" s="34"/>
      <c r="O226" s="34"/>
      <c r="P226" s="35">
        <f t="shared" si="39"/>
        <v>82740</v>
      </c>
      <c r="Q226" s="33">
        <f>AI226+AV226+CK226+Table1[[#This Row],[FY 25-26]]</f>
        <v>7260</v>
      </c>
      <c r="R226" s="36">
        <v>20000</v>
      </c>
      <c r="S226" s="37" t="s">
        <v>2701</v>
      </c>
      <c r="T226" s="38">
        <v>45562</v>
      </c>
      <c r="U226" s="39"/>
      <c r="V226" s="39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1">
        <f t="shared" si="40"/>
        <v>0</v>
      </c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>
        <f t="shared" si="41"/>
        <v>0</v>
      </c>
      <c r="AW226" s="42"/>
      <c r="AX226" s="42"/>
      <c r="AY226" s="42"/>
      <c r="AZ226" s="42"/>
      <c r="BA226" s="42"/>
      <c r="BB226" s="42"/>
      <c r="BC226" s="42">
        <v>0</v>
      </c>
      <c r="BD226" s="42"/>
      <c r="BE226" s="42">
        <v>0</v>
      </c>
      <c r="BF226" s="42">
        <v>0</v>
      </c>
      <c r="BG226" s="42">
        <v>0</v>
      </c>
      <c r="BH226" s="42">
        <v>0</v>
      </c>
      <c r="BI226" s="42">
        <v>267</v>
      </c>
      <c r="BJ226" s="42">
        <v>0</v>
      </c>
      <c r="BK226" s="42">
        <v>0</v>
      </c>
      <c r="BL226" s="42">
        <v>500</v>
      </c>
      <c r="BM226" s="42">
        <v>500</v>
      </c>
      <c r="BN226" s="42">
        <v>861</v>
      </c>
      <c r="BO226" s="42">
        <v>0</v>
      </c>
      <c r="BP226" s="42">
        <v>0</v>
      </c>
      <c r="BQ226" s="42">
        <v>0</v>
      </c>
      <c r="BR226" s="42">
        <v>0</v>
      </c>
      <c r="BS226" s="42">
        <v>1861</v>
      </c>
      <c r="BT226" s="42">
        <v>0</v>
      </c>
      <c r="BU226" s="42">
        <v>0</v>
      </c>
      <c r="BV226" s="42">
        <v>0</v>
      </c>
      <c r="BW226" s="42">
        <v>0</v>
      </c>
      <c r="BX226" s="42">
        <v>0</v>
      </c>
      <c r="BY226" s="42">
        <v>1861</v>
      </c>
      <c r="BZ226" s="42">
        <v>0</v>
      </c>
      <c r="CA226" s="42">
        <v>0</v>
      </c>
      <c r="CB226" s="42">
        <v>0</v>
      </c>
      <c r="CC226" s="42">
        <v>0</v>
      </c>
      <c r="CD226" s="42">
        <v>1410</v>
      </c>
      <c r="CE226" s="42">
        <v>0</v>
      </c>
      <c r="CF226" s="42">
        <v>0</v>
      </c>
      <c r="CG226" s="42">
        <v>0</v>
      </c>
      <c r="CH226" s="42">
        <v>0</v>
      </c>
      <c r="CI226" s="42">
        <v>0</v>
      </c>
      <c r="CJ226" s="42">
        <v>0</v>
      </c>
      <c r="CK226" s="43">
        <f t="shared" si="42"/>
        <v>7260</v>
      </c>
      <c r="CL226" s="66"/>
      <c r="CM226" s="66">
        <v>0</v>
      </c>
      <c r="CN226" s="66">
        <v>0</v>
      </c>
      <c r="CO226" s="66">
        <v>0</v>
      </c>
      <c r="CP226" s="66">
        <v>0</v>
      </c>
      <c r="CQ226" s="66">
        <v>0</v>
      </c>
      <c r="CR226" s="66">
        <v>0</v>
      </c>
      <c r="CS226" s="66">
        <v>0</v>
      </c>
      <c r="CT226" s="66">
        <v>0</v>
      </c>
      <c r="CU226" s="66">
        <v>0</v>
      </c>
      <c r="CV226" s="66">
        <v>0</v>
      </c>
      <c r="CW226" s="66">
        <v>0</v>
      </c>
      <c r="CX226" s="66">
        <v>0</v>
      </c>
      <c r="CY226" s="66">
        <v>0</v>
      </c>
      <c r="CZ226" s="66">
        <v>0</v>
      </c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>
        <f>SUM(Table1[[#This Row],[01-03 Apr]:[Mar-26]])</f>
        <v>0</v>
      </c>
    </row>
    <row r="227" spans="1:115" hidden="1" x14ac:dyDescent="0.2">
      <c r="A227" s="28"/>
      <c r="B227" s="29"/>
      <c r="C227" s="29" t="s">
        <v>2825</v>
      </c>
      <c r="D227" s="30" t="s">
        <v>2699</v>
      </c>
      <c r="E227" s="30" t="s">
        <v>943</v>
      </c>
      <c r="F227" s="30"/>
      <c r="G227" s="31"/>
      <c r="H227" s="30">
        <v>193329</v>
      </c>
      <c r="I227" s="30" t="str">
        <f>IF(Table1[[#This Row],[Centre Status]]="Returned","NA",IF(Table1[[#This Row],[SD]]&gt;19000,"Full Payment",IF(Table1[[#This Row],[SD]]&lt;1,"No Payment","Partial Payment")))</f>
        <v>NA</v>
      </c>
      <c r="J227" s="30" t="s">
        <v>1903</v>
      </c>
      <c r="K227" s="32">
        <v>110000</v>
      </c>
      <c r="L227" s="33">
        <f>Q227+R227+U227+Table1[[#This Row],[Farmer Payment]]</f>
        <v>20398</v>
      </c>
      <c r="M227" s="30">
        <v>20000</v>
      </c>
      <c r="N227" s="34">
        <v>45813</v>
      </c>
      <c r="O227" s="34" t="s">
        <v>3487</v>
      </c>
      <c r="P227" s="35">
        <f t="shared" si="39"/>
        <v>109602</v>
      </c>
      <c r="Q227" s="33">
        <f>AI227+AV227+CK227+Table1[[#This Row],[FY 25-26]]</f>
        <v>398</v>
      </c>
      <c r="R227" s="36">
        <v>20000</v>
      </c>
      <c r="S227" s="37" t="s">
        <v>2700</v>
      </c>
      <c r="T227" s="38">
        <v>45563</v>
      </c>
      <c r="U227" s="39"/>
      <c r="V227" s="39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1">
        <f t="shared" si="40"/>
        <v>0</v>
      </c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>
        <f t="shared" si="41"/>
        <v>0</v>
      </c>
      <c r="AW227" s="42"/>
      <c r="AX227" s="42"/>
      <c r="AY227" s="42"/>
      <c r="AZ227" s="42"/>
      <c r="BA227" s="42"/>
      <c r="BB227" s="42"/>
      <c r="BC227" s="42">
        <v>0</v>
      </c>
      <c r="BD227" s="42"/>
      <c r="BE227" s="42">
        <v>0</v>
      </c>
      <c r="BF227" s="42">
        <v>0</v>
      </c>
      <c r="BG227" s="42">
        <v>0</v>
      </c>
      <c r="BH227" s="42">
        <v>0</v>
      </c>
      <c r="BI227" s="42">
        <v>0</v>
      </c>
      <c r="BJ227" s="42">
        <v>0</v>
      </c>
      <c r="BK227" s="42">
        <v>0</v>
      </c>
      <c r="BL227" s="42">
        <v>0</v>
      </c>
      <c r="BM227" s="42">
        <v>0</v>
      </c>
      <c r="BN227" s="42">
        <v>0</v>
      </c>
      <c r="BO227" s="42">
        <v>0</v>
      </c>
      <c r="BP227" s="42">
        <v>0</v>
      </c>
      <c r="BQ227" s="42">
        <v>0</v>
      </c>
      <c r="BR227" s="42">
        <v>0</v>
      </c>
      <c r="BS227" s="42">
        <v>398</v>
      </c>
      <c r="BT227" s="42">
        <v>0</v>
      </c>
      <c r="BU227" s="42">
        <v>0</v>
      </c>
      <c r="BV227" s="42">
        <v>0</v>
      </c>
      <c r="BW227" s="42">
        <v>0</v>
      </c>
      <c r="BX227" s="42">
        <v>0</v>
      </c>
      <c r="BY227" s="42">
        <v>0</v>
      </c>
      <c r="BZ227" s="42">
        <v>0</v>
      </c>
      <c r="CA227" s="42">
        <v>0</v>
      </c>
      <c r="CB227" s="42">
        <v>0</v>
      </c>
      <c r="CC227" s="42">
        <v>0</v>
      </c>
      <c r="CD227" s="42">
        <v>0</v>
      </c>
      <c r="CE227" s="42">
        <v>0</v>
      </c>
      <c r="CF227" s="42">
        <v>0</v>
      </c>
      <c r="CG227" s="42">
        <v>0</v>
      </c>
      <c r="CH227" s="42">
        <v>0</v>
      </c>
      <c r="CI227" s="42">
        <v>0</v>
      </c>
      <c r="CJ227" s="42">
        <v>0</v>
      </c>
      <c r="CK227" s="43">
        <f t="shared" si="42"/>
        <v>398</v>
      </c>
      <c r="CL227" s="66"/>
      <c r="CM227" s="66">
        <v>0</v>
      </c>
      <c r="CN227" s="66">
        <v>0</v>
      </c>
      <c r="CO227" s="66">
        <v>0</v>
      </c>
      <c r="CP227" s="66">
        <v>0</v>
      </c>
      <c r="CQ227" s="66">
        <v>0</v>
      </c>
      <c r="CR227" s="66">
        <v>0</v>
      </c>
      <c r="CS227" s="66">
        <v>0</v>
      </c>
      <c r="CT227" s="66">
        <v>0</v>
      </c>
      <c r="CU227" s="66">
        <v>0</v>
      </c>
      <c r="CV227" s="66">
        <v>0</v>
      </c>
      <c r="CW227" s="66">
        <v>0</v>
      </c>
      <c r="CX227" s="66">
        <v>0</v>
      </c>
      <c r="CY227" s="66">
        <v>0</v>
      </c>
      <c r="CZ227" s="66">
        <v>0</v>
      </c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>
        <f>SUM(Table1[[#This Row],[01-03 Apr]:[Mar-26]])</f>
        <v>0</v>
      </c>
    </row>
    <row r="228" spans="1:115" hidden="1" x14ac:dyDescent="0.2">
      <c r="A228" s="28"/>
      <c r="B228" s="29"/>
      <c r="C228" s="29" t="s">
        <v>2714</v>
      </c>
      <c r="D228" s="30" t="s">
        <v>2715</v>
      </c>
      <c r="E228" s="30" t="s">
        <v>203</v>
      </c>
      <c r="F228" s="30"/>
      <c r="G228" s="31"/>
      <c r="H228" s="30">
        <v>385572</v>
      </c>
      <c r="I228" s="30" t="str">
        <f>IF(Table1[[#This Row],[Centre Status]]="Returned","NA",IF(Table1[[#This Row],[SD]]&gt;19000,"Full Payment",IF(Table1[[#This Row],[SD]]&lt;1,"No Payment","Partial Payment")))</f>
        <v>Full Payment</v>
      </c>
      <c r="J228" s="30" t="s">
        <v>58</v>
      </c>
      <c r="K228" s="32">
        <v>110000</v>
      </c>
      <c r="L228" s="33">
        <f>Q228+R228+U228+Table1[[#This Row],[Farmer Payment]]</f>
        <v>28295</v>
      </c>
      <c r="M228" s="30"/>
      <c r="N228" s="34"/>
      <c r="O228" s="34"/>
      <c r="P228" s="35">
        <f t="shared" si="39"/>
        <v>81705</v>
      </c>
      <c r="Q228" s="33">
        <f>AI228+AV228+CK228+Table1[[#This Row],[FY 25-26]]</f>
        <v>8295</v>
      </c>
      <c r="R228" s="36">
        <v>20000</v>
      </c>
      <c r="S228" s="37" t="s">
        <v>2716</v>
      </c>
      <c r="T228" s="38">
        <v>45588</v>
      </c>
      <c r="U228" s="39"/>
      <c r="V228" s="39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1">
        <f t="shared" si="40"/>
        <v>0</v>
      </c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>
        <f t="shared" si="41"/>
        <v>0</v>
      </c>
      <c r="AW228" s="42"/>
      <c r="AX228" s="42"/>
      <c r="AY228" s="42"/>
      <c r="AZ228" s="42"/>
      <c r="BA228" s="42"/>
      <c r="BB228" s="42"/>
      <c r="BC228" s="42"/>
      <c r="BD228" s="42"/>
      <c r="BE228" s="42">
        <v>0</v>
      </c>
      <c r="BF228" s="42"/>
      <c r="BG228" s="42"/>
      <c r="BH228" s="42">
        <v>0</v>
      </c>
      <c r="BI228" s="42">
        <v>0</v>
      </c>
      <c r="BJ228" s="42">
        <v>0</v>
      </c>
      <c r="BK228" s="42">
        <v>0</v>
      </c>
      <c r="BL228" s="42">
        <v>0</v>
      </c>
      <c r="BM228" s="42">
        <v>0</v>
      </c>
      <c r="BN228" s="42">
        <v>0</v>
      </c>
      <c r="BO228" s="42">
        <v>0</v>
      </c>
      <c r="BP228" s="42">
        <v>0</v>
      </c>
      <c r="BQ228" s="42">
        <v>0</v>
      </c>
      <c r="BR228" s="42">
        <v>0</v>
      </c>
      <c r="BS228" s="42">
        <v>649</v>
      </c>
      <c r="BT228" s="42">
        <v>0</v>
      </c>
      <c r="BU228" s="42">
        <v>0</v>
      </c>
      <c r="BV228" s="42">
        <v>0</v>
      </c>
      <c r="BW228" s="42">
        <v>0</v>
      </c>
      <c r="BX228" s="42">
        <v>0</v>
      </c>
      <c r="BY228" s="42">
        <v>0</v>
      </c>
      <c r="BZ228" s="42">
        <v>0</v>
      </c>
      <c r="CA228" s="42">
        <v>0</v>
      </c>
      <c r="CB228" s="42">
        <v>0</v>
      </c>
      <c r="CC228" s="42">
        <v>0</v>
      </c>
      <c r="CD228" s="42">
        <v>0</v>
      </c>
      <c r="CE228" s="42">
        <v>0</v>
      </c>
      <c r="CF228" s="42">
        <v>0</v>
      </c>
      <c r="CG228" s="42">
        <v>0</v>
      </c>
      <c r="CH228" s="42">
        <v>0</v>
      </c>
      <c r="CI228" s="42">
        <v>500</v>
      </c>
      <c r="CJ228" s="42">
        <v>1361</v>
      </c>
      <c r="CK228" s="43">
        <f t="shared" si="42"/>
        <v>2510</v>
      </c>
      <c r="CL228" s="66"/>
      <c r="CM228" s="66">
        <v>500</v>
      </c>
      <c r="CN228" s="66">
        <v>500</v>
      </c>
      <c r="CO228" s="66">
        <v>500</v>
      </c>
      <c r="CP228" s="66">
        <v>0</v>
      </c>
      <c r="CQ228" s="66">
        <v>500</v>
      </c>
      <c r="CR228" s="66">
        <v>500</v>
      </c>
      <c r="CS228" s="66">
        <v>500</v>
      </c>
      <c r="CT228" s="66">
        <v>500</v>
      </c>
      <c r="CU228" s="66">
        <v>285</v>
      </c>
      <c r="CV228" s="66">
        <v>0</v>
      </c>
      <c r="CW228" s="66">
        <v>500</v>
      </c>
      <c r="CX228" s="66">
        <v>500</v>
      </c>
      <c r="CY228" s="66">
        <v>500</v>
      </c>
      <c r="CZ228" s="66">
        <v>500</v>
      </c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>
        <f>SUM(Table1[[#This Row],[01-03 Apr]:[Mar-26]])</f>
        <v>5785</v>
      </c>
    </row>
    <row r="229" spans="1:115" hidden="1" x14ac:dyDescent="0.2">
      <c r="A229" s="28"/>
      <c r="B229" s="29"/>
      <c r="C229" s="29" t="s">
        <v>2809</v>
      </c>
      <c r="D229" s="30" t="s">
        <v>1136</v>
      </c>
      <c r="E229" s="30" t="s">
        <v>1321</v>
      </c>
      <c r="F229" s="30"/>
      <c r="G229" s="31"/>
      <c r="H229" s="30">
        <v>277383</v>
      </c>
      <c r="I229" s="30" t="str">
        <f>IF(Table1[[#This Row],[Centre Status]]="Returned","NA",IF(Table1[[#This Row],[SD]]&gt;19000,"Full Payment",IF(Table1[[#This Row],[SD]]&lt;1,"No Payment","Partial Payment")))</f>
        <v>Full Payment</v>
      </c>
      <c r="J229" s="30" t="s">
        <v>58</v>
      </c>
      <c r="K229" s="32">
        <v>110000</v>
      </c>
      <c r="L229" s="33">
        <f>Q229+R229+U229+Table1[[#This Row],[Farmer Payment]]</f>
        <v>34447.008077706996</v>
      </c>
      <c r="M229" s="30"/>
      <c r="N229" s="34"/>
      <c r="O229" s="34"/>
      <c r="P229" s="35">
        <f t="shared" si="39"/>
        <v>75552.991922293004</v>
      </c>
      <c r="Q229" s="33">
        <f>AI229+AV229+CK229+Table1[[#This Row],[FY 25-26]]</f>
        <v>14447.008077706994</v>
      </c>
      <c r="R229" s="36">
        <v>20000</v>
      </c>
      <c r="S229" s="37" t="s">
        <v>2713</v>
      </c>
      <c r="T229" s="38">
        <v>45583</v>
      </c>
      <c r="U229" s="39"/>
      <c r="V229" s="39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1">
        <f t="shared" si="40"/>
        <v>0</v>
      </c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>
        <f t="shared" si="41"/>
        <v>0</v>
      </c>
      <c r="AW229" s="42"/>
      <c r="AX229" s="42"/>
      <c r="AY229" s="42"/>
      <c r="AZ229" s="42"/>
      <c r="BA229" s="42"/>
      <c r="BB229" s="42"/>
      <c r="BC229" s="42"/>
      <c r="BD229" s="42"/>
      <c r="BE229" s="42">
        <v>0</v>
      </c>
      <c r="BF229" s="42"/>
      <c r="BG229" s="42"/>
      <c r="BH229" s="42">
        <v>0</v>
      </c>
      <c r="BI229" s="42">
        <v>0</v>
      </c>
      <c r="BJ229" s="42">
        <v>0</v>
      </c>
      <c r="BK229" s="42">
        <v>0</v>
      </c>
      <c r="BL229" s="42">
        <v>0</v>
      </c>
      <c r="BM229" s="42">
        <v>0</v>
      </c>
      <c r="BN229" s="42">
        <v>841</v>
      </c>
      <c r="BO229" s="42">
        <v>500</v>
      </c>
      <c r="BP229" s="42">
        <v>0</v>
      </c>
      <c r="BQ229" s="42">
        <v>0</v>
      </c>
      <c r="BR229" s="42">
        <v>500</v>
      </c>
      <c r="BS229" s="42">
        <v>1590.072718250658</v>
      </c>
      <c r="BT229" s="42">
        <v>0</v>
      </c>
      <c r="BU229" s="42">
        <v>0</v>
      </c>
      <c r="BV229" s="42">
        <v>0</v>
      </c>
      <c r="BW229" s="42">
        <v>0</v>
      </c>
      <c r="BX229" s="42">
        <v>0</v>
      </c>
      <c r="BY229" s="42">
        <v>1978.3699491993882</v>
      </c>
      <c r="BZ229" s="42">
        <v>0</v>
      </c>
      <c r="CA229" s="42">
        <v>0</v>
      </c>
      <c r="CB229" s="42">
        <v>0</v>
      </c>
      <c r="CC229" s="42">
        <v>0</v>
      </c>
      <c r="CD229" s="42">
        <v>2413.326289299644</v>
      </c>
      <c r="CE229" s="42">
        <v>0</v>
      </c>
      <c r="CF229" s="42">
        <v>0</v>
      </c>
      <c r="CG229" s="42">
        <v>0</v>
      </c>
      <c r="CH229" s="42">
        <v>0</v>
      </c>
      <c r="CI229" s="42">
        <v>0</v>
      </c>
      <c r="CJ229" s="42">
        <v>2587.7170324038007</v>
      </c>
      <c r="CK229" s="43">
        <f t="shared" si="42"/>
        <v>10410.485989153491</v>
      </c>
      <c r="CL229" s="66"/>
      <c r="CM229" s="66">
        <v>0</v>
      </c>
      <c r="CN229" s="66">
        <v>0</v>
      </c>
      <c r="CO229" s="66">
        <v>0</v>
      </c>
      <c r="CP229" s="66">
        <v>2175.5220885535041</v>
      </c>
      <c r="CQ229" s="66">
        <v>0</v>
      </c>
      <c r="CR229" s="66">
        <v>0</v>
      </c>
      <c r="CS229" s="66">
        <v>0</v>
      </c>
      <c r="CT229" s="66">
        <v>0</v>
      </c>
      <c r="CU229" s="66">
        <v>0</v>
      </c>
      <c r="CV229" s="66">
        <v>1861</v>
      </c>
      <c r="CW229" s="66">
        <v>0</v>
      </c>
      <c r="CX229" s="66">
        <v>0</v>
      </c>
      <c r="CY229" s="66">
        <v>0</v>
      </c>
      <c r="CZ229" s="66">
        <v>0</v>
      </c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>
        <f>SUM(Table1[[#This Row],[01-03 Apr]:[Mar-26]])</f>
        <v>4036.5220885535041</v>
      </c>
    </row>
    <row r="230" spans="1:115" x14ac:dyDescent="0.2">
      <c r="A230" s="28"/>
      <c r="B230" s="29"/>
      <c r="C230" s="29" t="s">
        <v>2826</v>
      </c>
      <c r="D230" s="30" t="s">
        <v>2709</v>
      </c>
      <c r="E230" s="30" t="s">
        <v>85</v>
      </c>
      <c r="F230" s="30"/>
      <c r="G230" s="31"/>
      <c r="H230" s="30">
        <v>360242</v>
      </c>
      <c r="I230" s="30" t="str">
        <f>IF(Table1[[#This Row],[Centre Status]]="Returned","NA",IF(Table1[[#This Row],[SD]]&gt;19000,"Full Payment",IF(Table1[[#This Row],[SD]]&lt;1,"No Payment","Partial Payment")))</f>
        <v>Partial Payment</v>
      </c>
      <c r="J230" s="30" t="s">
        <v>58</v>
      </c>
      <c r="K230" s="32">
        <v>110000</v>
      </c>
      <c r="L230" s="33">
        <f>Q230+R230+U230+Table1[[#This Row],[Farmer Payment]]</f>
        <v>26050.119395528367</v>
      </c>
      <c r="M230" s="30"/>
      <c r="N230" s="34"/>
      <c r="O230" s="34"/>
      <c r="P230" s="35">
        <f t="shared" si="39"/>
        <v>83949.880604471633</v>
      </c>
      <c r="Q230" s="33">
        <f>AI230+AV230+CK230+Table1[[#This Row],[FY 25-26]]</f>
        <v>16050.119395528369</v>
      </c>
      <c r="R230" s="36">
        <v>10000</v>
      </c>
      <c r="S230" s="37" t="s">
        <v>2710</v>
      </c>
      <c r="T230" s="38">
        <v>45583</v>
      </c>
      <c r="U230" s="39"/>
      <c r="V230" s="39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1">
        <f t="shared" si="40"/>
        <v>0</v>
      </c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>
        <f t="shared" si="41"/>
        <v>0</v>
      </c>
      <c r="AW230" s="42"/>
      <c r="AX230" s="42"/>
      <c r="AY230" s="42"/>
      <c r="AZ230" s="42"/>
      <c r="BA230" s="42"/>
      <c r="BB230" s="42"/>
      <c r="BC230" s="42"/>
      <c r="BD230" s="42"/>
      <c r="BE230" s="42">
        <v>0</v>
      </c>
      <c r="BF230" s="42">
        <v>0</v>
      </c>
      <c r="BG230" s="42">
        <v>0</v>
      </c>
      <c r="BH230" s="42">
        <v>0</v>
      </c>
      <c r="BI230" s="42">
        <v>0</v>
      </c>
      <c r="BJ230" s="42">
        <v>0</v>
      </c>
      <c r="BK230" s="42">
        <v>0</v>
      </c>
      <c r="BL230" s="42">
        <v>0</v>
      </c>
      <c r="BM230" s="42">
        <v>0</v>
      </c>
      <c r="BN230" s="42">
        <v>929</v>
      </c>
      <c r="BO230" s="42">
        <v>0</v>
      </c>
      <c r="BP230" s="42">
        <v>500</v>
      </c>
      <c r="BQ230" s="42">
        <v>0</v>
      </c>
      <c r="BR230" s="42">
        <v>500</v>
      </c>
      <c r="BS230" s="42">
        <v>959.66263278327006</v>
      </c>
      <c r="BT230" s="42">
        <v>0</v>
      </c>
      <c r="BU230" s="42">
        <v>0</v>
      </c>
      <c r="BV230" s="42">
        <v>0</v>
      </c>
      <c r="BW230" s="42">
        <v>0</v>
      </c>
      <c r="BX230" s="42">
        <v>0</v>
      </c>
      <c r="BY230" s="42">
        <v>2417.65362398976</v>
      </c>
      <c r="BZ230" s="42">
        <v>0</v>
      </c>
      <c r="CA230" s="42">
        <v>0</v>
      </c>
      <c r="CB230" s="42">
        <v>0</v>
      </c>
      <c r="CC230" s="42">
        <v>0</v>
      </c>
      <c r="CD230" s="42">
        <v>2749.0080817732805</v>
      </c>
      <c r="CE230" s="42">
        <v>0</v>
      </c>
      <c r="CF230" s="42">
        <v>0</v>
      </c>
      <c r="CG230" s="42">
        <v>0</v>
      </c>
      <c r="CH230" s="42">
        <v>0</v>
      </c>
      <c r="CI230" s="42">
        <v>0</v>
      </c>
      <c r="CJ230" s="42">
        <v>2832.3050869632002</v>
      </c>
      <c r="CK230" s="43">
        <f t="shared" si="42"/>
        <v>10887.629425509511</v>
      </c>
      <c r="CL230" s="66"/>
      <c r="CM230" s="66">
        <v>0</v>
      </c>
      <c r="CN230" s="66">
        <v>0</v>
      </c>
      <c r="CO230" s="66">
        <v>0</v>
      </c>
      <c r="CP230" s="66">
        <v>3109.6862330919384</v>
      </c>
      <c r="CQ230" s="66">
        <v>0</v>
      </c>
      <c r="CR230" s="66">
        <v>0</v>
      </c>
      <c r="CS230" s="66">
        <v>0</v>
      </c>
      <c r="CT230" s="66">
        <v>0</v>
      </c>
      <c r="CU230" s="66">
        <v>0</v>
      </c>
      <c r="CV230" s="66">
        <v>2052.8037369269191</v>
      </c>
      <c r="CW230" s="66">
        <v>0</v>
      </c>
      <c r="CX230" s="66">
        <v>0</v>
      </c>
      <c r="CY230" s="66">
        <v>0</v>
      </c>
      <c r="CZ230" s="66">
        <v>0</v>
      </c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>
        <f>SUM(Table1[[#This Row],[01-03 Apr]:[Mar-26]])</f>
        <v>5162.489970018858</v>
      </c>
    </row>
    <row r="231" spans="1:115" hidden="1" x14ac:dyDescent="0.2">
      <c r="A231" s="28"/>
      <c r="B231" s="29"/>
      <c r="C231" s="29" t="s">
        <v>2763</v>
      </c>
      <c r="D231" s="30" t="s">
        <v>2702</v>
      </c>
      <c r="E231" s="30" t="s">
        <v>217</v>
      </c>
      <c r="F231" s="30"/>
      <c r="G231" s="31"/>
      <c r="H231" s="30">
        <v>358600</v>
      </c>
      <c r="I231" s="30" t="str">
        <f>IF(Table1[[#This Row],[Centre Status]]="Returned","NA",IF(Table1[[#This Row],[SD]]&gt;19000,"Full Payment",IF(Table1[[#This Row],[SD]]&lt;1,"No Payment","Partial Payment")))</f>
        <v>NA</v>
      </c>
      <c r="J231" s="30" t="s">
        <v>1903</v>
      </c>
      <c r="K231" s="32">
        <v>110000</v>
      </c>
      <c r="L231" s="33">
        <f>Q231+R231+U231+Table1[[#This Row],[Farmer Payment]]</f>
        <v>21226.661642137598</v>
      </c>
      <c r="M231" s="30">
        <v>15000</v>
      </c>
      <c r="N231" s="34">
        <v>45723</v>
      </c>
      <c r="O231" s="34" t="s">
        <v>2696</v>
      </c>
      <c r="P231" s="35">
        <f t="shared" si="39"/>
        <v>103773.33835786241</v>
      </c>
      <c r="Q231" s="33">
        <f>AI231+AV231+CK231+Table1[[#This Row],[FY 25-26]]</f>
        <v>6226.6616421375993</v>
      </c>
      <c r="R231" s="36">
        <v>15000</v>
      </c>
      <c r="S231" s="37" t="s">
        <v>2703</v>
      </c>
      <c r="T231" s="38">
        <v>45530</v>
      </c>
      <c r="U231" s="39"/>
      <c r="V231" s="39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1">
        <f t="shared" si="40"/>
        <v>0</v>
      </c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>
        <f t="shared" si="41"/>
        <v>0</v>
      </c>
      <c r="AW231" s="42"/>
      <c r="AX231" s="42"/>
      <c r="AY231" s="42"/>
      <c r="AZ231" s="42"/>
      <c r="BA231" s="42"/>
      <c r="BB231" s="42"/>
      <c r="BC231" s="42">
        <v>0</v>
      </c>
      <c r="BD231" s="42"/>
      <c r="BE231" s="42">
        <v>0</v>
      </c>
      <c r="BF231" s="42">
        <v>0</v>
      </c>
      <c r="BG231" s="42">
        <v>0</v>
      </c>
      <c r="BH231" s="42">
        <v>0</v>
      </c>
      <c r="BI231" s="42">
        <v>15</v>
      </c>
      <c r="BJ231" s="42">
        <v>0</v>
      </c>
      <c r="BK231" s="42">
        <v>0</v>
      </c>
      <c r="BL231" s="42">
        <v>0</v>
      </c>
      <c r="BM231" s="42">
        <v>0</v>
      </c>
      <c r="BN231" s="42">
        <v>191</v>
      </c>
      <c r="BO231" s="42">
        <v>500</v>
      </c>
      <c r="BP231" s="42">
        <v>0</v>
      </c>
      <c r="BQ231" s="42">
        <v>0</v>
      </c>
      <c r="BR231" s="42">
        <v>0</v>
      </c>
      <c r="BS231" s="42">
        <v>276</v>
      </c>
      <c r="BT231" s="42">
        <v>0</v>
      </c>
      <c r="BU231" s="42">
        <v>0</v>
      </c>
      <c r="BV231" s="42">
        <v>0</v>
      </c>
      <c r="BW231" s="42">
        <v>0</v>
      </c>
      <c r="BX231" s="42">
        <v>0</v>
      </c>
      <c r="BY231" s="42">
        <v>0</v>
      </c>
      <c r="BZ231" s="42">
        <v>0</v>
      </c>
      <c r="CA231" s="42">
        <v>0</v>
      </c>
      <c r="CB231" s="42">
        <v>0</v>
      </c>
      <c r="CC231" s="42">
        <v>0</v>
      </c>
      <c r="CD231" s="42">
        <v>0</v>
      </c>
      <c r="CE231" s="42">
        <v>0</v>
      </c>
      <c r="CF231" s="42">
        <v>0</v>
      </c>
      <c r="CG231" s="42">
        <v>0</v>
      </c>
      <c r="CH231" s="42">
        <v>0</v>
      </c>
      <c r="CI231" s="42">
        <v>0</v>
      </c>
      <c r="CJ231" s="42">
        <v>5244.6616421375993</v>
      </c>
      <c r="CK231" s="43">
        <f t="shared" si="42"/>
        <v>6226.6616421375993</v>
      </c>
      <c r="CL231" s="66"/>
      <c r="CM231" s="66">
        <v>0</v>
      </c>
      <c r="CN231" s="66">
        <v>0</v>
      </c>
      <c r="CO231" s="66">
        <v>0</v>
      </c>
      <c r="CP231" s="66">
        <v>0</v>
      </c>
      <c r="CQ231" s="66">
        <v>0</v>
      </c>
      <c r="CR231" s="66">
        <v>0</v>
      </c>
      <c r="CS231" s="66">
        <v>0</v>
      </c>
      <c r="CT231" s="66">
        <v>0</v>
      </c>
      <c r="CU231" s="66">
        <v>0</v>
      </c>
      <c r="CV231" s="66">
        <v>0</v>
      </c>
      <c r="CW231" s="66">
        <v>0</v>
      </c>
      <c r="CX231" s="66">
        <v>0</v>
      </c>
      <c r="CY231" s="66">
        <v>0</v>
      </c>
      <c r="CZ231" s="66">
        <v>0</v>
      </c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>
        <f>SUM(Table1[[#This Row],[01-03 Apr]:[Mar-26]])</f>
        <v>0</v>
      </c>
    </row>
    <row r="232" spans="1:115" hidden="1" x14ac:dyDescent="0.2">
      <c r="A232" s="28"/>
      <c r="B232" s="29"/>
      <c r="C232" s="29" t="s">
        <v>2662</v>
      </c>
      <c r="D232" s="30" t="s">
        <v>2664</v>
      </c>
      <c r="E232" s="30" t="s">
        <v>85</v>
      </c>
      <c r="F232" s="30"/>
      <c r="G232" s="31">
        <v>45566</v>
      </c>
      <c r="H232" s="30">
        <v>381778</v>
      </c>
      <c r="I232" s="30" t="str">
        <f>IF(Table1[[#This Row],[Centre Status]]="Returned","NA",IF(Table1[[#This Row],[SD]]&gt;19000,"Full Payment",IF(Table1[[#This Row],[SD]]&lt;1,"No Payment","Partial Payment")))</f>
        <v>NA</v>
      </c>
      <c r="J232" s="30" t="s">
        <v>1903</v>
      </c>
      <c r="K232" s="32">
        <v>110000</v>
      </c>
      <c r="L232" s="33">
        <f>Q232+R232+U232+Table1[[#This Row],[Farmer Payment]]</f>
        <v>29087.960132573087</v>
      </c>
      <c r="M232" s="30">
        <v>19887</v>
      </c>
      <c r="N232" s="34">
        <v>45763</v>
      </c>
      <c r="O232" s="34" t="s">
        <v>2425</v>
      </c>
      <c r="P232" s="35">
        <f t="shared" si="39"/>
        <v>100799.03986742691</v>
      </c>
      <c r="Q232" s="33">
        <f>AI232+AV232+CK232+Table1[[#This Row],[FY 25-26]]</f>
        <v>9087.9601325730873</v>
      </c>
      <c r="R232" s="36">
        <v>20000</v>
      </c>
      <c r="S232" s="37" t="s">
        <v>2666</v>
      </c>
      <c r="T232" s="38">
        <v>45563</v>
      </c>
      <c r="U232" s="39"/>
      <c r="V232" s="39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1">
        <f t="shared" si="40"/>
        <v>0</v>
      </c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>
        <f t="shared" si="41"/>
        <v>0</v>
      </c>
      <c r="AW232" s="42"/>
      <c r="AX232" s="42"/>
      <c r="AY232" s="42"/>
      <c r="AZ232" s="42"/>
      <c r="BA232" s="42"/>
      <c r="BB232" s="42">
        <v>0</v>
      </c>
      <c r="BC232" s="42">
        <v>0</v>
      </c>
      <c r="BD232" s="42">
        <v>0</v>
      </c>
      <c r="BE232" s="42">
        <v>0</v>
      </c>
      <c r="BF232" s="42">
        <v>0</v>
      </c>
      <c r="BG232" s="42">
        <v>0</v>
      </c>
      <c r="BH232" s="42">
        <v>0</v>
      </c>
      <c r="BI232" s="42">
        <v>1511</v>
      </c>
      <c r="BJ232" s="42">
        <v>0</v>
      </c>
      <c r="BK232" s="42">
        <v>0</v>
      </c>
      <c r="BL232" s="42">
        <v>0</v>
      </c>
      <c r="BM232" s="42">
        <v>0</v>
      </c>
      <c r="BN232" s="42">
        <v>1861</v>
      </c>
      <c r="BO232" s="42">
        <v>0</v>
      </c>
      <c r="BP232" s="42">
        <v>0</v>
      </c>
      <c r="BQ232" s="42">
        <v>0</v>
      </c>
      <c r="BR232" s="42">
        <v>0</v>
      </c>
      <c r="BS232" s="42">
        <v>1861</v>
      </c>
      <c r="BT232" s="42">
        <v>0</v>
      </c>
      <c r="BU232" s="42">
        <v>0</v>
      </c>
      <c r="BV232" s="42">
        <v>0</v>
      </c>
      <c r="BW232" s="42">
        <v>0</v>
      </c>
      <c r="BX232" s="42">
        <v>0</v>
      </c>
      <c r="BY232" s="42">
        <v>1933.5422044416002</v>
      </c>
      <c r="BZ232" s="42">
        <v>0</v>
      </c>
      <c r="CA232" s="42">
        <v>0</v>
      </c>
      <c r="CB232" s="42">
        <v>0</v>
      </c>
      <c r="CC232" s="42">
        <v>0</v>
      </c>
      <c r="CD232" s="42">
        <v>1921.4179281314882</v>
      </c>
      <c r="CE232" s="42">
        <v>0</v>
      </c>
      <c r="CF232" s="42">
        <v>0</v>
      </c>
      <c r="CG232" s="42">
        <v>0</v>
      </c>
      <c r="CH232" s="42">
        <v>0</v>
      </c>
      <c r="CI232" s="42">
        <v>0</v>
      </c>
      <c r="CJ232" s="42">
        <v>0</v>
      </c>
      <c r="CK232" s="43">
        <f t="shared" si="42"/>
        <v>9087.9601325730873</v>
      </c>
      <c r="CL232" s="66"/>
      <c r="CM232" s="66">
        <v>0</v>
      </c>
      <c r="CN232" s="66">
        <v>0</v>
      </c>
      <c r="CO232" s="66">
        <v>0</v>
      </c>
      <c r="CP232" s="66">
        <v>0</v>
      </c>
      <c r="CQ232" s="66">
        <v>0</v>
      </c>
      <c r="CR232" s="66">
        <v>0</v>
      </c>
      <c r="CS232" s="66">
        <v>0</v>
      </c>
      <c r="CT232" s="66">
        <v>0</v>
      </c>
      <c r="CU232" s="66">
        <v>0</v>
      </c>
      <c r="CV232" s="66">
        <v>0</v>
      </c>
      <c r="CW232" s="66">
        <v>0</v>
      </c>
      <c r="CX232" s="66">
        <v>0</v>
      </c>
      <c r="CY232" s="66">
        <v>0</v>
      </c>
      <c r="CZ232" s="66">
        <v>0</v>
      </c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>
        <f>SUM(Table1[[#This Row],[01-03 Apr]:[Mar-26]])</f>
        <v>0</v>
      </c>
    </row>
    <row r="233" spans="1:115" hidden="1" x14ac:dyDescent="0.2">
      <c r="A233" s="28"/>
      <c r="B233" s="29"/>
      <c r="C233" s="29" t="s">
        <v>2667</v>
      </c>
      <c r="D233" s="30" t="s">
        <v>2668</v>
      </c>
      <c r="E233" s="30" t="s">
        <v>85</v>
      </c>
      <c r="F233" s="30"/>
      <c r="G233" s="31">
        <v>45566</v>
      </c>
      <c r="H233" s="30">
        <v>385650</v>
      </c>
      <c r="I233" s="30" t="str">
        <f>IF(Table1[[#This Row],[Centre Status]]="Returned","NA",IF(Table1[[#This Row],[SD]]&gt;19000,"Full Payment",IF(Table1[[#This Row],[SD]]&lt;1,"No Payment","Partial Payment")))</f>
        <v>Full Payment</v>
      </c>
      <c r="J233" s="30" t="s">
        <v>58</v>
      </c>
      <c r="K233" s="32">
        <v>110000</v>
      </c>
      <c r="L233" s="33">
        <f>Q233+R233+U233+Table1[[#This Row],[Farmer Payment]]</f>
        <v>36752.934428231994</v>
      </c>
      <c r="M233" s="30"/>
      <c r="N233" s="34"/>
      <c r="O233" s="34"/>
      <c r="P233" s="35">
        <f t="shared" ref="P233:P300" si="43">K233-L233+M233</f>
        <v>73247.065571768006</v>
      </c>
      <c r="Q233" s="33">
        <f>AI233+AV233+CK233+Table1[[#This Row],[FY 25-26]]</f>
        <v>16752.934428231998</v>
      </c>
      <c r="R233" s="36">
        <v>20000</v>
      </c>
      <c r="S233" s="37" t="s">
        <v>2669</v>
      </c>
      <c r="T233" s="38">
        <v>45531</v>
      </c>
      <c r="U233" s="39"/>
      <c r="V233" s="39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1">
        <f t="shared" ref="AI233:AI300" si="44">SUM(W233:AH233)</f>
        <v>0</v>
      </c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>
        <f t="shared" ref="AV233:AV300" si="45">SUM(AJ233:AU233)</f>
        <v>0</v>
      </c>
      <c r="AW233" s="42"/>
      <c r="AX233" s="42"/>
      <c r="AY233" s="42"/>
      <c r="AZ233" s="42"/>
      <c r="BA233" s="42"/>
      <c r="BB233" s="42">
        <v>0</v>
      </c>
      <c r="BC233" s="42">
        <v>0</v>
      </c>
      <c r="BD233" s="42">
        <v>0</v>
      </c>
      <c r="BE233" s="42">
        <v>0</v>
      </c>
      <c r="BF233" s="42">
        <v>0</v>
      </c>
      <c r="BG233" s="42">
        <v>0</v>
      </c>
      <c r="BH233" s="42">
        <v>0</v>
      </c>
      <c r="BI233" s="42">
        <v>59</v>
      </c>
      <c r="BJ233" s="42">
        <v>0</v>
      </c>
      <c r="BK233" s="42">
        <v>0</v>
      </c>
      <c r="BL233" s="42">
        <v>500</v>
      </c>
      <c r="BM233" s="42">
        <v>500</v>
      </c>
      <c r="BN233" s="42">
        <v>861</v>
      </c>
      <c r="BO233" s="42">
        <v>0</v>
      </c>
      <c r="BP233" s="42">
        <v>0</v>
      </c>
      <c r="BQ233" s="42">
        <v>0</v>
      </c>
      <c r="BR233" s="42">
        <v>0</v>
      </c>
      <c r="BS233" s="42">
        <v>3114.8924827797455</v>
      </c>
      <c r="BT233" s="42">
        <v>0</v>
      </c>
      <c r="BU233" s="42">
        <v>0</v>
      </c>
      <c r="BV233" s="42">
        <v>0</v>
      </c>
      <c r="BW233" s="42">
        <v>0</v>
      </c>
      <c r="BX233" s="42">
        <v>0</v>
      </c>
      <c r="BY233" s="42">
        <v>2540.849365432814</v>
      </c>
      <c r="BZ233" s="42">
        <v>0</v>
      </c>
      <c r="CA233" s="42">
        <v>0</v>
      </c>
      <c r="CB233" s="42">
        <v>0</v>
      </c>
      <c r="CC233" s="42">
        <v>0</v>
      </c>
      <c r="CD233" s="42">
        <v>2749.8917684050616</v>
      </c>
      <c r="CE233" s="42">
        <v>0</v>
      </c>
      <c r="CF233" s="42">
        <v>0</v>
      </c>
      <c r="CG233" s="42">
        <v>0</v>
      </c>
      <c r="CH233" s="42">
        <v>0</v>
      </c>
      <c r="CI233" s="42">
        <v>0</v>
      </c>
      <c r="CJ233" s="42">
        <v>2705.3008116143778</v>
      </c>
      <c r="CK233" s="43">
        <f t="shared" ref="CK233:CK300" si="46">SUM(AW233:CJ233)</f>
        <v>13030.934428231998</v>
      </c>
      <c r="CL233" s="66"/>
      <c r="CM233" s="66">
        <v>0</v>
      </c>
      <c r="CN233" s="66">
        <v>0</v>
      </c>
      <c r="CO233" s="66">
        <v>0</v>
      </c>
      <c r="CP233" s="66">
        <v>1861</v>
      </c>
      <c r="CQ233" s="66">
        <v>0</v>
      </c>
      <c r="CR233" s="66">
        <v>0</v>
      </c>
      <c r="CS233" s="66">
        <v>0</v>
      </c>
      <c r="CT233" s="66">
        <v>0</v>
      </c>
      <c r="CU233" s="66">
        <v>0</v>
      </c>
      <c r="CV233" s="66">
        <v>1861</v>
      </c>
      <c r="CW233" s="66">
        <v>0</v>
      </c>
      <c r="CX233" s="66">
        <v>0</v>
      </c>
      <c r="CY233" s="66">
        <v>0</v>
      </c>
      <c r="CZ233" s="66">
        <v>0</v>
      </c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>
        <f>SUM(Table1[[#This Row],[01-03 Apr]:[Mar-26]])</f>
        <v>3722</v>
      </c>
    </row>
    <row r="234" spans="1:115" x14ac:dyDescent="0.2">
      <c r="A234" s="28"/>
      <c r="B234" s="29"/>
      <c r="C234" s="29" t="s">
        <v>2673</v>
      </c>
      <c r="D234" s="30" t="s">
        <v>1899</v>
      </c>
      <c r="E234" s="30" t="s">
        <v>85</v>
      </c>
      <c r="F234" s="30"/>
      <c r="G234" s="31">
        <v>45569</v>
      </c>
      <c r="H234" s="30">
        <v>385643</v>
      </c>
      <c r="I234" s="30" t="str">
        <f>IF(Table1[[#This Row],[Centre Status]]="Returned","NA",IF(Table1[[#This Row],[SD]]&gt;19000,"Full Payment",IF(Table1[[#This Row],[SD]]&lt;1,"No Payment","Partial Payment")))</f>
        <v>Partial Payment</v>
      </c>
      <c r="J234" s="30" t="s">
        <v>58</v>
      </c>
      <c r="K234" s="32">
        <v>110000</v>
      </c>
      <c r="L234" s="33">
        <f>Q234+R234+U234+Table1[[#This Row],[Farmer Payment]]</f>
        <v>28638.459507444531</v>
      </c>
      <c r="M234" s="30"/>
      <c r="N234" s="34"/>
      <c r="O234" s="34"/>
      <c r="P234" s="35">
        <f t="shared" si="43"/>
        <v>81361.540492555476</v>
      </c>
      <c r="Q234" s="33">
        <f>AI234+AV234+CK234+Table1[[#This Row],[FY 25-26]]</f>
        <v>18638.459507444531</v>
      </c>
      <c r="R234" s="36">
        <v>10000</v>
      </c>
      <c r="S234" s="37" t="s">
        <v>2677</v>
      </c>
      <c r="T234" s="38">
        <v>45520</v>
      </c>
      <c r="U234" s="39"/>
      <c r="V234" s="39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1">
        <f t="shared" si="44"/>
        <v>0</v>
      </c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>
        <f t="shared" si="45"/>
        <v>0</v>
      </c>
      <c r="AW234" s="42"/>
      <c r="AX234" s="42"/>
      <c r="AY234" s="42"/>
      <c r="AZ234" s="42"/>
      <c r="BA234" s="42"/>
      <c r="BB234" s="42">
        <v>0</v>
      </c>
      <c r="BC234" s="42">
        <v>0</v>
      </c>
      <c r="BD234" s="42">
        <v>0</v>
      </c>
      <c r="BE234" s="42">
        <v>0</v>
      </c>
      <c r="BF234" s="42">
        <v>0</v>
      </c>
      <c r="BG234" s="42">
        <v>0</v>
      </c>
      <c r="BH234" s="42">
        <v>0</v>
      </c>
      <c r="BI234" s="42">
        <v>271</v>
      </c>
      <c r="BJ234" s="42">
        <v>0</v>
      </c>
      <c r="BK234" s="42">
        <v>0</v>
      </c>
      <c r="BL234" s="42">
        <v>500</v>
      </c>
      <c r="BM234" s="42">
        <v>500</v>
      </c>
      <c r="BN234" s="42">
        <v>861</v>
      </c>
      <c r="BO234" s="42">
        <v>0</v>
      </c>
      <c r="BP234" s="42">
        <v>0</v>
      </c>
      <c r="BQ234" s="42">
        <v>0</v>
      </c>
      <c r="BR234" s="42">
        <v>0</v>
      </c>
      <c r="BS234" s="42">
        <v>2508.3002943885404</v>
      </c>
      <c r="BT234" s="42">
        <v>0</v>
      </c>
      <c r="BU234" s="42">
        <v>0</v>
      </c>
      <c r="BV234" s="42">
        <v>0</v>
      </c>
      <c r="BW234" s="42">
        <v>0</v>
      </c>
      <c r="BX234" s="42">
        <v>0</v>
      </c>
      <c r="BY234" s="42">
        <v>2534.8133630400639</v>
      </c>
      <c r="BZ234" s="42">
        <v>0</v>
      </c>
      <c r="CA234" s="42">
        <v>0</v>
      </c>
      <c r="CB234" s="42">
        <v>0</v>
      </c>
      <c r="CC234" s="42">
        <v>0</v>
      </c>
      <c r="CD234" s="42">
        <v>3343.2237130681347</v>
      </c>
      <c r="CE234" s="42">
        <v>0</v>
      </c>
      <c r="CF234" s="42">
        <v>0</v>
      </c>
      <c r="CG234" s="42">
        <v>0</v>
      </c>
      <c r="CH234" s="42">
        <v>0</v>
      </c>
      <c r="CI234" s="42">
        <v>0</v>
      </c>
      <c r="CJ234" s="42">
        <v>3765.89059412809</v>
      </c>
      <c r="CK234" s="43">
        <f t="shared" si="46"/>
        <v>14284.22796462483</v>
      </c>
      <c r="CL234" s="66"/>
      <c r="CM234" s="66">
        <v>0</v>
      </c>
      <c r="CN234" s="66">
        <v>0</v>
      </c>
      <c r="CO234" s="66">
        <v>0</v>
      </c>
      <c r="CP234" s="66">
        <v>2493.2315428197016</v>
      </c>
      <c r="CQ234" s="66">
        <v>0</v>
      </c>
      <c r="CR234" s="66">
        <v>0</v>
      </c>
      <c r="CS234" s="66">
        <v>0</v>
      </c>
      <c r="CT234" s="66">
        <v>0</v>
      </c>
      <c r="CU234" s="66">
        <v>0</v>
      </c>
      <c r="CV234" s="66">
        <v>1861</v>
      </c>
      <c r="CW234" s="66">
        <v>0</v>
      </c>
      <c r="CX234" s="66">
        <v>0</v>
      </c>
      <c r="CY234" s="66">
        <v>0</v>
      </c>
      <c r="CZ234" s="66">
        <v>0</v>
      </c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>
        <f>SUM(Table1[[#This Row],[01-03 Apr]:[Mar-26]])</f>
        <v>4354.2315428197016</v>
      </c>
    </row>
    <row r="235" spans="1:115" hidden="1" x14ac:dyDescent="0.2">
      <c r="A235" s="28"/>
      <c r="B235" s="29"/>
      <c r="C235" s="29" t="s">
        <v>2674</v>
      </c>
      <c r="D235" s="30" t="s">
        <v>2670</v>
      </c>
      <c r="E235" s="30" t="s">
        <v>85</v>
      </c>
      <c r="F235" s="30"/>
      <c r="G235" s="31">
        <v>45569</v>
      </c>
      <c r="H235" s="30">
        <v>383808</v>
      </c>
      <c r="I235" s="30" t="str">
        <f>IF(Table1[[#This Row],[Centre Status]]="Returned","NA",IF(Table1[[#This Row],[SD]]&gt;19000,"Full Payment",IF(Table1[[#This Row],[SD]]&lt;1,"No Payment","Partial Payment")))</f>
        <v>Full Payment</v>
      </c>
      <c r="J235" s="30" t="s">
        <v>58</v>
      </c>
      <c r="K235" s="32">
        <v>110000</v>
      </c>
      <c r="L235" s="33">
        <f>Q235+R235+U235+Table1[[#This Row],[Farmer Payment]]</f>
        <v>46389.270607959574</v>
      </c>
      <c r="M235" s="30"/>
      <c r="N235" s="34"/>
      <c r="O235" s="34"/>
      <c r="P235" s="35">
        <f t="shared" si="43"/>
        <v>63610.729392040426</v>
      </c>
      <c r="Q235" s="33">
        <f>AI235+AV235+CK235+Table1[[#This Row],[FY 25-26]]</f>
        <v>26389.270607959574</v>
      </c>
      <c r="R235" s="36">
        <v>20000</v>
      </c>
      <c r="S235" s="37" t="s">
        <v>2678</v>
      </c>
      <c r="T235" s="38">
        <v>45524</v>
      </c>
      <c r="U235" s="39"/>
      <c r="V235" s="39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1">
        <f t="shared" si="44"/>
        <v>0</v>
      </c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>
        <f t="shared" si="45"/>
        <v>0</v>
      </c>
      <c r="AW235" s="42"/>
      <c r="AX235" s="42"/>
      <c r="AY235" s="42"/>
      <c r="AZ235" s="42"/>
      <c r="BA235" s="42"/>
      <c r="BB235" s="42">
        <v>0</v>
      </c>
      <c r="BC235" s="42">
        <v>0</v>
      </c>
      <c r="BD235" s="42">
        <v>0</v>
      </c>
      <c r="BE235" s="42">
        <v>0</v>
      </c>
      <c r="BF235" s="42">
        <v>0</v>
      </c>
      <c r="BG235" s="42">
        <v>0</v>
      </c>
      <c r="BH235" s="42">
        <v>0</v>
      </c>
      <c r="BI235" s="42">
        <v>690</v>
      </c>
      <c r="BJ235" s="42">
        <v>0</v>
      </c>
      <c r="BK235" s="42">
        <v>0</v>
      </c>
      <c r="BL235" s="42">
        <v>0</v>
      </c>
      <c r="BM235" s="42">
        <v>0</v>
      </c>
      <c r="BN235" s="42">
        <v>1861</v>
      </c>
      <c r="BO235" s="42">
        <v>0</v>
      </c>
      <c r="BP235" s="42">
        <v>0</v>
      </c>
      <c r="BQ235" s="42">
        <v>0</v>
      </c>
      <c r="BR235" s="42">
        <v>0</v>
      </c>
      <c r="BS235" s="42">
        <v>3036.4603833653523</v>
      </c>
      <c r="BT235" s="42">
        <v>0</v>
      </c>
      <c r="BU235" s="42">
        <v>0</v>
      </c>
      <c r="BV235" s="42">
        <v>0</v>
      </c>
      <c r="BW235" s="42">
        <v>0</v>
      </c>
      <c r="BX235" s="42">
        <v>0</v>
      </c>
      <c r="BY235" s="42">
        <v>2967.0229340788123</v>
      </c>
      <c r="BZ235" s="42">
        <v>0</v>
      </c>
      <c r="CA235" s="42">
        <v>0</v>
      </c>
      <c r="CB235" s="42">
        <v>0</v>
      </c>
      <c r="CC235" s="42">
        <v>0</v>
      </c>
      <c r="CD235" s="42">
        <v>4141.394860800001</v>
      </c>
      <c r="CE235" s="42">
        <v>0</v>
      </c>
      <c r="CF235" s="42">
        <v>0</v>
      </c>
      <c r="CG235" s="42">
        <v>0</v>
      </c>
      <c r="CH235" s="42">
        <v>0</v>
      </c>
      <c r="CI235" s="42">
        <v>0</v>
      </c>
      <c r="CJ235" s="42">
        <v>5183.7345496320004</v>
      </c>
      <c r="CK235" s="43">
        <f t="shared" si="46"/>
        <v>17879.612727876167</v>
      </c>
      <c r="CL235" s="66"/>
      <c r="CM235" s="66">
        <v>0</v>
      </c>
      <c r="CN235" s="66">
        <v>0</v>
      </c>
      <c r="CO235" s="66">
        <v>0</v>
      </c>
      <c r="CP235" s="66">
        <v>4617.3115822781783</v>
      </c>
      <c r="CQ235" s="66">
        <v>0</v>
      </c>
      <c r="CR235" s="66">
        <v>0</v>
      </c>
      <c r="CS235" s="66">
        <v>0</v>
      </c>
      <c r="CT235" s="66">
        <v>0</v>
      </c>
      <c r="CU235" s="66">
        <v>0</v>
      </c>
      <c r="CV235" s="66">
        <v>3892.3462978052266</v>
      </c>
      <c r="CW235" s="66">
        <v>0</v>
      </c>
      <c r="CX235" s="66">
        <v>0</v>
      </c>
      <c r="CY235" s="66">
        <v>0</v>
      </c>
      <c r="CZ235" s="66">
        <v>0</v>
      </c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>
        <f>SUM(Table1[[#This Row],[01-03 Apr]:[Mar-26]])</f>
        <v>8509.657880083405</v>
      </c>
    </row>
    <row r="236" spans="1:115" hidden="1" x14ac:dyDescent="0.2">
      <c r="A236" s="28"/>
      <c r="B236" s="29"/>
      <c r="C236" s="29" t="s">
        <v>2675</v>
      </c>
      <c r="D236" s="30" t="s">
        <v>2671</v>
      </c>
      <c r="E236" s="30" t="s">
        <v>85</v>
      </c>
      <c r="F236" s="30"/>
      <c r="G236" s="31">
        <v>45569</v>
      </c>
      <c r="H236" s="30">
        <v>360516</v>
      </c>
      <c r="I236" s="30" t="str">
        <f>IF(Table1[[#This Row],[Centre Status]]="Returned","NA",IF(Table1[[#This Row],[SD]]&gt;19000,"Full Payment",IF(Table1[[#This Row],[SD]]&lt;1,"No Payment","Partial Payment")))</f>
        <v>NA</v>
      </c>
      <c r="J236" s="30" t="s">
        <v>1903</v>
      </c>
      <c r="K236" s="32">
        <v>110000</v>
      </c>
      <c r="L236" s="33">
        <f>Q236+R236+U236+Table1[[#This Row],[Farmer Payment]]</f>
        <v>35594.114719064863</v>
      </c>
      <c r="M236" s="30">
        <v>24533</v>
      </c>
      <c r="N236" s="34">
        <v>45790</v>
      </c>
      <c r="O236" s="34" t="s">
        <v>3153</v>
      </c>
      <c r="P236" s="35">
        <f t="shared" si="43"/>
        <v>98938.885280935137</v>
      </c>
      <c r="Q236" s="33">
        <f>AI236+AV236+CK236+Table1[[#This Row],[FY 25-26]]</f>
        <v>15594.114719064859</v>
      </c>
      <c r="R236" s="36">
        <v>20000</v>
      </c>
      <c r="S236" s="37" t="s">
        <v>2679</v>
      </c>
      <c r="T236" s="38">
        <v>45521</v>
      </c>
      <c r="U236" s="39"/>
      <c r="V236" s="39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1">
        <f t="shared" si="44"/>
        <v>0</v>
      </c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>
        <f t="shared" si="45"/>
        <v>0</v>
      </c>
      <c r="AW236" s="42"/>
      <c r="AX236" s="42"/>
      <c r="AY236" s="42"/>
      <c r="AZ236" s="42"/>
      <c r="BA236" s="42"/>
      <c r="BB236" s="42">
        <v>0</v>
      </c>
      <c r="BC236" s="42">
        <v>0</v>
      </c>
      <c r="BD236" s="42">
        <v>0</v>
      </c>
      <c r="BE236" s="42">
        <v>0</v>
      </c>
      <c r="BF236" s="42">
        <v>0</v>
      </c>
      <c r="BG236" s="42">
        <v>0</v>
      </c>
      <c r="BH236" s="42">
        <v>0</v>
      </c>
      <c r="BI236" s="42">
        <v>885</v>
      </c>
      <c r="BJ236" s="42">
        <v>0</v>
      </c>
      <c r="BK236" s="42">
        <v>0</v>
      </c>
      <c r="BL236" s="42">
        <v>500</v>
      </c>
      <c r="BM236" s="42">
        <v>500</v>
      </c>
      <c r="BN236" s="42">
        <v>861</v>
      </c>
      <c r="BO236" s="42">
        <v>0</v>
      </c>
      <c r="BP236" s="42">
        <v>0</v>
      </c>
      <c r="BQ236" s="42">
        <v>0</v>
      </c>
      <c r="BR236" s="42">
        <v>0</v>
      </c>
      <c r="BS236" s="42">
        <v>2139.8396319193043</v>
      </c>
      <c r="BT236" s="42">
        <v>0</v>
      </c>
      <c r="BU236" s="42">
        <v>0</v>
      </c>
      <c r="BV236" s="42">
        <v>0</v>
      </c>
      <c r="BW236" s="42">
        <v>0</v>
      </c>
      <c r="BX236" s="42">
        <v>0</v>
      </c>
      <c r="BY236" s="42">
        <v>2221.305866896048</v>
      </c>
      <c r="BZ236" s="42">
        <v>0</v>
      </c>
      <c r="CA236" s="42">
        <v>0</v>
      </c>
      <c r="CB236" s="42">
        <v>0</v>
      </c>
      <c r="CC236" s="42">
        <v>0</v>
      </c>
      <c r="CD236" s="42">
        <v>3082.9441506247322</v>
      </c>
      <c r="CE236" s="42">
        <v>0</v>
      </c>
      <c r="CF236" s="42">
        <v>0</v>
      </c>
      <c r="CG236" s="42">
        <v>0</v>
      </c>
      <c r="CH236" s="42">
        <v>0</v>
      </c>
      <c r="CI236" s="42">
        <v>0</v>
      </c>
      <c r="CJ236" s="42">
        <v>3543.0250696247749</v>
      </c>
      <c r="CK236" s="43">
        <f t="shared" si="46"/>
        <v>13733.114719064859</v>
      </c>
      <c r="CL236" s="66"/>
      <c r="CM236" s="66">
        <v>0</v>
      </c>
      <c r="CN236" s="66">
        <v>0</v>
      </c>
      <c r="CO236" s="66">
        <v>0</v>
      </c>
      <c r="CP236" s="66">
        <v>1861</v>
      </c>
      <c r="CQ236" s="66">
        <v>0</v>
      </c>
      <c r="CR236" s="66">
        <v>0</v>
      </c>
      <c r="CS236" s="66">
        <v>0</v>
      </c>
      <c r="CT236" s="66">
        <v>0</v>
      </c>
      <c r="CU236" s="66">
        <v>0</v>
      </c>
      <c r="CV236" s="66">
        <v>0</v>
      </c>
      <c r="CW236" s="66">
        <v>0</v>
      </c>
      <c r="CX236" s="66">
        <v>0</v>
      </c>
      <c r="CY236" s="66">
        <v>0</v>
      </c>
      <c r="CZ236" s="66">
        <v>0</v>
      </c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>
        <f>SUM(Table1[[#This Row],[01-03 Apr]:[Mar-26]])</f>
        <v>1861</v>
      </c>
    </row>
    <row r="237" spans="1:115" hidden="1" x14ac:dyDescent="0.2">
      <c r="A237" s="28"/>
      <c r="B237" s="29"/>
      <c r="C237" s="29" t="s">
        <v>2676</v>
      </c>
      <c r="D237" s="30" t="s">
        <v>2672</v>
      </c>
      <c r="E237" s="30" t="s">
        <v>85</v>
      </c>
      <c r="F237" s="30"/>
      <c r="G237" s="31">
        <v>45569</v>
      </c>
      <c r="H237" s="30">
        <v>384790</v>
      </c>
      <c r="I237" s="30" t="str">
        <f>IF(Table1[[#This Row],[Centre Status]]="Returned","NA",IF(Table1[[#This Row],[SD]]&gt;19000,"Full Payment",IF(Table1[[#This Row],[SD]]&lt;1,"No Payment","Partial Payment")))</f>
        <v>Full Payment</v>
      </c>
      <c r="J237" s="30" t="s">
        <v>58</v>
      </c>
      <c r="K237" s="32">
        <v>110000</v>
      </c>
      <c r="L237" s="33">
        <f>Q237+R237+U237+Table1[[#This Row],[Farmer Payment]]</f>
        <v>32440</v>
      </c>
      <c r="M237" s="30"/>
      <c r="N237" s="34"/>
      <c r="O237" s="34"/>
      <c r="P237" s="35">
        <f t="shared" si="43"/>
        <v>77560</v>
      </c>
      <c r="Q237" s="33">
        <f>AI237+AV237+CK237+Table1[[#This Row],[FY 25-26]]</f>
        <v>12440</v>
      </c>
      <c r="R237" s="36">
        <v>20000</v>
      </c>
      <c r="S237" s="37" t="s">
        <v>2680</v>
      </c>
      <c r="T237" s="38">
        <v>45526</v>
      </c>
      <c r="U237" s="39"/>
      <c r="V237" s="39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1">
        <f t="shared" si="44"/>
        <v>0</v>
      </c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>
        <f t="shared" si="45"/>
        <v>0</v>
      </c>
      <c r="AW237" s="42"/>
      <c r="AX237" s="42"/>
      <c r="AY237" s="42"/>
      <c r="AZ237" s="42"/>
      <c r="BA237" s="42"/>
      <c r="BB237" s="42">
        <v>0</v>
      </c>
      <c r="BC237" s="42">
        <v>0</v>
      </c>
      <c r="BD237" s="42">
        <v>0</v>
      </c>
      <c r="BE237" s="42">
        <v>0</v>
      </c>
      <c r="BF237" s="42">
        <v>0</v>
      </c>
      <c r="BG237" s="42">
        <v>0</v>
      </c>
      <c r="BH237" s="42">
        <v>0</v>
      </c>
      <c r="BI237" s="42">
        <v>136</v>
      </c>
      <c r="BJ237" s="42">
        <v>0</v>
      </c>
      <c r="BK237" s="42">
        <v>0</v>
      </c>
      <c r="BL237" s="42">
        <v>500</v>
      </c>
      <c r="BM237" s="42">
        <v>500</v>
      </c>
      <c r="BN237" s="42">
        <v>711</v>
      </c>
      <c r="BO237" s="42">
        <v>0</v>
      </c>
      <c r="BP237" s="42">
        <v>500</v>
      </c>
      <c r="BQ237" s="42">
        <v>0</v>
      </c>
      <c r="BR237" s="42">
        <v>500</v>
      </c>
      <c r="BS237" s="42">
        <v>861</v>
      </c>
      <c r="BT237" s="42">
        <v>0</v>
      </c>
      <c r="BU237" s="42">
        <v>0</v>
      </c>
      <c r="BV237" s="42">
        <v>0</v>
      </c>
      <c r="BW237" s="42">
        <v>0</v>
      </c>
      <c r="BX237" s="42">
        <v>0</v>
      </c>
      <c r="BY237" s="42">
        <v>1861</v>
      </c>
      <c r="BZ237" s="42">
        <v>0</v>
      </c>
      <c r="CA237" s="42">
        <v>0</v>
      </c>
      <c r="CB237" s="42">
        <v>0</v>
      </c>
      <c r="CC237" s="42">
        <v>0</v>
      </c>
      <c r="CD237" s="42">
        <v>1861</v>
      </c>
      <c r="CE237" s="42">
        <v>0</v>
      </c>
      <c r="CF237" s="42">
        <v>0</v>
      </c>
      <c r="CG237" s="42">
        <v>0</v>
      </c>
      <c r="CH237" s="42">
        <v>0</v>
      </c>
      <c r="CI237" s="42">
        <v>0</v>
      </c>
      <c r="CJ237" s="42">
        <v>1861</v>
      </c>
      <c r="CK237" s="43">
        <f t="shared" si="46"/>
        <v>9291</v>
      </c>
      <c r="CL237" s="66"/>
      <c r="CM237" s="66">
        <v>0</v>
      </c>
      <c r="CN237" s="66">
        <v>0</v>
      </c>
      <c r="CO237" s="66">
        <v>0</v>
      </c>
      <c r="CP237" s="66">
        <v>1861</v>
      </c>
      <c r="CQ237" s="66">
        <v>0</v>
      </c>
      <c r="CR237" s="66">
        <v>0</v>
      </c>
      <c r="CS237" s="66">
        <v>0</v>
      </c>
      <c r="CT237" s="66">
        <v>0</v>
      </c>
      <c r="CU237" s="66">
        <v>0</v>
      </c>
      <c r="CV237" s="66">
        <v>1288</v>
      </c>
      <c r="CW237" s="66">
        <v>0</v>
      </c>
      <c r="CX237" s="66">
        <v>0</v>
      </c>
      <c r="CY237" s="66">
        <v>0</v>
      </c>
      <c r="CZ237" s="66">
        <v>0</v>
      </c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>
        <f>SUM(Table1[[#This Row],[01-03 Apr]:[Mar-26]])</f>
        <v>3149</v>
      </c>
    </row>
    <row r="238" spans="1:115" hidden="1" x14ac:dyDescent="0.2">
      <c r="A238" s="28" t="s">
        <v>2363</v>
      </c>
      <c r="B238" s="29" t="s">
        <v>65</v>
      </c>
      <c r="C238" s="29" t="s">
        <v>66</v>
      </c>
      <c r="D238" s="30" t="s">
        <v>67</v>
      </c>
      <c r="E238" s="30" t="s">
        <v>217</v>
      </c>
      <c r="F238" s="30"/>
      <c r="G238" s="31">
        <v>44746</v>
      </c>
      <c r="H238" s="30">
        <v>277505</v>
      </c>
      <c r="I238" s="30" t="str">
        <f>IF(Table1[[#This Row],[Centre Status]]="Returned","NA",IF(Table1[[#This Row],[SD]]&gt;19000,"Full Payment",IF(Table1[[#This Row],[SD]]&lt;1,"No Payment","Partial Payment")))</f>
        <v>Full Payment</v>
      </c>
      <c r="J238" s="30" t="s">
        <v>58</v>
      </c>
      <c r="K238" s="32">
        <v>74000</v>
      </c>
      <c r="L238" s="33">
        <f>Q238+R238+U238+Table1[[#This Row],[Farmer Payment]]</f>
        <v>92630.459000000003</v>
      </c>
      <c r="M238" s="30"/>
      <c r="N238" s="34"/>
      <c r="O238" s="34"/>
      <c r="P238" s="35">
        <f t="shared" si="43"/>
        <v>-18630.459000000003</v>
      </c>
      <c r="Q238" s="33">
        <f>AI238+AV238+CK238+Table1[[#This Row],[FY 25-26]]</f>
        <v>72630.459000000003</v>
      </c>
      <c r="R238" s="36">
        <v>20000</v>
      </c>
      <c r="S238" s="37" t="s">
        <v>68</v>
      </c>
      <c r="T238" s="38">
        <v>44653</v>
      </c>
      <c r="U238" s="39"/>
      <c r="V238" s="39"/>
      <c r="W238" s="40">
        <v>12689.341600000002</v>
      </c>
      <c r="X238" s="40">
        <v>16112.1392</v>
      </c>
      <c r="Y238" s="40">
        <v>13646.192599999998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1">
        <f t="shared" si="44"/>
        <v>42447.6734</v>
      </c>
      <c r="AJ238" s="42">
        <v>0</v>
      </c>
      <c r="AK238" s="42">
        <v>0</v>
      </c>
      <c r="AL238" s="42">
        <v>0</v>
      </c>
      <c r="AM238" s="42">
        <v>30182.785600000003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f t="shared" si="45"/>
        <v>30182.785600000003</v>
      </c>
      <c r="AW238" s="42">
        <v>0</v>
      </c>
      <c r="AX238" s="42">
        <v>0</v>
      </c>
      <c r="AY238" s="42">
        <v>0</v>
      </c>
      <c r="AZ238" s="42">
        <v>0</v>
      </c>
      <c r="BA238" s="42">
        <v>0</v>
      </c>
      <c r="BB238" s="42">
        <v>0</v>
      </c>
      <c r="BC238" s="42">
        <v>0</v>
      </c>
      <c r="BD238" s="42">
        <v>0</v>
      </c>
      <c r="BE238" s="42">
        <v>0</v>
      </c>
      <c r="BF238" s="42">
        <v>0</v>
      </c>
      <c r="BG238" s="42">
        <v>0</v>
      </c>
      <c r="BH238" s="42">
        <v>0</v>
      </c>
      <c r="BI238" s="42">
        <v>0</v>
      </c>
      <c r="BJ238" s="42">
        <v>0</v>
      </c>
      <c r="BK238" s="42">
        <v>0</v>
      </c>
      <c r="BL238" s="42">
        <v>0</v>
      </c>
      <c r="BM238" s="42">
        <v>0</v>
      </c>
      <c r="BN238" s="42">
        <v>0</v>
      </c>
      <c r="BO238" s="42">
        <v>0</v>
      </c>
      <c r="BP238" s="42">
        <v>0</v>
      </c>
      <c r="BQ238" s="42">
        <v>0</v>
      </c>
      <c r="BR238" s="42">
        <v>0</v>
      </c>
      <c r="BS238" s="42">
        <v>0</v>
      </c>
      <c r="BT238" s="42">
        <v>0</v>
      </c>
      <c r="BU238" s="42">
        <v>0</v>
      </c>
      <c r="BV238" s="42">
        <v>0</v>
      </c>
      <c r="BW238" s="42">
        <v>0</v>
      </c>
      <c r="BX238" s="42">
        <v>0</v>
      </c>
      <c r="BY238" s="42">
        <v>0</v>
      </c>
      <c r="BZ238" s="42">
        <v>0</v>
      </c>
      <c r="CA238" s="42">
        <v>0</v>
      </c>
      <c r="CB238" s="42">
        <v>0</v>
      </c>
      <c r="CC238" s="42">
        <v>0</v>
      </c>
      <c r="CD238" s="42">
        <v>0</v>
      </c>
      <c r="CE238" s="42">
        <v>0</v>
      </c>
      <c r="CF238" s="42">
        <v>0</v>
      </c>
      <c r="CG238" s="42">
        <v>0</v>
      </c>
      <c r="CH238" s="42">
        <v>0</v>
      </c>
      <c r="CI238" s="42">
        <v>0</v>
      </c>
      <c r="CJ238" s="42">
        <v>0</v>
      </c>
      <c r="CK238" s="43">
        <f t="shared" si="46"/>
        <v>0</v>
      </c>
      <c r="CL238" s="66"/>
      <c r="CM238" s="66">
        <v>0</v>
      </c>
      <c r="CN238" s="66">
        <v>0</v>
      </c>
      <c r="CO238" s="66">
        <v>0</v>
      </c>
      <c r="CP238" s="66">
        <v>0</v>
      </c>
      <c r="CQ238" s="66">
        <v>0</v>
      </c>
      <c r="CR238" s="66">
        <v>0</v>
      </c>
      <c r="CS238" s="66">
        <v>0</v>
      </c>
      <c r="CT238" s="66">
        <v>0</v>
      </c>
      <c r="CU238" s="66">
        <v>0</v>
      </c>
      <c r="CV238" s="66">
        <v>0</v>
      </c>
      <c r="CW238" s="66">
        <v>0</v>
      </c>
      <c r="CX238" s="66">
        <v>0</v>
      </c>
      <c r="CY238" s="66">
        <v>0</v>
      </c>
      <c r="CZ238" s="66">
        <v>0</v>
      </c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>
        <f>SUM(Table1[[#This Row],[01-03 Apr]:[Mar-26]])</f>
        <v>0</v>
      </c>
    </row>
    <row r="239" spans="1:115" hidden="1" x14ac:dyDescent="0.2">
      <c r="A239" s="28" t="s">
        <v>2363</v>
      </c>
      <c r="B239" s="29" t="s">
        <v>69</v>
      </c>
      <c r="C239" s="29" t="s">
        <v>70</v>
      </c>
      <c r="D239" s="30" t="s">
        <v>71</v>
      </c>
      <c r="E239" s="30" t="s">
        <v>217</v>
      </c>
      <c r="F239" s="30"/>
      <c r="G239" s="31">
        <v>44746</v>
      </c>
      <c r="H239" s="30">
        <v>276134</v>
      </c>
      <c r="I239" s="30" t="str">
        <f>IF(Table1[[#This Row],[Centre Status]]="Returned","NA",IF(Table1[[#This Row],[SD]]&gt;19000,"Full Payment",IF(Table1[[#This Row],[SD]]&lt;1,"No Payment","Partial Payment")))</f>
        <v>Full Payment</v>
      </c>
      <c r="J239" s="30" t="s">
        <v>58</v>
      </c>
      <c r="K239" s="32">
        <v>64000</v>
      </c>
      <c r="L239" s="33">
        <f>Q239+R239+U239+Table1[[#This Row],[Farmer Payment]]</f>
        <v>64000</v>
      </c>
      <c r="M239" s="30"/>
      <c r="N239" s="34"/>
      <c r="O239" s="34"/>
      <c r="P239" s="35">
        <f t="shared" si="43"/>
        <v>0</v>
      </c>
      <c r="Q239" s="33">
        <f>AI239+AV239+CK239+Table1[[#This Row],[FY 25-26]]</f>
        <v>44000</v>
      </c>
      <c r="R239" s="36">
        <v>20000</v>
      </c>
      <c r="S239" s="37" t="s">
        <v>72</v>
      </c>
      <c r="T239" s="38">
        <v>44653</v>
      </c>
      <c r="U239" s="39"/>
      <c r="V239" s="39"/>
      <c r="W239" s="40">
        <v>0</v>
      </c>
      <c r="X239" s="40">
        <v>1861</v>
      </c>
      <c r="Y239" s="40">
        <v>0</v>
      </c>
      <c r="Z239" s="40">
        <v>1017</v>
      </c>
      <c r="AA239" s="40">
        <v>2287.9706000000001</v>
      </c>
      <c r="AB239" s="40">
        <v>2281.3560000000002</v>
      </c>
      <c r="AC239" s="40">
        <v>3344.2554000000005</v>
      </c>
      <c r="AD239" s="40">
        <v>4053.0314000000003</v>
      </c>
      <c r="AE239" s="40">
        <v>3563.1342000000004</v>
      </c>
      <c r="AF239" s="40">
        <v>4337.5954000000002</v>
      </c>
      <c r="AG239" s="40">
        <v>3457.5884000000005</v>
      </c>
      <c r="AH239" s="40">
        <v>4588.7407999999996</v>
      </c>
      <c r="AI239" s="41">
        <f t="shared" si="44"/>
        <v>30791.672200000001</v>
      </c>
      <c r="AJ239" s="42">
        <v>3633.6776</v>
      </c>
      <c r="AK239" s="42">
        <v>4437.9364000000005</v>
      </c>
      <c r="AL239" s="42">
        <v>3950.9981999999995</v>
      </c>
      <c r="AM239" s="42">
        <v>1185.7155999999995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f t="shared" si="45"/>
        <v>13208.327799999999</v>
      </c>
      <c r="AW239" s="42">
        <v>0</v>
      </c>
      <c r="AX239" s="42">
        <v>0</v>
      </c>
      <c r="AY239" s="42">
        <v>0</v>
      </c>
      <c r="AZ239" s="42">
        <v>0</v>
      </c>
      <c r="BA239" s="42">
        <v>0</v>
      </c>
      <c r="BB239" s="42">
        <v>0</v>
      </c>
      <c r="BC239" s="42">
        <v>0</v>
      </c>
      <c r="BD239" s="42">
        <v>0</v>
      </c>
      <c r="BE239" s="42">
        <v>0</v>
      </c>
      <c r="BF239" s="42">
        <v>0</v>
      </c>
      <c r="BG239" s="42">
        <v>0</v>
      </c>
      <c r="BH239" s="42">
        <v>0</v>
      </c>
      <c r="BI239" s="42">
        <v>0</v>
      </c>
      <c r="BJ239" s="42">
        <v>0</v>
      </c>
      <c r="BK239" s="42">
        <v>0</v>
      </c>
      <c r="BL239" s="42">
        <v>0</v>
      </c>
      <c r="BM239" s="42">
        <v>0</v>
      </c>
      <c r="BN239" s="42">
        <v>0</v>
      </c>
      <c r="BO239" s="42">
        <v>0</v>
      </c>
      <c r="BP239" s="42">
        <v>0</v>
      </c>
      <c r="BQ239" s="42">
        <v>0</v>
      </c>
      <c r="BR239" s="42">
        <v>0</v>
      </c>
      <c r="BS239" s="42">
        <v>0</v>
      </c>
      <c r="BT239" s="42">
        <v>0</v>
      </c>
      <c r="BU239" s="42">
        <v>0</v>
      </c>
      <c r="BV239" s="42">
        <v>0</v>
      </c>
      <c r="BW239" s="42">
        <v>0</v>
      </c>
      <c r="BX239" s="42">
        <v>0</v>
      </c>
      <c r="BY239" s="42">
        <v>0</v>
      </c>
      <c r="BZ239" s="42">
        <v>0</v>
      </c>
      <c r="CA239" s="42">
        <v>0</v>
      </c>
      <c r="CB239" s="42">
        <v>0</v>
      </c>
      <c r="CC239" s="42">
        <v>0</v>
      </c>
      <c r="CD239" s="42">
        <v>0</v>
      </c>
      <c r="CE239" s="42">
        <v>0</v>
      </c>
      <c r="CF239" s="42">
        <v>0</v>
      </c>
      <c r="CG239" s="42">
        <v>0</v>
      </c>
      <c r="CH239" s="42">
        <v>0</v>
      </c>
      <c r="CI239" s="42">
        <v>0</v>
      </c>
      <c r="CJ239" s="42">
        <v>0</v>
      </c>
      <c r="CK239" s="43">
        <f t="shared" si="46"/>
        <v>0</v>
      </c>
      <c r="CL239" s="66"/>
      <c r="CM239" s="66">
        <v>0</v>
      </c>
      <c r="CN239" s="66">
        <v>0</v>
      </c>
      <c r="CO239" s="66">
        <v>0</v>
      </c>
      <c r="CP239" s="66">
        <v>0</v>
      </c>
      <c r="CQ239" s="66">
        <v>0</v>
      </c>
      <c r="CR239" s="66">
        <v>0</v>
      </c>
      <c r="CS239" s="66">
        <v>0</v>
      </c>
      <c r="CT239" s="66">
        <v>0</v>
      </c>
      <c r="CU239" s="66">
        <v>0</v>
      </c>
      <c r="CV239" s="66">
        <v>0</v>
      </c>
      <c r="CW239" s="66">
        <v>0</v>
      </c>
      <c r="CX239" s="66">
        <v>0</v>
      </c>
      <c r="CY239" s="66">
        <v>0</v>
      </c>
      <c r="CZ239" s="66">
        <v>0</v>
      </c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>
        <f>SUM(Table1[[#This Row],[01-03 Apr]:[Mar-26]])</f>
        <v>0</v>
      </c>
    </row>
    <row r="240" spans="1:115" hidden="1" x14ac:dyDescent="0.2">
      <c r="A240" s="28" t="s">
        <v>2253</v>
      </c>
      <c r="B240" s="29" t="s">
        <v>73</v>
      </c>
      <c r="C240" s="29" t="s">
        <v>74</v>
      </c>
      <c r="D240" s="30" t="s">
        <v>75</v>
      </c>
      <c r="E240" s="30" t="s">
        <v>217</v>
      </c>
      <c r="F240" s="30"/>
      <c r="G240" s="31">
        <v>44746</v>
      </c>
      <c r="H240" s="30">
        <v>359777</v>
      </c>
      <c r="I240" s="30" t="str">
        <f>IF(Table1[[#This Row],[Centre Status]]="Returned","NA",IF(Table1[[#This Row],[SD]]&gt;19000,"Full Payment",IF(Table1[[#This Row],[SD]]&lt;1,"No Payment","Partial Payment")))</f>
        <v>Full Payment</v>
      </c>
      <c r="J240" s="30" t="s">
        <v>58</v>
      </c>
      <c r="K240" s="32">
        <v>64000</v>
      </c>
      <c r="L240" s="33">
        <f>Q240+R240+U240+Table1[[#This Row],[Farmer Payment]]</f>
        <v>64000</v>
      </c>
      <c r="M240" s="30"/>
      <c r="N240" s="34"/>
      <c r="O240" s="34"/>
      <c r="P240" s="35">
        <f t="shared" si="43"/>
        <v>0</v>
      </c>
      <c r="Q240" s="33">
        <f>AI240+AV240+CK240+Table1[[#This Row],[FY 25-26]]</f>
        <v>44000</v>
      </c>
      <c r="R240" s="36">
        <v>20000</v>
      </c>
      <c r="S240" s="37" t="s">
        <v>76</v>
      </c>
      <c r="T240" s="38">
        <v>44658</v>
      </c>
      <c r="U240" s="39"/>
      <c r="V240" s="39"/>
      <c r="W240" s="40">
        <v>4611.9816000000001</v>
      </c>
      <c r="X240" s="40">
        <v>5012.7157999999999</v>
      </c>
      <c r="Y240" s="40">
        <v>4732.5667999999987</v>
      </c>
      <c r="Z240" s="40">
        <v>2423.2910000000006</v>
      </c>
      <c r="AA240" s="40">
        <v>2176.2140000000004</v>
      </c>
      <c r="AB240" s="40">
        <v>703</v>
      </c>
      <c r="AC240" s="40">
        <v>344</v>
      </c>
      <c r="AD240" s="40">
        <v>1842</v>
      </c>
      <c r="AE240" s="40">
        <v>2002.8338000000001</v>
      </c>
      <c r="AF240" s="40">
        <v>2711.2685999999999</v>
      </c>
      <c r="AG240" s="40">
        <v>3297.8103999999998</v>
      </c>
      <c r="AH240" s="40">
        <v>4511.7946000000002</v>
      </c>
      <c r="AI240" s="41">
        <f t="shared" si="44"/>
        <v>34369.476599999995</v>
      </c>
      <c r="AJ240" s="42">
        <v>1888.5346000000006</v>
      </c>
      <c r="AK240" s="42">
        <v>1861</v>
      </c>
      <c r="AL240" s="42">
        <v>2183.9896000000003</v>
      </c>
      <c r="AM240" s="42">
        <v>3696.9992000000057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f t="shared" si="45"/>
        <v>9630.5234000000073</v>
      </c>
      <c r="AW240" s="42">
        <v>0</v>
      </c>
      <c r="AX240" s="42">
        <v>0</v>
      </c>
      <c r="AY240" s="42">
        <v>0</v>
      </c>
      <c r="AZ240" s="42">
        <v>0</v>
      </c>
      <c r="BA240" s="42">
        <v>0</v>
      </c>
      <c r="BB240" s="42">
        <v>0</v>
      </c>
      <c r="BC240" s="42">
        <v>0</v>
      </c>
      <c r="BD240" s="42">
        <v>0</v>
      </c>
      <c r="BE240" s="42">
        <v>0</v>
      </c>
      <c r="BF240" s="42">
        <v>0</v>
      </c>
      <c r="BG240" s="42">
        <v>0</v>
      </c>
      <c r="BH240" s="42">
        <v>0</v>
      </c>
      <c r="BI240" s="42">
        <v>0</v>
      </c>
      <c r="BJ240" s="42">
        <v>0</v>
      </c>
      <c r="BK240" s="42">
        <v>0</v>
      </c>
      <c r="BL240" s="42">
        <v>0</v>
      </c>
      <c r="BM240" s="42">
        <v>0</v>
      </c>
      <c r="BN240" s="42">
        <v>0</v>
      </c>
      <c r="BO240" s="42">
        <v>0</v>
      </c>
      <c r="BP240" s="42">
        <v>0</v>
      </c>
      <c r="BQ240" s="42">
        <v>0</v>
      </c>
      <c r="BR240" s="42">
        <v>0</v>
      </c>
      <c r="BS240" s="42">
        <v>0</v>
      </c>
      <c r="BT240" s="42">
        <v>0</v>
      </c>
      <c r="BU240" s="42">
        <v>0</v>
      </c>
      <c r="BV240" s="42">
        <v>0</v>
      </c>
      <c r="BW240" s="42">
        <v>0</v>
      </c>
      <c r="BX240" s="42">
        <v>0</v>
      </c>
      <c r="BY240" s="42">
        <v>0</v>
      </c>
      <c r="BZ240" s="42">
        <v>0</v>
      </c>
      <c r="CA240" s="42">
        <v>0</v>
      </c>
      <c r="CB240" s="42">
        <v>0</v>
      </c>
      <c r="CC240" s="42">
        <v>0</v>
      </c>
      <c r="CD240" s="42">
        <v>0</v>
      </c>
      <c r="CE240" s="42">
        <v>0</v>
      </c>
      <c r="CF240" s="42">
        <v>0</v>
      </c>
      <c r="CG240" s="42">
        <v>0</v>
      </c>
      <c r="CH240" s="42">
        <v>0</v>
      </c>
      <c r="CI240" s="42">
        <v>0</v>
      </c>
      <c r="CJ240" s="42">
        <v>0</v>
      </c>
      <c r="CK240" s="43">
        <f t="shared" si="46"/>
        <v>0</v>
      </c>
      <c r="CL240" s="66"/>
      <c r="CM240" s="66">
        <v>0</v>
      </c>
      <c r="CN240" s="66">
        <v>0</v>
      </c>
      <c r="CO240" s="66">
        <v>0</v>
      </c>
      <c r="CP240" s="66">
        <v>0</v>
      </c>
      <c r="CQ240" s="66">
        <v>0</v>
      </c>
      <c r="CR240" s="66">
        <v>0</v>
      </c>
      <c r="CS240" s="66">
        <v>0</v>
      </c>
      <c r="CT240" s="66">
        <v>0</v>
      </c>
      <c r="CU240" s="66">
        <v>0</v>
      </c>
      <c r="CV240" s="66">
        <v>0</v>
      </c>
      <c r="CW240" s="66">
        <v>0</v>
      </c>
      <c r="CX240" s="66">
        <v>0</v>
      </c>
      <c r="CY240" s="66">
        <v>0</v>
      </c>
      <c r="CZ240" s="66">
        <v>0</v>
      </c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>
        <f>SUM(Table1[[#This Row],[01-03 Apr]:[Mar-26]])</f>
        <v>0</v>
      </c>
    </row>
    <row r="241" spans="1:115" x14ac:dyDescent="0.2">
      <c r="A241" s="28" t="s">
        <v>2254</v>
      </c>
      <c r="B241" s="29" t="s">
        <v>77</v>
      </c>
      <c r="C241" s="29" t="s">
        <v>78</v>
      </c>
      <c r="D241" s="30" t="s">
        <v>79</v>
      </c>
      <c r="E241" s="30" t="s">
        <v>217</v>
      </c>
      <c r="F241" s="30"/>
      <c r="G241" s="31"/>
      <c r="H241" s="30">
        <v>371233</v>
      </c>
      <c r="I241" s="30" t="str">
        <f>IF(Table1[[#This Row],[Centre Status]]="Returned","NA",IF(Table1[[#This Row],[SD]]&gt;19000,"Full Payment",IF(Table1[[#This Row],[SD]]&lt;1,"No Payment","Partial Payment")))</f>
        <v>No Payment</v>
      </c>
      <c r="J241" s="30" t="s">
        <v>58</v>
      </c>
      <c r="K241" s="32">
        <v>110000</v>
      </c>
      <c r="L241" s="33">
        <f>Q241+R241+U241+Table1[[#This Row],[Farmer Payment]]</f>
        <v>110000</v>
      </c>
      <c r="M241" s="30"/>
      <c r="N241" s="34"/>
      <c r="O241" s="34"/>
      <c r="P241" s="35">
        <f t="shared" si="43"/>
        <v>0</v>
      </c>
      <c r="Q241" s="33">
        <f>AI241+AV241+CK241+Table1[[#This Row],[FY 25-26]]</f>
        <v>110000</v>
      </c>
      <c r="R241" s="36">
        <v>0</v>
      </c>
      <c r="S241" s="37"/>
      <c r="T241" s="38"/>
      <c r="U241" s="39"/>
      <c r="V241" s="39"/>
      <c r="W241" s="40">
        <v>4419.4991999999993</v>
      </c>
      <c r="X241" s="40">
        <v>5544.2641999999996</v>
      </c>
      <c r="Y241" s="40">
        <v>4813.2066000000004</v>
      </c>
      <c r="Z241" s="40">
        <v>3725.2688000000003</v>
      </c>
      <c r="AA241" s="40">
        <v>3613.7857999999997</v>
      </c>
      <c r="AB241" s="40">
        <v>2221.6930000000002</v>
      </c>
      <c r="AC241" s="40">
        <v>2235.4097999999999</v>
      </c>
      <c r="AD241" s="40">
        <v>4192.902</v>
      </c>
      <c r="AE241" s="40">
        <v>4289.2147999999997</v>
      </c>
      <c r="AF241" s="40">
        <v>2000</v>
      </c>
      <c r="AG241" s="40">
        <v>6848.3512000000001</v>
      </c>
      <c r="AH241" s="40">
        <v>2000</v>
      </c>
      <c r="AI241" s="41">
        <f t="shared" si="44"/>
        <v>45903.595400000006</v>
      </c>
      <c r="AJ241" s="42">
        <v>2000</v>
      </c>
      <c r="AK241" s="42">
        <v>2000</v>
      </c>
      <c r="AL241" s="42">
        <v>2000</v>
      </c>
      <c r="AM241" s="42">
        <v>2000</v>
      </c>
      <c r="AN241" s="42">
        <v>2000</v>
      </c>
      <c r="AO241" s="42">
        <v>2000</v>
      </c>
      <c r="AP241" s="42">
        <v>2000</v>
      </c>
      <c r="AQ241" s="42">
        <v>2000</v>
      </c>
      <c r="AR241" s="42">
        <v>2000</v>
      </c>
      <c r="AS241" s="42">
        <v>2000</v>
      </c>
      <c r="AT241" s="42">
        <v>2000</v>
      </c>
      <c r="AU241" s="42">
        <v>2000</v>
      </c>
      <c r="AV241" s="42">
        <f t="shared" si="45"/>
        <v>24000</v>
      </c>
      <c r="AW241" s="42">
        <v>2000</v>
      </c>
      <c r="AX241" s="42">
        <v>2000</v>
      </c>
      <c r="AY241" s="42">
        <v>2000</v>
      </c>
      <c r="AZ241" s="42">
        <v>2000</v>
      </c>
      <c r="BA241" s="42">
        <v>2000</v>
      </c>
      <c r="BB241" s="42">
        <v>0</v>
      </c>
      <c r="BC241" s="42">
        <v>8451.9413789760547</v>
      </c>
      <c r="BD241" s="42">
        <v>0</v>
      </c>
      <c r="BE241" s="42">
        <v>0</v>
      </c>
      <c r="BF241" s="42">
        <v>0</v>
      </c>
      <c r="BG241" s="42">
        <v>0</v>
      </c>
      <c r="BH241" s="42">
        <v>0</v>
      </c>
      <c r="BI241" s="42">
        <v>6624.3648227523499</v>
      </c>
      <c r="BJ241" s="42">
        <v>0</v>
      </c>
      <c r="BK241" s="42">
        <v>0</v>
      </c>
      <c r="BL241" s="42">
        <v>0</v>
      </c>
      <c r="BM241" s="42">
        <v>0</v>
      </c>
      <c r="BN241" s="42">
        <v>7210.0187806059012</v>
      </c>
      <c r="BO241" s="42">
        <v>0</v>
      </c>
      <c r="BP241" s="42">
        <v>0</v>
      </c>
      <c r="BQ241" s="42">
        <v>0</v>
      </c>
      <c r="BR241" s="42">
        <v>0</v>
      </c>
      <c r="BS241" s="42">
        <v>7810.0796176656877</v>
      </c>
      <c r="BT241" s="42">
        <v>0</v>
      </c>
      <c r="BU241" s="42">
        <v>0</v>
      </c>
      <c r="BV241" s="42">
        <v>0</v>
      </c>
      <c r="BW241" s="42">
        <v>0</v>
      </c>
      <c r="BX241" s="42">
        <v>0</v>
      </c>
      <c r="BY241" s="42">
        <v>0</v>
      </c>
      <c r="BZ241" s="42">
        <v>0</v>
      </c>
      <c r="CA241" s="42">
        <v>0</v>
      </c>
      <c r="CB241" s="42">
        <v>0</v>
      </c>
      <c r="CC241" s="42">
        <v>0</v>
      </c>
      <c r="CD241" s="42">
        <v>0</v>
      </c>
      <c r="CE241" s="42">
        <v>0</v>
      </c>
      <c r="CF241" s="42">
        <v>0</v>
      </c>
      <c r="CG241" s="42">
        <v>0</v>
      </c>
      <c r="CH241" s="42">
        <v>0</v>
      </c>
      <c r="CI241" s="42">
        <v>0</v>
      </c>
      <c r="CJ241" s="42">
        <v>0</v>
      </c>
      <c r="CK241" s="43">
        <f t="shared" si="46"/>
        <v>40096.404599999994</v>
      </c>
      <c r="CL241" s="66"/>
      <c r="CM241" s="66">
        <v>0</v>
      </c>
      <c r="CN241" s="66">
        <v>0</v>
      </c>
      <c r="CO241" s="66">
        <v>0</v>
      </c>
      <c r="CP241" s="66">
        <v>0</v>
      </c>
      <c r="CQ241" s="66">
        <v>0</v>
      </c>
      <c r="CR241" s="66">
        <v>0</v>
      </c>
      <c r="CS241" s="66">
        <v>0</v>
      </c>
      <c r="CT241" s="66">
        <v>0</v>
      </c>
      <c r="CU241" s="66">
        <v>0</v>
      </c>
      <c r="CV241" s="66">
        <v>0</v>
      </c>
      <c r="CW241" s="66">
        <v>0</v>
      </c>
      <c r="CX241" s="66">
        <v>0</v>
      </c>
      <c r="CY241" s="66">
        <v>0</v>
      </c>
      <c r="CZ241" s="66">
        <v>0</v>
      </c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>
        <f>SUM(Table1[[#This Row],[01-03 Apr]:[Mar-26]])</f>
        <v>0</v>
      </c>
    </row>
    <row r="242" spans="1:115" x14ac:dyDescent="0.2">
      <c r="A242" s="28" t="s">
        <v>2363</v>
      </c>
      <c r="B242" s="29" t="s">
        <v>80</v>
      </c>
      <c r="C242" s="29" t="s">
        <v>81</v>
      </c>
      <c r="D242" s="30" t="s">
        <v>82</v>
      </c>
      <c r="E242" s="30" t="s">
        <v>217</v>
      </c>
      <c r="F242" s="30"/>
      <c r="G242" s="31">
        <v>44746</v>
      </c>
      <c r="H242" s="30">
        <v>384000</v>
      </c>
      <c r="I242" s="30" t="str">
        <f>IF(Table1[[#This Row],[Centre Status]]="Returned","NA",IF(Table1[[#This Row],[SD]]&gt;19000,"Full Payment",IF(Table1[[#This Row],[SD]]&lt;1,"No Payment","Partial Payment")))</f>
        <v>No Payment</v>
      </c>
      <c r="J242" s="30" t="s">
        <v>58</v>
      </c>
      <c r="K242" s="32">
        <v>64000</v>
      </c>
      <c r="L242" s="33">
        <f>Q242+R242+U242+Table1[[#This Row],[Farmer Payment]]</f>
        <v>64000</v>
      </c>
      <c r="M242" s="30"/>
      <c r="N242" s="34"/>
      <c r="O242" s="34"/>
      <c r="P242" s="35">
        <f t="shared" si="43"/>
        <v>0</v>
      </c>
      <c r="Q242" s="33">
        <f>AI242+AV242+CK242+Table1[[#This Row],[FY 25-26]]</f>
        <v>64000</v>
      </c>
      <c r="R242" s="36">
        <v>0</v>
      </c>
      <c r="S242" s="37"/>
      <c r="T242" s="38"/>
      <c r="U242" s="39"/>
      <c r="V242" s="39"/>
      <c r="W242" s="40">
        <v>3477.5664000000002</v>
      </c>
      <c r="X242" s="40">
        <v>4575.2097999999996</v>
      </c>
      <c r="Y242" s="40">
        <v>4958.7847999999985</v>
      </c>
      <c r="Z242" s="40">
        <v>5265.6230000000005</v>
      </c>
      <c r="AA242" s="40">
        <v>6856.4853999999996</v>
      </c>
      <c r="AB242" s="40">
        <v>5092.7599999999993</v>
      </c>
      <c r="AC242" s="40">
        <v>5280.9310000000014</v>
      </c>
      <c r="AD242" s="40">
        <v>6129.3621999999996</v>
      </c>
      <c r="AE242" s="40">
        <v>5443.7802000000001</v>
      </c>
      <c r="AF242" s="40">
        <v>7965.5260000000007</v>
      </c>
      <c r="AG242" s="40">
        <v>2000</v>
      </c>
      <c r="AH242" s="40">
        <v>6953.9712000000072</v>
      </c>
      <c r="AI242" s="41">
        <f t="shared" si="44"/>
        <v>64000</v>
      </c>
      <c r="AJ242" s="42">
        <v>0</v>
      </c>
      <c r="AK242" s="42">
        <v>0</v>
      </c>
      <c r="AL242" s="42">
        <v>0</v>
      </c>
      <c r="AM242" s="42">
        <v>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f t="shared" si="45"/>
        <v>0</v>
      </c>
      <c r="AW242" s="42">
        <v>0</v>
      </c>
      <c r="AX242" s="42">
        <v>0</v>
      </c>
      <c r="AY242" s="42">
        <v>0</v>
      </c>
      <c r="AZ242" s="42">
        <v>0</v>
      </c>
      <c r="BA242" s="42">
        <v>0</v>
      </c>
      <c r="BB242" s="42">
        <v>0</v>
      </c>
      <c r="BC242" s="42">
        <v>0</v>
      </c>
      <c r="BD242" s="42">
        <v>0</v>
      </c>
      <c r="BE242" s="42">
        <v>0</v>
      </c>
      <c r="BF242" s="42">
        <v>0</v>
      </c>
      <c r="BG242" s="42">
        <v>0</v>
      </c>
      <c r="BH242" s="42">
        <v>0</v>
      </c>
      <c r="BI242" s="42">
        <v>0</v>
      </c>
      <c r="BJ242" s="42">
        <v>0</v>
      </c>
      <c r="BK242" s="42">
        <v>0</v>
      </c>
      <c r="BL242" s="42">
        <v>0</v>
      </c>
      <c r="BM242" s="42">
        <v>0</v>
      </c>
      <c r="BN242" s="42">
        <v>0</v>
      </c>
      <c r="BO242" s="42">
        <v>0</v>
      </c>
      <c r="BP242" s="42">
        <v>0</v>
      </c>
      <c r="BQ242" s="42">
        <v>0</v>
      </c>
      <c r="BR242" s="42">
        <v>0</v>
      </c>
      <c r="BS242" s="42">
        <v>0</v>
      </c>
      <c r="BT242" s="42">
        <v>0</v>
      </c>
      <c r="BU242" s="42">
        <v>0</v>
      </c>
      <c r="BV242" s="42">
        <v>0</v>
      </c>
      <c r="BW242" s="42">
        <v>0</v>
      </c>
      <c r="BX242" s="42">
        <v>0</v>
      </c>
      <c r="BY242" s="42">
        <v>0</v>
      </c>
      <c r="BZ242" s="42">
        <v>0</v>
      </c>
      <c r="CA242" s="42">
        <v>0</v>
      </c>
      <c r="CB242" s="42">
        <v>0</v>
      </c>
      <c r="CC242" s="42">
        <v>0</v>
      </c>
      <c r="CD242" s="42">
        <v>0</v>
      </c>
      <c r="CE242" s="42">
        <v>0</v>
      </c>
      <c r="CF242" s="42">
        <v>0</v>
      </c>
      <c r="CG242" s="42">
        <v>0</v>
      </c>
      <c r="CH242" s="42">
        <v>0</v>
      </c>
      <c r="CI242" s="42">
        <v>0</v>
      </c>
      <c r="CJ242" s="42">
        <v>0</v>
      </c>
      <c r="CK242" s="43">
        <f t="shared" si="46"/>
        <v>0</v>
      </c>
      <c r="CL242" s="66"/>
      <c r="CM242" s="66">
        <v>0</v>
      </c>
      <c r="CN242" s="66">
        <v>0</v>
      </c>
      <c r="CO242" s="66">
        <v>0</v>
      </c>
      <c r="CP242" s="66">
        <v>0</v>
      </c>
      <c r="CQ242" s="66">
        <v>0</v>
      </c>
      <c r="CR242" s="66">
        <v>0</v>
      </c>
      <c r="CS242" s="66">
        <v>0</v>
      </c>
      <c r="CT242" s="66">
        <v>0</v>
      </c>
      <c r="CU242" s="66">
        <v>0</v>
      </c>
      <c r="CV242" s="66">
        <v>0</v>
      </c>
      <c r="CW242" s="66">
        <v>0</v>
      </c>
      <c r="CX242" s="66">
        <v>0</v>
      </c>
      <c r="CY242" s="66">
        <v>0</v>
      </c>
      <c r="CZ242" s="66">
        <v>0</v>
      </c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>
        <f>SUM(Table1[[#This Row],[01-03 Apr]:[Mar-26]])</f>
        <v>0</v>
      </c>
    </row>
    <row r="243" spans="1:115" hidden="1" x14ac:dyDescent="0.2">
      <c r="A243" s="28" t="s">
        <v>2253</v>
      </c>
      <c r="B243" s="29" t="s">
        <v>83</v>
      </c>
      <c r="C243" s="29" t="s">
        <v>3336</v>
      </c>
      <c r="D243" s="30" t="s">
        <v>84</v>
      </c>
      <c r="E243" s="30" t="s">
        <v>85</v>
      </c>
      <c r="F243" s="30"/>
      <c r="G243" s="31">
        <v>44777</v>
      </c>
      <c r="H243" s="30">
        <v>359356</v>
      </c>
      <c r="I243" s="30" t="str">
        <f>IF(Table1[[#This Row],[Centre Status]]="Returned","NA",IF(Table1[[#This Row],[SD]]&gt;19000,"Full Payment",IF(Table1[[#This Row],[SD]]&lt;1,"No Payment","Partial Payment")))</f>
        <v>Full Payment</v>
      </c>
      <c r="J243" s="30" t="s">
        <v>58</v>
      </c>
      <c r="K243" s="32">
        <v>110000</v>
      </c>
      <c r="L243" s="33">
        <f>Q243+R243+U243+Table1[[#This Row],[Farmer Payment]]</f>
        <v>44368.398800000003</v>
      </c>
      <c r="M243" s="30"/>
      <c r="N243" s="34"/>
      <c r="O243" s="34"/>
      <c r="P243" s="35">
        <f t="shared" si="43"/>
        <v>65631.601200000005</v>
      </c>
      <c r="Q243" s="33">
        <f>AI243+AV243+CK243+Table1[[#This Row],[FY 25-26]]</f>
        <v>24368.398800000003</v>
      </c>
      <c r="R243" s="36">
        <v>20000</v>
      </c>
      <c r="S243" s="37" t="s">
        <v>86</v>
      </c>
      <c r="T243" s="38">
        <v>44646</v>
      </c>
      <c r="U243" s="39"/>
      <c r="V243" s="39"/>
      <c r="W243" s="40">
        <v>811</v>
      </c>
      <c r="X243" s="40">
        <v>2340.1004000000003</v>
      </c>
      <c r="Y243" s="40">
        <v>1861</v>
      </c>
      <c r="Z243" s="40">
        <v>2134.3235999999997</v>
      </c>
      <c r="AA243" s="40">
        <v>2855.9334000000003</v>
      </c>
      <c r="AB243" s="40">
        <v>2076.1644000000006</v>
      </c>
      <c r="AC243" s="40">
        <v>2405.1412</v>
      </c>
      <c r="AD243" s="40">
        <v>2349.4607999999998</v>
      </c>
      <c r="AE243" s="40">
        <v>2100.9162000000001</v>
      </c>
      <c r="AF243" s="40">
        <v>2728.3588</v>
      </c>
      <c r="AG243" s="40">
        <v>2000</v>
      </c>
      <c r="AH243" s="40">
        <v>706</v>
      </c>
      <c r="AI243" s="41">
        <f t="shared" si="44"/>
        <v>24368.398800000003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f t="shared" si="45"/>
        <v>0</v>
      </c>
      <c r="AW243" s="42">
        <v>0</v>
      </c>
      <c r="AX243" s="42">
        <v>0</v>
      </c>
      <c r="AY243" s="42">
        <v>0</v>
      </c>
      <c r="AZ243" s="42">
        <v>0</v>
      </c>
      <c r="BA243" s="42">
        <v>0</v>
      </c>
      <c r="BB243" s="42">
        <v>0</v>
      </c>
      <c r="BC243" s="42">
        <v>0</v>
      </c>
      <c r="BD243" s="42">
        <v>0</v>
      </c>
      <c r="BE243" s="42">
        <v>0</v>
      </c>
      <c r="BF243" s="42">
        <v>0</v>
      </c>
      <c r="BG243" s="42">
        <v>0</v>
      </c>
      <c r="BH243" s="42">
        <v>0</v>
      </c>
      <c r="BI243" s="42">
        <v>0</v>
      </c>
      <c r="BJ243" s="42">
        <v>0</v>
      </c>
      <c r="BK243" s="42">
        <v>0</v>
      </c>
      <c r="BL243" s="42">
        <v>0</v>
      </c>
      <c r="BM243" s="42">
        <v>0</v>
      </c>
      <c r="BN243" s="42">
        <v>0</v>
      </c>
      <c r="BO243" s="42">
        <v>0</v>
      </c>
      <c r="BP243" s="42">
        <v>0</v>
      </c>
      <c r="BQ243" s="42">
        <v>0</v>
      </c>
      <c r="BR243" s="42">
        <v>0</v>
      </c>
      <c r="BS243" s="42">
        <v>0</v>
      </c>
      <c r="BT243" s="42">
        <v>0</v>
      </c>
      <c r="BU243" s="42">
        <v>0</v>
      </c>
      <c r="BV243" s="42">
        <v>0</v>
      </c>
      <c r="BW243" s="42">
        <v>0</v>
      </c>
      <c r="BX243" s="42">
        <v>0</v>
      </c>
      <c r="BY243" s="42">
        <v>0</v>
      </c>
      <c r="BZ243" s="42">
        <v>0</v>
      </c>
      <c r="CA243" s="42">
        <v>0</v>
      </c>
      <c r="CB243" s="42">
        <v>0</v>
      </c>
      <c r="CC243" s="42">
        <v>0</v>
      </c>
      <c r="CD243" s="42">
        <v>0</v>
      </c>
      <c r="CE243" s="42">
        <v>0</v>
      </c>
      <c r="CF243" s="42">
        <v>0</v>
      </c>
      <c r="CG243" s="42">
        <v>0</v>
      </c>
      <c r="CH243" s="42">
        <v>0</v>
      </c>
      <c r="CI243" s="42">
        <v>0</v>
      </c>
      <c r="CJ243" s="42">
        <v>0</v>
      </c>
      <c r="CK243" s="43">
        <f t="shared" si="46"/>
        <v>0</v>
      </c>
      <c r="CL243" s="66"/>
      <c r="CM243" s="66">
        <v>0</v>
      </c>
      <c r="CN243" s="66">
        <v>0</v>
      </c>
      <c r="CO243" s="66">
        <v>0</v>
      </c>
      <c r="CP243" s="66">
        <v>0</v>
      </c>
      <c r="CQ243" s="66">
        <v>0</v>
      </c>
      <c r="CR243" s="66">
        <v>0</v>
      </c>
      <c r="CS243" s="66">
        <v>0</v>
      </c>
      <c r="CT243" s="66">
        <v>0</v>
      </c>
      <c r="CU243" s="66">
        <v>0</v>
      </c>
      <c r="CV243" s="66">
        <v>0</v>
      </c>
      <c r="CW243" s="66">
        <v>0</v>
      </c>
      <c r="CX243" s="66">
        <v>0</v>
      </c>
      <c r="CY243" s="66">
        <v>0</v>
      </c>
      <c r="CZ243" s="66">
        <v>0</v>
      </c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>
        <f>SUM(Table1[[#This Row],[01-03 Apr]:[Mar-26]])</f>
        <v>0</v>
      </c>
    </row>
    <row r="244" spans="1:115" hidden="1" x14ac:dyDescent="0.2">
      <c r="A244" s="28" t="s">
        <v>2253</v>
      </c>
      <c r="B244" s="29" t="s">
        <v>87</v>
      </c>
      <c r="C244" s="29" t="s">
        <v>88</v>
      </c>
      <c r="D244" s="30" t="s">
        <v>89</v>
      </c>
      <c r="E244" s="30" t="s">
        <v>1321</v>
      </c>
      <c r="F244" s="30"/>
      <c r="G244" s="31"/>
      <c r="H244" s="30">
        <v>361581</v>
      </c>
      <c r="I244" s="30" t="str">
        <f>IF(Table1[[#This Row],[Centre Status]]="Returned","NA",IF(Table1[[#This Row],[SD]]&gt;19000,"Full Payment",IF(Table1[[#This Row],[SD]]&lt;1,"No Payment","Partial Payment")))</f>
        <v>Full Payment</v>
      </c>
      <c r="J244" s="30" t="s">
        <v>58</v>
      </c>
      <c r="K244" s="32">
        <v>110000</v>
      </c>
      <c r="L244" s="33">
        <f>Q244+R244+U244+Table1[[#This Row],[Farmer Payment]]</f>
        <v>65562.896597840183</v>
      </c>
      <c r="M244" s="30"/>
      <c r="N244" s="34"/>
      <c r="O244" s="34"/>
      <c r="P244" s="35">
        <f t="shared" si="43"/>
        <v>44437.103402159817</v>
      </c>
      <c r="Q244" s="33">
        <f>AI244+AV244+CK244+Table1[[#This Row],[FY 25-26]]</f>
        <v>45562.896597840183</v>
      </c>
      <c r="R244" s="36">
        <v>20000</v>
      </c>
      <c r="S244" s="37" t="s">
        <v>90</v>
      </c>
      <c r="T244" s="38">
        <v>45188</v>
      </c>
      <c r="U244" s="39"/>
      <c r="V244" s="39"/>
      <c r="W244" s="40">
        <v>0</v>
      </c>
      <c r="X244" s="40">
        <v>0</v>
      </c>
      <c r="Y244" s="40">
        <v>0</v>
      </c>
      <c r="Z244" s="40">
        <v>0</v>
      </c>
      <c r="AA244" s="40">
        <v>0</v>
      </c>
      <c r="AB244" s="40">
        <v>0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1">
        <f t="shared" si="44"/>
        <v>0</v>
      </c>
      <c r="AJ244" s="42">
        <v>0</v>
      </c>
      <c r="AK244" s="42">
        <v>0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>
        <v>2420.0352000000003</v>
      </c>
      <c r="AS244" s="42">
        <v>3828.2654000000002</v>
      </c>
      <c r="AT244" s="42">
        <v>3182.9504000000006</v>
      </c>
      <c r="AU244" s="42">
        <v>2685.5231999999996</v>
      </c>
      <c r="AV244" s="42">
        <f t="shared" si="45"/>
        <v>12116.7742</v>
      </c>
      <c r="AW244" s="42">
        <v>2019.6564353685599</v>
      </c>
      <c r="AX244" s="42">
        <v>1861</v>
      </c>
      <c r="AY244" s="42">
        <v>1584</v>
      </c>
      <c r="AZ244" s="42">
        <v>2061.9433801787764</v>
      </c>
      <c r="BA244" s="42">
        <v>2043.2416786670096</v>
      </c>
      <c r="BB244" s="42">
        <v>0</v>
      </c>
      <c r="BC244" s="42">
        <v>2463.2678072169283</v>
      </c>
      <c r="BD244" s="42">
        <v>0</v>
      </c>
      <c r="BE244" s="42">
        <v>0</v>
      </c>
      <c r="BF244" s="42">
        <v>0</v>
      </c>
      <c r="BG244" s="42">
        <v>0</v>
      </c>
      <c r="BH244" s="42">
        <v>0</v>
      </c>
      <c r="BI244" s="42">
        <v>1861</v>
      </c>
      <c r="BJ244" s="42">
        <v>0</v>
      </c>
      <c r="BK244" s="42">
        <v>0</v>
      </c>
      <c r="BL244" s="42">
        <v>0</v>
      </c>
      <c r="BM244" s="42">
        <v>0</v>
      </c>
      <c r="BN244" s="42">
        <v>1992.0136299796281</v>
      </c>
      <c r="BO244" s="42">
        <v>0</v>
      </c>
      <c r="BP244" s="42">
        <v>0</v>
      </c>
      <c r="BQ244" s="42">
        <v>0</v>
      </c>
      <c r="BR244" s="42">
        <v>0</v>
      </c>
      <c r="BS244" s="42">
        <v>2645.2632025199005</v>
      </c>
      <c r="BT244" s="42">
        <v>0</v>
      </c>
      <c r="BU244" s="42">
        <v>0</v>
      </c>
      <c r="BV244" s="42">
        <v>0</v>
      </c>
      <c r="BW244" s="42">
        <v>0</v>
      </c>
      <c r="BX244" s="42">
        <v>0</v>
      </c>
      <c r="BY244" s="42">
        <v>2453.9725168739578</v>
      </c>
      <c r="BZ244" s="42">
        <v>0</v>
      </c>
      <c r="CA244" s="42">
        <v>0</v>
      </c>
      <c r="CB244" s="42">
        <v>0</v>
      </c>
      <c r="CC244" s="42">
        <v>0</v>
      </c>
      <c r="CD244" s="42">
        <v>2944.1122597266844</v>
      </c>
      <c r="CE244" s="42">
        <v>0</v>
      </c>
      <c r="CF244" s="42">
        <v>0</v>
      </c>
      <c r="CG244" s="42">
        <v>0</v>
      </c>
      <c r="CH244" s="42">
        <v>0</v>
      </c>
      <c r="CI244" s="42">
        <v>0</v>
      </c>
      <c r="CJ244" s="42">
        <v>3654.8576375036459</v>
      </c>
      <c r="CK244" s="43">
        <f t="shared" si="46"/>
        <v>27584.328548035093</v>
      </c>
      <c r="CL244" s="66"/>
      <c r="CM244" s="66">
        <v>0</v>
      </c>
      <c r="CN244" s="66">
        <v>0</v>
      </c>
      <c r="CO244" s="66">
        <v>0</v>
      </c>
      <c r="CP244" s="66">
        <v>3510.4004100349221</v>
      </c>
      <c r="CQ244" s="66">
        <v>0</v>
      </c>
      <c r="CR244" s="66">
        <v>0</v>
      </c>
      <c r="CS244" s="66">
        <v>0</v>
      </c>
      <c r="CT244" s="66">
        <v>0</v>
      </c>
      <c r="CU244" s="66">
        <v>0</v>
      </c>
      <c r="CV244" s="66">
        <v>2351.3934397701723</v>
      </c>
      <c r="CW244" s="66">
        <v>0</v>
      </c>
      <c r="CX244" s="66">
        <v>0</v>
      </c>
      <c r="CY244" s="66">
        <v>0</v>
      </c>
      <c r="CZ244" s="66">
        <v>0</v>
      </c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>
        <f>SUM(Table1[[#This Row],[01-03 Apr]:[Mar-26]])</f>
        <v>5861.7938498050944</v>
      </c>
    </row>
    <row r="245" spans="1:115" hidden="1" x14ac:dyDescent="0.2">
      <c r="A245" s="28" t="s">
        <v>2254</v>
      </c>
      <c r="B245" s="29" t="s">
        <v>91</v>
      </c>
      <c r="C245" s="29" t="s">
        <v>92</v>
      </c>
      <c r="D245" s="30" t="s">
        <v>93</v>
      </c>
      <c r="E245" s="30" t="s">
        <v>85</v>
      </c>
      <c r="F245" s="30"/>
      <c r="G245" s="31">
        <v>44777</v>
      </c>
      <c r="H245" s="30">
        <v>383534</v>
      </c>
      <c r="I245" s="30" t="str">
        <f>IF(Table1[[#This Row],[Centre Status]]="Returned","NA",IF(Table1[[#This Row],[SD]]&gt;19000,"Full Payment",IF(Table1[[#This Row],[SD]]&lt;1,"No Payment","Partial Payment")))</f>
        <v>Full Payment</v>
      </c>
      <c r="J245" s="30" t="s">
        <v>58</v>
      </c>
      <c r="K245" s="32">
        <v>110000</v>
      </c>
      <c r="L245" s="33">
        <f>Q245+R245+U245+Table1[[#This Row],[Farmer Payment]]</f>
        <v>93652.654081672954</v>
      </c>
      <c r="M245" s="30"/>
      <c r="N245" s="34"/>
      <c r="O245" s="34"/>
      <c r="P245" s="35">
        <f t="shared" si="43"/>
        <v>16347.345918327046</v>
      </c>
      <c r="Q245" s="33">
        <f>AI245+AV245+CK245+Table1[[#This Row],[FY 25-26]]</f>
        <v>73652.654081672954</v>
      </c>
      <c r="R245" s="36">
        <v>20000</v>
      </c>
      <c r="S245" s="37" t="s">
        <v>94</v>
      </c>
      <c r="T245" s="38">
        <v>44647</v>
      </c>
      <c r="U245" s="39"/>
      <c r="V245" s="39"/>
      <c r="W245" s="40">
        <v>779</v>
      </c>
      <c r="X245" s="40">
        <v>1861</v>
      </c>
      <c r="Y245" s="40">
        <v>1861</v>
      </c>
      <c r="Z245" s="40">
        <v>2689.5803999999998</v>
      </c>
      <c r="AA245" s="40">
        <v>3434.9840000000004</v>
      </c>
      <c r="AB245" s="40">
        <v>3711.7491999999997</v>
      </c>
      <c r="AC245" s="40">
        <v>3394.4836000000005</v>
      </c>
      <c r="AD245" s="40">
        <v>3681.9807999999998</v>
      </c>
      <c r="AE245" s="40">
        <v>4030.8467999999998</v>
      </c>
      <c r="AF245" s="40">
        <v>2000</v>
      </c>
      <c r="AG245" s="40">
        <v>4591.0788000000011</v>
      </c>
      <c r="AH245" s="40">
        <v>2000</v>
      </c>
      <c r="AI245" s="41">
        <f t="shared" si="44"/>
        <v>34035.703600000001</v>
      </c>
      <c r="AJ245" s="42">
        <v>2000</v>
      </c>
      <c r="AK245" s="42">
        <v>2000</v>
      </c>
      <c r="AL245" s="42">
        <v>2000</v>
      </c>
      <c r="AM245" s="42">
        <v>2000</v>
      </c>
      <c r="AN245" s="42">
        <v>2000</v>
      </c>
      <c r="AO245" s="42">
        <v>2000</v>
      </c>
      <c r="AP245" s="42">
        <v>2000</v>
      </c>
      <c r="AQ245" s="42">
        <v>2000</v>
      </c>
      <c r="AR245" s="42">
        <v>2000</v>
      </c>
      <c r="AS245" s="42">
        <v>2000</v>
      </c>
      <c r="AT245" s="42">
        <v>2000</v>
      </c>
      <c r="AU245" s="42">
        <v>1561</v>
      </c>
      <c r="AV245" s="42">
        <f t="shared" si="45"/>
        <v>23561</v>
      </c>
      <c r="AW245" s="42">
        <v>1861</v>
      </c>
      <c r="AX245" s="42">
        <v>918</v>
      </c>
      <c r="AY245" s="42">
        <v>298</v>
      </c>
      <c r="AZ245" s="42">
        <v>0</v>
      </c>
      <c r="BA245" s="42">
        <v>0</v>
      </c>
      <c r="BB245" s="42">
        <v>0</v>
      </c>
      <c r="BC245" s="42">
        <v>0</v>
      </c>
      <c r="BD245" s="42">
        <v>0</v>
      </c>
      <c r="BE245" s="42">
        <v>500</v>
      </c>
      <c r="BF245" s="42">
        <v>500</v>
      </c>
      <c r="BG245" s="42">
        <v>500</v>
      </c>
      <c r="BH245" s="42">
        <v>500</v>
      </c>
      <c r="BI245" s="42">
        <v>0</v>
      </c>
      <c r="BJ245" s="42">
        <v>500</v>
      </c>
      <c r="BK245" s="42">
        <v>500</v>
      </c>
      <c r="BL245" s="42">
        <v>500</v>
      </c>
      <c r="BM245" s="42">
        <v>500</v>
      </c>
      <c r="BN245" s="42">
        <v>-192</v>
      </c>
      <c r="BO245" s="42">
        <v>500</v>
      </c>
      <c r="BP245" s="42">
        <v>500</v>
      </c>
      <c r="BQ245" s="42">
        <v>500</v>
      </c>
      <c r="BR245" s="42">
        <v>500</v>
      </c>
      <c r="BS245" s="42">
        <v>0</v>
      </c>
      <c r="BT245" s="42">
        <v>500</v>
      </c>
      <c r="BU245" s="42">
        <v>500</v>
      </c>
      <c r="BV245" s="42">
        <v>0</v>
      </c>
      <c r="BW245" s="42">
        <v>0</v>
      </c>
      <c r="BX245" s="42">
        <v>0</v>
      </c>
      <c r="BY245" s="42">
        <v>1553.58184985344</v>
      </c>
      <c r="BZ245" s="42">
        <v>0</v>
      </c>
      <c r="CA245" s="42">
        <v>0</v>
      </c>
      <c r="CB245" s="42">
        <v>0</v>
      </c>
      <c r="CC245" s="42">
        <v>0</v>
      </c>
      <c r="CD245" s="42">
        <v>2156.3686318195205</v>
      </c>
      <c r="CE245" s="42">
        <v>0</v>
      </c>
      <c r="CF245" s="42">
        <v>0</v>
      </c>
      <c r="CG245" s="42">
        <v>0</v>
      </c>
      <c r="CH245" s="42">
        <v>0</v>
      </c>
      <c r="CI245" s="42">
        <v>0</v>
      </c>
      <c r="CJ245" s="42">
        <v>1861</v>
      </c>
      <c r="CK245" s="43">
        <f t="shared" si="46"/>
        <v>15455.95048167296</v>
      </c>
      <c r="CL245" s="66"/>
      <c r="CM245" s="66">
        <v>0</v>
      </c>
      <c r="CN245" s="66">
        <v>0</v>
      </c>
      <c r="CO245" s="66">
        <v>0</v>
      </c>
      <c r="CP245" s="66">
        <v>600</v>
      </c>
      <c r="CQ245" s="66">
        <v>0</v>
      </c>
      <c r="CR245" s="66">
        <v>0</v>
      </c>
      <c r="CS245" s="66">
        <v>0</v>
      </c>
      <c r="CT245" s="66">
        <v>0</v>
      </c>
      <c r="CU245" s="66">
        <v>0</v>
      </c>
      <c r="CV245" s="66">
        <v>0</v>
      </c>
      <c r="CW245" s="66">
        <v>0</v>
      </c>
      <c r="CX245" s="66">
        <v>0</v>
      </c>
      <c r="CY245" s="66">
        <v>0</v>
      </c>
      <c r="CZ245" s="66">
        <v>0</v>
      </c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>
        <f>SUM(Table1[[#This Row],[01-03 Apr]:[Mar-26]])</f>
        <v>600</v>
      </c>
    </row>
    <row r="246" spans="1:115" hidden="1" x14ac:dyDescent="0.2">
      <c r="A246" s="28" t="s">
        <v>2253</v>
      </c>
      <c r="B246" s="29" t="s">
        <v>95</v>
      </c>
      <c r="C246" s="29" t="s">
        <v>96</v>
      </c>
      <c r="D246" s="30" t="s">
        <v>97</v>
      </c>
      <c r="E246" s="30" t="s">
        <v>85</v>
      </c>
      <c r="F246" s="30"/>
      <c r="G246" s="31">
        <v>44777</v>
      </c>
      <c r="H246" s="30">
        <v>359351</v>
      </c>
      <c r="I246" s="30" t="str">
        <f>IF(Table1[[#This Row],[Centre Status]]="Returned","NA",IF(Table1[[#This Row],[SD]]&gt;19000,"Full Payment",IF(Table1[[#This Row],[SD]]&lt;1,"No Payment","Partial Payment")))</f>
        <v>Full Payment</v>
      </c>
      <c r="J246" s="30" t="s">
        <v>58</v>
      </c>
      <c r="K246" s="32">
        <v>110000</v>
      </c>
      <c r="L246" s="33">
        <f>Q246+R246+U246+Table1[[#This Row],[Farmer Payment]]</f>
        <v>66443.451384443208</v>
      </c>
      <c r="M246" s="30"/>
      <c r="N246" s="34"/>
      <c r="O246" s="34"/>
      <c r="P246" s="35">
        <f t="shared" si="43"/>
        <v>43556.548615556792</v>
      </c>
      <c r="Q246" s="33">
        <f>AI246+AV246+CK246+Table1[[#This Row],[FY 25-26]]</f>
        <v>46443.4513844432</v>
      </c>
      <c r="R246" s="36">
        <v>20000</v>
      </c>
      <c r="S246" s="37" t="s">
        <v>98</v>
      </c>
      <c r="T246" s="38">
        <v>44933</v>
      </c>
      <c r="U246" s="39"/>
      <c r="V246" s="39"/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1861</v>
      </c>
      <c r="AH246" s="40">
        <v>2197.7296000000001</v>
      </c>
      <c r="AI246" s="41">
        <f t="shared" si="44"/>
        <v>4058.7296000000001</v>
      </c>
      <c r="AJ246" s="42">
        <v>1872.3757844432005</v>
      </c>
      <c r="AK246" s="42">
        <v>1861</v>
      </c>
      <c r="AL246" s="42">
        <v>1628</v>
      </c>
      <c r="AM246" s="42">
        <v>1861</v>
      </c>
      <c r="AN246" s="42">
        <v>1861</v>
      </c>
      <c r="AO246" s="42">
        <v>1861</v>
      </c>
      <c r="AP246" s="42">
        <v>1861</v>
      </c>
      <c r="AQ246" s="42">
        <v>1861</v>
      </c>
      <c r="AR246" s="42">
        <v>1861</v>
      </c>
      <c r="AS246" s="42">
        <v>1861</v>
      </c>
      <c r="AT246" s="42">
        <v>1861</v>
      </c>
      <c r="AU246" s="42">
        <v>1934.3460000000005</v>
      </c>
      <c r="AV246" s="42">
        <f t="shared" si="45"/>
        <v>22183.721784443202</v>
      </c>
      <c r="AW246" s="42">
        <v>1861</v>
      </c>
      <c r="AX246" s="42">
        <v>1240</v>
      </c>
      <c r="AY246" s="42">
        <v>409</v>
      </c>
      <c r="AZ246" s="42">
        <v>196</v>
      </c>
      <c r="BA246" s="42">
        <v>0</v>
      </c>
      <c r="BB246" s="42">
        <v>500</v>
      </c>
      <c r="BC246" s="42">
        <v>0</v>
      </c>
      <c r="BD246" s="42">
        <v>500</v>
      </c>
      <c r="BE246" s="42">
        <v>500</v>
      </c>
      <c r="BF246" s="42">
        <v>500</v>
      </c>
      <c r="BG246" s="42">
        <v>500</v>
      </c>
      <c r="BH246" s="42">
        <v>500</v>
      </c>
      <c r="BI246" s="42">
        <v>0</v>
      </c>
      <c r="BJ246" s="42">
        <v>500</v>
      </c>
      <c r="BK246" s="42">
        <v>500</v>
      </c>
      <c r="BL246" s="42">
        <v>500</v>
      </c>
      <c r="BM246" s="42">
        <v>500</v>
      </c>
      <c r="BN246" s="42">
        <v>0</v>
      </c>
      <c r="BO246" s="42">
        <v>500</v>
      </c>
      <c r="BP246" s="42">
        <v>500</v>
      </c>
      <c r="BQ246" s="42">
        <v>500</v>
      </c>
      <c r="BR246" s="42">
        <v>500</v>
      </c>
      <c r="BS246" s="42">
        <v>0</v>
      </c>
      <c r="BT246" s="42">
        <v>500</v>
      </c>
      <c r="BU246" s="42">
        <v>500</v>
      </c>
      <c r="BV246" s="42">
        <v>0</v>
      </c>
      <c r="BW246" s="42">
        <v>0</v>
      </c>
      <c r="BX246" s="42">
        <v>0</v>
      </c>
      <c r="BY246" s="42">
        <v>1361</v>
      </c>
      <c r="BZ246" s="42">
        <v>0</v>
      </c>
      <c r="CA246" s="42">
        <v>0</v>
      </c>
      <c r="CB246" s="42">
        <v>0</v>
      </c>
      <c r="CC246" s="42">
        <v>0</v>
      </c>
      <c r="CD246" s="42">
        <v>1861</v>
      </c>
      <c r="CE246" s="42">
        <v>0</v>
      </c>
      <c r="CF246" s="42">
        <v>0</v>
      </c>
      <c r="CG246" s="42">
        <v>0</v>
      </c>
      <c r="CH246" s="42">
        <v>0</v>
      </c>
      <c r="CI246" s="42">
        <v>0</v>
      </c>
      <c r="CJ246" s="42">
        <v>1861</v>
      </c>
      <c r="CK246" s="43">
        <f t="shared" si="46"/>
        <v>16789</v>
      </c>
      <c r="CL246" s="66"/>
      <c r="CM246" s="66">
        <v>0</v>
      </c>
      <c r="CN246" s="66">
        <v>0</v>
      </c>
      <c r="CO246" s="66">
        <v>0</v>
      </c>
      <c r="CP246" s="66">
        <v>1861</v>
      </c>
      <c r="CQ246" s="66">
        <v>0</v>
      </c>
      <c r="CR246" s="66">
        <v>0</v>
      </c>
      <c r="CS246" s="66">
        <v>0</v>
      </c>
      <c r="CT246" s="66">
        <v>0</v>
      </c>
      <c r="CU246" s="66">
        <v>0</v>
      </c>
      <c r="CV246" s="66">
        <v>1551</v>
      </c>
      <c r="CW246" s="66">
        <v>0</v>
      </c>
      <c r="CX246" s="66">
        <v>0</v>
      </c>
      <c r="CY246" s="66">
        <v>0</v>
      </c>
      <c r="CZ246" s="66">
        <v>0</v>
      </c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>
        <f>SUM(Table1[[#This Row],[01-03 Apr]:[Mar-26]])</f>
        <v>3412</v>
      </c>
    </row>
    <row r="247" spans="1:115" hidden="1" x14ac:dyDescent="0.2">
      <c r="A247" s="28" t="s">
        <v>2254</v>
      </c>
      <c r="B247" s="29" t="s">
        <v>99</v>
      </c>
      <c r="C247" s="29" t="s">
        <v>100</v>
      </c>
      <c r="D247" s="30" t="s">
        <v>101</v>
      </c>
      <c r="E247" s="30" t="s">
        <v>85</v>
      </c>
      <c r="F247" s="30"/>
      <c r="G247" s="31">
        <v>44777</v>
      </c>
      <c r="H247" s="30">
        <v>371234</v>
      </c>
      <c r="I247" s="30" t="str">
        <f>IF(Table1[[#This Row],[Centre Status]]="Returned","NA",IF(Table1[[#This Row],[SD]]&gt;19000,"Full Payment",IF(Table1[[#This Row],[SD]]&lt;1,"No Payment","Partial Payment")))</f>
        <v>Full Payment</v>
      </c>
      <c r="J247" s="30" t="s">
        <v>58</v>
      </c>
      <c r="K247" s="32">
        <v>110000</v>
      </c>
      <c r="L247" s="33">
        <f>Q247+R247+U247+Table1[[#This Row],[Farmer Payment]]</f>
        <v>93398.927032099964</v>
      </c>
      <c r="M247" s="30"/>
      <c r="N247" s="34"/>
      <c r="O247" s="34"/>
      <c r="P247" s="35">
        <f t="shared" si="43"/>
        <v>16601.072967900036</v>
      </c>
      <c r="Q247" s="33">
        <f>AI247+AV247+CK247+Table1[[#This Row],[FY 25-26]]</f>
        <v>73398.927032099964</v>
      </c>
      <c r="R247" s="36">
        <v>20000</v>
      </c>
      <c r="S247" s="37" t="s">
        <v>102</v>
      </c>
      <c r="T247" s="38">
        <v>44648</v>
      </c>
      <c r="U247" s="39"/>
      <c r="V247" s="39"/>
      <c r="W247" s="40">
        <v>1004</v>
      </c>
      <c r="X247" s="40">
        <v>1861.2926000000002</v>
      </c>
      <c r="Y247" s="40">
        <v>1861</v>
      </c>
      <c r="Z247" s="40">
        <v>1861</v>
      </c>
      <c r="AA247" s="40">
        <v>126</v>
      </c>
      <c r="AB247" s="40">
        <v>0</v>
      </c>
      <c r="AC247" s="40">
        <v>0</v>
      </c>
      <c r="AD247" s="40">
        <v>528</v>
      </c>
      <c r="AE247" s="40">
        <v>1861</v>
      </c>
      <c r="AF247" s="40">
        <v>2000</v>
      </c>
      <c r="AG247" s="40">
        <v>2698.8162000000002</v>
      </c>
      <c r="AH247" s="40">
        <v>2000</v>
      </c>
      <c r="AI247" s="41">
        <f t="shared" si="44"/>
        <v>15801.108800000002</v>
      </c>
      <c r="AJ247" s="42">
        <v>2000</v>
      </c>
      <c r="AK247" s="42">
        <v>2000</v>
      </c>
      <c r="AL247" s="42">
        <v>2000</v>
      </c>
      <c r="AM247" s="42">
        <v>2000</v>
      </c>
      <c r="AN247" s="42">
        <v>1889.9526000000001</v>
      </c>
      <c r="AO247" s="42">
        <v>1861</v>
      </c>
      <c r="AP247" s="42">
        <v>2000</v>
      </c>
      <c r="AQ247" s="42">
        <v>2000</v>
      </c>
      <c r="AR247" s="42">
        <v>2000</v>
      </c>
      <c r="AS247" s="42">
        <v>2000</v>
      </c>
      <c r="AT247" s="42">
        <v>2000</v>
      </c>
      <c r="AU247" s="42">
        <v>2000</v>
      </c>
      <c r="AV247" s="42">
        <f t="shared" si="45"/>
        <v>23750.952600000001</v>
      </c>
      <c r="AW247" s="42">
        <v>2000</v>
      </c>
      <c r="AX247" s="42">
        <v>2000</v>
      </c>
      <c r="AY247" s="42">
        <v>2000</v>
      </c>
      <c r="AZ247" s="42">
        <v>2000</v>
      </c>
      <c r="BA247" s="42">
        <v>2000</v>
      </c>
      <c r="BB247" s="42">
        <v>0</v>
      </c>
      <c r="BC247" s="42">
        <v>2665.1148115200003</v>
      </c>
      <c r="BD247" s="42">
        <v>0</v>
      </c>
      <c r="BE247" s="42">
        <v>0</v>
      </c>
      <c r="BF247" s="42">
        <v>0</v>
      </c>
      <c r="BG247" s="42">
        <v>0</v>
      </c>
      <c r="BH247" s="42">
        <v>0</v>
      </c>
      <c r="BI247" s="42">
        <v>1861</v>
      </c>
      <c r="BJ247" s="42">
        <v>0</v>
      </c>
      <c r="BK247" s="42">
        <v>0</v>
      </c>
      <c r="BL247" s="42">
        <v>0</v>
      </c>
      <c r="BM247" s="42">
        <v>0</v>
      </c>
      <c r="BN247" s="42">
        <v>1861</v>
      </c>
      <c r="BO247" s="42">
        <v>0</v>
      </c>
      <c r="BP247" s="42">
        <v>0</v>
      </c>
      <c r="BQ247" s="42">
        <v>0</v>
      </c>
      <c r="BR247" s="42">
        <v>0</v>
      </c>
      <c r="BS247" s="42">
        <v>3382.4223932927998</v>
      </c>
      <c r="BT247" s="42">
        <v>0</v>
      </c>
      <c r="BU247" s="42">
        <v>0</v>
      </c>
      <c r="BV247" s="42">
        <v>0</v>
      </c>
      <c r="BW247" s="42">
        <v>0</v>
      </c>
      <c r="BX247" s="42">
        <v>0</v>
      </c>
      <c r="BY247" s="42">
        <v>2845.2039205632004</v>
      </c>
      <c r="BZ247" s="42">
        <v>0</v>
      </c>
      <c r="CA247" s="42">
        <v>0</v>
      </c>
      <c r="CB247" s="42">
        <v>0</v>
      </c>
      <c r="CC247" s="42">
        <v>0</v>
      </c>
      <c r="CD247" s="42">
        <v>3172.6492947455995</v>
      </c>
      <c r="CE247" s="42">
        <v>0</v>
      </c>
      <c r="CF247" s="42">
        <v>0</v>
      </c>
      <c r="CG247" s="42">
        <v>0</v>
      </c>
      <c r="CH247" s="42">
        <v>0</v>
      </c>
      <c r="CI247" s="42">
        <v>0</v>
      </c>
      <c r="CJ247" s="42">
        <v>3231.7868837376004</v>
      </c>
      <c r="CK247" s="43">
        <f t="shared" si="46"/>
        <v>29019.1773038592</v>
      </c>
      <c r="CL247" s="66"/>
      <c r="CM247" s="66">
        <v>0</v>
      </c>
      <c r="CN247" s="66">
        <v>0</v>
      </c>
      <c r="CO247" s="66">
        <v>0</v>
      </c>
      <c r="CP247" s="66">
        <v>2852.0060837509241</v>
      </c>
      <c r="CQ247" s="66">
        <v>0</v>
      </c>
      <c r="CR247" s="66">
        <v>0</v>
      </c>
      <c r="CS247" s="66">
        <v>0</v>
      </c>
      <c r="CT247" s="66">
        <v>0</v>
      </c>
      <c r="CU247" s="66">
        <v>0</v>
      </c>
      <c r="CV247" s="66">
        <v>1975.6822444898276</v>
      </c>
      <c r="CW247" s="66">
        <v>0</v>
      </c>
      <c r="CX247" s="66">
        <v>0</v>
      </c>
      <c r="CY247" s="66">
        <v>0</v>
      </c>
      <c r="CZ247" s="66">
        <v>0</v>
      </c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>
        <f>SUM(Table1[[#This Row],[01-03 Apr]:[Mar-26]])</f>
        <v>4827.6883282407516</v>
      </c>
    </row>
    <row r="248" spans="1:115" hidden="1" x14ac:dyDescent="0.2">
      <c r="A248" s="28" t="s">
        <v>2365</v>
      </c>
      <c r="B248" s="29" t="s">
        <v>2359</v>
      </c>
      <c r="C248" s="29" t="s">
        <v>2504</v>
      </c>
      <c r="D248" s="30" t="s">
        <v>2352</v>
      </c>
      <c r="E248" s="30" t="s">
        <v>63</v>
      </c>
      <c r="F248" s="30"/>
      <c r="G248" s="31"/>
      <c r="H248" s="30">
        <v>364724</v>
      </c>
      <c r="I248" s="30" t="str">
        <f>IF(Table1[[#This Row],[Centre Status]]="Returned","NA",IF(Table1[[#This Row],[SD]]&gt;19000,"Full Payment",IF(Table1[[#This Row],[SD]]&lt;1,"No Payment","Partial Payment")))</f>
        <v>Full Payment</v>
      </c>
      <c r="J248" s="30" t="s">
        <v>58</v>
      </c>
      <c r="K248" s="32">
        <v>110000</v>
      </c>
      <c r="L248" s="33">
        <f>Q248+R248+U248+Table1[[#This Row],[Farmer Payment]]</f>
        <v>55802.605642488255</v>
      </c>
      <c r="M248" s="30"/>
      <c r="N248" s="34"/>
      <c r="O248" s="34"/>
      <c r="P248" s="35">
        <f t="shared" si="43"/>
        <v>54197.394357511745</v>
      </c>
      <c r="Q248" s="33">
        <f>AI248+AV248+CK248+Table1[[#This Row],[FY 25-26]]</f>
        <v>35802.605642488255</v>
      </c>
      <c r="R248" s="36">
        <v>20000</v>
      </c>
      <c r="S248" s="37" t="s">
        <v>2394</v>
      </c>
      <c r="T248" s="38">
        <v>45447</v>
      </c>
      <c r="U248" s="39"/>
      <c r="V248" s="39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1">
        <f t="shared" si="44"/>
        <v>0</v>
      </c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>
        <f t="shared" si="45"/>
        <v>0</v>
      </c>
      <c r="AW248" s="42"/>
      <c r="AX248" s="42"/>
      <c r="AY248" s="42">
        <v>0</v>
      </c>
      <c r="AZ248" s="42">
        <v>2054.224048128</v>
      </c>
      <c r="BA248" s="42">
        <v>4213.5271364352002</v>
      </c>
      <c r="BB248" s="42">
        <v>0</v>
      </c>
      <c r="BC248" s="42">
        <v>3449.2995598876319</v>
      </c>
      <c r="BD248" s="42">
        <v>0</v>
      </c>
      <c r="BE248" s="42">
        <v>0</v>
      </c>
      <c r="BF248" s="42">
        <v>0</v>
      </c>
      <c r="BG248" s="42">
        <v>0</v>
      </c>
      <c r="BH248" s="42">
        <v>0</v>
      </c>
      <c r="BI248" s="42">
        <v>1861</v>
      </c>
      <c r="BJ248" s="42">
        <v>0</v>
      </c>
      <c r="BK248" s="42">
        <v>0</v>
      </c>
      <c r="BL248" s="42">
        <v>0</v>
      </c>
      <c r="BM248" s="42">
        <v>0</v>
      </c>
      <c r="BN248" s="42">
        <v>1861</v>
      </c>
      <c r="BO248" s="42">
        <v>0</v>
      </c>
      <c r="BP248" s="42">
        <v>0</v>
      </c>
      <c r="BQ248" s="42">
        <v>0</v>
      </c>
      <c r="BR248" s="42">
        <v>0</v>
      </c>
      <c r="BS248" s="42">
        <v>3195.5664264960005</v>
      </c>
      <c r="BT248" s="42">
        <v>0</v>
      </c>
      <c r="BU248" s="42">
        <v>0</v>
      </c>
      <c r="BV248" s="42">
        <v>0</v>
      </c>
      <c r="BW248" s="42">
        <v>0</v>
      </c>
      <c r="BX248" s="42">
        <v>0</v>
      </c>
      <c r="BY248" s="42">
        <v>3345.1311992064002</v>
      </c>
      <c r="BZ248" s="42">
        <v>0</v>
      </c>
      <c r="CA248" s="42">
        <v>0</v>
      </c>
      <c r="CB248" s="42">
        <v>0</v>
      </c>
      <c r="CC248" s="42">
        <v>0</v>
      </c>
      <c r="CD248" s="42">
        <v>4226.0744646144003</v>
      </c>
      <c r="CE248" s="42">
        <v>0</v>
      </c>
      <c r="CF248" s="42">
        <v>0</v>
      </c>
      <c r="CG248" s="42">
        <v>0</v>
      </c>
      <c r="CH248" s="42">
        <v>0</v>
      </c>
      <c r="CI248" s="42">
        <v>0</v>
      </c>
      <c r="CJ248" s="42">
        <v>4634.0156355072004</v>
      </c>
      <c r="CK248" s="43">
        <f t="shared" si="46"/>
        <v>28839.838470274834</v>
      </c>
      <c r="CL248" s="66"/>
      <c r="CM248" s="66">
        <v>0</v>
      </c>
      <c r="CN248" s="66">
        <v>0</v>
      </c>
      <c r="CO248" s="66">
        <v>0</v>
      </c>
      <c r="CP248" s="66">
        <v>3634.8519210467007</v>
      </c>
      <c r="CQ248" s="66">
        <v>0</v>
      </c>
      <c r="CR248" s="66">
        <v>0</v>
      </c>
      <c r="CS248" s="66">
        <v>0</v>
      </c>
      <c r="CT248" s="66">
        <v>0</v>
      </c>
      <c r="CU248" s="66">
        <v>0</v>
      </c>
      <c r="CV248" s="66">
        <v>3327.9152511667203</v>
      </c>
      <c r="CW248" s="66">
        <v>0</v>
      </c>
      <c r="CX248" s="66">
        <v>0</v>
      </c>
      <c r="CY248" s="66">
        <v>0</v>
      </c>
      <c r="CZ248" s="66">
        <v>0</v>
      </c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>
        <f>SUM(Table1[[#This Row],[01-03 Apr]:[Mar-26]])</f>
        <v>6962.767172213421</v>
      </c>
    </row>
    <row r="249" spans="1:115" x14ac:dyDescent="0.2">
      <c r="A249" s="28" t="s">
        <v>2255</v>
      </c>
      <c r="B249" s="29" t="s">
        <v>2359</v>
      </c>
      <c r="C249" s="29" t="s">
        <v>2505</v>
      </c>
      <c r="D249" s="30" t="s">
        <v>2353</v>
      </c>
      <c r="E249" s="30" t="s">
        <v>63</v>
      </c>
      <c r="F249" s="30"/>
      <c r="G249" s="31"/>
      <c r="H249" s="30">
        <v>391991</v>
      </c>
      <c r="I249" s="30" t="str">
        <f>IF(Table1[[#This Row],[Centre Status]]="Returned","NA",IF(Table1[[#This Row],[SD]]&gt;19000,"Full Payment",IF(Table1[[#This Row],[SD]]&lt;1,"No Payment","Partial Payment")))</f>
        <v>No Payment</v>
      </c>
      <c r="J249" s="30" t="s">
        <v>58</v>
      </c>
      <c r="K249" s="32">
        <v>110000</v>
      </c>
      <c r="L249" s="33">
        <f>Q249+R249+U249+Table1[[#This Row],[Farmer Payment]]</f>
        <v>10368.39721395364</v>
      </c>
      <c r="M249" s="30"/>
      <c r="N249" s="34"/>
      <c r="O249" s="34"/>
      <c r="P249" s="35">
        <f t="shared" si="43"/>
        <v>99631.602786046366</v>
      </c>
      <c r="Q249" s="33">
        <f>AI249+AV249+CK249+Table1[[#This Row],[FY 25-26]]</f>
        <v>10368.39721395364</v>
      </c>
      <c r="R249" s="36"/>
      <c r="S249" s="37"/>
      <c r="T249" s="38"/>
      <c r="U249" s="39"/>
      <c r="V249" s="39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1">
        <f t="shared" si="44"/>
        <v>0</v>
      </c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>
        <f t="shared" si="45"/>
        <v>0</v>
      </c>
      <c r="AW249" s="42"/>
      <c r="AX249" s="42"/>
      <c r="AY249" s="42">
        <v>0</v>
      </c>
      <c r="AZ249" s="42">
        <v>0</v>
      </c>
      <c r="BA249" s="42">
        <v>0</v>
      </c>
      <c r="BB249" s="42">
        <v>0</v>
      </c>
      <c r="BC249" s="42">
        <v>0</v>
      </c>
      <c r="BD249" s="42">
        <v>0</v>
      </c>
      <c r="BE249" s="42">
        <v>0</v>
      </c>
      <c r="BF249" s="42">
        <v>0</v>
      </c>
      <c r="BG249" s="42">
        <v>0</v>
      </c>
      <c r="BH249" s="42">
        <v>0</v>
      </c>
      <c r="BI249" s="42">
        <v>891</v>
      </c>
      <c r="BJ249" s="42">
        <v>0</v>
      </c>
      <c r="BK249" s="42">
        <v>0</v>
      </c>
      <c r="BL249" s="42">
        <v>500</v>
      </c>
      <c r="BM249" s="42">
        <v>500</v>
      </c>
      <c r="BN249" s="42">
        <v>860</v>
      </c>
      <c r="BO249" s="42">
        <v>0</v>
      </c>
      <c r="BP249" s="42">
        <v>0</v>
      </c>
      <c r="BQ249" s="42">
        <v>0</v>
      </c>
      <c r="BR249" s="42">
        <v>500</v>
      </c>
      <c r="BS249" s="42">
        <v>861</v>
      </c>
      <c r="BT249" s="42">
        <v>500</v>
      </c>
      <c r="BU249" s="42">
        <v>500</v>
      </c>
      <c r="BV249" s="42">
        <v>0</v>
      </c>
      <c r="BW249" s="42">
        <v>0</v>
      </c>
      <c r="BX249" s="42">
        <v>0</v>
      </c>
      <c r="BY249" s="42">
        <v>1859.3972139536404</v>
      </c>
      <c r="BZ249" s="42">
        <v>0</v>
      </c>
      <c r="CA249" s="42">
        <v>0</v>
      </c>
      <c r="CB249" s="42">
        <v>0</v>
      </c>
      <c r="CC249" s="42">
        <v>0</v>
      </c>
      <c r="CD249" s="42">
        <v>1861</v>
      </c>
      <c r="CE249" s="42">
        <v>0</v>
      </c>
      <c r="CF249" s="42">
        <v>0</v>
      </c>
      <c r="CG249" s="42">
        <v>0</v>
      </c>
      <c r="CH249" s="42">
        <v>0</v>
      </c>
      <c r="CI249" s="42">
        <v>0</v>
      </c>
      <c r="CJ249" s="42">
        <v>1536</v>
      </c>
      <c r="CK249" s="43">
        <f t="shared" si="46"/>
        <v>10368.39721395364</v>
      </c>
      <c r="CL249" s="66"/>
      <c r="CM249" s="66">
        <v>0</v>
      </c>
      <c r="CN249" s="66">
        <v>0</v>
      </c>
      <c r="CO249" s="66">
        <v>0</v>
      </c>
      <c r="CP249" s="66">
        <v>0</v>
      </c>
      <c r="CQ249" s="66">
        <v>0</v>
      </c>
      <c r="CR249" s="66">
        <v>0</v>
      </c>
      <c r="CS249" s="66">
        <v>0</v>
      </c>
      <c r="CT249" s="66">
        <v>0</v>
      </c>
      <c r="CU249" s="66">
        <v>0</v>
      </c>
      <c r="CV249" s="66">
        <v>0</v>
      </c>
      <c r="CW249" s="66">
        <v>0</v>
      </c>
      <c r="CX249" s="66">
        <v>0</v>
      </c>
      <c r="CY249" s="66">
        <v>0</v>
      </c>
      <c r="CZ249" s="66">
        <v>0</v>
      </c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>
        <f>SUM(Table1[[#This Row],[01-03 Apr]:[Mar-26]])</f>
        <v>0</v>
      </c>
    </row>
    <row r="250" spans="1:115" x14ac:dyDescent="0.2">
      <c r="A250" s="28"/>
      <c r="B250" s="29" t="s">
        <v>2359</v>
      </c>
      <c r="C250" s="29" t="s">
        <v>2369</v>
      </c>
      <c r="D250" s="30" t="s">
        <v>2370</v>
      </c>
      <c r="E250" s="30" t="s">
        <v>1321</v>
      </c>
      <c r="F250" s="30"/>
      <c r="G250" s="31"/>
      <c r="H250" s="30">
        <v>386971</v>
      </c>
      <c r="I250" s="30" t="str">
        <f>IF(Table1[[#This Row],[Centre Status]]="Returned","NA",IF(Table1[[#This Row],[SD]]&gt;19000,"Full Payment",IF(Table1[[#This Row],[SD]]&lt;1,"No Payment","Partial Payment")))</f>
        <v>Partial Payment</v>
      </c>
      <c r="J250" s="30" t="s">
        <v>58</v>
      </c>
      <c r="K250" s="32">
        <v>110000</v>
      </c>
      <c r="L250" s="33">
        <f>Q250+R250+U250+Table1[[#This Row],[Farmer Payment]]</f>
        <v>29013.288206056845</v>
      </c>
      <c r="M250" s="30"/>
      <c r="N250" s="34"/>
      <c r="O250" s="34"/>
      <c r="P250" s="35">
        <f t="shared" si="43"/>
        <v>80986.711793943163</v>
      </c>
      <c r="Q250" s="33">
        <f>AI250+AV250+CK250+Table1[[#This Row],[FY 25-26]]</f>
        <v>14013.288206056845</v>
      </c>
      <c r="R250" s="36">
        <f>13500+1500</f>
        <v>15000</v>
      </c>
      <c r="S250" s="37" t="s">
        <v>2371</v>
      </c>
      <c r="T250" s="38">
        <v>45466</v>
      </c>
      <c r="U250" s="39"/>
      <c r="V250" s="39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1">
        <f t="shared" si="44"/>
        <v>0</v>
      </c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>
        <f t="shared" si="45"/>
        <v>0</v>
      </c>
      <c r="AW250" s="42"/>
      <c r="AX250" s="42"/>
      <c r="AY250" s="42">
        <v>0</v>
      </c>
      <c r="AZ250" s="42">
        <v>1861</v>
      </c>
      <c r="BA250" s="42">
        <v>1861</v>
      </c>
      <c r="BB250" s="42">
        <v>0</v>
      </c>
      <c r="BC250" s="42">
        <v>1861</v>
      </c>
      <c r="BD250" s="42">
        <v>0</v>
      </c>
      <c r="BE250" s="42">
        <v>0</v>
      </c>
      <c r="BF250" s="42">
        <v>0</v>
      </c>
      <c r="BG250" s="42">
        <v>0</v>
      </c>
      <c r="BH250" s="42">
        <v>0</v>
      </c>
      <c r="BI250" s="42">
        <v>2107.288206056844</v>
      </c>
      <c r="BJ250" s="42">
        <v>0</v>
      </c>
      <c r="BK250" s="42">
        <v>0</v>
      </c>
      <c r="BL250" s="42">
        <v>0</v>
      </c>
      <c r="BM250" s="42">
        <v>0</v>
      </c>
      <c r="BN250" s="42">
        <v>1395</v>
      </c>
      <c r="BO250" s="42">
        <v>0</v>
      </c>
      <c r="BP250" s="42">
        <v>0</v>
      </c>
      <c r="BQ250" s="42">
        <v>0</v>
      </c>
      <c r="BR250" s="42">
        <v>0</v>
      </c>
      <c r="BS250" s="42">
        <v>1736</v>
      </c>
      <c r="BT250" s="42">
        <v>0</v>
      </c>
      <c r="BU250" s="42">
        <v>0</v>
      </c>
      <c r="BV250" s="42">
        <v>0</v>
      </c>
      <c r="BW250" s="42">
        <v>0</v>
      </c>
      <c r="BX250" s="42">
        <v>0</v>
      </c>
      <c r="BY250" s="42">
        <v>0</v>
      </c>
      <c r="BZ250" s="42">
        <v>0</v>
      </c>
      <c r="CA250" s="42">
        <v>500</v>
      </c>
      <c r="CB250" s="42">
        <v>0</v>
      </c>
      <c r="CC250" s="42">
        <v>0</v>
      </c>
      <c r="CD250" s="42">
        <v>831</v>
      </c>
      <c r="CE250" s="42">
        <v>0</v>
      </c>
      <c r="CF250" s="42">
        <v>0</v>
      </c>
      <c r="CG250" s="42">
        <v>0</v>
      </c>
      <c r="CH250" s="42">
        <v>0</v>
      </c>
      <c r="CI250" s="42">
        <v>0</v>
      </c>
      <c r="CJ250" s="42">
        <v>1861</v>
      </c>
      <c r="CK250" s="43">
        <f t="shared" si="46"/>
        <v>14013.288206056845</v>
      </c>
      <c r="CL250" s="66"/>
      <c r="CM250" s="66">
        <v>0</v>
      </c>
      <c r="CN250" s="66">
        <v>0</v>
      </c>
      <c r="CO250" s="66">
        <v>0</v>
      </c>
      <c r="CP250" s="66">
        <v>0</v>
      </c>
      <c r="CQ250" s="66">
        <v>0</v>
      </c>
      <c r="CR250" s="66">
        <v>0</v>
      </c>
      <c r="CS250" s="66">
        <v>0</v>
      </c>
      <c r="CT250" s="66">
        <v>0</v>
      </c>
      <c r="CU250" s="66">
        <v>0</v>
      </c>
      <c r="CV250" s="66">
        <v>0</v>
      </c>
      <c r="CW250" s="66">
        <v>0</v>
      </c>
      <c r="CX250" s="66">
        <v>0</v>
      </c>
      <c r="CY250" s="66">
        <v>0</v>
      </c>
      <c r="CZ250" s="66">
        <v>0</v>
      </c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>
        <f>SUM(Table1[[#This Row],[01-03 Apr]:[Mar-26]])</f>
        <v>0</v>
      </c>
    </row>
    <row r="251" spans="1:115" hidden="1" x14ac:dyDescent="0.2">
      <c r="A251" s="28"/>
      <c r="B251" s="29"/>
      <c r="C251" s="29" t="s">
        <v>2599</v>
      </c>
      <c r="D251" s="30" t="s">
        <v>2508</v>
      </c>
      <c r="E251" s="30" t="s">
        <v>217</v>
      </c>
      <c r="F251" s="30"/>
      <c r="G251" s="31"/>
      <c r="H251" s="30">
        <v>368615</v>
      </c>
      <c r="I251" s="30" t="str">
        <f>IF(Table1[[#This Row],[Centre Status]]="Returned","NA",IF(Table1[[#This Row],[SD]]&gt;19000,"Full Payment",IF(Table1[[#This Row],[SD]]&lt;1,"No Payment","Partial Payment")))</f>
        <v>Full Payment</v>
      </c>
      <c r="J251" s="30" t="s">
        <v>58</v>
      </c>
      <c r="K251" s="32">
        <v>110000</v>
      </c>
      <c r="L251" s="33">
        <f>Q251+R251+U251+Table1[[#This Row],[Farmer Payment]]</f>
        <v>40478.532508785553</v>
      </c>
      <c r="M251" s="30"/>
      <c r="N251" s="34"/>
      <c r="O251" s="34"/>
      <c r="P251" s="35">
        <f t="shared" si="43"/>
        <v>69521.467491214455</v>
      </c>
      <c r="Q251" s="33">
        <f>AI251+AV251+CK251+Table1[[#This Row],[FY 25-26]]</f>
        <v>20478.532508785553</v>
      </c>
      <c r="R251" s="36">
        <v>20000</v>
      </c>
      <c r="S251" s="37" t="s">
        <v>2511</v>
      </c>
      <c r="T251" s="38">
        <v>45502</v>
      </c>
      <c r="U251" s="39"/>
      <c r="V251" s="39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1">
        <f t="shared" si="44"/>
        <v>0</v>
      </c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>
        <f t="shared" si="45"/>
        <v>0</v>
      </c>
      <c r="AW251" s="42"/>
      <c r="AX251" s="42"/>
      <c r="AY251" s="42"/>
      <c r="AZ251" s="42">
        <v>0</v>
      </c>
      <c r="BA251" s="42">
        <v>55</v>
      </c>
      <c r="BB251" s="42">
        <v>500</v>
      </c>
      <c r="BC251" s="42">
        <v>563</v>
      </c>
      <c r="BD251" s="42">
        <v>500</v>
      </c>
      <c r="BE251" s="42">
        <v>0</v>
      </c>
      <c r="BF251" s="42">
        <v>0</v>
      </c>
      <c r="BG251" s="42">
        <v>0</v>
      </c>
      <c r="BH251" s="42">
        <v>0</v>
      </c>
      <c r="BI251" s="42">
        <v>1611</v>
      </c>
      <c r="BJ251" s="42">
        <v>0</v>
      </c>
      <c r="BK251" s="42">
        <v>0</v>
      </c>
      <c r="BL251" s="42">
        <v>500</v>
      </c>
      <c r="BM251" s="42">
        <v>500</v>
      </c>
      <c r="BN251" s="42">
        <v>861</v>
      </c>
      <c r="BO251" s="42">
        <v>0</v>
      </c>
      <c r="BP251" s="42">
        <v>0</v>
      </c>
      <c r="BQ251" s="42">
        <v>0</v>
      </c>
      <c r="BR251" s="42">
        <v>0</v>
      </c>
      <c r="BS251" s="42">
        <v>2073.8758021956432</v>
      </c>
      <c r="BT251" s="42">
        <v>0</v>
      </c>
      <c r="BU251" s="42">
        <v>0</v>
      </c>
      <c r="BV251" s="42">
        <v>0</v>
      </c>
      <c r="BW251" s="42">
        <v>0</v>
      </c>
      <c r="BX251" s="42">
        <v>0</v>
      </c>
      <c r="BY251" s="42">
        <v>3978.896431690031</v>
      </c>
      <c r="BZ251" s="42">
        <v>0</v>
      </c>
      <c r="CA251" s="42">
        <v>0</v>
      </c>
      <c r="CB251" s="42">
        <v>0</v>
      </c>
      <c r="CC251" s="42">
        <v>0</v>
      </c>
      <c r="CD251" s="42">
        <v>3858.7247037368165</v>
      </c>
      <c r="CE251" s="42">
        <v>0</v>
      </c>
      <c r="CF251" s="42">
        <v>0</v>
      </c>
      <c r="CG251" s="42">
        <v>0</v>
      </c>
      <c r="CH251" s="42">
        <v>0</v>
      </c>
      <c r="CI251" s="42">
        <v>0</v>
      </c>
      <c r="CJ251" s="42">
        <v>2577.0355711630632</v>
      </c>
      <c r="CK251" s="43">
        <f t="shared" si="46"/>
        <v>17578.532508785553</v>
      </c>
      <c r="CL251" s="66"/>
      <c r="CM251" s="66">
        <v>0</v>
      </c>
      <c r="CN251" s="66">
        <v>0</v>
      </c>
      <c r="CO251" s="66">
        <v>0</v>
      </c>
      <c r="CP251" s="66">
        <v>1861</v>
      </c>
      <c r="CQ251" s="66">
        <v>0</v>
      </c>
      <c r="CR251" s="66">
        <v>0</v>
      </c>
      <c r="CS251" s="66">
        <v>0</v>
      </c>
      <c r="CT251" s="66">
        <v>0</v>
      </c>
      <c r="CU251" s="66">
        <v>0</v>
      </c>
      <c r="CV251" s="66">
        <v>1039</v>
      </c>
      <c r="CW251" s="66">
        <v>0</v>
      </c>
      <c r="CX251" s="66">
        <v>0</v>
      </c>
      <c r="CY251" s="66">
        <v>0</v>
      </c>
      <c r="CZ251" s="66">
        <v>0</v>
      </c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>
        <f>SUM(Table1[[#This Row],[01-03 Apr]:[Mar-26]])</f>
        <v>2900</v>
      </c>
    </row>
    <row r="252" spans="1:115" hidden="1" x14ac:dyDescent="0.2">
      <c r="A252" s="28"/>
      <c r="B252" s="29"/>
      <c r="C252" s="29" t="s">
        <v>2600</v>
      </c>
      <c r="D252" s="30" t="s">
        <v>2509</v>
      </c>
      <c r="E252" s="30" t="s">
        <v>217</v>
      </c>
      <c r="F252" s="30"/>
      <c r="G252" s="31"/>
      <c r="H252" s="30">
        <v>387364</v>
      </c>
      <c r="I252" s="30" t="str">
        <f>IF(Table1[[#This Row],[Centre Status]]="Returned","NA",IF(Table1[[#This Row],[SD]]&gt;19000,"Full Payment",IF(Table1[[#This Row],[SD]]&lt;1,"No Payment","Partial Payment")))</f>
        <v>Full Payment</v>
      </c>
      <c r="J252" s="30" t="s">
        <v>58</v>
      </c>
      <c r="K252" s="32">
        <v>110000</v>
      </c>
      <c r="L252" s="33">
        <f>Q252+R252+U252+Table1[[#This Row],[Farmer Payment]]</f>
        <v>27443</v>
      </c>
      <c r="M252" s="30"/>
      <c r="N252" s="34"/>
      <c r="O252" s="34"/>
      <c r="P252" s="35">
        <f t="shared" si="43"/>
        <v>82557</v>
      </c>
      <c r="Q252" s="33">
        <f>AI252+AV252+CK252+Table1[[#This Row],[FY 25-26]]</f>
        <v>7443</v>
      </c>
      <c r="R252" s="36">
        <v>20000</v>
      </c>
      <c r="S252" s="37" t="s">
        <v>2512</v>
      </c>
      <c r="T252" s="38">
        <v>45502</v>
      </c>
      <c r="U252" s="39"/>
      <c r="V252" s="39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1">
        <f t="shared" si="44"/>
        <v>0</v>
      </c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>
        <f t="shared" si="45"/>
        <v>0</v>
      </c>
      <c r="AW252" s="42"/>
      <c r="AX252" s="42"/>
      <c r="AY252" s="42"/>
      <c r="AZ252" s="42">
        <v>0</v>
      </c>
      <c r="BA252" s="42">
        <v>0</v>
      </c>
      <c r="BB252" s="42">
        <v>0</v>
      </c>
      <c r="BC252" s="42">
        <v>443</v>
      </c>
      <c r="BD252" s="42">
        <v>0</v>
      </c>
      <c r="BE252" s="42">
        <v>0</v>
      </c>
      <c r="BF252" s="42">
        <v>0</v>
      </c>
      <c r="BG252" s="42">
        <v>0</v>
      </c>
      <c r="BH252" s="42">
        <v>0</v>
      </c>
      <c r="BI252" s="42">
        <v>0</v>
      </c>
      <c r="BJ252" s="42">
        <v>0</v>
      </c>
      <c r="BK252" s="42">
        <v>0</v>
      </c>
      <c r="BL252" s="42">
        <v>0</v>
      </c>
      <c r="BM252" s="42">
        <v>0</v>
      </c>
      <c r="BN252" s="42">
        <v>0</v>
      </c>
      <c r="BO252" s="42">
        <v>0</v>
      </c>
      <c r="BP252" s="42">
        <v>0</v>
      </c>
      <c r="BQ252" s="42">
        <v>0</v>
      </c>
      <c r="BR252" s="42">
        <v>0</v>
      </c>
      <c r="BS252" s="42">
        <v>0</v>
      </c>
      <c r="BT252" s="42">
        <v>0</v>
      </c>
      <c r="BU252" s="42">
        <v>0</v>
      </c>
      <c r="BV252" s="42">
        <v>500</v>
      </c>
      <c r="BW252" s="42">
        <v>500</v>
      </c>
      <c r="BX252" s="42">
        <v>500</v>
      </c>
      <c r="BY252" s="42">
        <v>0</v>
      </c>
      <c r="BZ252" s="42">
        <v>500</v>
      </c>
      <c r="CA252" s="42">
        <v>500</v>
      </c>
      <c r="CB252" s="42">
        <v>500</v>
      </c>
      <c r="CC252" s="42">
        <v>500</v>
      </c>
      <c r="CD252" s="42">
        <v>0</v>
      </c>
      <c r="CE252" s="42">
        <v>500</v>
      </c>
      <c r="CF252" s="42">
        <v>500</v>
      </c>
      <c r="CG252" s="42">
        <v>500</v>
      </c>
      <c r="CH252" s="42">
        <v>500</v>
      </c>
      <c r="CI252" s="42">
        <v>500</v>
      </c>
      <c r="CJ252" s="42">
        <v>0</v>
      </c>
      <c r="CK252" s="43">
        <f t="shared" si="46"/>
        <v>6443</v>
      </c>
      <c r="CL252" s="66"/>
      <c r="CM252" s="66">
        <v>500</v>
      </c>
      <c r="CN252" s="66">
        <v>500</v>
      </c>
      <c r="CO252" s="66">
        <v>0</v>
      </c>
      <c r="CP252" s="66">
        <v>0</v>
      </c>
      <c r="CQ252" s="66">
        <v>0</v>
      </c>
      <c r="CR252" s="66">
        <v>0</v>
      </c>
      <c r="CS252" s="66">
        <v>0</v>
      </c>
      <c r="CT252" s="66">
        <v>0</v>
      </c>
      <c r="CU252" s="66">
        <v>0</v>
      </c>
      <c r="CV252" s="66">
        <v>0</v>
      </c>
      <c r="CW252" s="66">
        <v>0</v>
      </c>
      <c r="CX252" s="66">
        <v>0</v>
      </c>
      <c r="CY252" s="66">
        <v>0</v>
      </c>
      <c r="CZ252" s="66">
        <v>0</v>
      </c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>
        <f>SUM(Table1[[#This Row],[01-03 Apr]:[Mar-26]])</f>
        <v>1000</v>
      </c>
    </row>
    <row r="253" spans="1:115" hidden="1" x14ac:dyDescent="0.2">
      <c r="A253" s="28"/>
      <c r="B253" s="29"/>
      <c r="C253" s="29" t="s">
        <v>2708</v>
      </c>
      <c r="D253" s="30" t="s">
        <v>2510</v>
      </c>
      <c r="E253" s="30" t="s">
        <v>217</v>
      </c>
      <c r="F253" s="30"/>
      <c r="G253" s="31"/>
      <c r="H253" s="30">
        <v>390606</v>
      </c>
      <c r="I253" s="30" t="str">
        <f>IF(Table1[[#This Row],[Centre Status]]="Returned","NA",IF(Table1[[#This Row],[SD]]&gt;19000,"Full Payment",IF(Table1[[#This Row],[SD]]&lt;1,"No Payment","Partial Payment")))</f>
        <v>Full Payment</v>
      </c>
      <c r="J253" s="30" t="s">
        <v>58</v>
      </c>
      <c r="K253" s="32">
        <v>110000</v>
      </c>
      <c r="L253" s="33">
        <f>Q253+R253+U253+Table1[[#This Row],[Farmer Payment]]</f>
        <v>30759</v>
      </c>
      <c r="M253" s="30"/>
      <c r="N253" s="34"/>
      <c r="O253" s="34"/>
      <c r="P253" s="35">
        <f t="shared" si="43"/>
        <v>79241</v>
      </c>
      <c r="Q253" s="33">
        <f>AI253+AV253+CK253+Table1[[#This Row],[FY 25-26]]</f>
        <v>10759</v>
      </c>
      <c r="R253" s="36">
        <v>20000</v>
      </c>
      <c r="S253" s="37" t="s">
        <v>2513</v>
      </c>
      <c r="T253" s="38">
        <v>45504</v>
      </c>
      <c r="U253" s="39"/>
      <c r="V253" s="39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1">
        <f t="shared" si="44"/>
        <v>0</v>
      </c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>
        <f t="shared" si="45"/>
        <v>0</v>
      </c>
      <c r="AW253" s="42"/>
      <c r="AX253" s="42"/>
      <c r="AY253" s="42"/>
      <c r="AZ253" s="42">
        <v>0</v>
      </c>
      <c r="BA253" s="42">
        <v>0</v>
      </c>
      <c r="BB253" s="42">
        <v>0</v>
      </c>
      <c r="BC253" s="42">
        <v>323</v>
      </c>
      <c r="BD253" s="42">
        <v>0</v>
      </c>
      <c r="BE253" s="42">
        <v>0</v>
      </c>
      <c r="BF253" s="42">
        <v>0</v>
      </c>
      <c r="BG253" s="42">
        <v>0</v>
      </c>
      <c r="BH253" s="42">
        <v>0</v>
      </c>
      <c r="BI253" s="42">
        <v>1256</v>
      </c>
      <c r="BJ253" s="42">
        <v>0</v>
      </c>
      <c r="BK253" s="42">
        <v>0</v>
      </c>
      <c r="BL253" s="42">
        <v>500</v>
      </c>
      <c r="BM253" s="42">
        <v>500</v>
      </c>
      <c r="BN253" s="42">
        <v>861</v>
      </c>
      <c r="BO253" s="42">
        <v>0</v>
      </c>
      <c r="BP253" s="42">
        <v>0</v>
      </c>
      <c r="BQ253" s="42">
        <v>0</v>
      </c>
      <c r="BR253" s="42">
        <v>0</v>
      </c>
      <c r="BS253" s="42">
        <v>1861</v>
      </c>
      <c r="BT253" s="42">
        <v>0</v>
      </c>
      <c r="BU253" s="42">
        <v>0</v>
      </c>
      <c r="BV253" s="42">
        <v>0</v>
      </c>
      <c r="BW253" s="42">
        <v>0</v>
      </c>
      <c r="BX253" s="42">
        <v>0</v>
      </c>
      <c r="BY253" s="42">
        <v>0</v>
      </c>
      <c r="BZ253" s="42">
        <v>0</v>
      </c>
      <c r="CA253" s="42">
        <v>500</v>
      </c>
      <c r="CB253" s="42">
        <v>0</v>
      </c>
      <c r="CC253" s="42">
        <v>0</v>
      </c>
      <c r="CD253" s="42">
        <v>1297</v>
      </c>
      <c r="CE253" s="42">
        <v>0</v>
      </c>
      <c r="CF253" s="42">
        <v>0</v>
      </c>
      <c r="CG253" s="42">
        <v>0</v>
      </c>
      <c r="CH253" s="42">
        <v>0</v>
      </c>
      <c r="CI253" s="42">
        <v>0</v>
      </c>
      <c r="CJ253" s="42">
        <v>1861</v>
      </c>
      <c r="CK253" s="43">
        <f t="shared" si="46"/>
        <v>8959</v>
      </c>
      <c r="CL253" s="66"/>
      <c r="CM253" s="66">
        <v>0</v>
      </c>
      <c r="CN253" s="66">
        <v>0</v>
      </c>
      <c r="CO253" s="66">
        <v>0</v>
      </c>
      <c r="CP253" s="66">
        <v>1249</v>
      </c>
      <c r="CQ253" s="66">
        <v>0</v>
      </c>
      <c r="CR253" s="66">
        <v>0</v>
      </c>
      <c r="CS253" s="66">
        <v>0</v>
      </c>
      <c r="CT253" s="66">
        <v>0</v>
      </c>
      <c r="CU253" s="66">
        <v>0</v>
      </c>
      <c r="CV253" s="66">
        <v>551</v>
      </c>
      <c r="CW253" s="66">
        <v>0</v>
      </c>
      <c r="CX253" s="66">
        <v>0</v>
      </c>
      <c r="CY253" s="66">
        <v>0</v>
      </c>
      <c r="CZ253" s="66">
        <v>0</v>
      </c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>
        <f>SUM(Table1[[#This Row],[01-03 Apr]:[Mar-26]])</f>
        <v>1800</v>
      </c>
    </row>
    <row r="254" spans="1:115" hidden="1" x14ac:dyDescent="0.2">
      <c r="A254" s="28"/>
      <c r="B254" s="29"/>
      <c r="C254" s="29" t="s">
        <v>2518</v>
      </c>
      <c r="D254" s="30" t="s">
        <v>2514</v>
      </c>
      <c r="E254" s="30" t="s">
        <v>217</v>
      </c>
      <c r="F254" s="30"/>
      <c r="G254" s="31"/>
      <c r="H254" s="30">
        <v>365103</v>
      </c>
      <c r="I254" s="30" t="str">
        <f>IF(Table1[[#This Row],[Centre Status]]="Returned","NA",IF(Table1[[#This Row],[SD]]&gt;19000,"Full Payment",IF(Table1[[#This Row],[SD]]&lt;1,"No Payment","Partial Payment")))</f>
        <v>NA</v>
      </c>
      <c r="J254" s="30" t="s">
        <v>1903</v>
      </c>
      <c r="K254" s="32">
        <v>110000</v>
      </c>
      <c r="L254" s="33">
        <f>Q254+R254+U254+Table1[[#This Row],[Farmer Payment]]</f>
        <v>24910</v>
      </c>
      <c r="M254" s="30">
        <v>20000</v>
      </c>
      <c r="N254" s="34">
        <v>45779</v>
      </c>
      <c r="O254" s="34" t="s">
        <v>3400</v>
      </c>
      <c r="P254" s="35">
        <f t="shared" si="43"/>
        <v>105090</v>
      </c>
      <c r="Q254" s="33">
        <f>AI254+AV254+CK254+Table1[[#This Row],[FY 25-26]]</f>
        <v>4910</v>
      </c>
      <c r="R254" s="36">
        <v>20000</v>
      </c>
      <c r="S254" s="37" t="s">
        <v>2516</v>
      </c>
      <c r="T254" s="38">
        <v>45475</v>
      </c>
      <c r="U254" s="39"/>
      <c r="V254" s="39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1">
        <f t="shared" si="44"/>
        <v>0</v>
      </c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>
        <f t="shared" si="45"/>
        <v>0</v>
      </c>
      <c r="AW254" s="42"/>
      <c r="AX254" s="42"/>
      <c r="AY254" s="42"/>
      <c r="AZ254" s="42">
        <v>0</v>
      </c>
      <c r="BA254" s="42">
        <v>284</v>
      </c>
      <c r="BB254" s="42">
        <v>500</v>
      </c>
      <c r="BC254" s="42">
        <v>861</v>
      </c>
      <c r="BD254" s="42">
        <v>500</v>
      </c>
      <c r="BE254" s="42">
        <v>0</v>
      </c>
      <c r="BF254" s="42">
        <v>0</v>
      </c>
      <c r="BG254" s="42">
        <v>0</v>
      </c>
      <c r="BH254" s="42">
        <v>0</v>
      </c>
      <c r="BI254" s="42">
        <v>1861</v>
      </c>
      <c r="BJ254" s="42">
        <v>0</v>
      </c>
      <c r="BK254" s="42">
        <v>0</v>
      </c>
      <c r="BL254" s="42">
        <v>0</v>
      </c>
      <c r="BM254" s="42">
        <v>0</v>
      </c>
      <c r="BN254" s="42">
        <v>904</v>
      </c>
      <c r="BO254" s="42">
        <v>0</v>
      </c>
      <c r="BP254" s="42">
        <v>0</v>
      </c>
      <c r="BQ254" s="42">
        <v>0</v>
      </c>
      <c r="BR254" s="42">
        <v>0</v>
      </c>
      <c r="BS254" s="42">
        <v>0</v>
      </c>
      <c r="BT254" s="42">
        <v>0</v>
      </c>
      <c r="BU254" s="42">
        <v>0</v>
      </c>
      <c r="BV254" s="42">
        <v>0</v>
      </c>
      <c r="BW254" s="42">
        <v>0</v>
      </c>
      <c r="BX254" s="42">
        <v>0</v>
      </c>
      <c r="BY254" s="42">
        <v>0</v>
      </c>
      <c r="BZ254" s="42">
        <v>0</v>
      </c>
      <c r="CA254" s="42">
        <v>0</v>
      </c>
      <c r="CB254" s="42">
        <v>0</v>
      </c>
      <c r="CC254" s="42">
        <v>0</v>
      </c>
      <c r="CD254" s="42">
        <v>0</v>
      </c>
      <c r="CE254" s="42">
        <v>0</v>
      </c>
      <c r="CF254" s="42">
        <v>0</v>
      </c>
      <c r="CG254" s="42">
        <v>0</v>
      </c>
      <c r="CH254" s="42">
        <v>0</v>
      </c>
      <c r="CI254" s="42">
        <v>0</v>
      </c>
      <c r="CJ254" s="42">
        <v>0</v>
      </c>
      <c r="CK254" s="43">
        <f t="shared" si="46"/>
        <v>4910</v>
      </c>
      <c r="CL254" s="66"/>
      <c r="CM254" s="66">
        <v>0</v>
      </c>
      <c r="CN254" s="66">
        <v>0</v>
      </c>
      <c r="CO254" s="66">
        <v>0</v>
      </c>
      <c r="CP254" s="66">
        <v>0</v>
      </c>
      <c r="CQ254" s="66">
        <v>0</v>
      </c>
      <c r="CR254" s="66">
        <v>0</v>
      </c>
      <c r="CS254" s="66">
        <v>0</v>
      </c>
      <c r="CT254" s="66">
        <v>0</v>
      </c>
      <c r="CU254" s="66">
        <v>0</v>
      </c>
      <c r="CV254" s="66">
        <v>0</v>
      </c>
      <c r="CW254" s="66">
        <v>0</v>
      </c>
      <c r="CX254" s="66">
        <v>0</v>
      </c>
      <c r="CY254" s="66">
        <v>0</v>
      </c>
      <c r="CZ254" s="66">
        <v>0</v>
      </c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>
        <f>SUM(Table1[[#This Row],[01-03 Apr]:[Mar-26]])</f>
        <v>0</v>
      </c>
    </row>
    <row r="255" spans="1:115" hidden="1" x14ac:dyDescent="0.2">
      <c r="A255" s="28"/>
      <c r="B255" s="29"/>
      <c r="C255" s="29" t="s">
        <v>2601</v>
      </c>
      <c r="D255" s="30" t="s">
        <v>2515</v>
      </c>
      <c r="E255" s="30" t="s">
        <v>217</v>
      </c>
      <c r="F255" s="30"/>
      <c r="G255" s="31"/>
      <c r="H255" s="30">
        <v>399054</v>
      </c>
      <c r="I255" s="30" t="str">
        <f>IF(Table1[[#This Row],[Centre Status]]="Returned","NA",IF(Table1[[#This Row],[SD]]&gt;19000,"Full Payment",IF(Table1[[#This Row],[SD]]&lt;1,"No Payment","Partial Payment")))</f>
        <v>Full Payment</v>
      </c>
      <c r="J255" s="30" t="s">
        <v>58</v>
      </c>
      <c r="K255" s="32">
        <v>110000</v>
      </c>
      <c r="L255" s="33">
        <f>Q255+R255+U255+Table1[[#This Row],[Farmer Payment]]</f>
        <v>24157.11869787889</v>
      </c>
      <c r="M255" s="30"/>
      <c r="N255" s="34"/>
      <c r="O255" s="34"/>
      <c r="P255" s="35">
        <f t="shared" si="43"/>
        <v>85842.88130212111</v>
      </c>
      <c r="Q255" s="33">
        <f>AI255+AV255+CK255+Table1[[#This Row],[FY 25-26]]</f>
        <v>4157.1186978788883</v>
      </c>
      <c r="R255" s="36">
        <v>20000</v>
      </c>
      <c r="S255" s="37" t="s">
        <v>2517</v>
      </c>
      <c r="T255" s="38">
        <v>45482</v>
      </c>
      <c r="U255" s="39"/>
      <c r="V255" s="39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1">
        <f t="shared" si="44"/>
        <v>0</v>
      </c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>
        <f t="shared" si="45"/>
        <v>0</v>
      </c>
      <c r="AW255" s="42"/>
      <c r="AX255" s="42"/>
      <c r="AY255" s="42"/>
      <c r="AZ255" s="42">
        <v>0</v>
      </c>
      <c r="BA255" s="42">
        <v>0</v>
      </c>
      <c r="BB255" s="42">
        <v>0</v>
      </c>
      <c r="BC255" s="42">
        <v>0</v>
      </c>
      <c r="BD255" s="42">
        <v>0</v>
      </c>
      <c r="BE255" s="42">
        <v>0</v>
      </c>
      <c r="BF255" s="42">
        <v>0</v>
      </c>
      <c r="BG255" s="42">
        <v>0</v>
      </c>
      <c r="BH255" s="42">
        <v>0</v>
      </c>
      <c r="BI255" s="42">
        <v>7</v>
      </c>
      <c r="BJ255" s="42">
        <v>0</v>
      </c>
      <c r="BK255" s="42">
        <v>0</v>
      </c>
      <c r="BL255" s="42">
        <v>500</v>
      </c>
      <c r="BM255" s="42">
        <v>500</v>
      </c>
      <c r="BN255" s="42">
        <v>861</v>
      </c>
      <c r="BO255" s="42">
        <v>0</v>
      </c>
      <c r="BP255" s="42">
        <v>0</v>
      </c>
      <c r="BQ255" s="42">
        <v>0</v>
      </c>
      <c r="BR255" s="42">
        <v>0</v>
      </c>
      <c r="BS255" s="42">
        <v>2289.1186978788878</v>
      </c>
      <c r="BT255" s="42">
        <v>0</v>
      </c>
      <c r="BU255" s="42">
        <v>0</v>
      </c>
      <c r="BV255" s="42">
        <v>0</v>
      </c>
      <c r="BW255" s="42">
        <v>0</v>
      </c>
      <c r="BX255" s="42">
        <v>0</v>
      </c>
      <c r="BY255" s="42">
        <v>0</v>
      </c>
      <c r="BZ255" s="42">
        <v>0</v>
      </c>
      <c r="CA255" s="42">
        <v>0</v>
      </c>
      <c r="CB255" s="42">
        <v>0</v>
      </c>
      <c r="CC255" s="42">
        <v>0</v>
      </c>
      <c r="CD255" s="42">
        <v>0</v>
      </c>
      <c r="CE255" s="42">
        <v>0</v>
      </c>
      <c r="CF255" s="42">
        <v>0</v>
      </c>
      <c r="CG255" s="42">
        <v>0</v>
      </c>
      <c r="CH255" s="42">
        <v>0</v>
      </c>
      <c r="CI255" s="42">
        <v>0</v>
      </c>
      <c r="CJ255" s="42">
        <v>0</v>
      </c>
      <c r="CK255" s="43">
        <f t="shared" si="46"/>
        <v>4157.1186978788883</v>
      </c>
      <c r="CL255" s="66"/>
      <c r="CM255" s="66">
        <v>0</v>
      </c>
      <c r="CN255" s="66">
        <v>0</v>
      </c>
      <c r="CO255" s="66">
        <v>0</v>
      </c>
      <c r="CP255" s="66">
        <v>0</v>
      </c>
      <c r="CQ255" s="66">
        <v>0</v>
      </c>
      <c r="CR255" s="66">
        <v>0</v>
      </c>
      <c r="CS255" s="66">
        <v>0</v>
      </c>
      <c r="CT255" s="66">
        <v>0</v>
      </c>
      <c r="CU255" s="66">
        <v>0</v>
      </c>
      <c r="CV255" s="66">
        <v>0</v>
      </c>
      <c r="CW255" s="66">
        <v>0</v>
      </c>
      <c r="CX255" s="66">
        <v>0</v>
      </c>
      <c r="CY255" s="66">
        <v>0</v>
      </c>
      <c r="CZ255" s="66">
        <v>0</v>
      </c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>
        <f>SUM(Table1[[#This Row],[01-03 Apr]:[Mar-26]])</f>
        <v>0</v>
      </c>
    </row>
    <row r="256" spans="1:115" hidden="1" x14ac:dyDescent="0.2">
      <c r="A256" s="28"/>
      <c r="B256" s="29"/>
      <c r="C256" s="29" t="s">
        <v>2693</v>
      </c>
      <c r="D256" s="30" t="s">
        <v>2694</v>
      </c>
      <c r="E256" s="30" t="s">
        <v>85</v>
      </c>
      <c r="F256" s="30"/>
      <c r="G256" s="31"/>
      <c r="H256" s="30">
        <v>365836</v>
      </c>
      <c r="I256" s="30" t="str">
        <f>IF(Table1[[#This Row],[Centre Status]]="Returned","NA",IF(Table1[[#This Row],[SD]]&gt;19000,"Full Payment",IF(Table1[[#This Row],[SD]]&lt;1,"No Payment","Partial Payment")))</f>
        <v>NA</v>
      </c>
      <c r="J256" s="30" t="s">
        <v>1903</v>
      </c>
      <c r="K256" s="32">
        <v>110000</v>
      </c>
      <c r="L256" s="33">
        <f>Q256+R256+U256+Table1[[#This Row],[Farmer Payment]]</f>
        <v>20000</v>
      </c>
      <c r="M256" s="30">
        <v>20000</v>
      </c>
      <c r="N256" s="34">
        <v>45612</v>
      </c>
      <c r="O256" s="34"/>
      <c r="P256" s="35">
        <f t="shared" si="43"/>
        <v>110000</v>
      </c>
      <c r="Q256" s="33">
        <f>AI256+AV256+CK256+Table1[[#This Row],[FY 25-26]]</f>
        <v>0</v>
      </c>
      <c r="R256" s="36">
        <v>20000</v>
      </c>
      <c r="S256" s="37" t="s">
        <v>2695</v>
      </c>
      <c r="T256" s="38">
        <v>45579</v>
      </c>
      <c r="U256" s="39"/>
      <c r="V256" s="39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1">
        <f t="shared" si="44"/>
        <v>0</v>
      </c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>
        <f t="shared" si="45"/>
        <v>0</v>
      </c>
      <c r="AW256" s="42"/>
      <c r="AX256" s="42"/>
      <c r="AY256" s="42"/>
      <c r="AZ256" s="42"/>
      <c r="BA256" s="42"/>
      <c r="BB256" s="42"/>
      <c r="BC256" s="42">
        <v>0</v>
      </c>
      <c r="BD256" s="42"/>
      <c r="BE256" s="42">
        <v>0</v>
      </c>
      <c r="BF256" s="42">
        <v>0</v>
      </c>
      <c r="BG256" s="42">
        <v>0</v>
      </c>
      <c r="BH256" s="42">
        <v>0</v>
      </c>
      <c r="BI256" s="42">
        <v>0</v>
      </c>
      <c r="BJ256" s="42">
        <v>0</v>
      </c>
      <c r="BK256" s="42">
        <v>0</v>
      </c>
      <c r="BL256" s="42">
        <v>0</v>
      </c>
      <c r="BM256" s="42">
        <v>0</v>
      </c>
      <c r="BN256" s="42">
        <v>0</v>
      </c>
      <c r="BO256" s="42">
        <v>0</v>
      </c>
      <c r="BP256" s="42">
        <v>0</v>
      </c>
      <c r="BQ256" s="42">
        <v>0</v>
      </c>
      <c r="BR256" s="42">
        <v>0</v>
      </c>
      <c r="BS256" s="42">
        <v>0</v>
      </c>
      <c r="BT256" s="42">
        <v>0</v>
      </c>
      <c r="BU256" s="42">
        <v>0</v>
      </c>
      <c r="BV256" s="42">
        <v>0</v>
      </c>
      <c r="BW256" s="42">
        <v>0</v>
      </c>
      <c r="BX256" s="42">
        <v>0</v>
      </c>
      <c r="BY256" s="42">
        <v>0</v>
      </c>
      <c r="BZ256" s="42">
        <v>0</v>
      </c>
      <c r="CA256" s="42">
        <v>0</v>
      </c>
      <c r="CB256" s="42">
        <v>0</v>
      </c>
      <c r="CC256" s="42">
        <v>0</v>
      </c>
      <c r="CD256" s="42">
        <v>0</v>
      </c>
      <c r="CE256" s="42">
        <v>0</v>
      </c>
      <c r="CF256" s="42">
        <v>0</v>
      </c>
      <c r="CG256" s="42">
        <v>0</v>
      </c>
      <c r="CH256" s="42">
        <v>0</v>
      </c>
      <c r="CI256" s="42">
        <v>0</v>
      </c>
      <c r="CJ256" s="42">
        <v>0</v>
      </c>
      <c r="CK256" s="43">
        <f t="shared" si="46"/>
        <v>0</v>
      </c>
      <c r="CL256" s="66"/>
      <c r="CM256" s="66">
        <v>0</v>
      </c>
      <c r="CN256" s="66">
        <v>0</v>
      </c>
      <c r="CO256" s="66">
        <v>0</v>
      </c>
      <c r="CP256" s="66">
        <v>0</v>
      </c>
      <c r="CQ256" s="66">
        <v>0</v>
      </c>
      <c r="CR256" s="66">
        <v>0</v>
      </c>
      <c r="CS256" s="66">
        <v>0</v>
      </c>
      <c r="CT256" s="66">
        <v>0</v>
      </c>
      <c r="CU256" s="66">
        <v>0</v>
      </c>
      <c r="CV256" s="66">
        <v>0</v>
      </c>
      <c r="CW256" s="66">
        <v>0</v>
      </c>
      <c r="CX256" s="66">
        <v>0</v>
      </c>
      <c r="CY256" s="66">
        <v>0</v>
      </c>
      <c r="CZ256" s="66">
        <v>0</v>
      </c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>
        <f>SUM(Table1[[#This Row],[01-03 Apr]:[Mar-26]])</f>
        <v>0</v>
      </c>
    </row>
    <row r="257" spans="1:115" hidden="1" x14ac:dyDescent="0.2">
      <c r="A257" s="28"/>
      <c r="B257" s="29" t="s">
        <v>2359</v>
      </c>
      <c r="C257" s="29" t="s">
        <v>2373</v>
      </c>
      <c r="D257" s="30" t="s">
        <v>2374</v>
      </c>
      <c r="E257" s="30" t="s">
        <v>943</v>
      </c>
      <c r="F257" s="30"/>
      <c r="G257" s="31"/>
      <c r="H257" s="30">
        <v>388120</v>
      </c>
      <c r="I257" s="30" t="str">
        <f>IF(Table1[[#This Row],[Centre Status]]="Returned","NA",IF(Table1[[#This Row],[SD]]&gt;19000,"Full Payment",IF(Table1[[#This Row],[SD]]&lt;1,"No Payment","Partial Payment")))</f>
        <v>NA</v>
      </c>
      <c r="J257" s="30" t="s">
        <v>1903</v>
      </c>
      <c r="K257" s="32">
        <v>110000</v>
      </c>
      <c r="L257" s="33">
        <f>Q257+R257+U257+Table1[[#This Row],[Farmer Payment]]</f>
        <v>26178</v>
      </c>
      <c r="M257" s="30">
        <v>20000</v>
      </c>
      <c r="N257" s="34">
        <v>45720</v>
      </c>
      <c r="O257" s="34" t="s">
        <v>3145</v>
      </c>
      <c r="P257" s="35">
        <f t="shared" si="43"/>
        <v>103822</v>
      </c>
      <c r="Q257" s="33">
        <f>AI257+AV257+CK257+Table1[[#This Row],[FY 25-26]]</f>
        <v>6178</v>
      </c>
      <c r="R257" s="36">
        <v>20000</v>
      </c>
      <c r="S257" s="37" t="s">
        <v>2375</v>
      </c>
      <c r="T257" s="38">
        <v>45457</v>
      </c>
      <c r="U257" s="39"/>
      <c r="V257" s="39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1">
        <f t="shared" si="44"/>
        <v>0</v>
      </c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>
        <f t="shared" si="45"/>
        <v>0</v>
      </c>
      <c r="AW257" s="42"/>
      <c r="AX257" s="42"/>
      <c r="AY257" s="42">
        <v>0</v>
      </c>
      <c r="AZ257" s="42">
        <v>1781</v>
      </c>
      <c r="BA257" s="42">
        <v>1063</v>
      </c>
      <c r="BB257" s="42">
        <v>500</v>
      </c>
      <c r="BC257" s="42">
        <v>861</v>
      </c>
      <c r="BD257" s="42">
        <v>500</v>
      </c>
      <c r="BE257" s="42">
        <v>0</v>
      </c>
      <c r="BF257" s="42">
        <v>0</v>
      </c>
      <c r="BG257" s="42">
        <v>0</v>
      </c>
      <c r="BH257" s="42">
        <v>0</v>
      </c>
      <c r="BI257" s="42">
        <v>1473</v>
      </c>
      <c r="BJ257" s="42">
        <v>0</v>
      </c>
      <c r="BK257" s="42">
        <v>0</v>
      </c>
      <c r="BL257" s="42">
        <v>0</v>
      </c>
      <c r="BM257" s="42">
        <v>0</v>
      </c>
      <c r="BN257" s="42">
        <v>0</v>
      </c>
      <c r="BO257" s="42">
        <v>0</v>
      </c>
      <c r="BP257" s="42">
        <v>0</v>
      </c>
      <c r="BQ257" s="42">
        <v>0</v>
      </c>
      <c r="BR257" s="42">
        <v>0</v>
      </c>
      <c r="BS257" s="42">
        <v>0</v>
      </c>
      <c r="BT257" s="42">
        <v>0</v>
      </c>
      <c r="BU257" s="42">
        <v>0</v>
      </c>
      <c r="BV257" s="42">
        <v>0</v>
      </c>
      <c r="BW257" s="42">
        <v>0</v>
      </c>
      <c r="BX257" s="42">
        <v>0</v>
      </c>
      <c r="BY257" s="42">
        <v>0</v>
      </c>
      <c r="BZ257" s="42">
        <v>0</v>
      </c>
      <c r="CA257" s="42">
        <v>0</v>
      </c>
      <c r="CB257" s="42">
        <v>0</v>
      </c>
      <c r="CC257" s="42">
        <v>0</v>
      </c>
      <c r="CD257" s="42">
        <v>0</v>
      </c>
      <c r="CE257" s="42">
        <v>0</v>
      </c>
      <c r="CF257" s="42">
        <v>0</v>
      </c>
      <c r="CG257" s="42">
        <v>0</v>
      </c>
      <c r="CH257" s="42">
        <v>0</v>
      </c>
      <c r="CI257" s="42">
        <v>0</v>
      </c>
      <c r="CJ257" s="42">
        <v>0</v>
      </c>
      <c r="CK257" s="43">
        <f t="shared" si="46"/>
        <v>6178</v>
      </c>
      <c r="CL257" s="66"/>
      <c r="CM257" s="66">
        <v>0</v>
      </c>
      <c r="CN257" s="66">
        <v>0</v>
      </c>
      <c r="CO257" s="66">
        <v>0</v>
      </c>
      <c r="CP257" s="66">
        <v>0</v>
      </c>
      <c r="CQ257" s="66">
        <v>0</v>
      </c>
      <c r="CR257" s="66">
        <v>0</v>
      </c>
      <c r="CS257" s="66">
        <v>0</v>
      </c>
      <c r="CT257" s="66">
        <v>0</v>
      </c>
      <c r="CU257" s="66">
        <v>0</v>
      </c>
      <c r="CV257" s="66">
        <v>0</v>
      </c>
      <c r="CW257" s="66">
        <v>0</v>
      </c>
      <c r="CX257" s="66">
        <v>0</v>
      </c>
      <c r="CY257" s="66">
        <v>0</v>
      </c>
      <c r="CZ257" s="66">
        <v>0</v>
      </c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>
        <f>SUM(Table1[[#This Row],[01-03 Apr]:[Mar-26]])</f>
        <v>0</v>
      </c>
    </row>
    <row r="258" spans="1:115" hidden="1" x14ac:dyDescent="0.2">
      <c r="A258" s="28"/>
      <c r="B258" s="29"/>
      <c r="C258" s="29" t="s">
        <v>3336</v>
      </c>
      <c r="D258" s="30" t="s">
        <v>3146</v>
      </c>
      <c r="E258" s="30"/>
      <c r="F258" s="30"/>
      <c r="G258" s="31"/>
      <c r="H258" s="30"/>
      <c r="I258" s="30" t="str">
        <f>IF(Table1[[#This Row],[Centre Status]]="Returned","NA",IF(Table1[[#This Row],[SD]]&gt;19000,"Full Payment",IF(Table1[[#This Row],[SD]]&lt;1,"No Payment","Partial Payment")))</f>
        <v>NA</v>
      </c>
      <c r="J258" s="30" t="s">
        <v>1903</v>
      </c>
      <c r="K258" s="32">
        <v>20000</v>
      </c>
      <c r="L258" s="33">
        <f>Q258+R258+U258+Table1[[#This Row],[Farmer Payment]]</f>
        <v>20000</v>
      </c>
      <c r="M258" s="30">
        <v>20000</v>
      </c>
      <c r="N258" s="34">
        <v>45716</v>
      </c>
      <c r="O258" s="34" t="s">
        <v>3148</v>
      </c>
      <c r="P258" s="35">
        <f>K258-L258+M258</f>
        <v>20000</v>
      </c>
      <c r="Q258" s="33">
        <f>AI258+AV258+CK258+Table1[[#This Row],[FY 25-26]]</f>
        <v>0</v>
      </c>
      <c r="R258" s="36">
        <v>20000</v>
      </c>
      <c r="S258" s="37" t="s">
        <v>3147</v>
      </c>
      <c r="T258" s="38">
        <v>45678</v>
      </c>
      <c r="U258" s="39"/>
      <c r="V258" s="39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1">
        <f>SUM(W258:AH258)</f>
        <v>0</v>
      </c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>
        <f>SUM(AJ258:AU258)</f>
        <v>0</v>
      </c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>
        <v>0</v>
      </c>
      <c r="CG258" s="42">
        <v>0</v>
      </c>
      <c r="CH258" s="42">
        <v>0</v>
      </c>
      <c r="CI258" s="42">
        <v>0</v>
      </c>
      <c r="CJ258" s="42">
        <v>0</v>
      </c>
      <c r="CK258" s="43">
        <f>SUM(AW258:CJ258)</f>
        <v>0</v>
      </c>
      <c r="CL258" s="66"/>
      <c r="CM258" s="66">
        <v>0</v>
      </c>
      <c r="CN258" s="66">
        <v>0</v>
      </c>
      <c r="CO258" s="66">
        <v>0</v>
      </c>
      <c r="CP258" s="66">
        <v>0</v>
      </c>
      <c r="CQ258" s="66">
        <v>0</v>
      </c>
      <c r="CR258" s="66">
        <v>0</v>
      </c>
      <c r="CS258" s="66">
        <v>0</v>
      </c>
      <c r="CT258" s="66">
        <v>0</v>
      </c>
      <c r="CU258" s="66">
        <v>0</v>
      </c>
      <c r="CV258" s="66">
        <v>0</v>
      </c>
      <c r="CW258" s="66">
        <v>0</v>
      </c>
      <c r="CX258" s="66">
        <v>0</v>
      </c>
      <c r="CY258" s="66">
        <v>0</v>
      </c>
      <c r="CZ258" s="66">
        <v>0</v>
      </c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>
        <f>SUM(Table1[[#This Row],[01-03 Apr]:[Mar-26]])</f>
        <v>0</v>
      </c>
    </row>
    <row r="259" spans="1:115" hidden="1" x14ac:dyDescent="0.2">
      <c r="A259" s="28"/>
      <c r="B259" s="29" t="s">
        <v>2359</v>
      </c>
      <c r="C259" s="29" t="s">
        <v>2376</v>
      </c>
      <c r="D259" s="30" t="s">
        <v>2377</v>
      </c>
      <c r="E259" s="30" t="s">
        <v>943</v>
      </c>
      <c r="F259" s="30"/>
      <c r="G259" s="31"/>
      <c r="H259" s="30">
        <v>210407</v>
      </c>
      <c r="I259" s="30" t="str">
        <f>IF(Table1[[#This Row],[Centre Status]]="Returned","NA",IF(Table1[[#This Row],[SD]]&gt;19000,"Full Payment",IF(Table1[[#This Row],[SD]]&lt;1,"No Payment","Partial Payment")))</f>
        <v>Full Payment</v>
      </c>
      <c r="J259" s="30" t="s">
        <v>58</v>
      </c>
      <c r="K259" s="32">
        <v>110000</v>
      </c>
      <c r="L259" s="33">
        <f>Q259+R259+U259+Table1[[#This Row],[Farmer Payment]]</f>
        <v>21122</v>
      </c>
      <c r="M259" s="30">
        <v>20000</v>
      </c>
      <c r="N259" s="34">
        <v>45813</v>
      </c>
      <c r="O259" s="34" t="s">
        <v>3487</v>
      </c>
      <c r="P259" s="35">
        <f t="shared" si="43"/>
        <v>108878</v>
      </c>
      <c r="Q259" s="33">
        <f>AI259+AV259+CK259+Table1[[#This Row],[FY 25-26]]</f>
        <v>1122</v>
      </c>
      <c r="R259" s="36">
        <v>20000</v>
      </c>
      <c r="S259" s="37" t="s">
        <v>2378</v>
      </c>
      <c r="T259" s="38">
        <v>45456</v>
      </c>
      <c r="U259" s="39"/>
      <c r="V259" s="39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1">
        <f t="shared" si="44"/>
        <v>0</v>
      </c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>
        <f t="shared" si="45"/>
        <v>0</v>
      </c>
      <c r="AW259" s="42"/>
      <c r="AX259" s="42"/>
      <c r="AY259" s="42">
        <v>0</v>
      </c>
      <c r="AZ259" s="42">
        <v>1122</v>
      </c>
      <c r="BA259" s="42">
        <v>0</v>
      </c>
      <c r="BB259" s="42">
        <v>0</v>
      </c>
      <c r="BC259" s="42">
        <v>0</v>
      </c>
      <c r="BD259" s="42">
        <v>0</v>
      </c>
      <c r="BE259" s="42">
        <v>0</v>
      </c>
      <c r="BF259" s="42">
        <v>0</v>
      </c>
      <c r="BG259" s="42">
        <v>0</v>
      </c>
      <c r="BH259" s="42">
        <v>0</v>
      </c>
      <c r="BI259" s="42">
        <v>0</v>
      </c>
      <c r="BJ259" s="42">
        <v>0</v>
      </c>
      <c r="BK259" s="42">
        <v>0</v>
      </c>
      <c r="BL259" s="42">
        <v>0</v>
      </c>
      <c r="BM259" s="42">
        <v>0</v>
      </c>
      <c r="BN259" s="42">
        <v>0</v>
      </c>
      <c r="BO259" s="42">
        <v>0</v>
      </c>
      <c r="BP259" s="42">
        <v>0</v>
      </c>
      <c r="BQ259" s="42">
        <v>0</v>
      </c>
      <c r="BR259" s="42">
        <v>0</v>
      </c>
      <c r="BS259" s="42">
        <v>0</v>
      </c>
      <c r="BT259" s="42">
        <v>0</v>
      </c>
      <c r="BU259" s="42">
        <v>0</v>
      </c>
      <c r="BV259" s="42">
        <v>0</v>
      </c>
      <c r="BW259" s="42">
        <v>0</v>
      </c>
      <c r="BX259" s="42">
        <v>0</v>
      </c>
      <c r="BY259" s="42">
        <v>0</v>
      </c>
      <c r="BZ259" s="42">
        <v>0</v>
      </c>
      <c r="CA259" s="42">
        <v>0</v>
      </c>
      <c r="CB259" s="42">
        <v>0</v>
      </c>
      <c r="CC259" s="42">
        <v>0</v>
      </c>
      <c r="CD259" s="42">
        <v>0</v>
      </c>
      <c r="CE259" s="42">
        <v>0</v>
      </c>
      <c r="CF259" s="42">
        <v>0</v>
      </c>
      <c r="CG259" s="42">
        <v>0</v>
      </c>
      <c r="CH259" s="42">
        <v>0</v>
      </c>
      <c r="CI259" s="42">
        <v>0</v>
      </c>
      <c r="CJ259" s="42">
        <v>0</v>
      </c>
      <c r="CK259" s="43">
        <f t="shared" si="46"/>
        <v>1122</v>
      </c>
      <c r="CL259" s="66"/>
      <c r="CM259" s="66">
        <v>0</v>
      </c>
      <c r="CN259" s="66">
        <v>0</v>
      </c>
      <c r="CO259" s="66">
        <v>0</v>
      </c>
      <c r="CP259" s="66">
        <v>0</v>
      </c>
      <c r="CQ259" s="66">
        <v>0</v>
      </c>
      <c r="CR259" s="66">
        <v>0</v>
      </c>
      <c r="CS259" s="66">
        <v>0</v>
      </c>
      <c r="CT259" s="66">
        <v>0</v>
      </c>
      <c r="CU259" s="66">
        <v>0</v>
      </c>
      <c r="CV259" s="66">
        <v>0</v>
      </c>
      <c r="CW259" s="66">
        <v>0</v>
      </c>
      <c r="CX259" s="66">
        <v>0</v>
      </c>
      <c r="CY259" s="66">
        <v>0</v>
      </c>
      <c r="CZ259" s="66">
        <v>0</v>
      </c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>
        <f>SUM(Table1[[#This Row],[01-03 Apr]:[Mar-26]])</f>
        <v>0</v>
      </c>
    </row>
    <row r="260" spans="1:115" hidden="1" x14ac:dyDescent="0.2">
      <c r="A260" s="28"/>
      <c r="B260" s="29" t="s">
        <v>2359</v>
      </c>
      <c r="C260" s="29" t="s">
        <v>2379</v>
      </c>
      <c r="D260" s="30" t="s">
        <v>2380</v>
      </c>
      <c r="E260" s="30" t="s">
        <v>943</v>
      </c>
      <c r="F260" s="30"/>
      <c r="G260" s="31"/>
      <c r="H260" s="30">
        <v>378242</v>
      </c>
      <c r="I260" s="30" t="str">
        <f>IF(Table1[[#This Row],[Centre Status]]="Returned","NA",IF(Table1[[#This Row],[SD]]&gt;19000,"Full Payment",IF(Table1[[#This Row],[SD]]&lt;1,"No Payment","Partial Payment")))</f>
        <v>Full Payment</v>
      </c>
      <c r="J260" s="30" t="s">
        <v>58</v>
      </c>
      <c r="K260" s="32">
        <v>110000</v>
      </c>
      <c r="L260" s="33">
        <f>Q260+R260+U260+Table1[[#This Row],[Farmer Payment]]</f>
        <v>21862</v>
      </c>
      <c r="M260" s="30"/>
      <c r="N260" s="34"/>
      <c r="O260" s="34"/>
      <c r="P260" s="35">
        <f t="shared" si="43"/>
        <v>88138</v>
      </c>
      <c r="Q260" s="33">
        <f>AI260+AV260+CK260+Table1[[#This Row],[FY 25-26]]</f>
        <v>1862</v>
      </c>
      <c r="R260" s="36">
        <v>20000</v>
      </c>
      <c r="S260" s="37" t="s">
        <v>2381</v>
      </c>
      <c r="T260" s="38">
        <v>45456</v>
      </c>
      <c r="U260" s="39"/>
      <c r="V260" s="39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1">
        <f t="shared" si="44"/>
        <v>0</v>
      </c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>
        <f t="shared" si="45"/>
        <v>0</v>
      </c>
      <c r="AW260" s="42"/>
      <c r="AX260" s="42"/>
      <c r="AY260" s="42">
        <v>0</v>
      </c>
      <c r="AZ260" s="42">
        <v>1374</v>
      </c>
      <c r="BA260" s="42">
        <v>0</v>
      </c>
      <c r="BB260" s="42">
        <v>0</v>
      </c>
      <c r="BC260" s="42">
        <v>488</v>
      </c>
      <c r="BD260" s="42">
        <v>0</v>
      </c>
      <c r="BE260" s="42">
        <v>0</v>
      </c>
      <c r="BF260" s="42">
        <v>0</v>
      </c>
      <c r="BG260" s="42">
        <v>0</v>
      </c>
      <c r="BH260" s="42">
        <v>0</v>
      </c>
      <c r="BI260" s="42">
        <v>0</v>
      </c>
      <c r="BJ260" s="42">
        <v>0</v>
      </c>
      <c r="BK260" s="42">
        <v>0</v>
      </c>
      <c r="BL260" s="42">
        <v>0</v>
      </c>
      <c r="BM260" s="42">
        <v>0</v>
      </c>
      <c r="BN260" s="42">
        <v>0</v>
      </c>
      <c r="BO260" s="42">
        <v>0</v>
      </c>
      <c r="BP260" s="42">
        <v>0</v>
      </c>
      <c r="BQ260" s="42">
        <v>0</v>
      </c>
      <c r="BR260" s="42">
        <v>0</v>
      </c>
      <c r="BS260" s="42">
        <v>0</v>
      </c>
      <c r="BT260" s="42">
        <v>0</v>
      </c>
      <c r="BU260" s="42">
        <v>0</v>
      </c>
      <c r="BV260" s="42">
        <v>0</v>
      </c>
      <c r="BW260" s="42">
        <v>0</v>
      </c>
      <c r="BX260" s="42">
        <v>0</v>
      </c>
      <c r="BY260" s="42">
        <v>0</v>
      </c>
      <c r="BZ260" s="42">
        <v>0</v>
      </c>
      <c r="CA260" s="42">
        <v>0</v>
      </c>
      <c r="CB260" s="42">
        <v>0</v>
      </c>
      <c r="CC260" s="42">
        <v>0</v>
      </c>
      <c r="CD260" s="42">
        <v>0</v>
      </c>
      <c r="CE260" s="42">
        <v>0</v>
      </c>
      <c r="CF260" s="42">
        <v>0</v>
      </c>
      <c r="CG260" s="42">
        <v>0</v>
      </c>
      <c r="CH260" s="42">
        <v>0</v>
      </c>
      <c r="CI260" s="42">
        <v>0</v>
      </c>
      <c r="CJ260" s="42">
        <v>0</v>
      </c>
      <c r="CK260" s="43">
        <f t="shared" si="46"/>
        <v>1862</v>
      </c>
      <c r="CL260" s="66"/>
      <c r="CM260" s="66">
        <v>0</v>
      </c>
      <c r="CN260" s="66">
        <v>0</v>
      </c>
      <c r="CO260" s="66">
        <v>0</v>
      </c>
      <c r="CP260" s="66">
        <v>0</v>
      </c>
      <c r="CQ260" s="66">
        <v>0</v>
      </c>
      <c r="CR260" s="66">
        <v>0</v>
      </c>
      <c r="CS260" s="66">
        <v>0</v>
      </c>
      <c r="CT260" s="66">
        <v>0</v>
      </c>
      <c r="CU260" s="66">
        <v>0</v>
      </c>
      <c r="CV260" s="66">
        <v>0</v>
      </c>
      <c r="CW260" s="66">
        <v>0</v>
      </c>
      <c r="CX260" s="66">
        <v>0</v>
      </c>
      <c r="CY260" s="66">
        <v>0</v>
      </c>
      <c r="CZ260" s="66">
        <v>0</v>
      </c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>
        <f>SUM(Table1[[#This Row],[01-03 Apr]:[Mar-26]])</f>
        <v>0</v>
      </c>
    </row>
    <row r="261" spans="1:115" hidden="1" x14ac:dyDescent="0.2">
      <c r="A261" s="28" t="s">
        <v>2255</v>
      </c>
      <c r="B261" s="29" t="s">
        <v>2359</v>
      </c>
      <c r="C261" s="29" t="s">
        <v>2382</v>
      </c>
      <c r="D261" s="30" t="s">
        <v>2383</v>
      </c>
      <c r="E261" s="30" t="s">
        <v>85</v>
      </c>
      <c r="F261" s="30"/>
      <c r="G261" s="31"/>
      <c r="H261" s="30">
        <v>399068</v>
      </c>
      <c r="I261" s="30" t="str">
        <f>IF(Table1[[#This Row],[Centre Status]]="Returned","NA",IF(Table1[[#This Row],[SD]]&gt;19000,"Full Payment",IF(Table1[[#This Row],[SD]]&lt;1,"No Payment","Partial Payment")))</f>
        <v>NA</v>
      </c>
      <c r="J261" s="30" t="s">
        <v>1903</v>
      </c>
      <c r="K261" s="32">
        <v>110000</v>
      </c>
      <c r="L261" s="33">
        <f>Q261+R261+U261+Table1[[#This Row],[Farmer Payment]]</f>
        <v>40872.788237246757</v>
      </c>
      <c r="M261" s="30">
        <v>22473</v>
      </c>
      <c r="N261" s="34">
        <v>45756</v>
      </c>
      <c r="O261" s="34" t="s">
        <v>2457</v>
      </c>
      <c r="P261" s="35">
        <f t="shared" si="43"/>
        <v>91600.211762753243</v>
      </c>
      <c r="Q261" s="33">
        <f>AI261+AV261+CK261+Table1[[#This Row],[FY 25-26]]</f>
        <v>20872.788237246757</v>
      </c>
      <c r="R261" s="36">
        <v>20000</v>
      </c>
      <c r="S261" s="37" t="s">
        <v>2384</v>
      </c>
      <c r="T261" s="38">
        <v>45469</v>
      </c>
      <c r="U261" s="39"/>
      <c r="V261" s="39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1">
        <f t="shared" si="44"/>
        <v>0</v>
      </c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>
        <f t="shared" si="45"/>
        <v>0</v>
      </c>
      <c r="AW261" s="42"/>
      <c r="AX261" s="42"/>
      <c r="AY261" s="42">
        <v>0</v>
      </c>
      <c r="AZ261" s="42">
        <v>225</v>
      </c>
      <c r="BA261" s="42">
        <v>1261</v>
      </c>
      <c r="BB261" s="42">
        <v>500</v>
      </c>
      <c r="BC261" s="42">
        <v>861</v>
      </c>
      <c r="BD261" s="42">
        <v>500</v>
      </c>
      <c r="BE261" s="42">
        <v>0</v>
      </c>
      <c r="BF261" s="42">
        <v>0</v>
      </c>
      <c r="BG261" s="42">
        <v>0</v>
      </c>
      <c r="BH261" s="42">
        <v>0</v>
      </c>
      <c r="BI261" s="42">
        <v>1861</v>
      </c>
      <c r="BJ261" s="42">
        <v>0</v>
      </c>
      <c r="BK261" s="42">
        <v>0</v>
      </c>
      <c r="BL261" s="42">
        <v>0</v>
      </c>
      <c r="BM261" s="42">
        <v>0</v>
      </c>
      <c r="BN261" s="42">
        <v>1861</v>
      </c>
      <c r="BO261" s="42">
        <v>0</v>
      </c>
      <c r="BP261" s="42">
        <v>0</v>
      </c>
      <c r="BQ261" s="42">
        <v>0</v>
      </c>
      <c r="BR261" s="42">
        <v>0</v>
      </c>
      <c r="BS261" s="42">
        <v>3963.7408710066766</v>
      </c>
      <c r="BT261" s="42">
        <v>0</v>
      </c>
      <c r="BU261" s="42">
        <v>0</v>
      </c>
      <c r="BV261" s="42">
        <v>0</v>
      </c>
      <c r="BW261" s="42">
        <v>0</v>
      </c>
      <c r="BX261" s="42">
        <v>0</v>
      </c>
      <c r="BY261" s="42">
        <v>4825.4890899182719</v>
      </c>
      <c r="BZ261" s="42">
        <v>0</v>
      </c>
      <c r="CA261" s="42">
        <v>0</v>
      </c>
      <c r="CB261" s="42">
        <v>0</v>
      </c>
      <c r="CC261" s="42">
        <v>0</v>
      </c>
      <c r="CD261" s="42">
        <v>5014.558276321809</v>
      </c>
      <c r="CE261" s="42">
        <v>0</v>
      </c>
      <c r="CF261" s="42">
        <v>0</v>
      </c>
      <c r="CG261" s="42">
        <v>0</v>
      </c>
      <c r="CH261" s="42">
        <v>0</v>
      </c>
      <c r="CI261" s="42">
        <v>0</v>
      </c>
      <c r="CJ261" s="42">
        <v>0</v>
      </c>
      <c r="CK261" s="43">
        <f t="shared" si="46"/>
        <v>20872.788237246757</v>
      </c>
      <c r="CL261" s="66"/>
      <c r="CM261" s="66">
        <v>0</v>
      </c>
      <c r="CN261" s="66">
        <v>0</v>
      </c>
      <c r="CO261" s="66">
        <v>0</v>
      </c>
      <c r="CP261" s="66">
        <v>0</v>
      </c>
      <c r="CQ261" s="66">
        <v>0</v>
      </c>
      <c r="CR261" s="66">
        <v>0</v>
      </c>
      <c r="CS261" s="66">
        <v>0</v>
      </c>
      <c r="CT261" s="66">
        <v>0</v>
      </c>
      <c r="CU261" s="66">
        <v>0</v>
      </c>
      <c r="CV261" s="66">
        <v>0</v>
      </c>
      <c r="CW261" s="66">
        <v>0</v>
      </c>
      <c r="CX261" s="66">
        <v>0</v>
      </c>
      <c r="CY261" s="66">
        <v>0</v>
      </c>
      <c r="CZ261" s="66">
        <v>0</v>
      </c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>
        <f>SUM(Table1[[#This Row],[01-03 Apr]:[Mar-26]])</f>
        <v>0</v>
      </c>
    </row>
    <row r="262" spans="1:115" hidden="1" x14ac:dyDescent="0.2">
      <c r="A262" s="28"/>
      <c r="B262" s="29" t="s">
        <v>2359</v>
      </c>
      <c r="C262" s="29" t="s">
        <v>2385</v>
      </c>
      <c r="D262" s="30" t="s">
        <v>2386</v>
      </c>
      <c r="E262" s="30" t="s">
        <v>943</v>
      </c>
      <c r="F262" s="30"/>
      <c r="G262" s="31"/>
      <c r="H262" s="30">
        <v>387865</v>
      </c>
      <c r="I262" s="30" t="str">
        <f>IF(Table1[[#This Row],[Centre Status]]="Returned","NA",IF(Table1[[#This Row],[SD]]&gt;19000,"Full Payment",IF(Table1[[#This Row],[SD]]&lt;1,"No Payment","Partial Payment")))</f>
        <v>Full Payment</v>
      </c>
      <c r="J262" s="30" t="s">
        <v>58</v>
      </c>
      <c r="K262" s="32">
        <v>110000</v>
      </c>
      <c r="L262" s="33">
        <f>Q262+R262+U262+Table1[[#This Row],[Farmer Payment]]</f>
        <v>21743</v>
      </c>
      <c r="M262" s="30"/>
      <c r="N262" s="34"/>
      <c r="O262" s="34"/>
      <c r="P262" s="35">
        <f t="shared" si="43"/>
        <v>88257</v>
      </c>
      <c r="Q262" s="33">
        <f>AI262+AV262+CK262+Table1[[#This Row],[FY 25-26]]</f>
        <v>1743</v>
      </c>
      <c r="R262" s="36">
        <v>20000</v>
      </c>
      <c r="S262" s="37" t="s">
        <v>2387</v>
      </c>
      <c r="T262" s="38">
        <v>45456</v>
      </c>
      <c r="U262" s="39"/>
      <c r="V262" s="39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1">
        <f t="shared" si="44"/>
        <v>0</v>
      </c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>
        <f t="shared" si="45"/>
        <v>0</v>
      </c>
      <c r="AW262" s="42"/>
      <c r="AX262" s="42"/>
      <c r="AY262" s="42">
        <v>0</v>
      </c>
      <c r="AZ262" s="42">
        <v>1289</v>
      </c>
      <c r="BA262" s="42">
        <v>0</v>
      </c>
      <c r="BB262" s="42">
        <v>0</v>
      </c>
      <c r="BC262" s="42">
        <v>0</v>
      </c>
      <c r="BD262" s="42">
        <v>0</v>
      </c>
      <c r="BE262" s="42">
        <v>0</v>
      </c>
      <c r="BF262" s="42">
        <v>0</v>
      </c>
      <c r="BG262" s="42">
        <v>0</v>
      </c>
      <c r="BH262" s="42">
        <v>0</v>
      </c>
      <c r="BI262" s="42">
        <v>454</v>
      </c>
      <c r="BJ262" s="42">
        <v>0</v>
      </c>
      <c r="BK262" s="42">
        <v>0</v>
      </c>
      <c r="BL262" s="42">
        <v>0</v>
      </c>
      <c r="BM262" s="42">
        <v>0</v>
      </c>
      <c r="BN262" s="42">
        <v>0</v>
      </c>
      <c r="BO262" s="42">
        <v>0</v>
      </c>
      <c r="BP262" s="42">
        <v>0</v>
      </c>
      <c r="BQ262" s="42">
        <v>0</v>
      </c>
      <c r="BR262" s="42">
        <v>0</v>
      </c>
      <c r="BS262" s="42">
        <v>0</v>
      </c>
      <c r="BT262" s="42">
        <v>0</v>
      </c>
      <c r="BU262" s="42">
        <v>0</v>
      </c>
      <c r="BV262" s="42">
        <v>0</v>
      </c>
      <c r="BW262" s="42">
        <v>0</v>
      </c>
      <c r="BX262" s="42">
        <v>0</v>
      </c>
      <c r="BY262" s="42">
        <v>0</v>
      </c>
      <c r="BZ262" s="42">
        <v>0</v>
      </c>
      <c r="CA262" s="42">
        <v>0</v>
      </c>
      <c r="CB262" s="42">
        <v>0</v>
      </c>
      <c r="CC262" s="42">
        <v>0</v>
      </c>
      <c r="CD262" s="42">
        <v>0</v>
      </c>
      <c r="CE262" s="42">
        <v>0</v>
      </c>
      <c r="CF262" s="42">
        <v>0</v>
      </c>
      <c r="CG262" s="42">
        <v>0</v>
      </c>
      <c r="CH262" s="42">
        <v>0</v>
      </c>
      <c r="CI262" s="42">
        <v>0</v>
      </c>
      <c r="CJ262" s="42">
        <v>0</v>
      </c>
      <c r="CK262" s="43">
        <f t="shared" si="46"/>
        <v>1743</v>
      </c>
      <c r="CL262" s="66"/>
      <c r="CM262" s="66">
        <v>0</v>
      </c>
      <c r="CN262" s="66">
        <v>0</v>
      </c>
      <c r="CO262" s="66">
        <v>0</v>
      </c>
      <c r="CP262" s="66">
        <v>0</v>
      </c>
      <c r="CQ262" s="66">
        <v>0</v>
      </c>
      <c r="CR262" s="66">
        <v>0</v>
      </c>
      <c r="CS262" s="66">
        <v>0</v>
      </c>
      <c r="CT262" s="66">
        <v>0</v>
      </c>
      <c r="CU262" s="66">
        <v>0</v>
      </c>
      <c r="CV262" s="66">
        <v>0</v>
      </c>
      <c r="CW262" s="66">
        <v>0</v>
      </c>
      <c r="CX262" s="66">
        <v>0</v>
      </c>
      <c r="CY262" s="66">
        <v>0</v>
      </c>
      <c r="CZ262" s="66">
        <v>0</v>
      </c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>
        <f>SUM(Table1[[#This Row],[01-03 Apr]:[Mar-26]])</f>
        <v>0</v>
      </c>
    </row>
    <row r="263" spans="1:115" hidden="1" x14ac:dyDescent="0.2">
      <c r="A263" s="28"/>
      <c r="B263" s="29" t="s">
        <v>2359</v>
      </c>
      <c r="C263" s="29" t="s">
        <v>2388</v>
      </c>
      <c r="D263" s="30" t="s">
        <v>2389</v>
      </c>
      <c r="E263" s="30" t="s">
        <v>906</v>
      </c>
      <c r="F263" s="30"/>
      <c r="G263" s="31"/>
      <c r="H263" s="30">
        <v>360247</v>
      </c>
      <c r="I263" s="30" t="str">
        <f>IF(Table1[[#This Row],[Centre Status]]="Returned","NA",IF(Table1[[#This Row],[SD]]&gt;19000,"Full Payment",IF(Table1[[#This Row],[SD]]&lt;1,"No Payment","Partial Payment")))</f>
        <v>Full Payment</v>
      </c>
      <c r="J263" s="30" t="s">
        <v>58</v>
      </c>
      <c r="K263" s="32">
        <v>110000</v>
      </c>
      <c r="L263" s="33">
        <f>Q263+R263+U263+Table1[[#This Row],[Farmer Payment]]</f>
        <v>33632</v>
      </c>
      <c r="M263" s="30"/>
      <c r="N263" s="34"/>
      <c r="O263" s="34"/>
      <c r="P263" s="35">
        <f t="shared" si="43"/>
        <v>76368</v>
      </c>
      <c r="Q263" s="33">
        <f>AI263+AV263+CK263+Table1[[#This Row],[FY 25-26]]</f>
        <v>13632</v>
      </c>
      <c r="R263" s="36">
        <v>20000</v>
      </c>
      <c r="S263" s="37" t="s">
        <v>2390</v>
      </c>
      <c r="T263" s="38">
        <v>45455</v>
      </c>
      <c r="U263" s="39"/>
      <c r="V263" s="39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1">
        <f t="shared" si="44"/>
        <v>0</v>
      </c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>
        <f t="shared" si="45"/>
        <v>0</v>
      </c>
      <c r="AW263" s="42"/>
      <c r="AX263" s="42"/>
      <c r="AY263" s="42">
        <v>0</v>
      </c>
      <c r="AZ263" s="42">
        <v>1861</v>
      </c>
      <c r="BA263" s="42">
        <v>1856</v>
      </c>
      <c r="BB263" s="42">
        <v>500</v>
      </c>
      <c r="BC263" s="42">
        <v>861</v>
      </c>
      <c r="BD263" s="42">
        <v>500</v>
      </c>
      <c r="BE263" s="42">
        <v>0</v>
      </c>
      <c r="BF263" s="42">
        <v>0</v>
      </c>
      <c r="BG263" s="42">
        <v>0</v>
      </c>
      <c r="BH263" s="42">
        <v>0</v>
      </c>
      <c r="BI263" s="42">
        <v>1861</v>
      </c>
      <c r="BJ263" s="42">
        <v>0</v>
      </c>
      <c r="BK263" s="42">
        <v>0</v>
      </c>
      <c r="BL263" s="42">
        <v>0</v>
      </c>
      <c r="BM263" s="42">
        <v>0</v>
      </c>
      <c r="BN263" s="42">
        <v>407</v>
      </c>
      <c r="BO263" s="42">
        <v>500</v>
      </c>
      <c r="BP263" s="42">
        <v>311</v>
      </c>
      <c r="BQ263" s="42">
        <v>500</v>
      </c>
      <c r="BR263" s="42">
        <v>500</v>
      </c>
      <c r="BS263" s="42">
        <v>0</v>
      </c>
      <c r="BT263" s="42">
        <v>500</v>
      </c>
      <c r="BU263" s="42">
        <v>500</v>
      </c>
      <c r="BV263" s="42">
        <v>500</v>
      </c>
      <c r="BW263" s="42">
        <v>500</v>
      </c>
      <c r="BX263" s="42">
        <v>500</v>
      </c>
      <c r="BY263" s="42">
        <v>0</v>
      </c>
      <c r="BZ263" s="42">
        <v>500</v>
      </c>
      <c r="CA263" s="42">
        <v>500</v>
      </c>
      <c r="CB263" s="42">
        <v>0</v>
      </c>
      <c r="CC263" s="42">
        <v>0</v>
      </c>
      <c r="CD263" s="42">
        <v>475</v>
      </c>
      <c r="CE263" s="42">
        <v>0</v>
      </c>
      <c r="CF263" s="42">
        <v>0</v>
      </c>
      <c r="CG263" s="42">
        <v>0</v>
      </c>
      <c r="CH263" s="42">
        <v>0</v>
      </c>
      <c r="CI263" s="42">
        <v>0</v>
      </c>
      <c r="CJ263" s="42">
        <v>0</v>
      </c>
      <c r="CK263" s="43">
        <f t="shared" si="46"/>
        <v>13632</v>
      </c>
      <c r="CL263" s="66"/>
      <c r="CM263" s="66">
        <v>0</v>
      </c>
      <c r="CN263" s="66">
        <v>0</v>
      </c>
      <c r="CO263" s="66">
        <v>0</v>
      </c>
      <c r="CP263" s="66">
        <v>0</v>
      </c>
      <c r="CQ263" s="66">
        <v>0</v>
      </c>
      <c r="CR263" s="66">
        <v>0</v>
      </c>
      <c r="CS263" s="66">
        <v>0</v>
      </c>
      <c r="CT263" s="66">
        <v>0</v>
      </c>
      <c r="CU263" s="66">
        <v>0</v>
      </c>
      <c r="CV263" s="66">
        <v>0</v>
      </c>
      <c r="CW263" s="66">
        <v>0</v>
      </c>
      <c r="CX263" s="66">
        <v>0</v>
      </c>
      <c r="CY263" s="66">
        <v>0</v>
      </c>
      <c r="CZ263" s="66">
        <v>0</v>
      </c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>
        <f>SUM(Table1[[#This Row],[01-03 Apr]:[Mar-26]])</f>
        <v>0</v>
      </c>
    </row>
    <row r="264" spans="1:115" hidden="1" x14ac:dyDescent="0.2">
      <c r="A264" s="28"/>
      <c r="B264" s="29" t="s">
        <v>2359</v>
      </c>
      <c r="C264" s="29" t="s">
        <v>2391</v>
      </c>
      <c r="D264" s="30" t="s">
        <v>2392</v>
      </c>
      <c r="E264" s="30" t="s">
        <v>906</v>
      </c>
      <c r="F264" s="30"/>
      <c r="G264" s="31"/>
      <c r="H264" s="30">
        <v>388113</v>
      </c>
      <c r="I264" s="30" t="str">
        <f>IF(Table1[[#This Row],[Centre Status]]="Returned","NA",IF(Table1[[#This Row],[SD]]&gt;19000,"Full Payment",IF(Table1[[#This Row],[SD]]&lt;1,"No Payment","Partial Payment")))</f>
        <v>Full Payment</v>
      </c>
      <c r="J264" s="30" t="s">
        <v>58</v>
      </c>
      <c r="K264" s="32">
        <v>110000</v>
      </c>
      <c r="L264" s="33">
        <f>Q264+R264+U264+Table1[[#This Row],[Farmer Payment]]</f>
        <v>45373.854983285462</v>
      </c>
      <c r="M264" s="30"/>
      <c r="N264" s="34"/>
      <c r="O264" s="34"/>
      <c r="P264" s="35">
        <f t="shared" si="43"/>
        <v>64626.145016714538</v>
      </c>
      <c r="Q264" s="33">
        <f>AI264+AV264+CK264+Table1[[#This Row],[FY 25-26]]</f>
        <v>25373.854983285466</v>
      </c>
      <c r="R264" s="36">
        <v>20000</v>
      </c>
      <c r="S264" s="37" t="s">
        <v>2393</v>
      </c>
      <c r="T264" s="38">
        <v>45455</v>
      </c>
      <c r="U264" s="39"/>
      <c r="V264" s="39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1">
        <f t="shared" si="44"/>
        <v>0</v>
      </c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>
        <f t="shared" si="45"/>
        <v>0</v>
      </c>
      <c r="AW264" s="42"/>
      <c r="AX264" s="42"/>
      <c r="AY264" s="42">
        <v>0</v>
      </c>
      <c r="AZ264" s="42">
        <v>2532.3627213888003</v>
      </c>
      <c r="BA264" s="42">
        <v>1861</v>
      </c>
      <c r="BB264" s="42">
        <v>0</v>
      </c>
      <c r="BC264" s="42">
        <v>1861</v>
      </c>
      <c r="BD264" s="42">
        <v>0</v>
      </c>
      <c r="BE264" s="42">
        <v>0</v>
      </c>
      <c r="BF264" s="42">
        <v>0</v>
      </c>
      <c r="BG264" s="42">
        <v>0</v>
      </c>
      <c r="BH264" s="42">
        <v>0</v>
      </c>
      <c r="BI264" s="42">
        <v>1861</v>
      </c>
      <c r="BJ264" s="42">
        <v>0</v>
      </c>
      <c r="BK264" s="42">
        <v>0</v>
      </c>
      <c r="BL264" s="42">
        <v>0</v>
      </c>
      <c r="BM264" s="42">
        <v>0</v>
      </c>
      <c r="BN264" s="42">
        <v>1752</v>
      </c>
      <c r="BO264" s="42">
        <v>0</v>
      </c>
      <c r="BP264" s="42">
        <v>0</v>
      </c>
      <c r="BQ264" s="42">
        <v>0</v>
      </c>
      <c r="BR264" s="42">
        <v>0</v>
      </c>
      <c r="BS264" s="42">
        <v>1861</v>
      </c>
      <c r="BT264" s="42">
        <v>0</v>
      </c>
      <c r="BU264" s="42">
        <v>0</v>
      </c>
      <c r="BV264" s="42">
        <v>0</v>
      </c>
      <c r="BW264" s="42">
        <v>0</v>
      </c>
      <c r="BX264" s="42">
        <v>0</v>
      </c>
      <c r="BY264" s="42">
        <v>1861</v>
      </c>
      <c r="BZ264" s="42">
        <v>0</v>
      </c>
      <c r="CA264" s="42">
        <v>0</v>
      </c>
      <c r="CB264" s="42">
        <v>0</v>
      </c>
      <c r="CC264" s="42">
        <v>0</v>
      </c>
      <c r="CD264" s="42">
        <v>1912.5992378710682</v>
      </c>
      <c r="CE264" s="42">
        <v>0</v>
      </c>
      <c r="CF264" s="42">
        <v>0</v>
      </c>
      <c r="CG264" s="42">
        <v>0</v>
      </c>
      <c r="CH264" s="42">
        <v>0</v>
      </c>
      <c r="CI264" s="42">
        <v>0</v>
      </c>
      <c r="CJ264" s="42">
        <v>3597.2526792959998</v>
      </c>
      <c r="CK264" s="43">
        <f t="shared" si="46"/>
        <v>19099.214638555866</v>
      </c>
      <c r="CL264" s="66"/>
      <c r="CM264" s="66">
        <v>0</v>
      </c>
      <c r="CN264" s="66">
        <v>0</v>
      </c>
      <c r="CO264" s="66">
        <v>0</v>
      </c>
      <c r="CP264" s="66">
        <v>4413.6403447296007</v>
      </c>
      <c r="CQ264" s="66">
        <v>0</v>
      </c>
      <c r="CR264" s="66">
        <v>0</v>
      </c>
      <c r="CS264" s="66">
        <v>0</v>
      </c>
      <c r="CT264" s="66">
        <v>0</v>
      </c>
      <c r="CU264" s="66">
        <v>0</v>
      </c>
      <c r="CV264" s="66">
        <v>1861</v>
      </c>
      <c r="CW264" s="66">
        <v>0</v>
      </c>
      <c r="CX264" s="66">
        <v>0</v>
      </c>
      <c r="CY264" s="66">
        <v>0</v>
      </c>
      <c r="CZ264" s="66">
        <v>0</v>
      </c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>
        <f>SUM(Table1[[#This Row],[01-03 Apr]:[Mar-26]])</f>
        <v>6274.6403447296007</v>
      </c>
    </row>
    <row r="265" spans="1:115" hidden="1" x14ac:dyDescent="0.2">
      <c r="A265" s="28"/>
      <c r="B265" s="29" t="s">
        <v>2359</v>
      </c>
      <c r="C265" s="29" t="s">
        <v>2813</v>
      </c>
      <c r="D265" s="30" t="s">
        <v>2398</v>
      </c>
      <c r="E265" s="30" t="s">
        <v>906</v>
      </c>
      <c r="F265" s="30"/>
      <c r="G265" s="31"/>
      <c r="H265" s="30"/>
      <c r="I265" s="30" t="str">
        <f>IF(Table1[[#This Row],[Centre Status]]="Returned","NA",IF(Table1[[#This Row],[SD]]&gt;19000,"Full Payment",IF(Table1[[#This Row],[SD]]&lt;1,"No Payment","Partial Payment")))</f>
        <v>Full Payment</v>
      </c>
      <c r="J265" s="30" t="s">
        <v>58</v>
      </c>
      <c r="K265" s="32">
        <v>110000</v>
      </c>
      <c r="L265" s="33">
        <f>Q265+R265+U265+Table1[[#This Row],[Farmer Payment]]</f>
        <v>40328.117205662726</v>
      </c>
      <c r="M265" s="30"/>
      <c r="N265" s="34"/>
      <c r="O265" s="34"/>
      <c r="P265" s="35">
        <f t="shared" si="43"/>
        <v>69671.882794337274</v>
      </c>
      <c r="Q265" s="33">
        <f>AI265+AV265+CK265+Table1[[#This Row],[FY 25-26]]</f>
        <v>20328.117205662722</v>
      </c>
      <c r="R265" s="36">
        <v>20000</v>
      </c>
      <c r="S265" s="37" t="s">
        <v>2399</v>
      </c>
      <c r="T265" s="38">
        <v>45441</v>
      </c>
      <c r="U265" s="39"/>
      <c r="V265" s="39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1">
        <f t="shared" si="44"/>
        <v>0</v>
      </c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>
        <f t="shared" si="45"/>
        <v>0</v>
      </c>
      <c r="AW265" s="42"/>
      <c r="AX265" s="42"/>
      <c r="AY265" s="42">
        <v>0</v>
      </c>
      <c r="AZ265" s="42">
        <v>0</v>
      </c>
      <c r="BA265" s="42">
        <v>0</v>
      </c>
      <c r="BB265" s="42">
        <v>0</v>
      </c>
      <c r="BC265" s="42">
        <v>0</v>
      </c>
      <c r="BD265" s="42">
        <v>0</v>
      </c>
      <c r="BE265" s="42">
        <v>0</v>
      </c>
      <c r="BF265" s="42">
        <v>0</v>
      </c>
      <c r="BG265" s="42">
        <v>0</v>
      </c>
      <c r="BH265" s="42">
        <v>0</v>
      </c>
      <c r="BI265" s="42">
        <v>0</v>
      </c>
      <c r="BJ265" s="42">
        <v>0</v>
      </c>
      <c r="BK265" s="42">
        <v>0</v>
      </c>
      <c r="BL265" s="42">
        <v>0</v>
      </c>
      <c r="BM265" s="42">
        <v>0</v>
      </c>
      <c r="BN265" s="42">
        <v>0</v>
      </c>
      <c r="BO265" s="42">
        <v>0</v>
      </c>
      <c r="BP265" s="42">
        <v>0</v>
      </c>
      <c r="BQ265" s="42">
        <v>0</v>
      </c>
      <c r="BR265" s="42">
        <v>0</v>
      </c>
      <c r="BS265" s="42">
        <v>2681.1312848640005</v>
      </c>
      <c r="BT265" s="42">
        <v>0</v>
      </c>
      <c r="BU265" s="42">
        <v>0</v>
      </c>
      <c r="BV265" s="42">
        <v>0</v>
      </c>
      <c r="BW265" s="42">
        <v>0</v>
      </c>
      <c r="BX265" s="42">
        <v>0</v>
      </c>
      <c r="BY265" s="42">
        <v>0</v>
      </c>
      <c r="BZ265" s="42">
        <v>0</v>
      </c>
      <c r="CA265" s="42">
        <v>0</v>
      </c>
      <c r="CB265" s="42">
        <v>0</v>
      </c>
      <c r="CC265" s="42">
        <v>0</v>
      </c>
      <c r="CD265" s="42">
        <v>0</v>
      </c>
      <c r="CE265" s="42">
        <v>0</v>
      </c>
      <c r="CF265" s="42">
        <v>0</v>
      </c>
      <c r="CG265" s="42">
        <v>0</v>
      </c>
      <c r="CH265" s="42">
        <v>0</v>
      </c>
      <c r="CI265" s="42">
        <v>0</v>
      </c>
      <c r="CJ265" s="42">
        <v>6589.5008234495999</v>
      </c>
      <c r="CK265" s="43">
        <f t="shared" si="46"/>
        <v>9270.6321083136008</v>
      </c>
      <c r="CL265" s="66"/>
      <c r="CM265" s="66">
        <v>0</v>
      </c>
      <c r="CN265" s="66">
        <v>0</v>
      </c>
      <c r="CO265" s="66">
        <v>0</v>
      </c>
      <c r="CP265" s="66">
        <v>5691.9112761139195</v>
      </c>
      <c r="CQ265" s="66">
        <v>0</v>
      </c>
      <c r="CR265" s="66">
        <v>0</v>
      </c>
      <c r="CS265" s="66">
        <v>0</v>
      </c>
      <c r="CT265" s="66">
        <v>0</v>
      </c>
      <c r="CU265" s="66">
        <v>0</v>
      </c>
      <c r="CV265" s="66">
        <v>5365.5738212352016</v>
      </c>
      <c r="CW265" s="66">
        <v>0</v>
      </c>
      <c r="CX265" s="66">
        <v>0</v>
      </c>
      <c r="CY265" s="66">
        <v>0</v>
      </c>
      <c r="CZ265" s="66">
        <v>0</v>
      </c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>
        <f>SUM(Table1[[#This Row],[01-03 Apr]:[Mar-26]])</f>
        <v>11057.485097349121</v>
      </c>
    </row>
    <row r="266" spans="1:115" hidden="1" x14ac:dyDescent="0.2">
      <c r="A266" s="28" t="s">
        <v>2255</v>
      </c>
      <c r="B266" s="29" t="s">
        <v>2359</v>
      </c>
      <c r="C266" s="29" t="s">
        <v>2592</v>
      </c>
      <c r="D266" s="30" t="s">
        <v>2354</v>
      </c>
      <c r="E266" s="30" t="s">
        <v>584</v>
      </c>
      <c r="F266" s="30"/>
      <c r="G266" s="31"/>
      <c r="H266" s="30">
        <v>387342</v>
      </c>
      <c r="I266" s="30" t="str">
        <f>IF(Table1[[#This Row],[Centre Status]]="Returned","NA",IF(Table1[[#This Row],[SD]]&gt;19000,"Full Payment",IF(Table1[[#This Row],[SD]]&lt;1,"No Payment","Partial Payment")))</f>
        <v>Full Payment</v>
      </c>
      <c r="J266" s="30" t="s">
        <v>58</v>
      </c>
      <c r="K266" s="32">
        <v>110000</v>
      </c>
      <c r="L266" s="33">
        <f>Q266+R266+U266+Table1[[#This Row],[Farmer Payment]]</f>
        <v>38329</v>
      </c>
      <c r="M266" s="30"/>
      <c r="N266" s="34"/>
      <c r="O266" s="34"/>
      <c r="P266" s="35">
        <f t="shared" si="43"/>
        <v>71671</v>
      </c>
      <c r="Q266" s="33">
        <f>AI266+AV266+CK266+Table1[[#This Row],[FY 25-26]]</f>
        <v>18329</v>
      </c>
      <c r="R266" s="36">
        <v>20000</v>
      </c>
      <c r="S266" s="37" t="s">
        <v>2395</v>
      </c>
      <c r="T266" s="38">
        <v>45448</v>
      </c>
      <c r="U266" s="39"/>
      <c r="V266" s="39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1">
        <f t="shared" si="44"/>
        <v>0</v>
      </c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>
        <f t="shared" si="45"/>
        <v>0</v>
      </c>
      <c r="AW266" s="42"/>
      <c r="AX266" s="42"/>
      <c r="AY266" s="42">
        <v>0</v>
      </c>
      <c r="AZ266" s="42">
        <v>0</v>
      </c>
      <c r="BA266" s="42">
        <v>385</v>
      </c>
      <c r="BB266" s="42">
        <v>500</v>
      </c>
      <c r="BC266" s="42">
        <v>861</v>
      </c>
      <c r="BD266" s="42">
        <v>500</v>
      </c>
      <c r="BE266" s="42">
        <v>0</v>
      </c>
      <c r="BF266" s="42">
        <v>0</v>
      </c>
      <c r="BG266" s="42">
        <v>0</v>
      </c>
      <c r="BH266" s="42">
        <v>0</v>
      </c>
      <c r="BI266" s="42">
        <v>1861</v>
      </c>
      <c r="BJ266" s="42">
        <v>0</v>
      </c>
      <c r="BK266" s="42">
        <v>0</v>
      </c>
      <c r="BL266" s="42">
        <v>500</v>
      </c>
      <c r="BM266" s="42">
        <v>500</v>
      </c>
      <c r="BN266" s="42">
        <v>861</v>
      </c>
      <c r="BO266" s="42">
        <v>0</v>
      </c>
      <c r="BP266" s="42">
        <v>0</v>
      </c>
      <c r="BQ266" s="42">
        <v>0</v>
      </c>
      <c r="BR266" s="42">
        <v>0</v>
      </c>
      <c r="BS266" s="42">
        <v>0</v>
      </c>
      <c r="BT266" s="42">
        <v>0</v>
      </c>
      <c r="BU266" s="42">
        <v>0</v>
      </c>
      <c r="BV266" s="42">
        <v>500</v>
      </c>
      <c r="BW266" s="42">
        <v>500</v>
      </c>
      <c r="BX266" s="42">
        <v>500</v>
      </c>
      <c r="BY266" s="42">
        <v>361</v>
      </c>
      <c r="BZ266" s="42">
        <v>500</v>
      </c>
      <c r="CA266" s="42">
        <v>500</v>
      </c>
      <c r="CB266" s="42">
        <v>500</v>
      </c>
      <c r="CC266" s="42">
        <v>500</v>
      </c>
      <c r="CD266" s="42">
        <v>0</v>
      </c>
      <c r="CE266" s="42">
        <v>500</v>
      </c>
      <c r="CF266" s="42">
        <v>500</v>
      </c>
      <c r="CG266" s="42">
        <v>500</v>
      </c>
      <c r="CH266" s="42">
        <v>500</v>
      </c>
      <c r="CI266" s="42">
        <v>500</v>
      </c>
      <c r="CJ266" s="42">
        <v>0</v>
      </c>
      <c r="CK266" s="43">
        <f t="shared" si="46"/>
        <v>12329</v>
      </c>
      <c r="CL266" s="66"/>
      <c r="CM266" s="66">
        <v>500</v>
      </c>
      <c r="CN266" s="66">
        <v>500</v>
      </c>
      <c r="CO266" s="66">
        <v>500</v>
      </c>
      <c r="CP266" s="66">
        <v>0</v>
      </c>
      <c r="CQ266" s="66">
        <v>500</v>
      </c>
      <c r="CR266" s="66">
        <v>500</v>
      </c>
      <c r="CS266" s="66">
        <v>500</v>
      </c>
      <c r="CT266" s="66">
        <v>500</v>
      </c>
      <c r="CU266" s="66">
        <v>500</v>
      </c>
      <c r="CV266" s="66">
        <v>0</v>
      </c>
      <c r="CW266" s="66">
        <v>500</v>
      </c>
      <c r="CX266" s="66">
        <v>500</v>
      </c>
      <c r="CY266" s="66">
        <v>500</v>
      </c>
      <c r="CZ266" s="66">
        <v>500</v>
      </c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>
        <f>SUM(Table1[[#This Row],[01-03 Apr]:[Mar-26]])</f>
        <v>6000</v>
      </c>
    </row>
    <row r="267" spans="1:115" hidden="1" x14ac:dyDescent="0.2">
      <c r="A267" s="28" t="s">
        <v>2255</v>
      </c>
      <c r="B267" s="29" t="s">
        <v>2359</v>
      </c>
      <c r="C267" s="29" t="s">
        <v>2593</v>
      </c>
      <c r="D267" s="30" t="s">
        <v>2355</v>
      </c>
      <c r="E267" s="30" t="s">
        <v>584</v>
      </c>
      <c r="F267" s="30"/>
      <c r="G267" s="31"/>
      <c r="H267" s="30">
        <v>378748</v>
      </c>
      <c r="I267" s="30" t="str">
        <f>IF(Table1[[#This Row],[Centre Status]]="Returned","NA",IF(Table1[[#This Row],[SD]]&gt;19000,"Full Payment",IF(Table1[[#This Row],[SD]]&lt;1,"No Payment","Partial Payment")))</f>
        <v>Full Payment</v>
      </c>
      <c r="J267" s="30" t="s">
        <v>58</v>
      </c>
      <c r="K267" s="32">
        <v>110000</v>
      </c>
      <c r="L267" s="33">
        <f>Q267+R267+U267+Table1[[#This Row],[Farmer Payment]]</f>
        <v>38443.990271715942</v>
      </c>
      <c r="M267" s="30"/>
      <c r="N267" s="34"/>
      <c r="O267" s="34"/>
      <c r="P267" s="35">
        <f t="shared" si="43"/>
        <v>71556.009728284058</v>
      </c>
      <c r="Q267" s="33">
        <f>AI267+AV267+CK267+Table1[[#This Row],[FY 25-26]]</f>
        <v>18443.990271715942</v>
      </c>
      <c r="R267" s="36">
        <v>20000</v>
      </c>
      <c r="S267" s="37" t="s">
        <v>2400</v>
      </c>
      <c r="T267" s="38">
        <v>45434</v>
      </c>
      <c r="U267" s="39"/>
      <c r="V267" s="39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1">
        <f t="shared" si="44"/>
        <v>0</v>
      </c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>
        <f t="shared" si="45"/>
        <v>0</v>
      </c>
      <c r="AW267" s="42"/>
      <c r="AX267" s="42"/>
      <c r="AY267" s="42">
        <v>0</v>
      </c>
      <c r="AZ267" s="42">
        <v>0</v>
      </c>
      <c r="BA267" s="42">
        <v>0</v>
      </c>
      <c r="BB267" s="42">
        <v>0</v>
      </c>
      <c r="BC267" s="42">
        <v>1861</v>
      </c>
      <c r="BD267" s="42">
        <v>0</v>
      </c>
      <c r="BE267" s="42">
        <v>0</v>
      </c>
      <c r="BF267" s="42">
        <v>0</v>
      </c>
      <c r="BG267" s="42">
        <v>0</v>
      </c>
      <c r="BH267" s="42">
        <v>0</v>
      </c>
      <c r="BI267" s="42">
        <v>1861</v>
      </c>
      <c r="BJ267" s="42">
        <v>0</v>
      </c>
      <c r="BK267" s="42">
        <v>0</v>
      </c>
      <c r="BL267" s="42">
        <v>0</v>
      </c>
      <c r="BM267" s="42">
        <v>0</v>
      </c>
      <c r="BN267" s="42">
        <v>335</v>
      </c>
      <c r="BO267" s="42">
        <v>0</v>
      </c>
      <c r="BP267" s="42">
        <v>500</v>
      </c>
      <c r="BQ267" s="42">
        <v>500</v>
      </c>
      <c r="BR267" s="42">
        <v>500</v>
      </c>
      <c r="BS267" s="42">
        <v>866</v>
      </c>
      <c r="BT267" s="42">
        <v>500</v>
      </c>
      <c r="BU267" s="42">
        <v>500</v>
      </c>
      <c r="BV267" s="42">
        <v>500</v>
      </c>
      <c r="BW267" s="42">
        <v>500</v>
      </c>
      <c r="BX267" s="42">
        <v>500</v>
      </c>
      <c r="BY267" s="42">
        <v>0</v>
      </c>
      <c r="BZ267" s="42">
        <v>500</v>
      </c>
      <c r="CA267" s="42">
        <v>500</v>
      </c>
      <c r="CB267" s="42">
        <v>500</v>
      </c>
      <c r="CC267" s="42">
        <v>500</v>
      </c>
      <c r="CD267" s="42">
        <v>0</v>
      </c>
      <c r="CE267" s="42">
        <v>500</v>
      </c>
      <c r="CF267" s="42">
        <v>500</v>
      </c>
      <c r="CG267" s="42">
        <v>500</v>
      </c>
      <c r="CH267" s="42">
        <v>500</v>
      </c>
      <c r="CI267" s="42">
        <v>0</v>
      </c>
      <c r="CJ267" s="42">
        <v>330.13415626239976</v>
      </c>
      <c r="CK267" s="43">
        <f t="shared" si="46"/>
        <v>13253.1341562624</v>
      </c>
      <c r="CL267" s="66"/>
      <c r="CM267" s="66">
        <v>500</v>
      </c>
      <c r="CN267" s="66">
        <v>500</v>
      </c>
      <c r="CO267" s="66">
        <v>500</v>
      </c>
      <c r="CP267" s="66">
        <v>348.12806690314028</v>
      </c>
      <c r="CQ267" s="66">
        <v>500</v>
      </c>
      <c r="CR267" s="66">
        <v>0</v>
      </c>
      <c r="CS267" s="66">
        <v>0</v>
      </c>
      <c r="CT267" s="66">
        <v>500</v>
      </c>
      <c r="CU267" s="66">
        <v>500</v>
      </c>
      <c r="CV267" s="66">
        <v>1342.7280485504007</v>
      </c>
      <c r="CW267" s="66">
        <v>0</v>
      </c>
      <c r="CX267" s="66">
        <v>0</v>
      </c>
      <c r="CY267" s="66">
        <v>0</v>
      </c>
      <c r="CZ267" s="66">
        <v>500</v>
      </c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>
        <f>SUM(Table1[[#This Row],[01-03 Apr]:[Mar-26]])</f>
        <v>5190.856115453541</v>
      </c>
    </row>
    <row r="268" spans="1:115" hidden="1" x14ac:dyDescent="0.2">
      <c r="A268" s="28"/>
      <c r="B268" s="29"/>
      <c r="C268" s="29" t="s">
        <v>3208</v>
      </c>
      <c r="D268" s="30" t="s">
        <v>3209</v>
      </c>
      <c r="E268" s="30" t="s">
        <v>85</v>
      </c>
      <c r="F268" s="30"/>
      <c r="G268" s="31"/>
      <c r="H268" s="30"/>
      <c r="I268" s="30" t="str">
        <f>IF(Table1[[#This Row],[Centre Status]]="Returned","NA",IF(Table1[[#This Row],[SD]]&gt;19000,"Full Payment",IF(Table1[[#This Row],[SD]]&lt;1,"No Payment","Partial Payment")))</f>
        <v>NA</v>
      </c>
      <c r="J268" s="30" t="s">
        <v>1903</v>
      </c>
      <c r="K268" s="32">
        <v>0</v>
      </c>
      <c r="L268" s="33">
        <f>Q268+R268+U268+Table1[[#This Row],[Farmer Payment]]</f>
        <v>10000</v>
      </c>
      <c r="M268" s="30">
        <v>10000</v>
      </c>
      <c r="N268" s="34"/>
      <c r="O268" s="34"/>
      <c r="P268" s="35">
        <f>K268-L268+M268</f>
        <v>0</v>
      </c>
      <c r="Q268" s="33">
        <f>AI268+AV268+CK268+Table1[[#This Row],[FY 25-26]]</f>
        <v>0</v>
      </c>
      <c r="R268" s="36">
        <v>10000</v>
      </c>
      <c r="S268" s="37"/>
      <c r="T268" s="38">
        <v>45718</v>
      </c>
      <c r="U268" s="39"/>
      <c r="V268" s="39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1">
        <f>SUM(W268:AH268)</f>
        <v>0</v>
      </c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>
        <f>SUM(AJ268:AU268)</f>
        <v>0</v>
      </c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>
        <v>0</v>
      </c>
      <c r="CG268" s="42">
        <v>0</v>
      </c>
      <c r="CH268" s="42">
        <v>0</v>
      </c>
      <c r="CI268" s="42">
        <v>0</v>
      </c>
      <c r="CJ268" s="42">
        <v>0</v>
      </c>
      <c r="CK268" s="43">
        <f>SUM(AW268:CJ268)</f>
        <v>0</v>
      </c>
      <c r="CL268" s="66"/>
      <c r="CM268" s="66">
        <v>0</v>
      </c>
      <c r="CN268" s="66">
        <v>0</v>
      </c>
      <c r="CO268" s="66">
        <v>0</v>
      </c>
      <c r="CP268" s="66">
        <v>0</v>
      </c>
      <c r="CQ268" s="66">
        <v>0</v>
      </c>
      <c r="CR268" s="66">
        <v>0</v>
      </c>
      <c r="CS268" s="66">
        <v>0</v>
      </c>
      <c r="CT268" s="66">
        <v>0</v>
      </c>
      <c r="CU268" s="66">
        <v>0</v>
      </c>
      <c r="CV268" s="66">
        <v>0</v>
      </c>
      <c r="CW268" s="66">
        <v>0</v>
      </c>
      <c r="CX268" s="66">
        <v>0</v>
      </c>
      <c r="CY268" s="66">
        <v>0</v>
      </c>
      <c r="CZ268" s="66">
        <v>0</v>
      </c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>
        <f>SUM(Table1[[#This Row],[01-03 Apr]:[Mar-26]])</f>
        <v>0</v>
      </c>
    </row>
    <row r="269" spans="1:115" hidden="1" x14ac:dyDescent="0.2">
      <c r="A269" s="28" t="s">
        <v>2255</v>
      </c>
      <c r="B269" s="29" t="s">
        <v>2359</v>
      </c>
      <c r="C269" s="29" t="s">
        <v>2602</v>
      </c>
      <c r="D269" s="30" t="s">
        <v>2356</v>
      </c>
      <c r="E269" s="30" t="s">
        <v>584</v>
      </c>
      <c r="F269" s="30"/>
      <c r="G269" s="31"/>
      <c r="H269" s="30">
        <v>378737</v>
      </c>
      <c r="I269" s="30" t="str">
        <f>IF(Table1[[#This Row],[Centre Status]]="Returned","NA",IF(Table1[[#This Row],[SD]]&gt;19000,"Full Payment",IF(Table1[[#This Row],[SD]]&lt;1,"No Payment","Partial Payment")))</f>
        <v>Full Payment</v>
      </c>
      <c r="J269" s="30" t="s">
        <v>58</v>
      </c>
      <c r="K269" s="32">
        <v>110000</v>
      </c>
      <c r="L269" s="33">
        <f>Q269+R269+U269+Table1[[#This Row],[Farmer Payment]]</f>
        <v>56444.499808656867</v>
      </c>
      <c r="M269" s="30"/>
      <c r="N269" s="34"/>
      <c r="O269" s="34"/>
      <c r="P269" s="35">
        <f t="shared" si="43"/>
        <v>53555.500191343133</v>
      </c>
      <c r="Q269" s="33">
        <f>AI269+AV269+CK269+Table1[[#This Row],[FY 25-26]]</f>
        <v>36444.499808656867</v>
      </c>
      <c r="R269" s="36">
        <v>20000</v>
      </c>
      <c r="S269" s="37" t="s">
        <v>2397</v>
      </c>
      <c r="T269" s="38">
        <v>45441</v>
      </c>
      <c r="U269" s="39"/>
      <c r="V269" s="39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1">
        <f t="shared" si="44"/>
        <v>0</v>
      </c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>
        <f t="shared" si="45"/>
        <v>0</v>
      </c>
      <c r="AW269" s="42"/>
      <c r="AX269" s="42"/>
      <c r="AY269" s="42">
        <v>0</v>
      </c>
      <c r="AZ269" s="42">
        <v>0</v>
      </c>
      <c r="BA269" s="42">
        <v>1836</v>
      </c>
      <c r="BB269" s="42">
        <v>500</v>
      </c>
      <c r="BC269" s="42">
        <v>2358.5120158908603</v>
      </c>
      <c r="BD269" s="42">
        <v>500</v>
      </c>
      <c r="BE269" s="42">
        <v>0</v>
      </c>
      <c r="BF269" s="42">
        <v>0</v>
      </c>
      <c r="BG269" s="42">
        <v>0</v>
      </c>
      <c r="BH269" s="42">
        <v>0</v>
      </c>
      <c r="BI269" s="42">
        <v>2258.3510808101323</v>
      </c>
      <c r="BJ269" s="42">
        <v>0</v>
      </c>
      <c r="BK269" s="42">
        <v>0</v>
      </c>
      <c r="BL269" s="42">
        <v>0</v>
      </c>
      <c r="BM269" s="42">
        <v>0</v>
      </c>
      <c r="BN269" s="42">
        <v>2109.7549539851002</v>
      </c>
      <c r="BO269" s="42">
        <v>0</v>
      </c>
      <c r="BP269" s="42">
        <v>0</v>
      </c>
      <c r="BQ269" s="42">
        <v>0</v>
      </c>
      <c r="BR269" s="42">
        <v>0</v>
      </c>
      <c r="BS269" s="42">
        <v>4853.67962970384</v>
      </c>
      <c r="BT269" s="42">
        <v>0</v>
      </c>
      <c r="BU269" s="42">
        <v>0</v>
      </c>
      <c r="BV269" s="42">
        <v>0</v>
      </c>
      <c r="BW269" s="42">
        <v>0</v>
      </c>
      <c r="BX269" s="42">
        <v>0</v>
      </c>
      <c r="BY269" s="42">
        <v>4430.7214457442205</v>
      </c>
      <c r="BZ269" s="42">
        <v>0</v>
      </c>
      <c r="CA269" s="42">
        <v>0</v>
      </c>
      <c r="CB269" s="42">
        <v>0</v>
      </c>
      <c r="CC269" s="42">
        <v>0</v>
      </c>
      <c r="CD269" s="42">
        <v>5641.0783391784798</v>
      </c>
      <c r="CE269" s="42">
        <v>0</v>
      </c>
      <c r="CF269" s="42">
        <v>0</v>
      </c>
      <c r="CG269" s="42">
        <v>0</v>
      </c>
      <c r="CH269" s="42">
        <v>0</v>
      </c>
      <c r="CI269" s="42">
        <v>0</v>
      </c>
      <c r="CJ269" s="42">
        <v>5161.8559564521702</v>
      </c>
      <c r="CK269" s="43">
        <f t="shared" si="46"/>
        <v>29649.953421764803</v>
      </c>
      <c r="CL269" s="66"/>
      <c r="CM269" s="66">
        <v>0</v>
      </c>
      <c r="CN269" s="66">
        <v>0</v>
      </c>
      <c r="CO269" s="66">
        <v>0</v>
      </c>
      <c r="CP269" s="66">
        <v>4701.6045932182597</v>
      </c>
      <c r="CQ269" s="66">
        <v>0</v>
      </c>
      <c r="CR269" s="66">
        <v>0</v>
      </c>
      <c r="CS269" s="66">
        <v>0</v>
      </c>
      <c r="CT269" s="66">
        <v>0</v>
      </c>
      <c r="CU269" s="66">
        <v>0</v>
      </c>
      <c r="CV269" s="66">
        <v>2092.9417936738</v>
      </c>
      <c r="CW269" s="66">
        <v>0</v>
      </c>
      <c r="CX269" s="66">
        <v>0</v>
      </c>
      <c r="CY269" s="66">
        <v>0</v>
      </c>
      <c r="CZ269" s="66">
        <v>0</v>
      </c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>
        <f>SUM(Table1[[#This Row],[01-03 Apr]:[Mar-26]])</f>
        <v>6794.5463868920597</v>
      </c>
    </row>
    <row r="270" spans="1:115" hidden="1" x14ac:dyDescent="0.2">
      <c r="A270" s="28" t="s">
        <v>2365</v>
      </c>
      <c r="B270" s="29" t="s">
        <v>2359</v>
      </c>
      <c r="C270" s="29" t="s">
        <v>2594</v>
      </c>
      <c r="D270" s="30" t="s">
        <v>2358</v>
      </c>
      <c r="E270" s="30" t="s">
        <v>57</v>
      </c>
      <c r="F270" s="30"/>
      <c r="G270" s="31"/>
      <c r="H270" s="30">
        <v>381343</v>
      </c>
      <c r="I270" s="30" t="str">
        <f>IF(Table1[[#This Row],[Centre Status]]="Returned","NA",IF(Table1[[#This Row],[SD]]&gt;19000,"Full Payment",IF(Table1[[#This Row],[SD]]&lt;1,"No Payment","Partial Payment")))</f>
        <v>Full Payment</v>
      </c>
      <c r="J270" s="30" t="s">
        <v>58</v>
      </c>
      <c r="K270" s="32">
        <v>110000</v>
      </c>
      <c r="L270" s="33">
        <f>Q270+R270+U270+Table1[[#This Row],[Farmer Payment]]</f>
        <v>31783.113093647276</v>
      </c>
      <c r="M270" s="30"/>
      <c r="N270" s="34"/>
      <c r="O270" s="34"/>
      <c r="P270" s="35">
        <f t="shared" si="43"/>
        <v>78216.886906352724</v>
      </c>
      <c r="Q270" s="33">
        <f>AI270+AV270+CK270+Table1[[#This Row],[FY 25-26]]</f>
        <v>11783.113093647275</v>
      </c>
      <c r="R270" s="36">
        <v>20000</v>
      </c>
      <c r="S270" s="37" t="s">
        <v>2396</v>
      </c>
      <c r="T270" s="38">
        <v>45451</v>
      </c>
      <c r="U270" s="39"/>
      <c r="V270" s="39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1">
        <f t="shared" si="44"/>
        <v>0</v>
      </c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>
        <f t="shared" si="45"/>
        <v>0</v>
      </c>
      <c r="AW270" s="42"/>
      <c r="AX270" s="42"/>
      <c r="AY270" s="42">
        <v>0</v>
      </c>
      <c r="AZ270" s="42">
        <v>0</v>
      </c>
      <c r="BA270" s="42">
        <v>0</v>
      </c>
      <c r="BB270" s="42">
        <v>0</v>
      </c>
      <c r="BC270" s="42">
        <v>1861</v>
      </c>
      <c r="BD270" s="42">
        <v>0</v>
      </c>
      <c r="BE270" s="42">
        <v>0</v>
      </c>
      <c r="BF270" s="42">
        <v>0</v>
      </c>
      <c r="BG270" s="42">
        <v>0</v>
      </c>
      <c r="BH270" s="42">
        <v>0</v>
      </c>
      <c r="BI270" s="42">
        <v>1861</v>
      </c>
      <c r="BJ270" s="42">
        <v>0</v>
      </c>
      <c r="BK270" s="42">
        <v>0</v>
      </c>
      <c r="BL270" s="42">
        <v>0</v>
      </c>
      <c r="BM270" s="42">
        <v>0</v>
      </c>
      <c r="BN270" s="42">
        <v>1861</v>
      </c>
      <c r="BO270" s="42">
        <v>0</v>
      </c>
      <c r="BP270" s="42">
        <v>0</v>
      </c>
      <c r="BQ270" s="42">
        <v>0</v>
      </c>
      <c r="BR270" s="42">
        <v>0</v>
      </c>
      <c r="BS270" s="42">
        <v>2199.2914981674403</v>
      </c>
      <c r="BT270" s="42">
        <v>0</v>
      </c>
      <c r="BU270" s="42">
        <v>0</v>
      </c>
      <c r="BV270" s="42">
        <v>0</v>
      </c>
      <c r="BW270" s="42">
        <v>0</v>
      </c>
      <c r="BX270" s="42">
        <v>0</v>
      </c>
      <c r="BY270" s="42">
        <v>0</v>
      </c>
      <c r="BZ270" s="42">
        <v>0</v>
      </c>
      <c r="CA270" s="42">
        <v>500</v>
      </c>
      <c r="CB270" s="42">
        <v>0</v>
      </c>
      <c r="CC270" s="42">
        <v>0</v>
      </c>
      <c r="CD270" s="42">
        <v>1361</v>
      </c>
      <c r="CE270" s="42">
        <v>0</v>
      </c>
      <c r="CF270" s="42">
        <v>0</v>
      </c>
      <c r="CG270" s="42">
        <v>0</v>
      </c>
      <c r="CH270" s="42">
        <v>0</v>
      </c>
      <c r="CI270" s="42">
        <v>0</v>
      </c>
      <c r="CJ270" s="42">
        <v>2139.8215954798338</v>
      </c>
      <c r="CK270" s="43">
        <f t="shared" si="46"/>
        <v>11783.113093647275</v>
      </c>
      <c r="CL270" s="66"/>
      <c r="CM270" s="66">
        <v>0</v>
      </c>
      <c r="CN270" s="66">
        <v>0</v>
      </c>
      <c r="CO270" s="66">
        <v>0</v>
      </c>
      <c r="CP270" s="66">
        <v>0</v>
      </c>
      <c r="CQ270" s="66">
        <v>0</v>
      </c>
      <c r="CR270" s="66">
        <v>0</v>
      </c>
      <c r="CS270" s="66">
        <v>0</v>
      </c>
      <c r="CT270" s="66">
        <v>0</v>
      </c>
      <c r="CU270" s="66">
        <v>0</v>
      </c>
      <c r="CV270" s="66">
        <v>0</v>
      </c>
      <c r="CW270" s="66">
        <v>0</v>
      </c>
      <c r="CX270" s="66">
        <v>0</v>
      </c>
      <c r="CY270" s="66">
        <v>0</v>
      </c>
      <c r="CZ270" s="66">
        <v>0</v>
      </c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>
        <f>SUM(Table1[[#This Row],[01-03 Apr]:[Mar-26]])</f>
        <v>0</v>
      </c>
    </row>
    <row r="271" spans="1:115" hidden="1" x14ac:dyDescent="0.2">
      <c r="A271" s="28" t="s">
        <v>2254</v>
      </c>
      <c r="B271" s="29" t="s">
        <v>103</v>
      </c>
      <c r="C271" s="29" t="s">
        <v>104</v>
      </c>
      <c r="D271" s="30" t="s">
        <v>105</v>
      </c>
      <c r="E271" s="30" t="s">
        <v>85</v>
      </c>
      <c r="F271" s="30"/>
      <c r="G271" s="31">
        <v>44777</v>
      </c>
      <c r="H271" s="30">
        <v>371432</v>
      </c>
      <c r="I271" s="30" t="str">
        <f>IF(Table1[[#This Row],[Centre Status]]="Returned","NA",IF(Table1[[#This Row],[SD]]&gt;19000,"Full Payment",IF(Table1[[#This Row],[SD]]&lt;1,"No Payment","Partial Payment")))</f>
        <v>Full Payment</v>
      </c>
      <c r="J271" s="30" t="s">
        <v>58</v>
      </c>
      <c r="K271" s="32">
        <v>110000</v>
      </c>
      <c r="L271" s="33">
        <f>Q271+R271+U271+Table1[[#This Row],[Farmer Payment]]</f>
        <v>110000</v>
      </c>
      <c r="M271" s="30"/>
      <c r="N271" s="34"/>
      <c r="O271" s="34"/>
      <c r="P271" s="35">
        <f t="shared" si="43"/>
        <v>0</v>
      </c>
      <c r="Q271" s="33">
        <f>AI271+AV271+CK271+Table1[[#This Row],[FY 25-26]]</f>
        <v>90000</v>
      </c>
      <c r="R271" s="36">
        <v>20000</v>
      </c>
      <c r="S271" s="37" t="s">
        <v>106</v>
      </c>
      <c r="T271" s="38">
        <v>44650</v>
      </c>
      <c r="U271" s="39"/>
      <c r="V271" s="39"/>
      <c r="W271" s="40">
        <v>174</v>
      </c>
      <c r="X271" s="40">
        <v>1353</v>
      </c>
      <c r="Y271" s="40">
        <v>1861</v>
      </c>
      <c r="Z271" s="40">
        <v>2205.1295999999998</v>
      </c>
      <c r="AA271" s="40">
        <v>2996.6206000000002</v>
      </c>
      <c r="AB271" s="40">
        <v>2491.2936</v>
      </c>
      <c r="AC271" s="40">
        <v>2752.7019999999998</v>
      </c>
      <c r="AD271" s="40">
        <v>3815.3490000000002</v>
      </c>
      <c r="AE271" s="40">
        <v>4472.3217999999997</v>
      </c>
      <c r="AF271" s="40">
        <v>2000</v>
      </c>
      <c r="AG271" s="40">
        <v>2000</v>
      </c>
      <c r="AH271" s="40">
        <v>2000</v>
      </c>
      <c r="AI271" s="41">
        <f t="shared" si="44"/>
        <v>28121.416599999997</v>
      </c>
      <c r="AJ271" s="42">
        <v>2000</v>
      </c>
      <c r="AK271" s="42">
        <v>2000</v>
      </c>
      <c r="AL271" s="42">
        <v>2000</v>
      </c>
      <c r="AM271" s="42">
        <v>2000</v>
      </c>
      <c r="AN271" s="42">
        <v>2000</v>
      </c>
      <c r="AO271" s="42">
        <v>2000</v>
      </c>
      <c r="AP271" s="42">
        <v>2000</v>
      </c>
      <c r="AQ271" s="42">
        <v>2000</v>
      </c>
      <c r="AR271" s="42">
        <v>2000</v>
      </c>
      <c r="AS271" s="42">
        <v>2000</v>
      </c>
      <c r="AT271" s="42">
        <v>2000</v>
      </c>
      <c r="AU271" s="42">
        <v>2000</v>
      </c>
      <c r="AV271" s="42">
        <f t="shared" si="45"/>
        <v>24000</v>
      </c>
      <c r="AW271" s="42">
        <v>2000</v>
      </c>
      <c r="AX271" s="42">
        <v>2000</v>
      </c>
      <c r="AY271" s="42">
        <v>2000</v>
      </c>
      <c r="AZ271" s="42">
        <v>2000</v>
      </c>
      <c r="BA271" s="42">
        <v>1867.5406889471999</v>
      </c>
      <c r="BB271" s="42">
        <v>0</v>
      </c>
      <c r="BC271" s="42">
        <v>2475.2573407487998</v>
      </c>
      <c r="BD271" s="42">
        <v>0</v>
      </c>
      <c r="BE271" s="42">
        <v>0</v>
      </c>
      <c r="BF271" s="42">
        <v>0</v>
      </c>
      <c r="BG271" s="42">
        <v>0</v>
      </c>
      <c r="BH271" s="42">
        <v>0</v>
      </c>
      <c r="BI271" s="42">
        <v>1930.5215543088</v>
      </c>
      <c r="BJ271" s="42">
        <v>0</v>
      </c>
      <c r="BK271" s="42">
        <v>0</v>
      </c>
      <c r="BL271" s="42">
        <v>0</v>
      </c>
      <c r="BM271" s="42">
        <v>0</v>
      </c>
      <c r="BN271" s="42">
        <v>1861</v>
      </c>
      <c r="BO271" s="42">
        <v>0</v>
      </c>
      <c r="BP271" s="42">
        <v>0</v>
      </c>
      <c r="BQ271" s="42">
        <v>0</v>
      </c>
      <c r="BR271" s="42">
        <v>0</v>
      </c>
      <c r="BS271" s="42">
        <v>4539.9582139953263</v>
      </c>
      <c r="BT271" s="42">
        <v>0</v>
      </c>
      <c r="BU271" s="42">
        <v>0</v>
      </c>
      <c r="BV271" s="42">
        <v>0</v>
      </c>
      <c r="BW271" s="42">
        <v>0</v>
      </c>
      <c r="BX271" s="42">
        <v>0</v>
      </c>
      <c r="BY271" s="42">
        <v>4476.4264650341202</v>
      </c>
      <c r="BZ271" s="42">
        <v>0</v>
      </c>
      <c r="CA271" s="42">
        <v>0</v>
      </c>
      <c r="CB271" s="42">
        <v>0</v>
      </c>
      <c r="CC271" s="42">
        <v>0</v>
      </c>
      <c r="CD271" s="42">
        <v>3809.4642498566222</v>
      </c>
      <c r="CE271" s="42">
        <v>0</v>
      </c>
      <c r="CF271" s="42">
        <v>0</v>
      </c>
      <c r="CG271" s="42">
        <v>0</v>
      </c>
      <c r="CH271" s="42">
        <v>0</v>
      </c>
      <c r="CI271" s="42">
        <v>0</v>
      </c>
      <c r="CJ271" s="42">
        <v>4858.003507245</v>
      </c>
      <c r="CK271" s="43">
        <f t="shared" si="46"/>
        <v>33818.172020135869</v>
      </c>
      <c r="CL271" s="66"/>
      <c r="CM271" s="66">
        <v>0</v>
      </c>
      <c r="CN271" s="66">
        <v>0</v>
      </c>
      <c r="CO271" s="66">
        <v>0</v>
      </c>
      <c r="CP271" s="66">
        <v>2995.2538474245316</v>
      </c>
      <c r="CQ271" s="66">
        <v>0</v>
      </c>
      <c r="CR271" s="66">
        <v>0</v>
      </c>
      <c r="CS271" s="66">
        <v>0</v>
      </c>
      <c r="CT271" s="66">
        <v>0</v>
      </c>
      <c r="CU271" s="66">
        <v>0</v>
      </c>
      <c r="CV271" s="66">
        <v>1065.1575324395963</v>
      </c>
      <c r="CW271" s="66">
        <v>0</v>
      </c>
      <c r="CX271" s="66">
        <v>0</v>
      </c>
      <c r="CY271" s="66">
        <v>0</v>
      </c>
      <c r="CZ271" s="66">
        <v>0</v>
      </c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>
        <f>SUM(Table1[[#This Row],[01-03 Apr]:[Mar-26]])</f>
        <v>4060.4113798641279</v>
      </c>
    </row>
    <row r="272" spans="1:115" hidden="1" x14ac:dyDescent="0.2">
      <c r="A272" s="28" t="s">
        <v>2254</v>
      </c>
      <c r="B272" s="29" t="s">
        <v>107</v>
      </c>
      <c r="C272" s="29" t="s">
        <v>3336</v>
      </c>
      <c r="D272" s="30" t="s">
        <v>108</v>
      </c>
      <c r="E272" s="30" t="s">
        <v>85</v>
      </c>
      <c r="F272" s="30"/>
      <c r="G272" s="31">
        <v>44777</v>
      </c>
      <c r="H272" s="30">
        <v>373998</v>
      </c>
      <c r="I272" s="30" t="str">
        <f>IF(Table1[[#This Row],[Centre Status]]="Returned","NA",IF(Table1[[#This Row],[SD]]&gt;19000,"Full Payment",IF(Table1[[#This Row],[SD]]&lt;1,"No Payment","Partial Payment")))</f>
        <v>Full Payment</v>
      </c>
      <c r="J272" s="30" t="s">
        <v>58</v>
      </c>
      <c r="K272" s="32">
        <v>110000</v>
      </c>
      <c r="L272" s="33">
        <f>Q272+R272+U272+Table1[[#This Row],[Farmer Payment]]</f>
        <v>48736.9202</v>
      </c>
      <c r="M272" s="30"/>
      <c r="N272" s="34"/>
      <c r="O272" s="34"/>
      <c r="P272" s="35">
        <f t="shared" si="43"/>
        <v>61263.0798</v>
      </c>
      <c r="Q272" s="33">
        <f>AI272+AV272+CK272+Table1[[#This Row],[FY 25-26]]</f>
        <v>28736.9202</v>
      </c>
      <c r="R272" s="36">
        <v>20000</v>
      </c>
      <c r="S272" s="37" t="s">
        <v>109</v>
      </c>
      <c r="T272" s="38">
        <v>44651</v>
      </c>
      <c r="U272" s="39"/>
      <c r="V272" s="39"/>
      <c r="W272" s="40">
        <v>834</v>
      </c>
      <c r="X272" s="40">
        <v>441</v>
      </c>
      <c r="Y272" s="40">
        <v>1861</v>
      </c>
      <c r="Z272" s="40">
        <v>1861</v>
      </c>
      <c r="AA272" s="40">
        <v>2434.1998000000003</v>
      </c>
      <c r="AB272" s="40">
        <v>1861</v>
      </c>
      <c r="AC272" s="40">
        <v>1861</v>
      </c>
      <c r="AD272" s="40">
        <v>2241.0949999999998</v>
      </c>
      <c r="AE272" s="40">
        <v>2356.6254000000004</v>
      </c>
      <c r="AF272" s="40">
        <v>2000</v>
      </c>
      <c r="AG272" s="40">
        <v>2000</v>
      </c>
      <c r="AH272" s="40">
        <v>2000</v>
      </c>
      <c r="AI272" s="41">
        <f t="shared" si="44"/>
        <v>21750.9202</v>
      </c>
      <c r="AJ272" s="42">
        <v>1861</v>
      </c>
      <c r="AK272" s="42">
        <v>1861</v>
      </c>
      <c r="AL272" s="42">
        <v>1861</v>
      </c>
      <c r="AM272" s="42">
        <v>1403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f t="shared" si="45"/>
        <v>6986</v>
      </c>
      <c r="AW272" s="42">
        <v>0</v>
      </c>
      <c r="AX272" s="42">
        <v>0</v>
      </c>
      <c r="AY272" s="42">
        <v>0</v>
      </c>
      <c r="AZ272" s="42">
        <v>0</v>
      </c>
      <c r="BA272" s="42">
        <v>0</v>
      </c>
      <c r="BB272" s="42">
        <v>0</v>
      </c>
      <c r="BC272" s="42">
        <v>0</v>
      </c>
      <c r="BD272" s="42">
        <v>0</v>
      </c>
      <c r="BE272" s="42">
        <v>0</v>
      </c>
      <c r="BF272" s="42">
        <v>0</v>
      </c>
      <c r="BG272" s="42">
        <v>0</v>
      </c>
      <c r="BH272" s="42">
        <v>0</v>
      </c>
      <c r="BI272" s="42">
        <v>0</v>
      </c>
      <c r="BJ272" s="42">
        <v>0</v>
      </c>
      <c r="BK272" s="42">
        <v>0</v>
      </c>
      <c r="BL272" s="42">
        <v>0</v>
      </c>
      <c r="BM272" s="42">
        <v>0</v>
      </c>
      <c r="BN272" s="42">
        <v>0</v>
      </c>
      <c r="BO272" s="42">
        <v>0</v>
      </c>
      <c r="BP272" s="42">
        <v>0</v>
      </c>
      <c r="BQ272" s="42">
        <v>0</v>
      </c>
      <c r="BR272" s="42">
        <v>0</v>
      </c>
      <c r="BS272" s="42">
        <v>0</v>
      </c>
      <c r="BT272" s="42">
        <v>0</v>
      </c>
      <c r="BU272" s="42">
        <v>0</v>
      </c>
      <c r="BV272" s="42">
        <v>0</v>
      </c>
      <c r="BW272" s="42">
        <v>0</v>
      </c>
      <c r="BX272" s="42">
        <v>0</v>
      </c>
      <c r="BY272" s="42">
        <v>0</v>
      </c>
      <c r="BZ272" s="42">
        <v>0</v>
      </c>
      <c r="CA272" s="42">
        <v>0</v>
      </c>
      <c r="CB272" s="42">
        <v>0</v>
      </c>
      <c r="CC272" s="42">
        <v>0</v>
      </c>
      <c r="CD272" s="42">
        <v>0</v>
      </c>
      <c r="CE272" s="42">
        <v>0</v>
      </c>
      <c r="CF272" s="42">
        <v>0</v>
      </c>
      <c r="CG272" s="42">
        <v>0</v>
      </c>
      <c r="CH272" s="42">
        <v>0</v>
      </c>
      <c r="CI272" s="42">
        <v>0</v>
      </c>
      <c r="CJ272" s="42">
        <v>0</v>
      </c>
      <c r="CK272" s="43">
        <f t="shared" si="46"/>
        <v>0</v>
      </c>
      <c r="CL272" s="66"/>
      <c r="CM272" s="66">
        <v>0</v>
      </c>
      <c r="CN272" s="66">
        <v>0</v>
      </c>
      <c r="CO272" s="66">
        <v>0</v>
      </c>
      <c r="CP272" s="66">
        <v>0</v>
      </c>
      <c r="CQ272" s="66">
        <v>0</v>
      </c>
      <c r="CR272" s="66">
        <v>0</v>
      </c>
      <c r="CS272" s="66">
        <v>0</v>
      </c>
      <c r="CT272" s="66">
        <v>0</v>
      </c>
      <c r="CU272" s="66">
        <v>0</v>
      </c>
      <c r="CV272" s="66">
        <v>0</v>
      </c>
      <c r="CW272" s="66">
        <v>0</v>
      </c>
      <c r="CX272" s="66">
        <v>0</v>
      </c>
      <c r="CY272" s="66">
        <v>0</v>
      </c>
      <c r="CZ272" s="66">
        <v>0</v>
      </c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>
        <f>SUM(Table1[[#This Row],[01-03 Apr]:[Mar-26]])</f>
        <v>0</v>
      </c>
    </row>
    <row r="273" spans="1:123" hidden="1" x14ac:dyDescent="0.2">
      <c r="A273" s="28" t="s">
        <v>2253</v>
      </c>
      <c r="B273" s="29" t="s">
        <v>110</v>
      </c>
      <c r="C273" s="29" t="s">
        <v>111</v>
      </c>
      <c r="D273" s="30" t="s">
        <v>112</v>
      </c>
      <c r="E273" s="30" t="s">
        <v>85</v>
      </c>
      <c r="F273" s="30"/>
      <c r="G273" s="31">
        <v>44777</v>
      </c>
      <c r="H273" s="30">
        <v>359707</v>
      </c>
      <c r="I273" s="30" t="str">
        <f>IF(Table1[[#This Row],[Centre Status]]="Returned","NA",IF(Table1[[#This Row],[SD]]&gt;19000,"Full Payment",IF(Table1[[#This Row],[SD]]&lt;1,"No Payment","Partial Payment")))</f>
        <v>Full Payment</v>
      </c>
      <c r="J273" s="30" t="s">
        <v>58</v>
      </c>
      <c r="K273" s="32">
        <v>110000</v>
      </c>
      <c r="L273" s="33">
        <f>Q273+R273+U273+Table1[[#This Row],[Farmer Payment]]</f>
        <v>110000</v>
      </c>
      <c r="M273" s="30"/>
      <c r="N273" s="34"/>
      <c r="O273" s="34"/>
      <c r="P273" s="35">
        <f t="shared" si="43"/>
        <v>0</v>
      </c>
      <c r="Q273" s="33">
        <f>AI273+AV273+CK273+Table1[[#This Row],[FY 25-26]]</f>
        <v>90000</v>
      </c>
      <c r="R273" s="36">
        <v>20000</v>
      </c>
      <c r="S273" s="37" t="s">
        <v>113</v>
      </c>
      <c r="T273" s="38">
        <v>44651</v>
      </c>
      <c r="U273" s="39"/>
      <c r="V273" s="39"/>
      <c r="W273" s="40">
        <v>472</v>
      </c>
      <c r="X273" s="40">
        <v>2414.8390000000004</v>
      </c>
      <c r="Y273" s="40">
        <v>2591.8517999999999</v>
      </c>
      <c r="Z273" s="40">
        <v>3540.6504000000004</v>
      </c>
      <c r="AA273" s="40">
        <v>3821.4698000000003</v>
      </c>
      <c r="AB273" s="40">
        <v>2987.0902000000001</v>
      </c>
      <c r="AC273" s="40">
        <v>3049.4573999999998</v>
      </c>
      <c r="AD273" s="40">
        <v>4582.4777999999997</v>
      </c>
      <c r="AE273" s="40">
        <v>4262.4737999999998</v>
      </c>
      <c r="AF273" s="40">
        <v>5499.1543999999994</v>
      </c>
      <c r="AG273" s="40">
        <v>2000</v>
      </c>
      <c r="AH273" s="40">
        <v>3791.3271999999997</v>
      </c>
      <c r="AI273" s="41">
        <f t="shared" si="44"/>
        <v>39012.791800000006</v>
      </c>
      <c r="AJ273" s="42">
        <v>2903.1123320392003</v>
      </c>
      <c r="AK273" s="42">
        <v>3133.5021999999999</v>
      </c>
      <c r="AL273" s="42">
        <v>2592.4596000000001</v>
      </c>
      <c r="AM273" s="42">
        <v>4036.3090000000002</v>
      </c>
      <c r="AN273" s="42">
        <v>3181.4209999999998</v>
      </c>
      <c r="AO273" s="42">
        <v>2717.6091999999999</v>
      </c>
      <c r="AP273" s="42">
        <v>4626.5634</v>
      </c>
      <c r="AQ273" s="42">
        <v>4698.3464000000013</v>
      </c>
      <c r="AR273" s="42">
        <v>5247.2840000000006</v>
      </c>
      <c r="AS273" s="42">
        <v>6895.6392000000005</v>
      </c>
      <c r="AT273" s="42">
        <v>7872.2415999999994</v>
      </c>
      <c r="AU273" s="42">
        <v>3082.7202679607872</v>
      </c>
      <c r="AV273" s="42">
        <f t="shared" si="45"/>
        <v>50987.208199999994</v>
      </c>
      <c r="AW273" s="42">
        <v>0</v>
      </c>
      <c r="AX273" s="42">
        <v>0</v>
      </c>
      <c r="AY273" s="42">
        <v>0</v>
      </c>
      <c r="AZ273" s="42">
        <v>0</v>
      </c>
      <c r="BA273" s="42">
        <v>0</v>
      </c>
      <c r="BB273" s="42">
        <v>0</v>
      </c>
      <c r="BC273" s="42">
        <v>0</v>
      </c>
      <c r="BD273" s="42">
        <v>0</v>
      </c>
      <c r="BE273" s="42">
        <v>0</v>
      </c>
      <c r="BF273" s="42">
        <v>0</v>
      </c>
      <c r="BG273" s="42">
        <v>0</v>
      </c>
      <c r="BH273" s="42">
        <v>0</v>
      </c>
      <c r="BI273" s="42">
        <v>0</v>
      </c>
      <c r="BJ273" s="42">
        <v>0</v>
      </c>
      <c r="BK273" s="42">
        <v>0</v>
      </c>
      <c r="BL273" s="42">
        <v>0</v>
      </c>
      <c r="BM273" s="42">
        <v>0</v>
      </c>
      <c r="BN273" s="42">
        <v>0</v>
      </c>
      <c r="BO273" s="42">
        <v>0</v>
      </c>
      <c r="BP273" s="42">
        <v>0</v>
      </c>
      <c r="BQ273" s="42">
        <v>0</v>
      </c>
      <c r="BR273" s="42">
        <v>0</v>
      </c>
      <c r="BS273" s="42">
        <v>0</v>
      </c>
      <c r="BT273" s="42">
        <v>0</v>
      </c>
      <c r="BU273" s="42">
        <v>0</v>
      </c>
      <c r="BV273" s="42">
        <v>0</v>
      </c>
      <c r="BW273" s="42">
        <v>0</v>
      </c>
      <c r="BX273" s="42">
        <v>0</v>
      </c>
      <c r="BY273" s="42">
        <v>0</v>
      </c>
      <c r="BZ273" s="42">
        <v>0</v>
      </c>
      <c r="CA273" s="42">
        <v>0</v>
      </c>
      <c r="CB273" s="42">
        <v>0</v>
      </c>
      <c r="CC273" s="42">
        <v>0</v>
      </c>
      <c r="CD273" s="42">
        <v>0</v>
      </c>
      <c r="CE273" s="42">
        <v>0</v>
      </c>
      <c r="CF273" s="42">
        <v>0</v>
      </c>
      <c r="CG273" s="42">
        <v>0</v>
      </c>
      <c r="CH273" s="42">
        <v>0</v>
      </c>
      <c r="CI273" s="42">
        <v>0</v>
      </c>
      <c r="CJ273" s="42">
        <v>0</v>
      </c>
      <c r="CK273" s="43">
        <f t="shared" si="46"/>
        <v>0</v>
      </c>
      <c r="CL273" s="66"/>
      <c r="CM273" s="66">
        <v>0</v>
      </c>
      <c r="CN273" s="66">
        <v>0</v>
      </c>
      <c r="CO273" s="66">
        <v>0</v>
      </c>
      <c r="CP273" s="66">
        <v>0</v>
      </c>
      <c r="CQ273" s="66">
        <v>0</v>
      </c>
      <c r="CR273" s="66">
        <v>0</v>
      </c>
      <c r="CS273" s="66">
        <v>0</v>
      </c>
      <c r="CT273" s="66">
        <v>0</v>
      </c>
      <c r="CU273" s="66">
        <v>0</v>
      </c>
      <c r="CV273" s="66">
        <v>0</v>
      </c>
      <c r="CW273" s="66">
        <v>0</v>
      </c>
      <c r="CX273" s="66">
        <v>0</v>
      </c>
      <c r="CY273" s="66">
        <v>0</v>
      </c>
      <c r="CZ273" s="66">
        <v>0</v>
      </c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>
        <f>SUM(Table1[[#This Row],[01-03 Apr]:[Mar-26]])</f>
        <v>0</v>
      </c>
    </row>
    <row r="274" spans="1:123" hidden="1" x14ac:dyDescent="0.2">
      <c r="A274" s="28" t="s">
        <v>2253</v>
      </c>
      <c r="B274" s="29" t="s">
        <v>114</v>
      </c>
      <c r="C274" s="29" t="s">
        <v>115</v>
      </c>
      <c r="D274" s="30" t="s">
        <v>116</v>
      </c>
      <c r="E274" s="30" t="s">
        <v>85</v>
      </c>
      <c r="F274" s="30"/>
      <c r="G274" s="31">
        <v>44777</v>
      </c>
      <c r="H274" s="30">
        <v>359888</v>
      </c>
      <c r="I274" s="30" t="str">
        <f>IF(Table1[[#This Row],[Centre Status]]="Returned","NA",IF(Table1[[#This Row],[SD]]&gt;19000,"Full Payment",IF(Table1[[#This Row],[SD]]&lt;1,"No Payment","Partial Payment")))</f>
        <v>Full Payment</v>
      </c>
      <c r="J274" s="30" t="s">
        <v>58</v>
      </c>
      <c r="K274" s="32">
        <v>110000</v>
      </c>
      <c r="L274" s="33">
        <f>Q274+R274+U274+Table1[[#This Row],[Farmer Payment]]</f>
        <v>97621.618343402239</v>
      </c>
      <c r="M274" s="30"/>
      <c r="N274" s="34"/>
      <c r="O274" s="34"/>
      <c r="P274" s="35">
        <f t="shared" si="43"/>
        <v>12378.381656597761</v>
      </c>
      <c r="Q274" s="33">
        <f>AI274+AV274+CK274+Table1[[#This Row],[FY 25-26]]</f>
        <v>77621.618343402239</v>
      </c>
      <c r="R274" s="36">
        <v>20000</v>
      </c>
      <c r="S274" s="37" t="s">
        <v>117</v>
      </c>
      <c r="T274" s="38">
        <v>44655</v>
      </c>
      <c r="U274" s="39"/>
      <c r="V274" s="39"/>
      <c r="W274" s="40">
        <v>859</v>
      </c>
      <c r="X274" s="40">
        <v>1861</v>
      </c>
      <c r="Y274" s="40">
        <v>1861</v>
      </c>
      <c r="Z274" s="40">
        <v>1861</v>
      </c>
      <c r="AA274" s="40">
        <v>1861</v>
      </c>
      <c r="AB274" s="40">
        <v>1122</v>
      </c>
      <c r="AC274" s="40">
        <v>1015</v>
      </c>
      <c r="AD274" s="40">
        <v>1861</v>
      </c>
      <c r="AE274" s="40">
        <v>1861</v>
      </c>
      <c r="AF274" s="40">
        <v>2818.1120000000001</v>
      </c>
      <c r="AG274" s="40">
        <v>2075.3714</v>
      </c>
      <c r="AH274" s="40">
        <v>2177.2108000000003</v>
      </c>
      <c r="AI274" s="41">
        <f t="shared" si="44"/>
        <v>21232.694200000002</v>
      </c>
      <c r="AJ274" s="42">
        <v>1861</v>
      </c>
      <c r="AK274" s="42">
        <v>2086.1916000000006</v>
      </c>
      <c r="AL274" s="42">
        <v>2063.7891999999997</v>
      </c>
      <c r="AM274" s="42">
        <v>2789.6756</v>
      </c>
      <c r="AN274" s="42">
        <v>1861</v>
      </c>
      <c r="AO274" s="42">
        <v>1918.3609999999999</v>
      </c>
      <c r="AP274" s="42">
        <v>2635.7809999999999</v>
      </c>
      <c r="AQ274" s="42">
        <v>1861</v>
      </c>
      <c r="AR274" s="42">
        <v>1934.808</v>
      </c>
      <c r="AS274" s="42">
        <v>2854.5572000000002</v>
      </c>
      <c r="AT274" s="42">
        <v>3671.3432000000007</v>
      </c>
      <c r="AU274" s="42">
        <v>5120.7110000000002</v>
      </c>
      <c r="AV274" s="42">
        <f t="shared" si="45"/>
        <v>30658.217799999999</v>
      </c>
      <c r="AW274" s="42">
        <v>4604.7231988991998</v>
      </c>
      <c r="AX274" s="42">
        <v>1861</v>
      </c>
      <c r="AY274" s="42">
        <v>1861</v>
      </c>
      <c r="AZ274" s="42">
        <v>1861</v>
      </c>
      <c r="BA274" s="42">
        <v>1861</v>
      </c>
      <c r="BB274" s="42">
        <v>0</v>
      </c>
      <c r="BC274" s="42">
        <v>0</v>
      </c>
      <c r="BD274" s="42">
        <v>0</v>
      </c>
      <c r="BE274" s="42">
        <v>0</v>
      </c>
      <c r="BF274" s="42">
        <v>0</v>
      </c>
      <c r="BG274" s="42">
        <v>0</v>
      </c>
      <c r="BH274" s="42">
        <v>0</v>
      </c>
      <c r="BI274" s="42">
        <v>1861</v>
      </c>
      <c r="BJ274" s="42">
        <v>0</v>
      </c>
      <c r="BK274" s="42">
        <v>0</v>
      </c>
      <c r="BL274" s="42">
        <v>0</v>
      </c>
      <c r="BM274" s="42">
        <v>0</v>
      </c>
      <c r="BN274" s="42">
        <v>0</v>
      </c>
      <c r="BO274" s="42">
        <v>500</v>
      </c>
      <c r="BP274" s="42">
        <v>500</v>
      </c>
      <c r="BQ274" s="42">
        <v>500</v>
      </c>
      <c r="BR274" s="42">
        <v>500</v>
      </c>
      <c r="BS274" s="42">
        <v>0</v>
      </c>
      <c r="BT274" s="42">
        <v>500</v>
      </c>
      <c r="BU274" s="42">
        <v>500</v>
      </c>
      <c r="BV274" s="42">
        <v>0</v>
      </c>
      <c r="BW274" s="42">
        <v>0</v>
      </c>
      <c r="BX274" s="42">
        <v>0</v>
      </c>
      <c r="BY274" s="42">
        <v>1361</v>
      </c>
      <c r="BZ274" s="42">
        <v>0</v>
      </c>
      <c r="CA274" s="42">
        <v>0</v>
      </c>
      <c r="CB274" s="42">
        <v>0</v>
      </c>
      <c r="CC274" s="42">
        <v>0</v>
      </c>
      <c r="CD274" s="42">
        <v>1876.9831445030402</v>
      </c>
      <c r="CE274" s="42">
        <v>0</v>
      </c>
      <c r="CF274" s="42">
        <v>0</v>
      </c>
      <c r="CG274" s="42">
        <v>0</v>
      </c>
      <c r="CH274" s="42">
        <v>0</v>
      </c>
      <c r="CI274" s="42">
        <v>0</v>
      </c>
      <c r="CJ274" s="42">
        <v>1861</v>
      </c>
      <c r="CK274" s="43">
        <f t="shared" si="46"/>
        <v>22008.706343402238</v>
      </c>
      <c r="CL274" s="66"/>
      <c r="CM274" s="66">
        <v>0</v>
      </c>
      <c r="CN274" s="66">
        <v>0</v>
      </c>
      <c r="CO274" s="66">
        <v>0</v>
      </c>
      <c r="CP274" s="66">
        <v>1861</v>
      </c>
      <c r="CQ274" s="66">
        <v>0</v>
      </c>
      <c r="CR274" s="66">
        <v>0</v>
      </c>
      <c r="CS274" s="66">
        <v>0</v>
      </c>
      <c r="CT274" s="66">
        <v>0</v>
      </c>
      <c r="CU274" s="66">
        <v>0</v>
      </c>
      <c r="CV274" s="66">
        <v>1861</v>
      </c>
      <c r="CW274" s="66">
        <v>0</v>
      </c>
      <c r="CX274" s="66">
        <v>0</v>
      </c>
      <c r="CY274" s="66">
        <v>0</v>
      </c>
      <c r="CZ274" s="66">
        <v>0</v>
      </c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>
        <f>SUM(Table1[[#This Row],[01-03 Apr]:[Mar-26]])</f>
        <v>3722</v>
      </c>
    </row>
    <row r="275" spans="1:123" hidden="1" x14ac:dyDescent="0.2">
      <c r="A275" s="28" t="s">
        <v>2253</v>
      </c>
      <c r="B275" s="29" t="s">
        <v>118</v>
      </c>
      <c r="C275" s="29" t="s">
        <v>119</v>
      </c>
      <c r="D275" s="30" t="s">
        <v>120</v>
      </c>
      <c r="E275" s="30" t="s">
        <v>85</v>
      </c>
      <c r="F275" s="30"/>
      <c r="G275" s="31">
        <v>44777</v>
      </c>
      <c r="H275" s="30">
        <v>359878</v>
      </c>
      <c r="I275" s="30" t="str">
        <f>IF(Table1[[#This Row],[Centre Status]]="Returned","NA",IF(Table1[[#This Row],[SD]]&gt;19000,"Full Payment",IF(Table1[[#This Row],[SD]]&lt;1,"No Payment","Partial Payment")))</f>
        <v>Full Payment</v>
      </c>
      <c r="J275" s="30" t="s">
        <v>58</v>
      </c>
      <c r="K275" s="32">
        <v>110000</v>
      </c>
      <c r="L275" s="33">
        <f>Q275+R275+U275+Table1[[#This Row],[Farmer Payment]]</f>
        <v>110000</v>
      </c>
      <c r="M275" s="30"/>
      <c r="N275" s="34"/>
      <c r="O275" s="34"/>
      <c r="P275" s="35">
        <f t="shared" si="43"/>
        <v>0</v>
      </c>
      <c r="Q275" s="33">
        <f>AI275+AV275+CK275+Table1[[#This Row],[FY 25-26]]</f>
        <v>90000</v>
      </c>
      <c r="R275" s="36">
        <v>20000</v>
      </c>
      <c r="S275" s="37" t="s">
        <v>121</v>
      </c>
      <c r="T275" s="38">
        <v>44656</v>
      </c>
      <c r="U275" s="39"/>
      <c r="V275" s="39"/>
      <c r="W275" s="40">
        <v>686</v>
      </c>
      <c r="X275" s="40">
        <v>621</v>
      </c>
      <c r="Y275" s="40">
        <v>2404.7193999999986</v>
      </c>
      <c r="Z275" s="40">
        <v>2406.2907999999998</v>
      </c>
      <c r="AA275" s="40">
        <v>2907.3285999999998</v>
      </c>
      <c r="AB275" s="40">
        <v>3281.9569999999994</v>
      </c>
      <c r="AC275" s="40">
        <v>4648.9524000000001</v>
      </c>
      <c r="AD275" s="40">
        <v>6835.3419999999996</v>
      </c>
      <c r="AE275" s="40">
        <v>5117.7624000000014</v>
      </c>
      <c r="AF275" s="40">
        <v>7042.5430000000006</v>
      </c>
      <c r="AG275" s="40">
        <v>5943.3058000000001</v>
      </c>
      <c r="AH275" s="40">
        <v>5734.5414000000001</v>
      </c>
      <c r="AI275" s="41">
        <f t="shared" si="44"/>
        <v>47629.7428</v>
      </c>
      <c r="AJ275" s="42">
        <v>4490.6714000000002</v>
      </c>
      <c r="AK275" s="42">
        <v>5011.7726000000002</v>
      </c>
      <c r="AL275" s="42">
        <v>3972.6392000000001</v>
      </c>
      <c r="AM275" s="42">
        <v>4128.4416000000001</v>
      </c>
      <c r="AN275" s="42">
        <v>2699.7647999999999</v>
      </c>
      <c r="AO275" s="42">
        <v>3236.5343999999996</v>
      </c>
      <c r="AP275" s="42">
        <v>5419.5640000000003</v>
      </c>
      <c r="AQ275" s="42">
        <v>4705.0899999999992</v>
      </c>
      <c r="AR275" s="42">
        <v>5164.8836000000001</v>
      </c>
      <c r="AS275" s="42">
        <v>3540.8956000000035</v>
      </c>
      <c r="AT275" s="42">
        <v>0</v>
      </c>
      <c r="AU275" s="42">
        <v>0</v>
      </c>
      <c r="AV275" s="42">
        <f t="shared" si="45"/>
        <v>42370.2572</v>
      </c>
      <c r="AW275" s="42">
        <v>0</v>
      </c>
      <c r="AX275" s="42">
        <v>0</v>
      </c>
      <c r="AY275" s="42">
        <v>0</v>
      </c>
      <c r="AZ275" s="42">
        <v>0</v>
      </c>
      <c r="BA275" s="42">
        <v>0</v>
      </c>
      <c r="BB275" s="42">
        <v>0</v>
      </c>
      <c r="BC275" s="42">
        <v>0</v>
      </c>
      <c r="BD275" s="42">
        <v>0</v>
      </c>
      <c r="BE275" s="42">
        <v>0</v>
      </c>
      <c r="BF275" s="42">
        <v>0</v>
      </c>
      <c r="BG275" s="42">
        <v>0</v>
      </c>
      <c r="BH275" s="42">
        <v>0</v>
      </c>
      <c r="BI275" s="42">
        <v>0</v>
      </c>
      <c r="BJ275" s="42">
        <v>0</v>
      </c>
      <c r="BK275" s="42">
        <v>0</v>
      </c>
      <c r="BL275" s="42">
        <v>0</v>
      </c>
      <c r="BM275" s="42">
        <v>0</v>
      </c>
      <c r="BN275" s="42">
        <v>0</v>
      </c>
      <c r="BO275" s="42">
        <v>0</v>
      </c>
      <c r="BP275" s="42">
        <v>0</v>
      </c>
      <c r="BQ275" s="42">
        <v>0</v>
      </c>
      <c r="BR275" s="42">
        <v>0</v>
      </c>
      <c r="BS275" s="42">
        <v>0</v>
      </c>
      <c r="BT275" s="42">
        <v>0</v>
      </c>
      <c r="BU275" s="42">
        <v>0</v>
      </c>
      <c r="BV275" s="42">
        <v>0</v>
      </c>
      <c r="BW275" s="42">
        <v>0</v>
      </c>
      <c r="BX275" s="42">
        <v>0</v>
      </c>
      <c r="BY275" s="42">
        <v>0</v>
      </c>
      <c r="BZ275" s="42">
        <v>0</v>
      </c>
      <c r="CA275" s="42">
        <v>0</v>
      </c>
      <c r="CB275" s="42">
        <v>0</v>
      </c>
      <c r="CC275" s="42">
        <v>0</v>
      </c>
      <c r="CD275" s="42">
        <v>0</v>
      </c>
      <c r="CE275" s="42">
        <v>0</v>
      </c>
      <c r="CF275" s="42">
        <v>0</v>
      </c>
      <c r="CG275" s="42">
        <v>0</v>
      </c>
      <c r="CH275" s="42">
        <v>0</v>
      </c>
      <c r="CI275" s="42">
        <v>0</v>
      </c>
      <c r="CJ275" s="42">
        <v>0</v>
      </c>
      <c r="CK275" s="43">
        <f t="shared" si="46"/>
        <v>0</v>
      </c>
      <c r="CL275" s="66"/>
      <c r="CM275" s="66">
        <v>0</v>
      </c>
      <c r="CN275" s="66">
        <v>0</v>
      </c>
      <c r="CO275" s="66">
        <v>0</v>
      </c>
      <c r="CP275" s="66">
        <v>0</v>
      </c>
      <c r="CQ275" s="66">
        <v>0</v>
      </c>
      <c r="CR275" s="66">
        <v>0</v>
      </c>
      <c r="CS275" s="66">
        <v>0</v>
      </c>
      <c r="CT275" s="66">
        <v>0</v>
      </c>
      <c r="CU275" s="66">
        <v>0</v>
      </c>
      <c r="CV275" s="66">
        <v>0</v>
      </c>
      <c r="CW275" s="66">
        <v>0</v>
      </c>
      <c r="CX275" s="66">
        <v>0</v>
      </c>
      <c r="CY275" s="66">
        <v>0</v>
      </c>
      <c r="CZ275" s="66">
        <v>0</v>
      </c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>
        <f>SUM(Table1[[#This Row],[01-03 Apr]:[Mar-26]])</f>
        <v>0</v>
      </c>
    </row>
    <row r="276" spans="1:123" hidden="1" x14ac:dyDescent="0.2">
      <c r="A276" s="28" t="s">
        <v>2254</v>
      </c>
      <c r="B276" s="29" t="s">
        <v>122</v>
      </c>
      <c r="C276" s="29" t="s">
        <v>123</v>
      </c>
      <c r="D276" s="30" t="s">
        <v>124</v>
      </c>
      <c r="E276" s="30" t="s">
        <v>85</v>
      </c>
      <c r="F276" s="30"/>
      <c r="G276" s="31">
        <v>44777</v>
      </c>
      <c r="H276" s="30">
        <v>373999</v>
      </c>
      <c r="I276" s="30" t="str">
        <f>IF(Table1[[#This Row],[Centre Status]]="Returned","NA",IF(Table1[[#This Row],[SD]]&gt;19000,"Full Payment",IF(Table1[[#This Row],[SD]]&lt;1,"No Payment","Partial Payment")))</f>
        <v>Full Payment</v>
      </c>
      <c r="J276" s="30" t="s">
        <v>58</v>
      </c>
      <c r="K276" s="32">
        <v>110000</v>
      </c>
      <c r="L276" s="33">
        <f>Q276+R276+U276+Table1[[#This Row],[Farmer Payment]]</f>
        <v>110000</v>
      </c>
      <c r="M276" s="30"/>
      <c r="N276" s="34"/>
      <c r="O276" s="34"/>
      <c r="P276" s="35">
        <f t="shared" si="43"/>
        <v>0</v>
      </c>
      <c r="Q276" s="33">
        <f>AI276+AV276+CK276+Table1[[#This Row],[FY 25-26]]</f>
        <v>90000</v>
      </c>
      <c r="R276" s="36">
        <v>20000</v>
      </c>
      <c r="S276" s="37" t="s">
        <v>125</v>
      </c>
      <c r="T276" s="38">
        <v>44656</v>
      </c>
      <c r="U276" s="39"/>
      <c r="V276" s="39"/>
      <c r="W276" s="40">
        <v>0</v>
      </c>
      <c r="X276" s="40">
        <v>1861</v>
      </c>
      <c r="Y276" s="40">
        <v>1861</v>
      </c>
      <c r="Z276" s="40">
        <v>1861</v>
      </c>
      <c r="AA276" s="40">
        <v>2437.4596000000001</v>
      </c>
      <c r="AB276" s="40">
        <v>2103.9058</v>
      </c>
      <c r="AC276" s="40">
        <v>2147.5715999999998</v>
      </c>
      <c r="AD276" s="40">
        <v>4159.319199999999</v>
      </c>
      <c r="AE276" s="40">
        <v>3719.0972000000011</v>
      </c>
      <c r="AF276" s="40">
        <v>2000</v>
      </c>
      <c r="AG276" s="40">
        <v>2946.1906000000008</v>
      </c>
      <c r="AH276" s="40">
        <v>2000</v>
      </c>
      <c r="AI276" s="41">
        <f t="shared" si="44"/>
        <v>27096.544000000002</v>
      </c>
      <c r="AJ276" s="42">
        <v>1988.5351999999996</v>
      </c>
      <c r="AK276" s="42">
        <v>2000</v>
      </c>
      <c r="AL276" s="42">
        <v>1861</v>
      </c>
      <c r="AM276" s="42">
        <v>2000</v>
      </c>
      <c r="AN276" s="42">
        <v>2000</v>
      </c>
      <c r="AO276" s="42">
        <v>2000</v>
      </c>
      <c r="AP276" s="42">
        <v>2000</v>
      </c>
      <c r="AQ276" s="42">
        <v>2000</v>
      </c>
      <c r="AR276" s="42">
        <v>2000</v>
      </c>
      <c r="AS276" s="42">
        <v>2000</v>
      </c>
      <c r="AT276" s="42">
        <v>2000</v>
      </c>
      <c r="AU276" s="42">
        <v>2000</v>
      </c>
      <c r="AV276" s="42">
        <f t="shared" si="45"/>
        <v>23849.535199999998</v>
      </c>
      <c r="AW276" s="42">
        <v>2000</v>
      </c>
      <c r="AX276" s="42">
        <v>2000</v>
      </c>
      <c r="AY276" s="42">
        <v>2000</v>
      </c>
      <c r="AZ276" s="42">
        <v>2000</v>
      </c>
      <c r="BA276" s="42">
        <v>2000</v>
      </c>
      <c r="BB276" s="42">
        <v>0</v>
      </c>
      <c r="BC276" s="42">
        <v>10266.62700564787</v>
      </c>
      <c r="BD276" s="42">
        <v>0</v>
      </c>
      <c r="BE276" s="42">
        <v>0</v>
      </c>
      <c r="BF276" s="42">
        <v>0</v>
      </c>
      <c r="BG276" s="42">
        <v>0</v>
      </c>
      <c r="BH276" s="42">
        <v>0</v>
      </c>
      <c r="BI276" s="42">
        <v>6174.3524121467262</v>
      </c>
      <c r="BJ276" s="42">
        <v>0</v>
      </c>
      <c r="BK276" s="42">
        <v>0</v>
      </c>
      <c r="BL276" s="42">
        <v>0</v>
      </c>
      <c r="BM276" s="42">
        <v>0</v>
      </c>
      <c r="BN276" s="42">
        <v>4212.8040106828903</v>
      </c>
      <c r="BO276" s="42">
        <v>0</v>
      </c>
      <c r="BP276" s="42">
        <v>0</v>
      </c>
      <c r="BQ276" s="42">
        <v>0</v>
      </c>
      <c r="BR276" s="42">
        <v>0</v>
      </c>
      <c r="BS276" s="42">
        <v>8400.13737152252</v>
      </c>
      <c r="BT276" s="42">
        <v>0</v>
      </c>
      <c r="BU276" s="42">
        <v>0</v>
      </c>
      <c r="BV276" s="42">
        <v>0</v>
      </c>
      <c r="BW276" s="42">
        <v>0</v>
      </c>
      <c r="BX276" s="42">
        <v>0</v>
      </c>
      <c r="BY276" s="42">
        <v>0</v>
      </c>
      <c r="BZ276" s="42">
        <v>0</v>
      </c>
      <c r="CA276" s="42">
        <v>0</v>
      </c>
      <c r="CB276" s="42">
        <v>0</v>
      </c>
      <c r="CC276" s="42">
        <v>0</v>
      </c>
      <c r="CD276" s="42">
        <v>0</v>
      </c>
      <c r="CE276" s="42">
        <v>0</v>
      </c>
      <c r="CF276" s="42">
        <v>0</v>
      </c>
      <c r="CG276" s="42">
        <v>0</v>
      </c>
      <c r="CH276" s="42">
        <v>0</v>
      </c>
      <c r="CI276" s="42">
        <v>0</v>
      </c>
      <c r="CJ276" s="42">
        <v>0</v>
      </c>
      <c r="CK276" s="43">
        <f t="shared" si="46"/>
        <v>39053.920800000007</v>
      </c>
      <c r="CL276" s="66"/>
      <c r="CM276" s="66">
        <v>0</v>
      </c>
      <c r="CN276" s="66">
        <v>0</v>
      </c>
      <c r="CO276" s="66">
        <v>0</v>
      </c>
      <c r="CP276" s="66">
        <v>0</v>
      </c>
      <c r="CQ276" s="66">
        <v>0</v>
      </c>
      <c r="CR276" s="66">
        <v>0</v>
      </c>
      <c r="CS276" s="66">
        <v>0</v>
      </c>
      <c r="CT276" s="66">
        <v>0</v>
      </c>
      <c r="CU276" s="66">
        <v>0</v>
      </c>
      <c r="CV276" s="66">
        <v>0</v>
      </c>
      <c r="CW276" s="66">
        <v>0</v>
      </c>
      <c r="CX276" s="66">
        <v>0</v>
      </c>
      <c r="CY276" s="66">
        <v>0</v>
      </c>
      <c r="CZ276" s="66">
        <v>0</v>
      </c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>
        <f>SUM(Table1[[#This Row],[01-03 Apr]:[Mar-26]])</f>
        <v>0</v>
      </c>
    </row>
    <row r="277" spans="1:123" hidden="1" x14ac:dyDescent="0.2">
      <c r="A277" s="28" t="s">
        <v>2253</v>
      </c>
      <c r="B277" s="29" t="s">
        <v>128</v>
      </c>
      <c r="C277" s="29" t="s">
        <v>3336</v>
      </c>
      <c r="D277" s="30" t="s">
        <v>129</v>
      </c>
      <c r="E277" s="30" t="s">
        <v>85</v>
      </c>
      <c r="F277" s="30"/>
      <c r="G277" s="31">
        <v>44777</v>
      </c>
      <c r="H277" s="30">
        <v>359348</v>
      </c>
      <c r="I277" s="30" t="str">
        <f>IF(Table1[[#This Row],[Centre Status]]="Returned","NA",IF(Table1[[#This Row],[SD]]&gt;19000,"Full Payment",IF(Table1[[#This Row],[SD]]&lt;1,"No Payment","Partial Payment")))</f>
        <v>Full Payment</v>
      </c>
      <c r="J277" s="30" t="s">
        <v>58</v>
      </c>
      <c r="K277" s="32">
        <v>110000</v>
      </c>
      <c r="L277" s="33">
        <f>Q277+R277+U277+Table1[[#This Row],[Farmer Payment]]</f>
        <v>39078.1976</v>
      </c>
      <c r="M277" s="30"/>
      <c r="N277" s="34"/>
      <c r="O277" s="34"/>
      <c r="P277" s="35">
        <f t="shared" si="43"/>
        <v>70921.8024</v>
      </c>
      <c r="Q277" s="33">
        <f>AI277+AV277+CK277+Table1[[#This Row],[FY 25-26]]</f>
        <v>19078.1976</v>
      </c>
      <c r="R277" s="36">
        <v>20000</v>
      </c>
      <c r="S277" s="37" t="s">
        <v>130</v>
      </c>
      <c r="T277" s="38">
        <v>44659</v>
      </c>
      <c r="U277" s="39"/>
      <c r="V277" s="39"/>
      <c r="W277" s="40">
        <v>1098</v>
      </c>
      <c r="X277" s="40">
        <v>430.19759999999997</v>
      </c>
      <c r="Y277" s="40">
        <v>1861</v>
      </c>
      <c r="Z277" s="40">
        <v>683</v>
      </c>
      <c r="AA277" s="40">
        <v>1861</v>
      </c>
      <c r="AB277" s="40">
        <v>1861</v>
      </c>
      <c r="AC277" s="40">
        <v>1861</v>
      </c>
      <c r="AD277" s="40">
        <v>1580</v>
      </c>
      <c r="AE277" s="40">
        <v>1861</v>
      </c>
      <c r="AF277" s="40">
        <v>1861</v>
      </c>
      <c r="AG277" s="40">
        <v>1724</v>
      </c>
      <c r="AH277" s="40">
        <v>766</v>
      </c>
      <c r="AI277" s="41">
        <f t="shared" si="44"/>
        <v>17447.1976</v>
      </c>
      <c r="AJ277" s="42">
        <v>0</v>
      </c>
      <c r="AK277" s="42">
        <v>542</v>
      </c>
      <c r="AL277" s="42">
        <v>1089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f t="shared" si="45"/>
        <v>1631</v>
      </c>
      <c r="AW277" s="42">
        <v>0</v>
      </c>
      <c r="AX277" s="42">
        <v>0</v>
      </c>
      <c r="AY277" s="42">
        <v>0</v>
      </c>
      <c r="AZ277" s="42">
        <v>0</v>
      </c>
      <c r="BA277" s="42">
        <v>0</v>
      </c>
      <c r="BB277" s="42">
        <v>0</v>
      </c>
      <c r="BC277" s="42">
        <v>0</v>
      </c>
      <c r="BD277" s="42">
        <v>0</v>
      </c>
      <c r="BE277" s="42">
        <v>0</v>
      </c>
      <c r="BF277" s="42">
        <v>0</v>
      </c>
      <c r="BG277" s="42">
        <v>0</v>
      </c>
      <c r="BH277" s="42">
        <v>0</v>
      </c>
      <c r="BI277" s="42">
        <v>0</v>
      </c>
      <c r="BJ277" s="42">
        <v>0</v>
      </c>
      <c r="BK277" s="42">
        <v>0</v>
      </c>
      <c r="BL277" s="42">
        <v>0</v>
      </c>
      <c r="BM277" s="42">
        <v>0</v>
      </c>
      <c r="BN277" s="42">
        <v>0</v>
      </c>
      <c r="BO277" s="42">
        <v>0</v>
      </c>
      <c r="BP277" s="42">
        <v>0</v>
      </c>
      <c r="BQ277" s="42">
        <v>0</v>
      </c>
      <c r="BR277" s="42">
        <v>0</v>
      </c>
      <c r="BS277" s="42">
        <v>0</v>
      </c>
      <c r="BT277" s="42">
        <v>0</v>
      </c>
      <c r="BU277" s="42">
        <v>0</v>
      </c>
      <c r="BV277" s="42">
        <v>0</v>
      </c>
      <c r="BW277" s="42">
        <v>0</v>
      </c>
      <c r="BX277" s="42">
        <v>0</v>
      </c>
      <c r="BY277" s="42">
        <v>0</v>
      </c>
      <c r="BZ277" s="42">
        <v>0</v>
      </c>
      <c r="CA277" s="42">
        <v>0</v>
      </c>
      <c r="CB277" s="42">
        <v>0</v>
      </c>
      <c r="CC277" s="42">
        <v>0</v>
      </c>
      <c r="CD277" s="42">
        <v>0</v>
      </c>
      <c r="CE277" s="42">
        <v>0</v>
      </c>
      <c r="CF277" s="42">
        <v>0</v>
      </c>
      <c r="CG277" s="42">
        <v>0</v>
      </c>
      <c r="CH277" s="42">
        <v>0</v>
      </c>
      <c r="CI277" s="42">
        <v>0</v>
      </c>
      <c r="CJ277" s="42">
        <v>0</v>
      </c>
      <c r="CK277" s="43">
        <f t="shared" si="46"/>
        <v>0</v>
      </c>
      <c r="CL277" s="66"/>
      <c r="CM277" s="66">
        <v>0</v>
      </c>
      <c r="CN277" s="66">
        <v>0</v>
      </c>
      <c r="CO277" s="66">
        <v>0</v>
      </c>
      <c r="CP277" s="66">
        <v>0</v>
      </c>
      <c r="CQ277" s="66">
        <v>0</v>
      </c>
      <c r="CR277" s="66">
        <v>0</v>
      </c>
      <c r="CS277" s="66">
        <v>0</v>
      </c>
      <c r="CT277" s="66">
        <v>0</v>
      </c>
      <c r="CU277" s="66">
        <v>0</v>
      </c>
      <c r="CV277" s="66">
        <v>0</v>
      </c>
      <c r="CW277" s="66">
        <v>0</v>
      </c>
      <c r="CX277" s="66">
        <v>0</v>
      </c>
      <c r="CY277" s="66">
        <v>0</v>
      </c>
      <c r="CZ277" s="66">
        <v>0</v>
      </c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>
        <f>SUM(Table1[[#This Row],[01-03 Apr]:[Mar-26]])</f>
        <v>0</v>
      </c>
    </row>
    <row r="278" spans="1:123" hidden="1" x14ac:dyDescent="0.2">
      <c r="A278" s="28" t="s">
        <v>2253</v>
      </c>
      <c r="B278" s="29" t="s">
        <v>131</v>
      </c>
      <c r="C278" s="29" t="s">
        <v>132</v>
      </c>
      <c r="D278" s="30" t="s">
        <v>133</v>
      </c>
      <c r="E278" s="30" t="s">
        <v>85</v>
      </c>
      <c r="F278" s="30"/>
      <c r="G278" s="31">
        <v>44777</v>
      </c>
      <c r="H278" s="30">
        <v>360147</v>
      </c>
      <c r="I278" s="30" t="str">
        <f>IF(Table1[[#This Row],[Centre Status]]="Returned","NA",IF(Table1[[#This Row],[SD]]&gt;19000,"Full Payment",IF(Table1[[#This Row],[SD]]&lt;1,"No Payment","Partial Payment")))</f>
        <v>Full Payment</v>
      </c>
      <c r="J278" s="30" t="s">
        <v>58</v>
      </c>
      <c r="K278" s="32">
        <v>110000</v>
      </c>
      <c r="L278" s="33">
        <f>Q278+R278+U278+Table1[[#This Row],[Farmer Payment]]</f>
        <v>110000</v>
      </c>
      <c r="M278" s="30"/>
      <c r="N278" s="34"/>
      <c r="O278" s="34"/>
      <c r="P278" s="35">
        <f t="shared" si="43"/>
        <v>0</v>
      </c>
      <c r="Q278" s="33">
        <f>AI278+AV278+CK278+Table1[[#This Row],[FY 25-26]]</f>
        <v>90000</v>
      </c>
      <c r="R278" s="36">
        <v>20000</v>
      </c>
      <c r="S278" s="37" t="s">
        <v>134</v>
      </c>
      <c r="T278" s="38">
        <v>44659</v>
      </c>
      <c r="U278" s="39"/>
      <c r="V278" s="39"/>
      <c r="W278" s="40">
        <v>300</v>
      </c>
      <c r="X278" s="40">
        <v>282</v>
      </c>
      <c r="Y278" s="40">
        <v>1861</v>
      </c>
      <c r="Z278" s="40">
        <v>0</v>
      </c>
      <c r="AA278" s="40">
        <v>1974.0689999999997</v>
      </c>
      <c r="AB278" s="40">
        <v>1861</v>
      </c>
      <c r="AC278" s="40">
        <v>1861</v>
      </c>
      <c r="AD278" s="40">
        <v>2167.7516000000001</v>
      </c>
      <c r="AE278" s="40">
        <v>2303.2919999999999</v>
      </c>
      <c r="AF278" s="40">
        <v>2959.0984000000003</v>
      </c>
      <c r="AG278" s="40">
        <v>2433.1808000000001</v>
      </c>
      <c r="AH278" s="40">
        <v>2660.3247999999999</v>
      </c>
      <c r="AI278" s="41">
        <f t="shared" si="44"/>
        <v>20662.716599999996</v>
      </c>
      <c r="AJ278" s="42">
        <v>2558.3391999999999</v>
      </c>
      <c r="AK278" s="42">
        <v>3113.4496000000004</v>
      </c>
      <c r="AL278" s="42">
        <v>2465.0958000000001</v>
      </c>
      <c r="AM278" s="42">
        <v>2779.0403999999999</v>
      </c>
      <c r="AN278" s="42">
        <v>2183.6965999999998</v>
      </c>
      <c r="AO278" s="42">
        <v>2666.0096000000003</v>
      </c>
      <c r="AP278" s="42">
        <v>4037.8994000000002</v>
      </c>
      <c r="AQ278" s="42">
        <v>3812.4292</v>
      </c>
      <c r="AR278" s="42">
        <v>4206.2053999999989</v>
      </c>
      <c r="AS278" s="42">
        <v>5686.7920000000004</v>
      </c>
      <c r="AT278" s="42">
        <v>5414.6036000000004</v>
      </c>
      <c r="AU278" s="42">
        <v>5772.2371999999996</v>
      </c>
      <c r="AV278" s="42">
        <f t="shared" si="45"/>
        <v>44695.797999999995</v>
      </c>
      <c r="AW278" s="42">
        <v>3918.0406011111372</v>
      </c>
      <c r="AX278" s="42">
        <v>2742.5954901508603</v>
      </c>
      <c r="AY278" s="42">
        <v>2245.9820207575326</v>
      </c>
      <c r="AZ278" s="42">
        <v>3301.8395607050961</v>
      </c>
      <c r="BA278" s="42">
        <v>2906.1830599908221</v>
      </c>
      <c r="BB278" s="42">
        <v>0</v>
      </c>
      <c r="BC278" s="42">
        <v>3553.5981769409386</v>
      </c>
      <c r="BD278" s="42">
        <v>0</v>
      </c>
      <c r="BE278" s="42">
        <v>0</v>
      </c>
      <c r="BF278" s="42">
        <v>0</v>
      </c>
      <c r="BG278" s="42">
        <v>0</v>
      </c>
      <c r="BH278" s="42">
        <v>0</v>
      </c>
      <c r="BI278" s="42">
        <v>2723.9569075190002</v>
      </c>
      <c r="BJ278" s="42">
        <v>0</v>
      </c>
      <c r="BK278" s="42">
        <v>0</v>
      </c>
      <c r="BL278" s="42">
        <v>0</v>
      </c>
      <c r="BM278" s="42">
        <v>0</v>
      </c>
      <c r="BN278" s="42">
        <v>2244.8085046405881</v>
      </c>
      <c r="BO278" s="42">
        <v>0</v>
      </c>
      <c r="BP278" s="42">
        <v>0</v>
      </c>
      <c r="BQ278" s="42">
        <v>0</v>
      </c>
      <c r="BR278" s="42">
        <v>0</v>
      </c>
      <c r="BS278" s="42">
        <v>1004.4810781840351</v>
      </c>
      <c r="BT278" s="42">
        <v>0</v>
      </c>
      <c r="BU278" s="42">
        <v>0</v>
      </c>
      <c r="BV278" s="42">
        <v>0</v>
      </c>
      <c r="BW278" s="42">
        <v>0</v>
      </c>
      <c r="BX278" s="42">
        <v>0</v>
      </c>
      <c r="BY278" s="42">
        <v>0</v>
      </c>
      <c r="BZ278" s="42">
        <v>0</v>
      </c>
      <c r="CA278" s="42">
        <v>0</v>
      </c>
      <c r="CB278" s="42">
        <v>0</v>
      </c>
      <c r="CC278" s="42">
        <v>0</v>
      </c>
      <c r="CD278" s="42">
        <v>0</v>
      </c>
      <c r="CE278" s="42">
        <v>0</v>
      </c>
      <c r="CF278" s="42">
        <v>0</v>
      </c>
      <c r="CG278" s="42">
        <v>0</v>
      </c>
      <c r="CH278" s="42">
        <v>0</v>
      </c>
      <c r="CI278" s="42">
        <v>0</v>
      </c>
      <c r="CJ278" s="42">
        <v>0</v>
      </c>
      <c r="CK278" s="43">
        <f t="shared" si="46"/>
        <v>24641.485400000012</v>
      </c>
      <c r="CL278" s="66"/>
      <c r="CM278" s="66">
        <v>0</v>
      </c>
      <c r="CN278" s="66">
        <v>0</v>
      </c>
      <c r="CO278" s="66">
        <v>0</v>
      </c>
      <c r="CP278" s="66">
        <v>0</v>
      </c>
      <c r="CQ278" s="66">
        <v>0</v>
      </c>
      <c r="CR278" s="66">
        <v>0</v>
      </c>
      <c r="CS278" s="66">
        <v>0</v>
      </c>
      <c r="CT278" s="66">
        <v>0</v>
      </c>
      <c r="CU278" s="66">
        <v>0</v>
      </c>
      <c r="CV278" s="66">
        <v>0</v>
      </c>
      <c r="CW278" s="66">
        <v>0</v>
      </c>
      <c r="CX278" s="66">
        <v>0</v>
      </c>
      <c r="CY278" s="66">
        <v>0</v>
      </c>
      <c r="CZ278" s="66">
        <v>0</v>
      </c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>
        <f>SUM(Table1[[#This Row],[01-03 Apr]:[Mar-26]])</f>
        <v>0</v>
      </c>
    </row>
    <row r="279" spans="1:123" hidden="1" x14ac:dyDescent="0.2">
      <c r="A279" s="28" t="s">
        <v>2253</v>
      </c>
      <c r="B279" s="29" t="s">
        <v>135</v>
      </c>
      <c r="C279" s="29" t="s">
        <v>136</v>
      </c>
      <c r="D279" s="30" t="s">
        <v>137</v>
      </c>
      <c r="E279" s="30" t="s">
        <v>85</v>
      </c>
      <c r="F279" s="30"/>
      <c r="G279" s="31">
        <v>44777</v>
      </c>
      <c r="H279" s="30">
        <v>359884</v>
      </c>
      <c r="I279" s="30" t="str">
        <f>IF(Table1[[#This Row],[Centre Status]]="Returned","NA",IF(Table1[[#This Row],[SD]]&gt;19000,"Full Payment",IF(Table1[[#This Row],[SD]]&lt;1,"No Payment","Partial Payment")))</f>
        <v>Full Payment</v>
      </c>
      <c r="J279" s="30" t="s">
        <v>58</v>
      </c>
      <c r="K279" s="32">
        <v>110000</v>
      </c>
      <c r="L279" s="33">
        <f>Q279+R279+U279+Table1[[#This Row],[Farmer Payment]]</f>
        <v>110000</v>
      </c>
      <c r="M279" s="30"/>
      <c r="N279" s="34"/>
      <c r="O279" s="34"/>
      <c r="P279" s="35">
        <f t="shared" si="43"/>
        <v>0</v>
      </c>
      <c r="Q279" s="33">
        <f>AI279+AV279+CK279+Table1[[#This Row],[FY 25-26]]</f>
        <v>90000</v>
      </c>
      <c r="R279" s="36">
        <v>20000</v>
      </c>
      <c r="S279" s="37" t="s">
        <v>138</v>
      </c>
      <c r="T279" s="38">
        <v>44659</v>
      </c>
      <c r="U279" s="39"/>
      <c r="V279" s="39"/>
      <c r="W279" s="40">
        <v>570</v>
      </c>
      <c r="X279" s="40">
        <v>2591.3494000000001</v>
      </c>
      <c r="Y279" s="40">
        <v>3368.8510000000006</v>
      </c>
      <c r="Z279" s="40">
        <v>4020.0705999999996</v>
      </c>
      <c r="AA279" s="40">
        <v>4746.5572000000002</v>
      </c>
      <c r="AB279" s="40">
        <v>2879.3122000000003</v>
      </c>
      <c r="AC279" s="40">
        <v>3279.0281999999997</v>
      </c>
      <c r="AD279" s="40">
        <v>5282.3336000000008</v>
      </c>
      <c r="AE279" s="40">
        <v>5829.4031999999997</v>
      </c>
      <c r="AF279" s="40">
        <v>9017.1497999999992</v>
      </c>
      <c r="AG279" s="40">
        <v>8475.0324000000019</v>
      </c>
      <c r="AH279" s="40">
        <v>8432.7312000000002</v>
      </c>
      <c r="AI279" s="41">
        <f t="shared" si="44"/>
        <v>58491.818800000008</v>
      </c>
      <c r="AJ279" s="42">
        <v>6600.4951046819997</v>
      </c>
      <c r="AK279" s="42">
        <v>6423.0808000000006</v>
      </c>
      <c r="AL279" s="42">
        <v>4428.6236000000008</v>
      </c>
      <c r="AM279" s="42">
        <v>5785.1962000000003</v>
      </c>
      <c r="AN279" s="42">
        <v>3533.3680000000004</v>
      </c>
      <c r="AO279" s="42">
        <v>2440.5312000000004</v>
      </c>
      <c r="AP279" s="42">
        <v>2296.8862953179923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f t="shared" si="45"/>
        <v>31508.181199999995</v>
      </c>
      <c r="AW279" s="42">
        <v>0</v>
      </c>
      <c r="AX279" s="42">
        <v>0</v>
      </c>
      <c r="AY279" s="42">
        <v>0</v>
      </c>
      <c r="AZ279" s="42">
        <v>0</v>
      </c>
      <c r="BA279" s="42">
        <v>0</v>
      </c>
      <c r="BB279" s="42">
        <v>0</v>
      </c>
      <c r="BC279" s="42">
        <v>0</v>
      </c>
      <c r="BD279" s="42">
        <v>0</v>
      </c>
      <c r="BE279" s="42">
        <v>0</v>
      </c>
      <c r="BF279" s="42">
        <v>0</v>
      </c>
      <c r="BG279" s="42">
        <v>0</v>
      </c>
      <c r="BH279" s="42">
        <v>0</v>
      </c>
      <c r="BI279" s="42">
        <v>0</v>
      </c>
      <c r="BJ279" s="42">
        <v>0</v>
      </c>
      <c r="BK279" s="42">
        <v>0</v>
      </c>
      <c r="BL279" s="42">
        <v>0</v>
      </c>
      <c r="BM279" s="42">
        <v>0</v>
      </c>
      <c r="BN279" s="42">
        <v>0</v>
      </c>
      <c r="BO279" s="42">
        <v>0</v>
      </c>
      <c r="BP279" s="42">
        <v>0</v>
      </c>
      <c r="BQ279" s="42">
        <v>0</v>
      </c>
      <c r="BR279" s="42">
        <v>0</v>
      </c>
      <c r="BS279" s="42">
        <v>0</v>
      </c>
      <c r="BT279" s="42">
        <v>0</v>
      </c>
      <c r="BU279" s="42">
        <v>0</v>
      </c>
      <c r="BV279" s="42">
        <v>0</v>
      </c>
      <c r="BW279" s="42">
        <v>0</v>
      </c>
      <c r="BX279" s="42">
        <v>0</v>
      </c>
      <c r="BY279" s="42">
        <v>0</v>
      </c>
      <c r="BZ279" s="42">
        <v>0</v>
      </c>
      <c r="CA279" s="42">
        <v>0</v>
      </c>
      <c r="CB279" s="42">
        <v>0</v>
      </c>
      <c r="CC279" s="42">
        <v>0</v>
      </c>
      <c r="CD279" s="42">
        <v>0</v>
      </c>
      <c r="CE279" s="42">
        <v>0</v>
      </c>
      <c r="CF279" s="42">
        <v>0</v>
      </c>
      <c r="CG279" s="42">
        <v>0</v>
      </c>
      <c r="CH279" s="42">
        <v>0</v>
      </c>
      <c r="CI279" s="42">
        <v>0</v>
      </c>
      <c r="CJ279" s="42">
        <v>0</v>
      </c>
      <c r="CK279" s="43">
        <f t="shared" si="46"/>
        <v>0</v>
      </c>
      <c r="CL279" s="66"/>
      <c r="CM279" s="66">
        <v>0</v>
      </c>
      <c r="CN279" s="66">
        <v>0</v>
      </c>
      <c r="CO279" s="66">
        <v>0</v>
      </c>
      <c r="CP279" s="66">
        <v>0</v>
      </c>
      <c r="CQ279" s="66">
        <v>0</v>
      </c>
      <c r="CR279" s="66">
        <v>0</v>
      </c>
      <c r="CS279" s="66">
        <v>0</v>
      </c>
      <c r="CT279" s="66">
        <v>0</v>
      </c>
      <c r="CU279" s="66">
        <v>0</v>
      </c>
      <c r="CV279" s="66">
        <v>0</v>
      </c>
      <c r="CW279" s="66">
        <v>0</v>
      </c>
      <c r="CX279" s="66">
        <v>0</v>
      </c>
      <c r="CY279" s="66">
        <v>0</v>
      </c>
      <c r="CZ279" s="66">
        <v>0</v>
      </c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>
        <f>SUM(Table1[[#This Row],[01-03 Apr]:[Mar-26]])</f>
        <v>0</v>
      </c>
    </row>
    <row r="280" spans="1:123" hidden="1" x14ac:dyDescent="0.2">
      <c r="A280" s="28" t="s">
        <v>2253</v>
      </c>
      <c r="B280" s="29" t="s">
        <v>139</v>
      </c>
      <c r="C280" s="29" t="s">
        <v>140</v>
      </c>
      <c r="D280" s="30" t="s">
        <v>141</v>
      </c>
      <c r="E280" s="30" t="s">
        <v>85</v>
      </c>
      <c r="F280" s="30"/>
      <c r="G280" s="31">
        <v>44777</v>
      </c>
      <c r="H280" s="30">
        <v>359962</v>
      </c>
      <c r="I280" s="30" t="str">
        <f>IF(Table1[[#This Row],[Centre Status]]="Returned","NA",IF(Table1[[#This Row],[SD]]&gt;19000,"Full Payment",IF(Table1[[#This Row],[SD]]&lt;1,"No Payment","Partial Payment")))</f>
        <v>Full Payment</v>
      </c>
      <c r="J280" s="30" t="s">
        <v>58</v>
      </c>
      <c r="K280" s="32">
        <v>110000</v>
      </c>
      <c r="L280" s="33">
        <f>Q280+R280+U280+Table1[[#This Row],[Farmer Payment]]</f>
        <v>58217.247309283281</v>
      </c>
      <c r="M280" s="30"/>
      <c r="N280" s="34"/>
      <c r="O280" s="34"/>
      <c r="P280" s="35">
        <f t="shared" si="43"/>
        <v>51782.752690716719</v>
      </c>
      <c r="Q280" s="33">
        <f>AI280+AV280+CK280+Table1[[#This Row],[FY 25-26]]</f>
        <v>38217.247309283281</v>
      </c>
      <c r="R280" s="36">
        <v>20000</v>
      </c>
      <c r="S280" s="37" t="s">
        <v>142</v>
      </c>
      <c r="T280" s="38">
        <v>44655</v>
      </c>
      <c r="U280" s="39"/>
      <c r="V280" s="39"/>
      <c r="W280" s="40">
        <v>0</v>
      </c>
      <c r="X280" s="40">
        <v>0</v>
      </c>
      <c r="Y280" s="40">
        <v>870</v>
      </c>
      <c r="Z280" s="40">
        <v>0</v>
      </c>
      <c r="AA280" s="40">
        <v>1861</v>
      </c>
      <c r="AB280" s="40">
        <v>1861</v>
      </c>
      <c r="AC280" s="40">
        <v>1902.0229999999999</v>
      </c>
      <c r="AD280" s="40">
        <v>2578.0878000000002</v>
      </c>
      <c r="AE280" s="40">
        <v>1925.3728000000001</v>
      </c>
      <c r="AF280" s="40">
        <v>2725.2765999999997</v>
      </c>
      <c r="AG280" s="40">
        <v>1861</v>
      </c>
      <c r="AH280" s="40">
        <v>1870.3935999999999</v>
      </c>
      <c r="AI280" s="41">
        <f t="shared" si="44"/>
        <v>17454.1538</v>
      </c>
      <c r="AJ280" s="42">
        <v>1394</v>
      </c>
      <c r="AK280" s="42">
        <v>154</v>
      </c>
      <c r="AL280" s="42">
        <v>0</v>
      </c>
      <c r="AM280" s="42">
        <v>0</v>
      </c>
      <c r="AN280" s="42">
        <v>0</v>
      </c>
      <c r="AO280" s="42">
        <v>445</v>
      </c>
      <c r="AP280" s="42">
        <v>938</v>
      </c>
      <c r="AQ280" s="42">
        <v>1861</v>
      </c>
      <c r="AR280" s="42">
        <v>1861</v>
      </c>
      <c r="AS280" s="42">
        <v>2005.2070000000001</v>
      </c>
      <c r="AT280" s="42">
        <v>3165.9230000000007</v>
      </c>
      <c r="AU280" s="42">
        <v>3457.5196000000001</v>
      </c>
      <c r="AV280" s="42">
        <f t="shared" si="45"/>
        <v>15281.649600000001</v>
      </c>
      <c r="AW280" s="42">
        <v>2894.9955531646956</v>
      </c>
      <c r="AX280" s="42">
        <v>2086.4483561185807</v>
      </c>
      <c r="AY280" s="42">
        <v>0</v>
      </c>
      <c r="AZ280" s="42">
        <v>0</v>
      </c>
      <c r="BA280" s="42">
        <v>0</v>
      </c>
      <c r="BB280" s="42">
        <v>500</v>
      </c>
      <c r="BC280" s="42">
        <v>0</v>
      </c>
      <c r="BD280" s="42">
        <v>0</v>
      </c>
      <c r="BE280" s="42">
        <v>0</v>
      </c>
      <c r="BF280" s="42">
        <v>0</v>
      </c>
      <c r="BG280" s="42">
        <v>0</v>
      </c>
      <c r="BH280" s="42">
        <v>0</v>
      </c>
      <c r="BI280" s="42">
        <v>0</v>
      </c>
      <c r="BJ280" s="42">
        <v>0</v>
      </c>
      <c r="BK280" s="42">
        <v>0</v>
      </c>
      <c r="BL280" s="42">
        <v>0</v>
      </c>
      <c r="BM280" s="42">
        <v>0</v>
      </c>
      <c r="BN280" s="42">
        <v>0</v>
      </c>
      <c r="BO280" s="42">
        <v>0</v>
      </c>
      <c r="BP280" s="42">
        <v>0</v>
      </c>
      <c r="BQ280" s="42">
        <v>0</v>
      </c>
      <c r="BR280" s="42">
        <v>0</v>
      </c>
      <c r="BS280" s="42">
        <v>0</v>
      </c>
      <c r="BT280" s="42">
        <v>0</v>
      </c>
      <c r="BU280" s="42">
        <v>0</v>
      </c>
      <c r="BV280" s="42">
        <v>0</v>
      </c>
      <c r="BW280" s="42">
        <v>0</v>
      </c>
      <c r="BX280" s="42">
        <v>0</v>
      </c>
      <c r="BY280" s="42">
        <v>0</v>
      </c>
      <c r="BZ280" s="42">
        <v>0</v>
      </c>
      <c r="CA280" s="42">
        <v>0</v>
      </c>
      <c r="CB280" s="42">
        <v>0</v>
      </c>
      <c r="CC280" s="42">
        <v>0</v>
      </c>
      <c r="CD280" s="42">
        <v>0</v>
      </c>
      <c r="CE280" s="42">
        <v>0</v>
      </c>
      <c r="CF280" s="42">
        <v>0</v>
      </c>
      <c r="CG280" s="42">
        <v>0</v>
      </c>
      <c r="CH280" s="42">
        <v>0</v>
      </c>
      <c r="CI280" s="42">
        <v>0</v>
      </c>
      <c r="CJ280" s="42">
        <v>0</v>
      </c>
      <c r="CK280" s="43">
        <f t="shared" si="46"/>
        <v>5481.4439092832763</v>
      </c>
      <c r="CL280" s="66"/>
      <c r="CM280" s="66">
        <v>0</v>
      </c>
      <c r="CN280" s="66">
        <v>0</v>
      </c>
      <c r="CO280" s="66">
        <v>0</v>
      </c>
      <c r="CP280" s="66">
        <v>0</v>
      </c>
      <c r="CQ280" s="66">
        <v>0</v>
      </c>
      <c r="CR280" s="66">
        <v>0</v>
      </c>
      <c r="CS280" s="66">
        <v>0</v>
      </c>
      <c r="CT280" s="66">
        <v>0</v>
      </c>
      <c r="CU280" s="66">
        <v>0</v>
      </c>
      <c r="CV280" s="66">
        <v>0</v>
      </c>
      <c r="CW280" s="66">
        <v>0</v>
      </c>
      <c r="CX280" s="66">
        <v>0</v>
      </c>
      <c r="CY280" s="66">
        <v>0</v>
      </c>
      <c r="CZ280" s="66">
        <v>0</v>
      </c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>
        <f>SUM(Table1[[#This Row],[01-03 Apr]:[Mar-26]])</f>
        <v>0</v>
      </c>
    </row>
    <row r="281" spans="1:123" x14ac:dyDescent="0.2">
      <c r="A281" s="28" t="s">
        <v>2254</v>
      </c>
      <c r="B281" s="29" t="s">
        <v>143</v>
      </c>
      <c r="C281" s="29" t="s">
        <v>144</v>
      </c>
      <c r="D281" s="30" t="s">
        <v>145</v>
      </c>
      <c r="E281" s="30" t="s">
        <v>177</v>
      </c>
      <c r="F281" s="30"/>
      <c r="G281" s="31">
        <v>44777</v>
      </c>
      <c r="H281" s="30">
        <v>371190</v>
      </c>
      <c r="I281" s="30" t="str">
        <f>IF(Table1[[#This Row],[Centre Status]]="Returned","NA",IF(Table1[[#This Row],[SD]]&gt;19000,"Full Payment",IF(Table1[[#This Row],[SD]]&lt;1,"No Payment","Partial Payment")))</f>
        <v>No Payment</v>
      </c>
      <c r="J281" s="30" t="s">
        <v>58</v>
      </c>
      <c r="K281" s="32">
        <v>110000</v>
      </c>
      <c r="L281" s="33">
        <f>Q281+R281+U281+Table1[[#This Row],[Farmer Payment]]</f>
        <v>52196.709600000002</v>
      </c>
      <c r="M281" s="30"/>
      <c r="N281" s="34"/>
      <c r="O281" s="34"/>
      <c r="P281" s="35">
        <f t="shared" si="43"/>
        <v>57803.290399999998</v>
      </c>
      <c r="Q281" s="33">
        <f>AI281+AV281+CK281+Table1[[#This Row],[FY 25-26]]</f>
        <v>40565.709600000002</v>
      </c>
      <c r="R281" s="36">
        <v>0</v>
      </c>
      <c r="S281" s="37"/>
      <c r="T281" s="38"/>
      <c r="U281" s="39">
        <v>11631</v>
      </c>
      <c r="V281" s="39"/>
      <c r="W281" s="40">
        <v>0</v>
      </c>
      <c r="X281" s="40">
        <v>0</v>
      </c>
      <c r="Y281" s="40">
        <v>0</v>
      </c>
      <c r="Z281" s="40">
        <v>0</v>
      </c>
      <c r="AA281" s="40">
        <v>0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>
        <v>895</v>
      </c>
      <c r="AH281" s="40">
        <v>1861</v>
      </c>
      <c r="AI281" s="41">
        <f t="shared" si="44"/>
        <v>2756</v>
      </c>
      <c r="AJ281" s="42">
        <v>1861</v>
      </c>
      <c r="AK281" s="42">
        <v>1861</v>
      </c>
      <c r="AL281" s="42">
        <v>1861</v>
      </c>
      <c r="AM281" s="42">
        <v>2000</v>
      </c>
      <c r="AN281" s="42">
        <v>2000</v>
      </c>
      <c r="AO281" s="42">
        <v>2000</v>
      </c>
      <c r="AP281" s="42">
        <v>2000</v>
      </c>
      <c r="AQ281" s="42">
        <v>1932.7095999999999</v>
      </c>
      <c r="AR281" s="42">
        <v>2000</v>
      </c>
      <c r="AS281" s="42">
        <v>2000</v>
      </c>
      <c r="AT281" s="42">
        <v>2000</v>
      </c>
      <c r="AU281" s="42">
        <v>2000</v>
      </c>
      <c r="AV281" s="42">
        <f t="shared" si="45"/>
        <v>23515.709600000002</v>
      </c>
      <c r="AW281" s="42">
        <v>2000</v>
      </c>
      <c r="AX281" s="42">
        <v>1861</v>
      </c>
      <c r="AY281" s="42">
        <v>2000</v>
      </c>
      <c r="AZ281" s="42">
        <v>2000</v>
      </c>
      <c r="BA281" s="42">
        <v>1861</v>
      </c>
      <c r="BB281" s="42">
        <v>0</v>
      </c>
      <c r="BC281" s="42">
        <v>1399</v>
      </c>
      <c r="BD281" s="42">
        <v>0</v>
      </c>
      <c r="BE281" s="42">
        <v>0</v>
      </c>
      <c r="BF281" s="42">
        <v>0</v>
      </c>
      <c r="BG281" s="42">
        <v>0</v>
      </c>
      <c r="BH281" s="42">
        <v>0</v>
      </c>
      <c r="BI281" s="42">
        <v>0</v>
      </c>
      <c r="BJ281" s="42">
        <v>0</v>
      </c>
      <c r="BK281" s="42">
        <v>0</v>
      </c>
      <c r="BL281" s="42">
        <v>500</v>
      </c>
      <c r="BM281" s="42">
        <v>500</v>
      </c>
      <c r="BN281" s="42">
        <v>0</v>
      </c>
      <c r="BO281" s="42">
        <v>500</v>
      </c>
      <c r="BP281" s="42">
        <v>500</v>
      </c>
      <c r="BQ281" s="42">
        <v>500</v>
      </c>
      <c r="BR281" s="42">
        <v>500</v>
      </c>
      <c r="BS281" s="42">
        <v>0</v>
      </c>
      <c r="BT281" s="42">
        <v>173</v>
      </c>
      <c r="BU281" s="42">
        <v>0</v>
      </c>
      <c r="BV281" s="42">
        <v>0</v>
      </c>
      <c r="BW281" s="42">
        <v>0</v>
      </c>
      <c r="BX281" s="42">
        <v>0</v>
      </c>
      <c r="BY281" s="42">
        <v>0</v>
      </c>
      <c r="BZ281" s="42">
        <v>0</v>
      </c>
      <c r="CA281" s="42">
        <v>0</v>
      </c>
      <c r="CB281" s="42">
        <v>0</v>
      </c>
      <c r="CC281" s="42">
        <v>0</v>
      </c>
      <c r="CD281" s="42">
        <v>0</v>
      </c>
      <c r="CE281" s="42">
        <v>0</v>
      </c>
      <c r="CF281" s="42">
        <v>0</v>
      </c>
      <c r="CG281" s="42">
        <v>0</v>
      </c>
      <c r="CH281" s="42">
        <v>0</v>
      </c>
      <c r="CI281" s="42">
        <v>0</v>
      </c>
      <c r="CJ281" s="42">
        <v>0</v>
      </c>
      <c r="CK281" s="43">
        <f t="shared" si="46"/>
        <v>14294</v>
      </c>
      <c r="CL281" s="66"/>
      <c r="CM281" s="66">
        <v>0</v>
      </c>
      <c r="CN281" s="66">
        <v>0</v>
      </c>
      <c r="CO281" s="66">
        <v>0</v>
      </c>
      <c r="CP281" s="66">
        <v>0</v>
      </c>
      <c r="CQ281" s="66">
        <v>0</v>
      </c>
      <c r="CR281" s="66">
        <v>0</v>
      </c>
      <c r="CS281" s="66">
        <v>0</v>
      </c>
      <c r="CT281" s="66">
        <v>0</v>
      </c>
      <c r="CU281" s="66">
        <v>0</v>
      </c>
      <c r="CV281" s="66">
        <v>0</v>
      </c>
      <c r="CW281" s="66">
        <v>0</v>
      </c>
      <c r="CX281" s="66">
        <v>0</v>
      </c>
      <c r="CY281" s="66">
        <v>0</v>
      </c>
      <c r="CZ281" s="66">
        <v>0</v>
      </c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>
        <f>SUM(Table1[[#This Row],[01-03 Apr]:[Mar-26]])</f>
        <v>0</v>
      </c>
    </row>
    <row r="282" spans="1:123" hidden="1" x14ac:dyDescent="0.2">
      <c r="A282" s="28" t="s">
        <v>2253</v>
      </c>
      <c r="B282" s="29" t="s">
        <v>146</v>
      </c>
      <c r="C282" s="29" t="s">
        <v>147</v>
      </c>
      <c r="D282" s="30" t="s">
        <v>148</v>
      </c>
      <c r="E282" s="30" t="s">
        <v>85</v>
      </c>
      <c r="F282" s="30"/>
      <c r="G282" s="31">
        <v>44777</v>
      </c>
      <c r="H282" s="30">
        <v>359350</v>
      </c>
      <c r="I282" s="30" t="str">
        <f>IF(Table1[[#This Row],[Centre Status]]="Returned","NA",IF(Table1[[#This Row],[SD]]&gt;19000,"Full Payment",IF(Table1[[#This Row],[SD]]&lt;1,"No Payment","Partial Payment")))</f>
        <v>Full Payment</v>
      </c>
      <c r="J282" s="30" t="s">
        <v>58</v>
      </c>
      <c r="K282" s="32">
        <v>110000</v>
      </c>
      <c r="L282" s="33">
        <f>Q282+R282+U282+Table1[[#This Row],[Farmer Payment]]</f>
        <v>110000</v>
      </c>
      <c r="M282" s="30"/>
      <c r="N282" s="34"/>
      <c r="O282" s="34"/>
      <c r="P282" s="35">
        <f t="shared" si="43"/>
        <v>0</v>
      </c>
      <c r="Q282" s="33">
        <f>AI282+AV282+CK282+Table1[[#This Row],[FY 25-26]]</f>
        <v>90000</v>
      </c>
      <c r="R282" s="36">
        <v>20000</v>
      </c>
      <c r="S282" s="37" t="s">
        <v>149</v>
      </c>
      <c r="T282" s="38">
        <v>44676</v>
      </c>
      <c r="U282" s="39"/>
      <c r="V282" s="39"/>
      <c r="W282" s="40">
        <v>978</v>
      </c>
      <c r="X282" s="40">
        <v>1861</v>
      </c>
      <c r="Y282" s="40">
        <v>1861</v>
      </c>
      <c r="Z282" s="40">
        <v>1861</v>
      </c>
      <c r="AA282" s="40">
        <v>2238.2997999999998</v>
      </c>
      <c r="AB282" s="40">
        <v>2101.2200000000003</v>
      </c>
      <c r="AC282" s="40">
        <v>2721.9515999999999</v>
      </c>
      <c r="AD282" s="40">
        <v>4785.5343999999986</v>
      </c>
      <c r="AE282" s="40">
        <v>3608.8316000000004</v>
      </c>
      <c r="AF282" s="40">
        <v>4704.0412000000006</v>
      </c>
      <c r="AG282" s="40">
        <v>2000</v>
      </c>
      <c r="AH282" s="40">
        <v>4341.0572000000002</v>
      </c>
      <c r="AI282" s="41">
        <f t="shared" si="44"/>
        <v>33061.935799999999</v>
      </c>
      <c r="AJ282" s="42">
        <v>3965.5645272344004</v>
      </c>
      <c r="AK282" s="42">
        <v>4941.3280000000004</v>
      </c>
      <c r="AL282" s="42">
        <v>4342.4357999999993</v>
      </c>
      <c r="AM282" s="42">
        <v>5383.7669999999998</v>
      </c>
      <c r="AN282" s="42">
        <v>3427.0945999999999</v>
      </c>
      <c r="AO282" s="42">
        <v>3195.0950000000003</v>
      </c>
      <c r="AP282" s="42">
        <v>4663.8409999999994</v>
      </c>
      <c r="AQ282" s="42">
        <v>3449.9838</v>
      </c>
      <c r="AR282" s="42">
        <v>3572.0698000000007</v>
      </c>
      <c r="AS282" s="42">
        <v>4603.2869999999994</v>
      </c>
      <c r="AT282" s="42">
        <v>4513.2485999999999</v>
      </c>
      <c r="AU282" s="42">
        <v>4509.1537999999991</v>
      </c>
      <c r="AV282" s="42">
        <f t="shared" si="45"/>
        <v>50566.868927234391</v>
      </c>
      <c r="AW282" s="42">
        <v>3910.0412462428667</v>
      </c>
      <c r="AX282" s="42">
        <v>2461.154026522745</v>
      </c>
      <c r="AY282" s="42">
        <v>0</v>
      </c>
      <c r="AZ282" s="42">
        <v>0</v>
      </c>
      <c r="BA282" s="42">
        <v>-166</v>
      </c>
      <c r="BB282" s="42">
        <v>0</v>
      </c>
      <c r="BC282" s="42">
        <v>166</v>
      </c>
      <c r="BD282" s="42">
        <v>0</v>
      </c>
      <c r="BE282" s="42">
        <v>0</v>
      </c>
      <c r="BF282" s="42">
        <v>0</v>
      </c>
      <c r="BG282" s="42">
        <v>0</v>
      </c>
      <c r="BH282" s="42">
        <v>0</v>
      </c>
      <c r="BI282" s="42">
        <v>0</v>
      </c>
      <c r="BJ282" s="42">
        <v>0</v>
      </c>
      <c r="BK282" s="42">
        <v>0</v>
      </c>
      <c r="BL282" s="42">
        <v>0</v>
      </c>
      <c r="BM282" s="42">
        <v>0</v>
      </c>
      <c r="BN282" s="42">
        <v>0</v>
      </c>
      <c r="BO282" s="42">
        <v>0</v>
      </c>
      <c r="BP282" s="42">
        <v>0</v>
      </c>
      <c r="BQ282" s="42">
        <v>0</v>
      </c>
      <c r="BR282" s="42">
        <v>0</v>
      </c>
      <c r="BS282" s="42">
        <v>0</v>
      </c>
      <c r="BT282" s="42">
        <v>0</v>
      </c>
      <c r="BU282" s="42">
        <v>0</v>
      </c>
      <c r="BV282" s="42">
        <v>0</v>
      </c>
      <c r="BW282" s="42">
        <v>0</v>
      </c>
      <c r="BX282" s="42">
        <v>0</v>
      </c>
      <c r="BY282" s="42">
        <v>0</v>
      </c>
      <c r="BZ282" s="42">
        <v>0</v>
      </c>
      <c r="CA282" s="42">
        <v>0</v>
      </c>
      <c r="CB282" s="42">
        <v>0</v>
      </c>
      <c r="CC282" s="42">
        <v>0</v>
      </c>
      <c r="CD282" s="42">
        <v>0</v>
      </c>
      <c r="CE282" s="42">
        <v>0</v>
      </c>
      <c r="CF282" s="42">
        <v>0</v>
      </c>
      <c r="CG282" s="42">
        <v>0</v>
      </c>
      <c r="CH282" s="42">
        <v>0</v>
      </c>
      <c r="CI282" s="42">
        <v>0</v>
      </c>
      <c r="CJ282" s="42">
        <v>0</v>
      </c>
      <c r="CK282" s="43">
        <f t="shared" si="46"/>
        <v>6371.1952727656117</v>
      </c>
      <c r="CL282" s="66"/>
      <c r="CM282" s="66">
        <v>0</v>
      </c>
      <c r="CN282" s="66">
        <v>0</v>
      </c>
      <c r="CO282" s="66">
        <v>0</v>
      </c>
      <c r="CP282" s="66">
        <v>0</v>
      </c>
      <c r="CQ282" s="66">
        <v>0</v>
      </c>
      <c r="CR282" s="66">
        <v>0</v>
      </c>
      <c r="CS282" s="66">
        <v>0</v>
      </c>
      <c r="CT282" s="66">
        <v>0</v>
      </c>
      <c r="CU282" s="66">
        <v>0</v>
      </c>
      <c r="CV282" s="66">
        <v>0</v>
      </c>
      <c r="CW282" s="66">
        <v>0</v>
      </c>
      <c r="CX282" s="66">
        <v>0</v>
      </c>
      <c r="CY282" s="66">
        <v>0</v>
      </c>
      <c r="CZ282" s="66">
        <v>0</v>
      </c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>
        <f>SUM(Table1[[#This Row],[01-03 Apr]:[Mar-26]])</f>
        <v>0</v>
      </c>
    </row>
    <row r="283" spans="1:123" hidden="1" x14ac:dyDescent="0.2">
      <c r="A283" s="28" t="s">
        <v>2254</v>
      </c>
      <c r="B283" s="29" t="s">
        <v>150</v>
      </c>
      <c r="C283" s="29" t="s">
        <v>151</v>
      </c>
      <c r="D283" s="30" t="s">
        <v>152</v>
      </c>
      <c r="E283" s="30" t="s">
        <v>85</v>
      </c>
      <c r="F283" s="30"/>
      <c r="G283" s="31">
        <v>44777</v>
      </c>
      <c r="H283" s="30">
        <v>386050</v>
      </c>
      <c r="I283" s="30" t="str">
        <f>IF(Table1[[#This Row],[Centre Status]]="Returned","NA",IF(Table1[[#This Row],[SD]]&gt;19000,"Full Payment",IF(Table1[[#This Row],[SD]]&lt;1,"No Payment","Partial Payment")))</f>
        <v>Full Payment</v>
      </c>
      <c r="J283" s="30" t="s">
        <v>58</v>
      </c>
      <c r="K283" s="32">
        <v>110000</v>
      </c>
      <c r="L283" s="33">
        <f>Q283+R283+U283+Table1[[#This Row],[Farmer Payment]]</f>
        <v>110000</v>
      </c>
      <c r="M283" s="30"/>
      <c r="N283" s="34"/>
      <c r="O283" s="34"/>
      <c r="P283" s="35">
        <f t="shared" si="43"/>
        <v>0</v>
      </c>
      <c r="Q283" s="33">
        <f>AI283+AV283+CK283+Table1[[#This Row],[FY 25-26]]</f>
        <v>90000</v>
      </c>
      <c r="R283" s="36">
        <v>20000</v>
      </c>
      <c r="S283" s="37" t="s">
        <v>153</v>
      </c>
      <c r="T283" s="38">
        <v>44660</v>
      </c>
      <c r="U283" s="39"/>
      <c r="V283" s="39"/>
      <c r="W283" s="40">
        <v>1861</v>
      </c>
      <c r="X283" s="40">
        <v>3486.3748000000001</v>
      </c>
      <c r="Y283" s="40">
        <v>3020.8166000000006</v>
      </c>
      <c r="Z283" s="40">
        <v>4632.1833999999999</v>
      </c>
      <c r="AA283" s="40">
        <v>5954.4390000000003</v>
      </c>
      <c r="AB283" s="40">
        <v>3223.4088000000002</v>
      </c>
      <c r="AC283" s="40">
        <v>3319.2698</v>
      </c>
      <c r="AD283" s="40">
        <v>3865.5567999999998</v>
      </c>
      <c r="AE283" s="40">
        <v>3823.4686000000002</v>
      </c>
      <c r="AF283" s="40">
        <v>2000</v>
      </c>
      <c r="AG283" s="40">
        <v>4626.5205999999998</v>
      </c>
      <c r="AH283" s="40">
        <v>2000</v>
      </c>
      <c r="AI283" s="41">
        <f t="shared" si="44"/>
        <v>41813.038400000005</v>
      </c>
      <c r="AJ283" s="42">
        <v>2000</v>
      </c>
      <c r="AK283" s="42">
        <v>2000</v>
      </c>
      <c r="AL283" s="42">
        <v>2000</v>
      </c>
      <c r="AM283" s="42">
        <v>2000</v>
      </c>
      <c r="AN283" s="42">
        <v>2000</v>
      </c>
      <c r="AO283" s="42">
        <v>2000</v>
      </c>
      <c r="AP283" s="42">
        <v>2000</v>
      </c>
      <c r="AQ283" s="42">
        <v>2000</v>
      </c>
      <c r="AR283" s="42">
        <v>2000</v>
      </c>
      <c r="AS283" s="42">
        <v>2000</v>
      </c>
      <c r="AT283" s="42">
        <v>2000</v>
      </c>
      <c r="AU283" s="42">
        <v>2000</v>
      </c>
      <c r="AV283" s="42">
        <f t="shared" si="45"/>
        <v>24000</v>
      </c>
      <c r="AW283" s="42">
        <v>2000</v>
      </c>
      <c r="AX283" s="42">
        <v>2000</v>
      </c>
      <c r="AY283" s="42">
        <v>2000</v>
      </c>
      <c r="AZ283" s="42">
        <v>2000</v>
      </c>
      <c r="BA283" s="42">
        <v>1895.9591297995426</v>
      </c>
      <c r="BB283" s="42">
        <v>0</v>
      </c>
      <c r="BC283" s="42">
        <v>2790.1244258677903</v>
      </c>
      <c r="BD283" s="42">
        <v>0</v>
      </c>
      <c r="BE283" s="42">
        <v>0</v>
      </c>
      <c r="BF283" s="42">
        <v>0</v>
      </c>
      <c r="BG283" s="42">
        <v>0</v>
      </c>
      <c r="BH283" s="42">
        <v>0</v>
      </c>
      <c r="BI283" s="42">
        <v>2889.437743239132</v>
      </c>
      <c r="BJ283" s="42">
        <v>0</v>
      </c>
      <c r="BK283" s="42">
        <v>0</v>
      </c>
      <c r="BL283" s="42">
        <v>0</v>
      </c>
      <c r="BM283" s="42">
        <v>0</v>
      </c>
      <c r="BN283" s="42">
        <v>3339.9285293847347</v>
      </c>
      <c r="BO283" s="42">
        <v>0</v>
      </c>
      <c r="BP283" s="42">
        <v>0</v>
      </c>
      <c r="BQ283" s="42">
        <v>0</v>
      </c>
      <c r="BR283" s="42">
        <v>0</v>
      </c>
      <c r="BS283" s="42">
        <v>5204.6349733462957</v>
      </c>
      <c r="BT283" s="42">
        <v>0</v>
      </c>
      <c r="BU283" s="42">
        <v>0</v>
      </c>
      <c r="BV283" s="42">
        <v>0</v>
      </c>
      <c r="BW283" s="42">
        <v>0</v>
      </c>
      <c r="BX283" s="42">
        <v>0</v>
      </c>
      <c r="BY283" s="42">
        <v>66.876798362500267</v>
      </c>
      <c r="BZ283" s="42">
        <v>0</v>
      </c>
      <c r="CA283" s="42">
        <v>0</v>
      </c>
      <c r="CB283" s="42">
        <v>0</v>
      </c>
      <c r="CC283" s="42">
        <v>0</v>
      </c>
      <c r="CD283" s="42">
        <v>0</v>
      </c>
      <c r="CE283" s="42">
        <v>0</v>
      </c>
      <c r="CF283" s="42">
        <v>0</v>
      </c>
      <c r="CG283" s="42">
        <v>0</v>
      </c>
      <c r="CH283" s="42">
        <v>0</v>
      </c>
      <c r="CI283" s="42">
        <v>0</v>
      </c>
      <c r="CJ283" s="42">
        <v>0</v>
      </c>
      <c r="CK283" s="43">
        <f t="shared" si="46"/>
        <v>24186.961599999995</v>
      </c>
      <c r="CL283" s="66"/>
      <c r="CM283" s="66">
        <v>0</v>
      </c>
      <c r="CN283" s="66">
        <v>0</v>
      </c>
      <c r="CO283" s="66">
        <v>0</v>
      </c>
      <c r="CP283" s="66">
        <v>0</v>
      </c>
      <c r="CQ283" s="66">
        <v>0</v>
      </c>
      <c r="CR283" s="66">
        <v>0</v>
      </c>
      <c r="CS283" s="66">
        <v>0</v>
      </c>
      <c r="CT283" s="66">
        <v>0</v>
      </c>
      <c r="CU283" s="66">
        <v>0</v>
      </c>
      <c r="CV283" s="66">
        <v>0</v>
      </c>
      <c r="CW283" s="66">
        <v>0</v>
      </c>
      <c r="CX283" s="66">
        <v>0</v>
      </c>
      <c r="CY283" s="66">
        <v>0</v>
      </c>
      <c r="CZ283" s="66">
        <v>0</v>
      </c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>
        <f>SUM(Table1[[#This Row],[01-03 Apr]:[Mar-26]])</f>
        <v>0</v>
      </c>
    </row>
    <row r="284" spans="1:123" hidden="1" x14ac:dyDescent="0.2">
      <c r="A284" s="28" t="s">
        <v>2255</v>
      </c>
      <c r="B284" s="29" t="s">
        <v>154</v>
      </c>
      <c r="C284" s="29" t="s">
        <v>155</v>
      </c>
      <c r="D284" s="30" t="s">
        <v>156</v>
      </c>
      <c r="E284" s="30" t="s">
        <v>85</v>
      </c>
      <c r="F284" s="30"/>
      <c r="G284" s="31">
        <v>44777</v>
      </c>
      <c r="H284" s="30">
        <v>386958</v>
      </c>
      <c r="I284" s="30" t="str">
        <f>IF(Table1[[#This Row],[Centre Status]]="Returned","NA",IF(Table1[[#This Row],[SD]]&gt;19000,"Full Payment",IF(Table1[[#This Row],[SD]]&lt;1,"No Payment","Partial Payment")))</f>
        <v>Full Payment</v>
      </c>
      <c r="J284" s="30" t="s">
        <v>58</v>
      </c>
      <c r="K284" s="32">
        <v>110000</v>
      </c>
      <c r="L284" s="33">
        <f>Q284+R284+U284+Table1[[#This Row],[Farmer Payment]]</f>
        <v>94373.847354379977</v>
      </c>
      <c r="M284" s="30"/>
      <c r="N284" s="34"/>
      <c r="O284" s="34"/>
      <c r="P284" s="35">
        <f t="shared" si="43"/>
        <v>15626.152645620023</v>
      </c>
      <c r="Q284" s="33">
        <f>AI284+AV284+CK284+Table1[[#This Row],[FY 25-26]]</f>
        <v>74373.847354379977</v>
      </c>
      <c r="R284" s="36">
        <v>20000</v>
      </c>
      <c r="S284" s="37" t="s">
        <v>157</v>
      </c>
      <c r="T284" s="38">
        <v>44672</v>
      </c>
      <c r="U284" s="39"/>
      <c r="V284" s="39"/>
      <c r="W284" s="40">
        <v>0</v>
      </c>
      <c r="X284" s="40">
        <v>1861</v>
      </c>
      <c r="Y284" s="40">
        <v>1861</v>
      </c>
      <c r="Z284" s="40">
        <v>1270</v>
      </c>
      <c r="AA284" s="40">
        <v>1808</v>
      </c>
      <c r="AB284" s="40">
        <v>1861</v>
      </c>
      <c r="AC284" s="40">
        <v>1861</v>
      </c>
      <c r="AD284" s="40">
        <v>2466.7031999999999</v>
      </c>
      <c r="AE284" s="40">
        <v>3219.2775999999994</v>
      </c>
      <c r="AF284" s="40">
        <v>2000</v>
      </c>
      <c r="AG284" s="40">
        <v>2000</v>
      </c>
      <c r="AH284" s="40">
        <v>2000</v>
      </c>
      <c r="AI284" s="41">
        <f t="shared" si="44"/>
        <v>22207.980799999998</v>
      </c>
      <c r="AJ284" s="42">
        <v>2000</v>
      </c>
      <c r="AK284" s="42">
        <v>2000</v>
      </c>
      <c r="AL284" s="42">
        <v>2000</v>
      </c>
      <c r="AM284" s="42">
        <v>2000</v>
      </c>
      <c r="AN284" s="42">
        <v>2000</v>
      </c>
      <c r="AO284" s="42">
        <v>2000</v>
      </c>
      <c r="AP284" s="42">
        <v>2000</v>
      </c>
      <c r="AQ284" s="42">
        <v>2000</v>
      </c>
      <c r="AR284" s="42">
        <v>2000</v>
      </c>
      <c r="AS284" s="42">
        <v>2000</v>
      </c>
      <c r="AT284" s="42">
        <v>2000</v>
      </c>
      <c r="AU284" s="42">
        <v>2000</v>
      </c>
      <c r="AV284" s="42">
        <f t="shared" si="45"/>
        <v>24000</v>
      </c>
      <c r="AW284" s="42">
        <v>2000</v>
      </c>
      <c r="AX284" s="42">
        <v>2000</v>
      </c>
      <c r="AY284" s="42">
        <v>4019.1659908583201</v>
      </c>
      <c r="AZ284" s="42">
        <v>5538.3284563165416</v>
      </c>
      <c r="BA284" s="42">
        <v>2777.4181927946502</v>
      </c>
      <c r="BB284" s="42">
        <v>0</v>
      </c>
      <c r="BC284" s="42">
        <v>612.95391441046922</v>
      </c>
      <c r="BD284" s="42">
        <v>0</v>
      </c>
      <c r="BE284" s="42">
        <v>0</v>
      </c>
      <c r="BF284" s="42">
        <v>0</v>
      </c>
      <c r="BG284" s="42">
        <v>0</v>
      </c>
      <c r="BH284" s="42">
        <v>0</v>
      </c>
      <c r="BI284" s="42">
        <v>1471</v>
      </c>
      <c r="BJ284" s="42">
        <v>0</v>
      </c>
      <c r="BK284" s="42">
        <v>0</v>
      </c>
      <c r="BL284" s="42">
        <v>500</v>
      </c>
      <c r="BM284" s="42">
        <v>500</v>
      </c>
      <c r="BN284" s="42">
        <v>0</v>
      </c>
      <c r="BO284" s="42">
        <v>500</v>
      </c>
      <c r="BP284" s="42">
        <v>500</v>
      </c>
      <c r="BQ284" s="42">
        <v>500</v>
      </c>
      <c r="BR284" s="42">
        <v>500</v>
      </c>
      <c r="BS284" s="42">
        <v>0</v>
      </c>
      <c r="BT284" s="42">
        <v>500</v>
      </c>
      <c r="BU284" s="42">
        <v>500</v>
      </c>
      <c r="BV284" s="42">
        <v>0</v>
      </c>
      <c r="BW284" s="42">
        <v>0</v>
      </c>
      <c r="BX284" s="42">
        <v>0</v>
      </c>
      <c r="BY284" s="42">
        <v>0</v>
      </c>
      <c r="BZ284" s="42">
        <v>0</v>
      </c>
      <c r="CA284" s="42">
        <v>0</v>
      </c>
      <c r="CB284" s="42">
        <v>0</v>
      </c>
      <c r="CC284" s="42">
        <v>0</v>
      </c>
      <c r="CD284" s="42">
        <v>1861</v>
      </c>
      <c r="CE284" s="42">
        <v>0</v>
      </c>
      <c r="CF284" s="42">
        <v>0</v>
      </c>
      <c r="CG284" s="42">
        <v>0</v>
      </c>
      <c r="CH284" s="42">
        <v>0</v>
      </c>
      <c r="CI284" s="42">
        <v>0</v>
      </c>
      <c r="CJ284" s="42">
        <v>1861</v>
      </c>
      <c r="CK284" s="43">
        <f t="shared" si="46"/>
        <v>26140.86655437998</v>
      </c>
      <c r="CL284" s="66"/>
      <c r="CM284" s="66">
        <v>0</v>
      </c>
      <c r="CN284" s="66">
        <v>0</v>
      </c>
      <c r="CO284" s="66">
        <v>0</v>
      </c>
      <c r="CP284" s="66">
        <v>1861</v>
      </c>
      <c r="CQ284" s="66">
        <v>0</v>
      </c>
      <c r="CR284" s="66">
        <v>0</v>
      </c>
      <c r="CS284" s="66">
        <v>0</v>
      </c>
      <c r="CT284" s="66">
        <v>0</v>
      </c>
      <c r="CU284" s="66">
        <v>0</v>
      </c>
      <c r="CV284" s="66">
        <v>164</v>
      </c>
      <c r="CW284" s="66">
        <v>0</v>
      </c>
      <c r="CX284" s="66">
        <v>0</v>
      </c>
      <c r="CY284" s="66">
        <v>0</v>
      </c>
      <c r="CZ284" s="66">
        <v>0</v>
      </c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>
        <f>SUM(Table1[[#This Row],[01-03 Apr]:[Mar-26]])</f>
        <v>2025</v>
      </c>
    </row>
    <row r="285" spans="1:123" x14ac:dyDescent="0.2">
      <c r="A285" s="28" t="s">
        <v>2254</v>
      </c>
      <c r="B285" s="29" t="s">
        <v>158</v>
      </c>
      <c r="C285" s="29" t="s">
        <v>159</v>
      </c>
      <c r="D285" s="30" t="s">
        <v>160</v>
      </c>
      <c r="E285" s="30" t="s">
        <v>85</v>
      </c>
      <c r="F285" s="30"/>
      <c r="G285" s="31">
        <v>44777</v>
      </c>
      <c r="H285" s="30">
        <v>372647</v>
      </c>
      <c r="I285" s="30" t="str">
        <f>IF(Table1[[#This Row],[Centre Status]]="Returned","NA",IF(Table1[[#This Row],[SD]]&gt;19000,"Full Payment",IF(Table1[[#This Row],[SD]]&lt;1,"No Payment","Partial Payment")))</f>
        <v>Partial Payment</v>
      </c>
      <c r="J285" s="30" t="s">
        <v>58</v>
      </c>
      <c r="K285" s="32">
        <v>110000</v>
      </c>
      <c r="L285" s="33">
        <f>Q285+R285+U285+Table1[[#This Row],[Farmer Payment]]</f>
        <v>55615.820606054403</v>
      </c>
      <c r="M285" s="30"/>
      <c r="N285" s="34"/>
      <c r="O285" s="34"/>
      <c r="P285" s="35">
        <f t="shared" si="43"/>
        <v>54384.179393945597</v>
      </c>
      <c r="Q285" s="33">
        <f>AI285+AV285+CK285+Table1[[#This Row],[FY 25-26]]</f>
        <v>45615.820606054403</v>
      </c>
      <c r="R285" s="36">
        <v>10000</v>
      </c>
      <c r="S285" s="37" t="s">
        <v>161</v>
      </c>
      <c r="T285" s="38">
        <v>44672</v>
      </c>
      <c r="U285" s="39"/>
      <c r="V285" s="39"/>
      <c r="W285" s="40">
        <v>0</v>
      </c>
      <c r="X285" s="40">
        <v>1706</v>
      </c>
      <c r="Y285" s="40">
        <v>1861</v>
      </c>
      <c r="Z285" s="40">
        <v>0</v>
      </c>
      <c r="AA285" s="40">
        <v>1059</v>
      </c>
      <c r="AB285" s="40">
        <v>44</v>
      </c>
      <c r="AC285" s="40">
        <v>412</v>
      </c>
      <c r="AD285" s="40">
        <v>986</v>
      </c>
      <c r="AE285" s="40">
        <v>1861</v>
      </c>
      <c r="AF285" s="40">
        <v>2000</v>
      </c>
      <c r="AG285" s="40">
        <v>1861</v>
      </c>
      <c r="AH285" s="40">
        <v>1861</v>
      </c>
      <c r="AI285" s="41">
        <f t="shared" si="44"/>
        <v>13651</v>
      </c>
      <c r="AJ285" s="42">
        <v>1861</v>
      </c>
      <c r="AK285" s="42">
        <v>1861</v>
      </c>
      <c r="AL285" s="42">
        <v>1861</v>
      </c>
      <c r="AM285" s="42">
        <v>1861</v>
      </c>
      <c r="AN285" s="42">
        <v>1590</v>
      </c>
      <c r="AO285" s="42">
        <v>431</v>
      </c>
      <c r="AP285" s="42">
        <v>0</v>
      </c>
      <c r="AQ285" s="42">
        <v>0</v>
      </c>
      <c r="AR285" s="42">
        <v>304</v>
      </c>
      <c r="AS285" s="42">
        <v>284</v>
      </c>
      <c r="AT285" s="42">
        <v>0</v>
      </c>
      <c r="AU285" s="42">
        <v>2000</v>
      </c>
      <c r="AV285" s="42">
        <f t="shared" si="45"/>
        <v>12053</v>
      </c>
      <c r="AW285" s="42">
        <v>1861</v>
      </c>
      <c r="AX285" s="42">
        <v>1677</v>
      </c>
      <c r="AY285" s="42">
        <v>1032</v>
      </c>
      <c r="AZ285" s="42">
        <v>474</v>
      </c>
      <c r="BA285" s="42">
        <v>2</v>
      </c>
      <c r="BB285" s="42">
        <v>500</v>
      </c>
      <c r="BC285" s="42">
        <v>861</v>
      </c>
      <c r="BD285" s="42">
        <v>500</v>
      </c>
      <c r="BE285" s="42">
        <v>500</v>
      </c>
      <c r="BF285" s="42">
        <v>500</v>
      </c>
      <c r="BG285" s="42">
        <v>500</v>
      </c>
      <c r="BH285" s="42">
        <v>500</v>
      </c>
      <c r="BI285" s="42">
        <v>0</v>
      </c>
      <c r="BJ285" s="42">
        <v>500</v>
      </c>
      <c r="BK285" s="42">
        <v>500</v>
      </c>
      <c r="BL285" s="42">
        <v>500</v>
      </c>
      <c r="BM285" s="42">
        <v>500</v>
      </c>
      <c r="BN285" s="42">
        <v>0</v>
      </c>
      <c r="BO285" s="42">
        <v>0</v>
      </c>
      <c r="BP285" s="42">
        <v>0</v>
      </c>
      <c r="BQ285" s="42">
        <v>0</v>
      </c>
      <c r="BR285" s="42">
        <v>0</v>
      </c>
      <c r="BS285" s="42">
        <v>2122.8206060544003</v>
      </c>
      <c r="BT285" s="42">
        <v>0</v>
      </c>
      <c r="BU285" s="42">
        <v>0</v>
      </c>
      <c r="BV285" s="42">
        <v>0</v>
      </c>
      <c r="BW285" s="42">
        <v>0</v>
      </c>
      <c r="BX285" s="42">
        <v>0</v>
      </c>
      <c r="BY285" s="42">
        <v>1861</v>
      </c>
      <c r="BZ285" s="42">
        <v>0</v>
      </c>
      <c r="CA285" s="42">
        <v>0</v>
      </c>
      <c r="CB285" s="42">
        <v>0</v>
      </c>
      <c r="CC285" s="42">
        <v>0</v>
      </c>
      <c r="CD285" s="42">
        <v>1861</v>
      </c>
      <c r="CE285" s="42">
        <v>0</v>
      </c>
      <c r="CF285" s="42">
        <v>0</v>
      </c>
      <c r="CG285" s="42">
        <v>0</v>
      </c>
      <c r="CH285" s="42">
        <v>0</v>
      </c>
      <c r="CI285" s="42">
        <v>0</v>
      </c>
      <c r="CJ285" s="42">
        <v>1514</v>
      </c>
      <c r="CK285" s="43">
        <f t="shared" si="46"/>
        <v>18265.8206060544</v>
      </c>
      <c r="CL285" s="66"/>
      <c r="CM285" s="66">
        <v>0</v>
      </c>
      <c r="CN285" s="66">
        <v>0</v>
      </c>
      <c r="CO285" s="66">
        <v>0</v>
      </c>
      <c r="CP285" s="66">
        <v>1181</v>
      </c>
      <c r="CQ285" s="66">
        <v>0</v>
      </c>
      <c r="CR285" s="66">
        <v>0</v>
      </c>
      <c r="CS285" s="66">
        <v>0</v>
      </c>
      <c r="CT285" s="66">
        <v>0</v>
      </c>
      <c r="CU285" s="66">
        <v>0</v>
      </c>
      <c r="CV285" s="66">
        <v>465</v>
      </c>
      <c r="CW285" s="66">
        <v>0</v>
      </c>
      <c r="CX285" s="66">
        <v>0</v>
      </c>
      <c r="CY285" s="66">
        <v>0</v>
      </c>
      <c r="CZ285" s="66">
        <v>0</v>
      </c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>
        <f>SUM(Table1[[#This Row],[01-03 Apr]:[Mar-26]])</f>
        <v>1646</v>
      </c>
    </row>
    <row r="286" spans="1:123" x14ac:dyDescent="0.2">
      <c r="A286" s="28" t="s">
        <v>2255</v>
      </c>
      <c r="B286" s="29" t="s">
        <v>162</v>
      </c>
      <c r="C286" s="29" t="s">
        <v>163</v>
      </c>
      <c r="D286" s="30" t="s">
        <v>164</v>
      </c>
      <c r="E286" s="30" t="s">
        <v>177</v>
      </c>
      <c r="F286" s="30"/>
      <c r="G286" s="31"/>
      <c r="H286" s="30">
        <v>328967</v>
      </c>
      <c r="I286" s="30" t="str">
        <f>IF(Table1[[#This Row],[Centre Status]]="Returned","NA",IF(Table1[[#This Row],[SD]]&gt;19000,"Full Payment",IF(Table1[[#This Row],[SD]]&lt;1,"No Payment","Partial Payment")))</f>
        <v>Partial Payment</v>
      </c>
      <c r="J286" s="30" t="s">
        <v>58</v>
      </c>
      <c r="K286" s="32">
        <v>110000</v>
      </c>
      <c r="L286" s="33">
        <f>Q286+R286+U286+Table1[[#This Row],[Farmer Payment]]</f>
        <v>90066.015340942977</v>
      </c>
      <c r="M286" s="30"/>
      <c r="N286" s="34"/>
      <c r="O286" s="34"/>
      <c r="P286" s="35">
        <f t="shared" si="43"/>
        <v>19933.984659057023</v>
      </c>
      <c r="Q286" s="33">
        <f>AI286+AV286+CK286+Table1[[#This Row],[FY 25-26]]</f>
        <v>80066.015340942977</v>
      </c>
      <c r="R286" s="36">
        <v>10000</v>
      </c>
      <c r="S286" s="37" t="s">
        <v>165</v>
      </c>
      <c r="T286" s="38">
        <v>45132</v>
      </c>
      <c r="U286" s="39"/>
      <c r="V286" s="39"/>
      <c r="W286" s="40">
        <v>0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1">
        <f t="shared" si="44"/>
        <v>0</v>
      </c>
      <c r="AJ286" s="42">
        <v>0</v>
      </c>
      <c r="AK286" s="42">
        <v>0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8217.021200000001</v>
      </c>
      <c r="AT286" s="42">
        <v>4872.3786000000009</v>
      </c>
      <c r="AU286" s="42">
        <v>5340.6240000000016</v>
      </c>
      <c r="AV286" s="42">
        <f t="shared" si="45"/>
        <v>18430.023800000003</v>
      </c>
      <c r="AW286" s="42">
        <v>5452.1086938624003</v>
      </c>
      <c r="AX286" s="42">
        <v>4328.6153164032003</v>
      </c>
      <c r="AY286" s="42">
        <v>4430.0311188633605</v>
      </c>
      <c r="AZ286" s="42">
        <v>6091.9981729536003</v>
      </c>
      <c r="BA286" s="42">
        <v>3936.6783793598688</v>
      </c>
      <c r="BB286" s="42">
        <v>0</v>
      </c>
      <c r="BC286" s="42">
        <v>4863.9624580515856</v>
      </c>
      <c r="BD286" s="42">
        <v>0</v>
      </c>
      <c r="BE286" s="42">
        <v>0</v>
      </c>
      <c r="BF286" s="42">
        <v>0</v>
      </c>
      <c r="BG286" s="42">
        <v>0</v>
      </c>
      <c r="BH286" s="42">
        <v>0</v>
      </c>
      <c r="BI286" s="42">
        <v>3346.8550281984003</v>
      </c>
      <c r="BJ286" s="42">
        <v>0</v>
      </c>
      <c r="BK286" s="42">
        <v>0</v>
      </c>
      <c r="BL286" s="42">
        <v>0</v>
      </c>
      <c r="BM286" s="42">
        <v>0</v>
      </c>
      <c r="BN286" s="42">
        <v>3576.2594633471999</v>
      </c>
      <c r="BO286" s="42">
        <v>0</v>
      </c>
      <c r="BP286" s="42">
        <v>0</v>
      </c>
      <c r="BQ286" s="42">
        <v>0</v>
      </c>
      <c r="BR286" s="42">
        <v>0</v>
      </c>
      <c r="BS286" s="42">
        <v>5019.3584884224001</v>
      </c>
      <c r="BT286" s="42">
        <v>0</v>
      </c>
      <c r="BU286" s="42">
        <v>0</v>
      </c>
      <c r="BV286" s="42">
        <v>0</v>
      </c>
      <c r="BW286" s="42">
        <v>0</v>
      </c>
      <c r="BX286" s="42">
        <v>0</v>
      </c>
      <c r="BY286" s="42">
        <v>4879.2483862272002</v>
      </c>
      <c r="BZ286" s="42">
        <v>0</v>
      </c>
      <c r="CA286" s="42">
        <v>0</v>
      </c>
      <c r="CB286" s="42">
        <v>0</v>
      </c>
      <c r="CC286" s="42">
        <v>0</v>
      </c>
      <c r="CD286" s="42">
        <v>4524.8264248703999</v>
      </c>
      <c r="CE286" s="42">
        <v>0</v>
      </c>
      <c r="CF286" s="42">
        <v>0</v>
      </c>
      <c r="CG286" s="42">
        <v>0</v>
      </c>
      <c r="CH286" s="42">
        <v>0</v>
      </c>
      <c r="CI286" s="42">
        <v>0</v>
      </c>
      <c r="CJ286" s="42">
        <v>4345.0076418969602</v>
      </c>
      <c r="CK286" s="43">
        <f t="shared" si="46"/>
        <v>54794.949572456571</v>
      </c>
      <c r="CL286" s="66"/>
      <c r="CM286" s="66">
        <v>0</v>
      </c>
      <c r="CN286" s="66">
        <v>0</v>
      </c>
      <c r="CO286" s="66">
        <v>0</v>
      </c>
      <c r="CP286" s="66">
        <v>3803.2533695231996</v>
      </c>
      <c r="CQ286" s="66">
        <v>0</v>
      </c>
      <c r="CR286" s="66">
        <v>0</v>
      </c>
      <c r="CS286" s="66">
        <v>0</v>
      </c>
      <c r="CT286" s="66">
        <v>0</v>
      </c>
      <c r="CU286" s="66">
        <v>0</v>
      </c>
      <c r="CV286" s="66">
        <v>3037.7885989631991</v>
      </c>
      <c r="CW286" s="66">
        <v>0</v>
      </c>
      <c r="CX286" s="66">
        <v>0</v>
      </c>
      <c r="CY286" s="66">
        <v>0</v>
      </c>
      <c r="CZ286" s="66">
        <v>0</v>
      </c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>
        <f>SUM(Table1[[#This Row],[01-03 Apr]:[Mar-26]])</f>
        <v>6841.0419684863991</v>
      </c>
    </row>
    <row r="287" spans="1:123" hidden="1" x14ac:dyDescent="0.2">
      <c r="A287" s="28" t="s">
        <v>2254</v>
      </c>
      <c r="B287" s="29" t="s">
        <v>166</v>
      </c>
      <c r="C287" s="29" t="s">
        <v>167</v>
      </c>
      <c r="D287" s="30" t="s">
        <v>168</v>
      </c>
      <c r="E287" s="30" t="s">
        <v>85</v>
      </c>
      <c r="F287" s="30"/>
      <c r="G287" s="31">
        <v>44777</v>
      </c>
      <c r="H287" s="30">
        <v>371682</v>
      </c>
      <c r="I287" s="30" t="str">
        <f>IF(Table1[[#This Row],[Centre Status]]="Returned","NA",IF(Table1[[#This Row],[SD]]&gt;19000,"Full Payment",IF(Table1[[#This Row],[SD]]&lt;1,"No Payment","Partial Payment")))</f>
        <v>Full Payment</v>
      </c>
      <c r="J287" s="30" t="s">
        <v>58</v>
      </c>
      <c r="K287" s="32">
        <v>110000</v>
      </c>
      <c r="L287" s="33">
        <f>Q287+R287+U287+Table1[[#This Row],[Farmer Payment]]</f>
        <v>110000</v>
      </c>
      <c r="M287" s="30"/>
      <c r="N287" s="34"/>
      <c r="O287" s="34"/>
      <c r="P287" s="35">
        <f t="shared" si="43"/>
        <v>0</v>
      </c>
      <c r="Q287" s="33">
        <f>AI287+AV287+CK287+Table1[[#This Row],[FY 25-26]]</f>
        <v>90000</v>
      </c>
      <c r="R287" s="36">
        <v>20000</v>
      </c>
      <c r="S287" s="37" t="s">
        <v>169</v>
      </c>
      <c r="T287" s="38">
        <v>44672</v>
      </c>
      <c r="U287" s="39"/>
      <c r="V287" s="39"/>
      <c r="W287" s="40">
        <v>0</v>
      </c>
      <c r="X287" s="40">
        <v>1861</v>
      </c>
      <c r="Y287" s="40">
        <v>1861</v>
      </c>
      <c r="Z287" s="40">
        <v>3944.1923999999999</v>
      </c>
      <c r="AA287" s="40">
        <v>5003.5398000000005</v>
      </c>
      <c r="AB287" s="40">
        <v>4259.7604000000001</v>
      </c>
      <c r="AC287" s="40">
        <v>3733.5458000000003</v>
      </c>
      <c r="AD287" s="40">
        <v>4676.7593999999999</v>
      </c>
      <c r="AE287" s="40">
        <v>6090.4809999999998</v>
      </c>
      <c r="AF287" s="40">
        <v>2000</v>
      </c>
      <c r="AG287" s="40">
        <v>2000</v>
      </c>
      <c r="AH287" s="40">
        <v>2000</v>
      </c>
      <c r="AI287" s="41">
        <f t="shared" si="44"/>
        <v>37430.2788</v>
      </c>
      <c r="AJ287" s="42">
        <v>2000</v>
      </c>
      <c r="AK287" s="42">
        <v>2000</v>
      </c>
      <c r="AL287" s="42">
        <v>2000</v>
      </c>
      <c r="AM287" s="42">
        <v>2000</v>
      </c>
      <c r="AN287" s="42">
        <v>2000</v>
      </c>
      <c r="AO287" s="42">
        <v>2000</v>
      </c>
      <c r="AP287" s="42">
        <v>2000</v>
      </c>
      <c r="AQ287" s="42">
        <v>2000</v>
      </c>
      <c r="AR287" s="42">
        <v>2000</v>
      </c>
      <c r="AS287" s="42">
        <v>2000</v>
      </c>
      <c r="AT287" s="42">
        <v>2000</v>
      </c>
      <c r="AU287" s="42">
        <v>2000</v>
      </c>
      <c r="AV287" s="42">
        <f t="shared" si="45"/>
        <v>24000</v>
      </c>
      <c r="AW287" s="42">
        <v>2000</v>
      </c>
      <c r="AX287" s="42">
        <v>2000</v>
      </c>
      <c r="AY287" s="42">
        <v>2000</v>
      </c>
      <c r="AZ287" s="42">
        <v>2000</v>
      </c>
      <c r="BA287" s="42">
        <v>2000</v>
      </c>
      <c r="BB287" s="42">
        <v>0</v>
      </c>
      <c r="BC287" s="42">
        <v>18569.7212</v>
      </c>
      <c r="BD287" s="42">
        <v>0</v>
      </c>
      <c r="BE287" s="42">
        <v>0</v>
      </c>
      <c r="BF287" s="42">
        <v>0</v>
      </c>
      <c r="BG287" s="42">
        <v>0</v>
      </c>
      <c r="BH287" s="42">
        <v>0</v>
      </c>
      <c r="BI287" s="42">
        <v>0</v>
      </c>
      <c r="BJ287" s="42">
        <v>0</v>
      </c>
      <c r="BK287" s="42">
        <v>0</v>
      </c>
      <c r="BL287" s="42">
        <v>0</v>
      </c>
      <c r="BM287" s="42">
        <v>0</v>
      </c>
      <c r="BN287" s="42">
        <v>0</v>
      </c>
      <c r="BO287" s="42">
        <v>0</v>
      </c>
      <c r="BP287" s="42">
        <v>0</v>
      </c>
      <c r="BQ287" s="42">
        <v>0</v>
      </c>
      <c r="BR287" s="42">
        <v>0</v>
      </c>
      <c r="BS287" s="42">
        <v>0</v>
      </c>
      <c r="BT287" s="42">
        <v>0</v>
      </c>
      <c r="BU287" s="42">
        <v>0</v>
      </c>
      <c r="BV287" s="42">
        <v>0</v>
      </c>
      <c r="BW287" s="42">
        <v>0</v>
      </c>
      <c r="BX287" s="42">
        <v>0</v>
      </c>
      <c r="BY287" s="42">
        <v>0</v>
      </c>
      <c r="BZ287" s="42">
        <v>0</v>
      </c>
      <c r="CA287" s="42">
        <v>0</v>
      </c>
      <c r="CB287" s="42">
        <v>0</v>
      </c>
      <c r="CC287" s="42">
        <v>0</v>
      </c>
      <c r="CD287" s="42">
        <v>0</v>
      </c>
      <c r="CE287" s="42">
        <v>0</v>
      </c>
      <c r="CF287" s="42">
        <v>0</v>
      </c>
      <c r="CG287" s="42">
        <v>0</v>
      </c>
      <c r="CH287" s="42">
        <v>0</v>
      </c>
      <c r="CI287" s="42">
        <v>0</v>
      </c>
      <c r="CJ287" s="42">
        <v>0</v>
      </c>
      <c r="CK287" s="43">
        <f t="shared" si="46"/>
        <v>28569.7212</v>
      </c>
      <c r="CL287" s="66"/>
      <c r="CM287" s="66">
        <v>0</v>
      </c>
      <c r="CN287" s="66">
        <v>0</v>
      </c>
      <c r="CO287" s="66">
        <v>0</v>
      </c>
      <c r="CP287" s="66">
        <v>0</v>
      </c>
      <c r="CQ287" s="66">
        <v>0</v>
      </c>
      <c r="CR287" s="66">
        <v>0</v>
      </c>
      <c r="CS287" s="66">
        <v>0</v>
      </c>
      <c r="CT287" s="66">
        <v>0</v>
      </c>
      <c r="CU287" s="66">
        <v>0</v>
      </c>
      <c r="CV287" s="66">
        <v>0</v>
      </c>
      <c r="CW287" s="66">
        <v>0</v>
      </c>
      <c r="CX287" s="66">
        <v>0</v>
      </c>
      <c r="CY287" s="66">
        <v>0</v>
      </c>
      <c r="CZ287" s="66">
        <v>0</v>
      </c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>
        <f>SUM(Table1[[#This Row],[01-03 Apr]:[Mar-26]])</f>
        <v>0</v>
      </c>
    </row>
    <row r="288" spans="1:123" hidden="1" x14ac:dyDescent="0.2">
      <c r="A288" s="28" t="s">
        <v>2255</v>
      </c>
      <c r="B288" s="29" t="s">
        <v>170</v>
      </c>
      <c r="C288" s="29" t="s">
        <v>171</v>
      </c>
      <c r="D288" s="30" t="s">
        <v>172</v>
      </c>
      <c r="E288" s="30" t="s">
        <v>85</v>
      </c>
      <c r="F288" s="30"/>
      <c r="G288" s="31">
        <v>44777</v>
      </c>
      <c r="H288" s="30">
        <v>387362</v>
      </c>
      <c r="I288" s="30" t="str">
        <f>IF(Table1[[#This Row],[Centre Status]]="Returned","NA",IF(Table1[[#This Row],[SD]]&gt;19000,"Full Payment",IF(Table1[[#This Row],[SD]]&lt;1,"No Payment","Partial Payment")))</f>
        <v>Full Payment</v>
      </c>
      <c r="J288" s="30" t="s">
        <v>58</v>
      </c>
      <c r="K288" s="32">
        <v>110000</v>
      </c>
      <c r="L288" s="33">
        <f>Q288+R288+U288+Table1[[#This Row],[Farmer Payment]]</f>
        <v>110000</v>
      </c>
      <c r="M288" s="30"/>
      <c r="N288" s="34"/>
      <c r="O288" s="34"/>
      <c r="P288" s="35">
        <f t="shared" si="43"/>
        <v>0</v>
      </c>
      <c r="Q288" s="33">
        <f>AI288+AV288+CK288+Table1[[#This Row],[FY 25-26]]</f>
        <v>90000</v>
      </c>
      <c r="R288" s="36">
        <v>20000</v>
      </c>
      <c r="S288" s="37" t="s">
        <v>173</v>
      </c>
      <c r="T288" s="38">
        <v>44734</v>
      </c>
      <c r="U288" s="39"/>
      <c r="V288" s="39"/>
      <c r="W288" s="40">
        <v>0</v>
      </c>
      <c r="X288" s="40">
        <v>0</v>
      </c>
      <c r="Y288" s="40">
        <v>0</v>
      </c>
      <c r="Z288" s="40">
        <v>0</v>
      </c>
      <c r="AA288" s="40">
        <v>3217.5036</v>
      </c>
      <c r="AB288" s="40">
        <v>3353.2547999999997</v>
      </c>
      <c r="AC288" s="40">
        <v>4078.2562000000003</v>
      </c>
      <c r="AD288" s="40">
        <v>5007.0141999999996</v>
      </c>
      <c r="AE288" s="40">
        <v>5551.5346</v>
      </c>
      <c r="AF288" s="40">
        <v>2000</v>
      </c>
      <c r="AG288" s="40">
        <v>2000</v>
      </c>
      <c r="AH288" s="40">
        <v>2000</v>
      </c>
      <c r="AI288" s="41">
        <f t="shared" si="44"/>
        <v>27207.563399999999</v>
      </c>
      <c r="AJ288" s="42">
        <v>2000</v>
      </c>
      <c r="AK288" s="42">
        <v>2000</v>
      </c>
      <c r="AL288" s="42">
        <v>2000</v>
      </c>
      <c r="AM288" s="42">
        <v>2000</v>
      </c>
      <c r="AN288" s="42">
        <v>2000</v>
      </c>
      <c r="AO288" s="42">
        <v>2000</v>
      </c>
      <c r="AP288" s="42">
        <v>2000</v>
      </c>
      <c r="AQ288" s="42">
        <v>2000</v>
      </c>
      <c r="AR288" s="42">
        <v>2000</v>
      </c>
      <c r="AS288" s="42">
        <v>2000</v>
      </c>
      <c r="AT288" s="42">
        <v>2000</v>
      </c>
      <c r="AU288" s="42">
        <v>2000</v>
      </c>
      <c r="AV288" s="42">
        <f t="shared" si="45"/>
        <v>24000</v>
      </c>
      <c r="AW288" s="42">
        <v>2000</v>
      </c>
      <c r="AX288" s="42">
        <v>2000</v>
      </c>
      <c r="AY288" s="42">
        <v>3203.8831696995057</v>
      </c>
      <c r="AZ288" s="42">
        <v>4035.6972422887266</v>
      </c>
      <c r="BA288" s="42">
        <v>3245.8209029432801</v>
      </c>
      <c r="BB288" s="42">
        <v>0</v>
      </c>
      <c r="BC288" s="42">
        <v>4043.8573712138541</v>
      </c>
      <c r="BD288" s="42">
        <v>0</v>
      </c>
      <c r="BE288" s="42">
        <v>0</v>
      </c>
      <c r="BF288" s="42">
        <v>0</v>
      </c>
      <c r="BG288" s="42">
        <v>0</v>
      </c>
      <c r="BH288" s="42">
        <v>0</v>
      </c>
      <c r="BI288" s="42">
        <v>3359.5332987680545</v>
      </c>
      <c r="BJ288" s="42">
        <v>0</v>
      </c>
      <c r="BK288" s="42">
        <v>0</v>
      </c>
      <c r="BL288" s="42">
        <v>0</v>
      </c>
      <c r="BM288" s="42">
        <v>0</v>
      </c>
      <c r="BN288" s="42">
        <v>3502.1441144008922</v>
      </c>
      <c r="BO288" s="42">
        <v>0</v>
      </c>
      <c r="BP288" s="42">
        <v>0</v>
      </c>
      <c r="BQ288" s="42">
        <v>0</v>
      </c>
      <c r="BR288" s="42">
        <v>0</v>
      </c>
      <c r="BS288" s="42">
        <v>5611.7743872583878</v>
      </c>
      <c r="BT288" s="42">
        <v>0</v>
      </c>
      <c r="BU288" s="42">
        <v>0</v>
      </c>
      <c r="BV288" s="42">
        <v>0</v>
      </c>
      <c r="BW288" s="42">
        <v>0</v>
      </c>
      <c r="BX288" s="42">
        <v>0</v>
      </c>
      <c r="BY288" s="42">
        <v>5271.5354932165546</v>
      </c>
      <c r="BZ288" s="42">
        <v>0</v>
      </c>
      <c r="CA288" s="42">
        <v>0</v>
      </c>
      <c r="CB288" s="42">
        <v>0</v>
      </c>
      <c r="CC288" s="42">
        <v>0</v>
      </c>
      <c r="CD288" s="42">
        <v>2518.1906202107493</v>
      </c>
      <c r="CE288" s="42">
        <v>0</v>
      </c>
      <c r="CF288" s="42">
        <v>0</v>
      </c>
      <c r="CG288" s="42">
        <v>0</v>
      </c>
      <c r="CH288" s="42">
        <v>0</v>
      </c>
      <c r="CI288" s="42">
        <v>0</v>
      </c>
      <c r="CJ288" s="42">
        <v>0</v>
      </c>
      <c r="CK288" s="43">
        <f t="shared" si="46"/>
        <v>38792.436600000008</v>
      </c>
      <c r="CL288" s="66"/>
      <c r="CM288" s="66">
        <v>0</v>
      </c>
      <c r="CN288" s="66">
        <v>0</v>
      </c>
      <c r="CO288" s="66">
        <v>0</v>
      </c>
      <c r="CP288" s="66">
        <v>0</v>
      </c>
      <c r="CQ288" s="66">
        <v>0</v>
      </c>
      <c r="CR288" s="66">
        <v>0</v>
      </c>
      <c r="CS288" s="66">
        <v>0</v>
      </c>
      <c r="CT288" s="66">
        <v>0</v>
      </c>
      <c r="CU288" s="66">
        <v>0</v>
      </c>
      <c r="CV288" s="66">
        <v>0</v>
      </c>
      <c r="CW288" s="66">
        <v>0</v>
      </c>
      <c r="CX288" s="66">
        <v>0</v>
      </c>
      <c r="CY288" s="66">
        <v>0</v>
      </c>
      <c r="CZ288" s="66">
        <v>0</v>
      </c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>
        <f>SUM(Table1[[#This Row],[01-03 Apr]:[Mar-26]])</f>
        <v>0</v>
      </c>
      <c r="DS288" t="s">
        <v>2351</v>
      </c>
    </row>
    <row r="289" spans="1:115" x14ac:dyDescent="0.2">
      <c r="A289" s="28" t="s">
        <v>2255</v>
      </c>
      <c r="B289" s="29" t="s">
        <v>174</v>
      </c>
      <c r="C289" s="29" t="s">
        <v>175</v>
      </c>
      <c r="D289" s="30" t="s">
        <v>176</v>
      </c>
      <c r="E289" s="30" t="s">
        <v>177</v>
      </c>
      <c r="F289" s="30"/>
      <c r="G289" s="31">
        <v>44777</v>
      </c>
      <c r="H289" s="30">
        <v>386961</v>
      </c>
      <c r="I289" s="30" t="str">
        <f>IF(Table1[[#This Row],[Centre Status]]="Returned","NA",IF(Table1[[#This Row],[SD]]&gt;19000,"Full Payment",IF(Table1[[#This Row],[SD]]&lt;1,"No Payment","Partial Payment")))</f>
        <v>No Payment</v>
      </c>
      <c r="J289" s="30" t="s">
        <v>58</v>
      </c>
      <c r="K289" s="32">
        <v>110000</v>
      </c>
      <c r="L289" s="33">
        <f>Q289+R289+U289+Table1[[#This Row],[Farmer Payment]]</f>
        <v>68979.548639349756</v>
      </c>
      <c r="M289" s="30"/>
      <c r="N289" s="34"/>
      <c r="O289" s="34"/>
      <c r="P289" s="35">
        <f t="shared" si="43"/>
        <v>41020.451360650244</v>
      </c>
      <c r="Q289" s="33">
        <f>AI289+AV289+CK289+Table1[[#This Row],[FY 25-26]]</f>
        <v>43979.548639349763</v>
      </c>
      <c r="R289" s="36"/>
      <c r="S289" s="37"/>
      <c r="T289" s="38"/>
      <c r="U289" s="39">
        <v>25000</v>
      </c>
      <c r="V289" s="39"/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0</v>
      </c>
      <c r="AC289" s="40">
        <v>0</v>
      </c>
      <c r="AD289" s="40">
        <v>0</v>
      </c>
      <c r="AE289" s="40">
        <v>0</v>
      </c>
      <c r="AF289" s="40">
        <v>0</v>
      </c>
      <c r="AG289" s="40">
        <v>1201</v>
      </c>
      <c r="AH289" s="40">
        <v>1032</v>
      </c>
      <c r="AI289" s="41">
        <f t="shared" si="44"/>
        <v>2233</v>
      </c>
      <c r="AJ289" s="42">
        <v>809</v>
      </c>
      <c r="AK289" s="42">
        <v>1861</v>
      </c>
      <c r="AL289" s="42">
        <v>1861</v>
      </c>
      <c r="AM289" s="42">
        <v>1861</v>
      </c>
      <c r="AN289" s="42">
        <v>1605</v>
      </c>
      <c r="AO289" s="42">
        <v>1292</v>
      </c>
      <c r="AP289" s="42">
        <v>1074</v>
      </c>
      <c r="AQ289" s="42">
        <v>1278</v>
      </c>
      <c r="AR289" s="42">
        <v>1937.4566000000004</v>
      </c>
      <c r="AS289" s="42">
        <v>2000</v>
      </c>
      <c r="AT289" s="42">
        <v>2000</v>
      </c>
      <c r="AU289" s="42">
        <v>1943.4041999999999</v>
      </c>
      <c r="AV289" s="42">
        <f t="shared" si="45"/>
        <v>19521.860800000002</v>
      </c>
      <c r="AW289" s="42">
        <v>1943.68783934976</v>
      </c>
      <c r="AX289" s="42">
        <v>1861</v>
      </c>
      <c r="AY289" s="42">
        <v>1861</v>
      </c>
      <c r="AZ289" s="42">
        <v>1861</v>
      </c>
      <c r="BA289" s="42">
        <v>1822</v>
      </c>
      <c r="BB289" s="42">
        <v>500</v>
      </c>
      <c r="BC289" s="42">
        <v>861</v>
      </c>
      <c r="BD289" s="42">
        <v>500</v>
      </c>
      <c r="BE289" s="42">
        <v>0</v>
      </c>
      <c r="BF289" s="42">
        <v>0</v>
      </c>
      <c r="BG289" s="42">
        <v>0</v>
      </c>
      <c r="BH289" s="42">
        <v>0</v>
      </c>
      <c r="BI289" s="42">
        <v>1173</v>
      </c>
      <c r="BJ289" s="42">
        <v>0</v>
      </c>
      <c r="BK289" s="42">
        <v>0</v>
      </c>
      <c r="BL289" s="42">
        <v>500</v>
      </c>
      <c r="BM289" s="42">
        <v>500</v>
      </c>
      <c r="BN289" s="42">
        <v>861</v>
      </c>
      <c r="BO289" s="42">
        <v>500</v>
      </c>
      <c r="BP289" s="42">
        <v>500</v>
      </c>
      <c r="BQ289" s="42">
        <v>500</v>
      </c>
      <c r="BR289" s="42">
        <v>500</v>
      </c>
      <c r="BS289" s="42">
        <v>0</v>
      </c>
      <c r="BT289" s="42">
        <v>500</v>
      </c>
      <c r="BU289" s="42">
        <v>500</v>
      </c>
      <c r="BV289" s="42">
        <v>0</v>
      </c>
      <c r="BW289" s="42">
        <v>0</v>
      </c>
      <c r="BX289" s="42">
        <v>0</v>
      </c>
      <c r="BY289" s="42">
        <v>1361</v>
      </c>
      <c r="BZ289" s="42">
        <v>0</v>
      </c>
      <c r="CA289" s="42">
        <v>0</v>
      </c>
      <c r="CB289" s="42">
        <v>0</v>
      </c>
      <c r="CC289" s="42">
        <v>0</v>
      </c>
      <c r="CD289" s="42">
        <v>1861</v>
      </c>
      <c r="CE289" s="42">
        <v>0</v>
      </c>
      <c r="CF289" s="42">
        <v>0</v>
      </c>
      <c r="CG289" s="42">
        <v>0</v>
      </c>
      <c r="CH289" s="42">
        <v>0</v>
      </c>
      <c r="CI289" s="42">
        <v>0</v>
      </c>
      <c r="CJ289" s="42">
        <v>638</v>
      </c>
      <c r="CK289" s="43">
        <f t="shared" si="46"/>
        <v>21103.687839349761</v>
      </c>
      <c r="CL289" s="66"/>
      <c r="CM289" s="66">
        <v>0</v>
      </c>
      <c r="CN289" s="66">
        <v>0</v>
      </c>
      <c r="CO289" s="66">
        <v>0</v>
      </c>
      <c r="CP289" s="66">
        <v>604</v>
      </c>
      <c r="CQ289" s="66">
        <v>0</v>
      </c>
      <c r="CR289" s="66">
        <v>0</v>
      </c>
      <c r="CS289" s="66">
        <v>0</v>
      </c>
      <c r="CT289" s="66">
        <v>0</v>
      </c>
      <c r="CU289" s="66">
        <v>0</v>
      </c>
      <c r="CV289" s="66">
        <v>517</v>
      </c>
      <c r="CW289" s="66">
        <v>0</v>
      </c>
      <c r="CX289" s="66">
        <v>0</v>
      </c>
      <c r="CY289" s="66">
        <v>0</v>
      </c>
      <c r="CZ289" s="66">
        <v>0</v>
      </c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>
        <f>SUM(Table1[[#This Row],[01-03 Apr]:[Mar-26]])</f>
        <v>1121</v>
      </c>
    </row>
    <row r="290" spans="1:115" hidden="1" x14ac:dyDescent="0.2">
      <c r="A290" s="28" t="s">
        <v>2254</v>
      </c>
      <c r="B290" s="29" t="s">
        <v>178</v>
      </c>
      <c r="C290" s="29" t="s">
        <v>179</v>
      </c>
      <c r="D290" s="30" t="s">
        <v>180</v>
      </c>
      <c r="E290" s="30" t="s">
        <v>85</v>
      </c>
      <c r="F290" s="30"/>
      <c r="G290" s="31">
        <v>44777</v>
      </c>
      <c r="H290" s="30">
        <v>371401</v>
      </c>
      <c r="I290" s="30" t="str">
        <f>IF(Table1[[#This Row],[Centre Status]]="Returned","NA",IF(Table1[[#This Row],[SD]]&gt;19000,"Full Payment",IF(Table1[[#This Row],[SD]]&lt;1,"No Payment","Partial Payment")))</f>
        <v>Full Payment</v>
      </c>
      <c r="J290" s="30" t="s">
        <v>58</v>
      </c>
      <c r="K290" s="32">
        <v>110000</v>
      </c>
      <c r="L290" s="33">
        <f>Q290+R290+U290+Table1[[#This Row],[Farmer Payment]]</f>
        <v>110000</v>
      </c>
      <c r="M290" s="30"/>
      <c r="N290" s="34"/>
      <c r="O290" s="34"/>
      <c r="P290" s="35">
        <f t="shared" si="43"/>
        <v>0</v>
      </c>
      <c r="Q290" s="33">
        <f>AI290+AV290+CK290+Table1[[#This Row],[FY 25-26]]</f>
        <v>90000</v>
      </c>
      <c r="R290" s="36">
        <v>20000</v>
      </c>
      <c r="S290" s="37" t="s">
        <v>181</v>
      </c>
      <c r="T290" s="38">
        <v>44697</v>
      </c>
      <c r="U290" s="39"/>
      <c r="V290" s="39"/>
      <c r="W290" s="40">
        <v>0</v>
      </c>
      <c r="X290" s="40">
        <v>0</v>
      </c>
      <c r="Y290" s="40">
        <v>1861</v>
      </c>
      <c r="Z290" s="40">
        <v>2108.9624000000003</v>
      </c>
      <c r="AA290" s="40">
        <v>3285.1959999999999</v>
      </c>
      <c r="AB290" s="40">
        <v>3626.7982000000002</v>
      </c>
      <c r="AC290" s="40">
        <v>5067.0277999999989</v>
      </c>
      <c r="AD290" s="40">
        <v>7805.3117999999995</v>
      </c>
      <c r="AE290" s="40">
        <v>7962.8756000000003</v>
      </c>
      <c r="AF290" s="40">
        <v>2000</v>
      </c>
      <c r="AG290" s="40">
        <v>2000</v>
      </c>
      <c r="AH290" s="40">
        <v>2000</v>
      </c>
      <c r="AI290" s="41">
        <f t="shared" si="44"/>
        <v>37717.171799999996</v>
      </c>
      <c r="AJ290" s="42">
        <v>2000</v>
      </c>
      <c r="AK290" s="42">
        <v>2000</v>
      </c>
      <c r="AL290" s="42">
        <v>2000</v>
      </c>
      <c r="AM290" s="42">
        <v>2000</v>
      </c>
      <c r="AN290" s="42">
        <v>2000</v>
      </c>
      <c r="AO290" s="42">
        <v>2000</v>
      </c>
      <c r="AP290" s="42">
        <v>2000</v>
      </c>
      <c r="AQ290" s="42">
        <v>2000</v>
      </c>
      <c r="AR290" s="42">
        <v>2000</v>
      </c>
      <c r="AS290" s="42">
        <v>2000</v>
      </c>
      <c r="AT290" s="42">
        <v>2000</v>
      </c>
      <c r="AU290" s="42">
        <v>2000</v>
      </c>
      <c r="AV290" s="42">
        <f t="shared" si="45"/>
        <v>24000</v>
      </c>
      <c r="AW290" s="42">
        <v>2000</v>
      </c>
      <c r="AX290" s="42">
        <v>2000</v>
      </c>
      <c r="AY290" s="42">
        <v>2000</v>
      </c>
      <c r="AZ290" s="42">
        <v>2000</v>
      </c>
      <c r="BA290" s="42">
        <v>2000</v>
      </c>
      <c r="BB290" s="42">
        <v>0</v>
      </c>
      <c r="BC290" s="42">
        <v>4828.9528013184008</v>
      </c>
      <c r="BD290" s="42">
        <v>0</v>
      </c>
      <c r="BE290" s="42">
        <v>0</v>
      </c>
      <c r="BF290" s="42">
        <v>0</v>
      </c>
      <c r="BG290" s="42">
        <v>0</v>
      </c>
      <c r="BH290" s="42">
        <v>0</v>
      </c>
      <c r="BI290" s="42">
        <v>4558.9972431360002</v>
      </c>
      <c r="BJ290" s="42">
        <v>0</v>
      </c>
      <c r="BK290" s="42">
        <v>0</v>
      </c>
      <c r="BL290" s="42">
        <v>0</v>
      </c>
      <c r="BM290" s="42">
        <v>0</v>
      </c>
      <c r="BN290" s="42">
        <v>4430.9017629696009</v>
      </c>
      <c r="BO290" s="42">
        <v>0</v>
      </c>
      <c r="BP290" s="42">
        <v>0</v>
      </c>
      <c r="BQ290" s="42">
        <v>0</v>
      </c>
      <c r="BR290" s="42">
        <v>0</v>
      </c>
      <c r="BS290" s="42">
        <v>4463.9763925760053</v>
      </c>
      <c r="BT290" s="42">
        <v>0</v>
      </c>
      <c r="BU290" s="42">
        <v>0</v>
      </c>
      <c r="BV290" s="42">
        <v>0</v>
      </c>
      <c r="BW290" s="42">
        <v>0</v>
      </c>
      <c r="BX290" s="42">
        <v>0</v>
      </c>
      <c r="BY290" s="42">
        <v>0</v>
      </c>
      <c r="BZ290" s="42">
        <v>0</v>
      </c>
      <c r="CA290" s="42">
        <v>0</v>
      </c>
      <c r="CB290" s="42">
        <v>0</v>
      </c>
      <c r="CC290" s="42">
        <v>0</v>
      </c>
      <c r="CD290" s="42">
        <v>0</v>
      </c>
      <c r="CE290" s="42">
        <v>0</v>
      </c>
      <c r="CF290" s="42">
        <v>0</v>
      </c>
      <c r="CG290" s="42">
        <v>0</v>
      </c>
      <c r="CH290" s="42">
        <v>0</v>
      </c>
      <c r="CI290" s="42">
        <v>0</v>
      </c>
      <c r="CJ290" s="42">
        <v>0</v>
      </c>
      <c r="CK290" s="43">
        <f t="shared" si="46"/>
        <v>28282.828200000011</v>
      </c>
      <c r="CL290" s="66"/>
      <c r="CM290" s="66">
        <v>0</v>
      </c>
      <c r="CN290" s="66">
        <v>0</v>
      </c>
      <c r="CO290" s="66">
        <v>0</v>
      </c>
      <c r="CP290" s="66">
        <v>0</v>
      </c>
      <c r="CQ290" s="66">
        <v>0</v>
      </c>
      <c r="CR290" s="66">
        <v>0</v>
      </c>
      <c r="CS290" s="66">
        <v>0</v>
      </c>
      <c r="CT290" s="66">
        <v>0</v>
      </c>
      <c r="CU290" s="66">
        <v>0</v>
      </c>
      <c r="CV290" s="66">
        <v>0</v>
      </c>
      <c r="CW290" s="66">
        <v>0</v>
      </c>
      <c r="CX290" s="66">
        <v>0</v>
      </c>
      <c r="CY290" s="66">
        <v>0</v>
      </c>
      <c r="CZ290" s="66">
        <v>0</v>
      </c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>
        <f>SUM(Table1[[#This Row],[01-03 Apr]:[Mar-26]])</f>
        <v>0</v>
      </c>
    </row>
    <row r="291" spans="1:115" hidden="1" x14ac:dyDescent="0.2">
      <c r="A291" s="28" t="s">
        <v>2254</v>
      </c>
      <c r="B291" s="29" t="s">
        <v>186</v>
      </c>
      <c r="C291" s="29" t="s">
        <v>187</v>
      </c>
      <c r="D291" s="30" t="s">
        <v>188</v>
      </c>
      <c r="E291" s="30" t="s">
        <v>85</v>
      </c>
      <c r="F291" s="30"/>
      <c r="G291" s="31">
        <v>44777</v>
      </c>
      <c r="H291" s="30">
        <v>379305</v>
      </c>
      <c r="I291" s="30" t="str">
        <f>IF(Table1[[#This Row],[Centre Status]]="Returned","NA",IF(Table1[[#This Row],[SD]]&gt;19000,"Full Payment",IF(Table1[[#This Row],[SD]]&lt;1,"No Payment","Partial Payment")))</f>
        <v>Full Payment</v>
      </c>
      <c r="J291" s="30" t="s">
        <v>58</v>
      </c>
      <c r="K291" s="32">
        <v>110000</v>
      </c>
      <c r="L291" s="33">
        <f>Q291+R291+U291+Table1[[#This Row],[Farmer Payment]]</f>
        <v>86517.690210582557</v>
      </c>
      <c r="M291" s="30"/>
      <c r="N291" s="34"/>
      <c r="O291" s="34"/>
      <c r="P291" s="35">
        <f t="shared" si="43"/>
        <v>23482.309789417443</v>
      </c>
      <c r="Q291" s="33">
        <f>AI291+AV291+CK291+Table1[[#This Row],[FY 25-26]]</f>
        <v>66517.690210582557</v>
      </c>
      <c r="R291" s="36">
        <v>20000</v>
      </c>
      <c r="S291" s="37" t="s">
        <v>189</v>
      </c>
      <c r="T291" s="38">
        <v>44699</v>
      </c>
      <c r="U291" s="39"/>
      <c r="V291" s="39"/>
      <c r="W291" s="40">
        <v>0</v>
      </c>
      <c r="X291" s="40">
        <v>0</v>
      </c>
      <c r="Y291" s="40">
        <v>0</v>
      </c>
      <c r="Z291" s="40">
        <v>678</v>
      </c>
      <c r="AA291" s="40">
        <v>2529.1594000000005</v>
      </c>
      <c r="AB291" s="40">
        <v>2818.5621999999998</v>
      </c>
      <c r="AC291" s="40">
        <v>3467.4264000000003</v>
      </c>
      <c r="AD291" s="40">
        <v>3794.7574</v>
      </c>
      <c r="AE291" s="40">
        <v>3006.9733999999999</v>
      </c>
      <c r="AF291" s="40">
        <v>2000</v>
      </c>
      <c r="AG291" s="40">
        <v>2000</v>
      </c>
      <c r="AH291" s="40">
        <v>2000</v>
      </c>
      <c r="AI291" s="41">
        <f t="shared" si="44"/>
        <v>22294.878800000002</v>
      </c>
      <c r="AJ291" s="42">
        <v>1861</v>
      </c>
      <c r="AK291" s="42">
        <v>1920.0454000000002</v>
      </c>
      <c r="AL291" s="42">
        <v>1534</v>
      </c>
      <c r="AM291" s="42">
        <v>2000</v>
      </c>
      <c r="AN291" s="42">
        <v>2000</v>
      </c>
      <c r="AO291" s="42">
        <v>2000</v>
      </c>
      <c r="AP291" s="42">
        <v>2000</v>
      </c>
      <c r="AQ291" s="42">
        <v>2000</v>
      </c>
      <c r="AR291" s="42">
        <v>2000</v>
      </c>
      <c r="AS291" s="42">
        <v>2000</v>
      </c>
      <c r="AT291" s="42">
        <v>2000</v>
      </c>
      <c r="AU291" s="42">
        <v>2000</v>
      </c>
      <c r="AV291" s="42">
        <f t="shared" si="45"/>
        <v>23315.045399999999</v>
      </c>
      <c r="AW291" s="42">
        <v>1908.7660105825601</v>
      </c>
      <c r="AX291" s="42">
        <v>1861</v>
      </c>
      <c r="AY291" s="42">
        <v>1861</v>
      </c>
      <c r="AZ291" s="42">
        <v>1861</v>
      </c>
      <c r="BA291" s="42">
        <v>1861</v>
      </c>
      <c r="BB291" s="42">
        <v>0</v>
      </c>
      <c r="BC291" s="42">
        <v>1861</v>
      </c>
      <c r="BD291" s="42">
        <v>0</v>
      </c>
      <c r="BE291" s="42">
        <v>0</v>
      </c>
      <c r="BF291" s="42">
        <v>0</v>
      </c>
      <c r="BG291" s="42">
        <v>0</v>
      </c>
      <c r="BH291" s="42">
        <v>0</v>
      </c>
      <c r="BI291" s="42">
        <v>1861</v>
      </c>
      <c r="BJ291" s="42">
        <v>0</v>
      </c>
      <c r="BK291" s="42">
        <v>0</v>
      </c>
      <c r="BL291" s="42">
        <v>0</v>
      </c>
      <c r="BM291" s="42">
        <v>0</v>
      </c>
      <c r="BN291" s="42">
        <v>1861</v>
      </c>
      <c r="BO291" s="42">
        <v>0</v>
      </c>
      <c r="BP291" s="42">
        <v>0</v>
      </c>
      <c r="BQ291" s="42">
        <v>0</v>
      </c>
      <c r="BR291" s="42">
        <v>0</v>
      </c>
      <c r="BS291" s="42">
        <v>1861</v>
      </c>
      <c r="BT291" s="42">
        <v>0</v>
      </c>
      <c r="BU291" s="42">
        <v>0</v>
      </c>
      <c r="BV291" s="42">
        <v>0</v>
      </c>
      <c r="BW291" s="42">
        <v>0</v>
      </c>
      <c r="BX291" s="42">
        <v>0</v>
      </c>
      <c r="BY291" s="42">
        <v>0</v>
      </c>
      <c r="BZ291" s="42">
        <v>0</v>
      </c>
      <c r="CA291" s="42">
        <v>500</v>
      </c>
      <c r="CB291" s="42">
        <v>0</v>
      </c>
      <c r="CC291" s="42">
        <v>0</v>
      </c>
      <c r="CD291" s="42">
        <v>278</v>
      </c>
      <c r="CE291" s="42">
        <v>0</v>
      </c>
      <c r="CF291" s="42">
        <v>0</v>
      </c>
      <c r="CG291" s="42">
        <v>0</v>
      </c>
      <c r="CH291" s="42">
        <v>0</v>
      </c>
      <c r="CI291" s="42">
        <v>0</v>
      </c>
      <c r="CJ291" s="42">
        <v>1861</v>
      </c>
      <c r="CK291" s="43">
        <f t="shared" si="46"/>
        <v>19435.76601058256</v>
      </c>
      <c r="CL291" s="66"/>
      <c r="CM291" s="66">
        <v>0</v>
      </c>
      <c r="CN291" s="66">
        <v>0</v>
      </c>
      <c r="CO291" s="66">
        <v>0</v>
      </c>
      <c r="CP291" s="66">
        <v>735</v>
      </c>
      <c r="CQ291" s="66">
        <v>0</v>
      </c>
      <c r="CR291" s="66">
        <v>0</v>
      </c>
      <c r="CS291" s="66">
        <v>0</v>
      </c>
      <c r="CT291" s="66">
        <v>0</v>
      </c>
      <c r="CU291" s="66">
        <v>0</v>
      </c>
      <c r="CV291" s="66">
        <v>737</v>
      </c>
      <c r="CW291" s="66">
        <v>0</v>
      </c>
      <c r="CX291" s="66">
        <v>0</v>
      </c>
      <c r="CY291" s="66">
        <v>0</v>
      </c>
      <c r="CZ291" s="66">
        <v>0</v>
      </c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>
        <f>SUM(Table1[[#This Row],[01-03 Apr]:[Mar-26]])</f>
        <v>1472</v>
      </c>
    </row>
    <row r="292" spans="1:115" hidden="1" x14ac:dyDescent="0.2">
      <c r="A292" s="28" t="s">
        <v>2254</v>
      </c>
      <c r="B292" s="29" t="s">
        <v>190</v>
      </c>
      <c r="C292" s="29" t="s">
        <v>191</v>
      </c>
      <c r="D292" s="30" t="s">
        <v>192</v>
      </c>
      <c r="E292" s="30" t="s">
        <v>85</v>
      </c>
      <c r="F292" s="30"/>
      <c r="G292" s="31">
        <v>44777</v>
      </c>
      <c r="H292" s="30">
        <v>371213</v>
      </c>
      <c r="I292" s="30" t="str">
        <f>IF(Table1[[#This Row],[Centre Status]]="Returned","NA",IF(Table1[[#This Row],[SD]]&gt;19000,"Full Payment",IF(Table1[[#This Row],[SD]]&lt;1,"No Payment","Partial Payment")))</f>
        <v>Full Payment</v>
      </c>
      <c r="J292" s="30" t="s">
        <v>58</v>
      </c>
      <c r="K292" s="32">
        <v>110000</v>
      </c>
      <c r="L292" s="33">
        <f>Q292+R292+U292+Table1[[#This Row],[Farmer Payment]]</f>
        <v>102464.04202072226</v>
      </c>
      <c r="M292" s="30"/>
      <c r="N292" s="34"/>
      <c r="O292" s="34"/>
      <c r="P292" s="35">
        <f t="shared" si="43"/>
        <v>7535.9579792777367</v>
      </c>
      <c r="Q292" s="33">
        <f>AI292+AV292+CK292+Table1[[#This Row],[FY 25-26]]</f>
        <v>82464.042020722263</v>
      </c>
      <c r="R292" s="36">
        <v>20000</v>
      </c>
      <c r="S292" s="37" t="s">
        <v>193</v>
      </c>
      <c r="T292" s="38">
        <v>44724</v>
      </c>
      <c r="U292" s="39"/>
      <c r="V292" s="39"/>
      <c r="W292" s="40">
        <v>0</v>
      </c>
      <c r="X292" s="40">
        <v>0</v>
      </c>
      <c r="Y292" s="40">
        <v>0</v>
      </c>
      <c r="Z292" s="40">
        <v>1861</v>
      </c>
      <c r="AA292" s="40">
        <v>2229.3364000000001</v>
      </c>
      <c r="AB292" s="40">
        <v>2386.9118000000003</v>
      </c>
      <c r="AC292" s="40">
        <v>3637.7105999999999</v>
      </c>
      <c r="AD292" s="40">
        <v>5137.9714000000004</v>
      </c>
      <c r="AE292" s="40">
        <v>4581.1372000000001</v>
      </c>
      <c r="AF292" s="40">
        <v>2000</v>
      </c>
      <c r="AG292" s="40">
        <v>2000</v>
      </c>
      <c r="AH292" s="40">
        <v>2000</v>
      </c>
      <c r="AI292" s="41">
        <f t="shared" si="44"/>
        <v>25834.0674</v>
      </c>
      <c r="AJ292" s="42">
        <v>2000</v>
      </c>
      <c r="AK292" s="42">
        <v>2000</v>
      </c>
      <c r="AL292" s="42">
        <v>2000</v>
      </c>
      <c r="AM292" s="42">
        <v>2000</v>
      </c>
      <c r="AN292" s="42">
        <v>2000</v>
      </c>
      <c r="AO292" s="42">
        <v>2000</v>
      </c>
      <c r="AP292" s="42">
        <v>2000</v>
      </c>
      <c r="AQ292" s="42">
        <v>2000</v>
      </c>
      <c r="AR292" s="42">
        <v>2000</v>
      </c>
      <c r="AS292" s="42">
        <v>2000</v>
      </c>
      <c r="AT292" s="42">
        <v>2000</v>
      </c>
      <c r="AU292" s="42">
        <v>2000</v>
      </c>
      <c r="AV292" s="42">
        <f t="shared" si="45"/>
        <v>24000</v>
      </c>
      <c r="AW292" s="42">
        <v>2000</v>
      </c>
      <c r="AX292" s="42">
        <v>2000</v>
      </c>
      <c r="AY292" s="42">
        <v>2000</v>
      </c>
      <c r="AZ292" s="42">
        <v>2000</v>
      </c>
      <c r="BA292" s="42">
        <v>2000</v>
      </c>
      <c r="BB292" s="42">
        <v>0</v>
      </c>
      <c r="BC292" s="42">
        <v>2855.7997729629319</v>
      </c>
      <c r="BD292" s="42">
        <v>0</v>
      </c>
      <c r="BE292" s="42">
        <v>0</v>
      </c>
      <c r="BF292" s="42">
        <v>0</v>
      </c>
      <c r="BG292" s="42">
        <v>0</v>
      </c>
      <c r="BH292" s="42">
        <v>0</v>
      </c>
      <c r="BI292" s="42">
        <v>2403.4618775345425</v>
      </c>
      <c r="BJ292" s="42">
        <v>0</v>
      </c>
      <c r="BK292" s="42">
        <v>0</v>
      </c>
      <c r="BL292" s="42">
        <v>0</v>
      </c>
      <c r="BM292" s="42">
        <v>0</v>
      </c>
      <c r="BN292" s="42">
        <v>2444.7050163201484</v>
      </c>
      <c r="BO292" s="42">
        <v>0</v>
      </c>
      <c r="BP292" s="42">
        <v>0</v>
      </c>
      <c r="BQ292" s="42">
        <v>0</v>
      </c>
      <c r="BR292" s="42">
        <v>0</v>
      </c>
      <c r="BS292" s="42">
        <v>3633.8769835775997</v>
      </c>
      <c r="BT292" s="42">
        <v>0</v>
      </c>
      <c r="BU292" s="42">
        <v>0</v>
      </c>
      <c r="BV292" s="42">
        <v>0</v>
      </c>
      <c r="BW292" s="42">
        <v>0</v>
      </c>
      <c r="BX292" s="42">
        <v>0</v>
      </c>
      <c r="BY292" s="42">
        <v>3105.0300042009599</v>
      </c>
      <c r="BZ292" s="42">
        <v>0</v>
      </c>
      <c r="CA292" s="42">
        <v>0</v>
      </c>
      <c r="CB292" s="42">
        <v>0</v>
      </c>
      <c r="CC292" s="42">
        <v>0</v>
      </c>
      <c r="CD292" s="42">
        <v>2604.10096612608</v>
      </c>
      <c r="CE292" s="42">
        <v>0</v>
      </c>
      <c r="CF292" s="42">
        <v>0</v>
      </c>
      <c r="CG292" s="42">
        <v>0</v>
      </c>
      <c r="CH292" s="42">
        <v>0</v>
      </c>
      <c r="CI292" s="42">
        <v>0</v>
      </c>
      <c r="CJ292" s="42">
        <v>1861</v>
      </c>
      <c r="CK292" s="43">
        <f t="shared" si="46"/>
        <v>28907.97462072226</v>
      </c>
      <c r="CL292" s="66"/>
      <c r="CM292" s="66">
        <v>0</v>
      </c>
      <c r="CN292" s="66">
        <v>0</v>
      </c>
      <c r="CO292" s="66">
        <v>0</v>
      </c>
      <c r="CP292" s="66">
        <v>1861</v>
      </c>
      <c r="CQ292" s="66">
        <v>0</v>
      </c>
      <c r="CR292" s="66">
        <v>0</v>
      </c>
      <c r="CS292" s="66">
        <v>0</v>
      </c>
      <c r="CT292" s="66">
        <v>0</v>
      </c>
      <c r="CU292" s="66">
        <v>0</v>
      </c>
      <c r="CV292" s="66">
        <v>1861</v>
      </c>
      <c r="CW292" s="66">
        <v>0</v>
      </c>
      <c r="CX292" s="66">
        <v>0</v>
      </c>
      <c r="CY292" s="66">
        <v>0</v>
      </c>
      <c r="CZ292" s="66">
        <v>0</v>
      </c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>
        <f>SUM(Table1[[#This Row],[01-03 Apr]:[Mar-26]])</f>
        <v>3722</v>
      </c>
    </row>
    <row r="293" spans="1:115" hidden="1" x14ac:dyDescent="0.2">
      <c r="A293" s="28" t="s">
        <v>2253</v>
      </c>
      <c r="B293" s="29" t="s">
        <v>194</v>
      </c>
      <c r="C293" s="29" t="s">
        <v>195</v>
      </c>
      <c r="D293" s="30" t="s">
        <v>196</v>
      </c>
      <c r="E293" s="30" t="s">
        <v>85</v>
      </c>
      <c r="F293" s="30"/>
      <c r="G293" s="31">
        <v>44810</v>
      </c>
      <c r="H293" s="30">
        <v>360030</v>
      </c>
      <c r="I293" s="30" t="str">
        <f>IF(Table1[[#This Row],[Centre Status]]="Returned","NA",IF(Table1[[#This Row],[SD]]&gt;19000,"Full Payment",IF(Table1[[#This Row],[SD]]&lt;1,"No Payment","Partial Payment")))</f>
        <v>Full Payment</v>
      </c>
      <c r="J293" s="30" t="s">
        <v>58</v>
      </c>
      <c r="K293" s="32">
        <v>110000</v>
      </c>
      <c r="L293" s="33">
        <f>Q293+R293+U293+Table1[[#This Row],[Farmer Payment]]</f>
        <v>57030.322399999997</v>
      </c>
      <c r="M293" s="30"/>
      <c r="N293" s="34"/>
      <c r="O293" s="34"/>
      <c r="P293" s="35">
        <f t="shared" si="43"/>
        <v>52969.677600000003</v>
      </c>
      <c r="Q293" s="33">
        <f>AI293+AV293+CK293+Table1[[#This Row],[FY 25-26]]</f>
        <v>37030.322399999997</v>
      </c>
      <c r="R293" s="36">
        <v>20000</v>
      </c>
      <c r="S293" s="37" t="s">
        <v>197</v>
      </c>
      <c r="T293" s="38">
        <v>44716</v>
      </c>
      <c r="U293" s="39"/>
      <c r="V293" s="39"/>
      <c r="W293" s="40">
        <v>0</v>
      </c>
      <c r="X293" s="40">
        <v>0</v>
      </c>
      <c r="Y293" s="40">
        <v>1861</v>
      </c>
      <c r="Z293" s="40">
        <v>2388.7109999999998</v>
      </c>
      <c r="AA293" s="40">
        <v>2401.8094000000001</v>
      </c>
      <c r="AB293" s="40">
        <v>2672.2131999999997</v>
      </c>
      <c r="AC293" s="40">
        <v>3312.7363999999998</v>
      </c>
      <c r="AD293" s="40">
        <v>2769.8523999999998</v>
      </c>
      <c r="AE293" s="40">
        <v>1861</v>
      </c>
      <c r="AF293" s="40">
        <v>1861</v>
      </c>
      <c r="AG293" s="40">
        <v>1861</v>
      </c>
      <c r="AH293" s="40">
        <v>1861</v>
      </c>
      <c r="AI293" s="41">
        <f t="shared" si="44"/>
        <v>22850.322399999997</v>
      </c>
      <c r="AJ293" s="42">
        <v>1861</v>
      </c>
      <c r="AK293" s="42">
        <v>1546</v>
      </c>
      <c r="AL293" s="42">
        <v>1861</v>
      </c>
      <c r="AM293" s="42">
        <v>1861</v>
      </c>
      <c r="AN293" s="42">
        <v>1540</v>
      </c>
      <c r="AO293" s="42">
        <v>1027</v>
      </c>
      <c r="AP293" s="42">
        <v>0</v>
      </c>
      <c r="AQ293" s="42">
        <v>0</v>
      </c>
      <c r="AR293" s="42">
        <v>107</v>
      </c>
      <c r="AS293" s="42">
        <v>181</v>
      </c>
      <c r="AT293" s="42">
        <v>0</v>
      </c>
      <c r="AU293" s="42">
        <v>1135</v>
      </c>
      <c r="AV293" s="42">
        <f t="shared" si="45"/>
        <v>11119</v>
      </c>
      <c r="AW293" s="42">
        <v>1861</v>
      </c>
      <c r="AX293" s="42">
        <v>1200</v>
      </c>
      <c r="AY293" s="42">
        <v>0</v>
      </c>
      <c r="AZ293" s="42">
        <v>0</v>
      </c>
      <c r="BA293" s="42">
        <v>0</v>
      </c>
      <c r="BB293" s="42">
        <v>0</v>
      </c>
      <c r="BC293" s="42">
        <v>0</v>
      </c>
      <c r="BD293" s="42">
        <v>0</v>
      </c>
      <c r="BE293" s="42">
        <v>0</v>
      </c>
      <c r="BF293" s="42">
        <v>0</v>
      </c>
      <c r="BG293" s="42">
        <v>0</v>
      </c>
      <c r="BH293" s="42">
        <v>0</v>
      </c>
      <c r="BI293" s="42">
        <v>0</v>
      </c>
      <c r="BJ293" s="42">
        <v>0</v>
      </c>
      <c r="BK293" s="42">
        <v>0</v>
      </c>
      <c r="BL293" s="42">
        <v>0</v>
      </c>
      <c r="BM293" s="42">
        <v>0</v>
      </c>
      <c r="BN293" s="42">
        <v>0</v>
      </c>
      <c r="BO293" s="42">
        <v>0</v>
      </c>
      <c r="BP293" s="42">
        <v>0</v>
      </c>
      <c r="BQ293" s="42">
        <v>0</v>
      </c>
      <c r="BR293" s="42">
        <v>0</v>
      </c>
      <c r="BS293" s="42">
        <v>0</v>
      </c>
      <c r="BT293" s="42">
        <v>0</v>
      </c>
      <c r="BU293" s="42">
        <v>0</v>
      </c>
      <c r="BV293" s="42">
        <v>0</v>
      </c>
      <c r="BW293" s="42">
        <v>0</v>
      </c>
      <c r="BX293" s="42">
        <v>0</v>
      </c>
      <c r="BY293" s="42">
        <v>0</v>
      </c>
      <c r="BZ293" s="42">
        <v>0</v>
      </c>
      <c r="CA293" s="42">
        <v>0</v>
      </c>
      <c r="CB293" s="42">
        <v>0</v>
      </c>
      <c r="CC293" s="42">
        <v>0</v>
      </c>
      <c r="CD293" s="42">
        <v>0</v>
      </c>
      <c r="CE293" s="42">
        <v>0</v>
      </c>
      <c r="CF293" s="42">
        <v>0</v>
      </c>
      <c r="CG293" s="42">
        <v>0</v>
      </c>
      <c r="CH293" s="42">
        <v>0</v>
      </c>
      <c r="CI293" s="42">
        <v>0</v>
      </c>
      <c r="CJ293" s="42">
        <v>0</v>
      </c>
      <c r="CK293" s="43">
        <f t="shared" si="46"/>
        <v>3061</v>
      </c>
      <c r="CL293" s="66"/>
      <c r="CM293" s="66">
        <v>0</v>
      </c>
      <c r="CN293" s="66">
        <v>0</v>
      </c>
      <c r="CO293" s="66">
        <v>0</v>
      </c>
      <c r="CP293" s="66">
        <v>0</v>
      </c>
      <c r="CQ293" s="66">
        <v>0</v>
      </c>
      <c r="CR293" s="66">
        <v>0</v>
      </c>
      <c r="CS293" s="66">
        <v>0</v>
      </c>
      <c r="CT293" s="66">
        <v>0</v>
      </c>
      <c r="CU293" s="66">
        <v>0</v>
      </c>
      <c r="CV293" s="66">
        <v>0</v>
      </c>
      <c r="CW293" s="66">
        <v>0</v>
      </c>
      <c r="CX293" s="66">
        <v>0</v>
      </c>
      <c r="CY293" s="66">
        <v>0</v>
      </c>
      <c r="CZ293" s="66">
        <v>0</v>
      </c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>
        <f>SUM(Table1[[#This Row],[01-03 Apr]:[Mar-26]])</f>
        <v>0</v>
      </c>
    </row>
    <row r="294" spans="1:115" x14ac:dyDescent="0.2">
      <c r="A294" s="28" t="s">
        <v>2254</v>
      </c>
      <c r="B294" s="29" t="s">
        <v>198</v>
      </c>
      <c r="C294" s="29" t="s">
        <v>199</v>
      </c>
      <c r="D294" s="30" t="s">
        <v>200</v>
      </c>
      <c r="E294" s="30" t="s">
        <v>177</v>
      </c>
      <c r="F294" s="30"/>
      <c r="G294" s="31">
        <v>44777</v>
      </c>
      <c r="H294" s="30">
        <v>371215</v>
      </c>
      <c r="I294" s="30" t="str">
        <f>IF(Table1[[#This Row],[Centre Status]]="Returned","NA",IF(Table1[[#This Row],[SD]]&gt;19000,"Full Payment",IF(Table1[[#This Row],[SD]]&lt;1,"No Payment","Partial Payment")))</f>
        <v>No Payment</v>
      </c>
      <c r="J294" s="30" t="s">
        <v>58</v>
      </c>
      <c r="K294" s="32">
        <v>110000</v>
      </c>
      <c r="L294" s="33">
        <f>Q294+R294+U294+Table1[[#This Row],[Farmer Payment]]</f>
        <v>74720</v>
      </c>
      <c r="M294" s="30"/>
      <c r="N294" s="34"/>
      <c r="O294" s="34"/>
      <c r="P294" s="35">
        <f t="shared" si="43"/>
        <v>35280</v>
      </c>
      <c r="Q294" s="33">
        <f>AI294+AV294+CK294+Table1[[#This Row],[FY 25-26]]</f>
        <v>49720</v>
      </c>
      <c r="R294" s="36"/>
      <c r="S294" s="37"/>
      <c r="T294" s="38"/>
      <c r="U294" s="39">
        <v>25000</v>
      </c>
      <c r="V294" s="39"/>
      <c r="W294" s="40">
        <v>0</v>
      </c>
      <c r="X294" s="40">
        <v>0</v>
      </c>
      <c r="Y294" s="40">
        <v>0</v>
      </c>
      <c r="Z294" s="40">
        <v>0</v>
      </c>
      <c r="AA294" s="40">
        <v>0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>
        <v>1861</v>
      </c>
      <c r="AH294" s="40">
        <v>1861</v>
      </c>
      <c r="AI294" s="41">
        <f t="shared" si="44"/>
        <v>3722</v>
      </c>
      <c r="AJ294" s="42">
        <v>1454</v>
      </c>
      <c r="AK294" s="42">
        <v>1833</v>
      </c>
      <c r="AL294" s="42">
        <v>1292</v>
      </c>
      <c r="AM294" s="42">
        <v>1444</v>
      </c>
      <c r="AN294" s="42">
        <v>1221</v>
      </c>
      <c r="AO294" s="42">
        <v>1608</v>
      </c>
      <c r="AP294" s="42">
        <v>1861</v>
      </c>
      <c r="AQ294" s="42">
        <v>1861</v>
      </c>
      <c r="AR294" s="42">
        <v>2000</v>
      </c>
      <c r="AS294" s="42">
        <v>2000</v>
      </c>
      <c r="AT294" s="42">
        <v>2000</v>
      </c>
      <c r="AU294" s="42">
        <v>2000</v>
      </c>
      <c r="AV294" s="42">
        <f t="shared" si="45"/>
        <v>20574</v>
      </c>
      <c r="AW294" s="42">
        <v>1861</v>
      </c>
      <c r="AX294" s="42">
        <v>1861</v>
      </c>
      <c r="AY294" s="42">
        <v>1861</v>
      </c>
      <c r="AZ294" s="42">
        <v>1861</v>
      </c>
      <c r="BA294" s="42">
        <v>1861</v>
      </c>
      <c r="BB294" s="42">
        <v>0</v>
      </c>
      <c r="BC294" s="42">
        <v>1861</v>
      </c>
      <c r="BD294" s="42">
        <v>0</v>
      </c>
      <c r="BE294" s="42">
        <v>0</v>
      </c>
      <c r="BF294" s="42">
        <v>0</v>
      </c>
      <c r="BG294" s="42">
        <v>0</v>
      </c>
      <c r="BH294" s="42">
        <v>0</v>
      </c>
      <c r="BI294" s="42">
        <v>1738</v>
      </c>
      <c r="BJ294" s="42">
        <v>0</v>
      </c>
      <c r="BK294" s="42">
        <v>0</v>
      </c>
      <c r="BL294" s="42">
        <v>500</v>
      </c>
      <c r="BM294" s="42">
        <v>500</v>
      </c>
      <c r="BN294" s="42">
        <v>821</v>
      </c>
      <c r="BO294" s="42">
        <v>500</v>
      </c>
      <c r="BP294" s="42">
        <v>500</v>
      </c>
      <c r="BQ294" s="42">
        <v>500</v>
      </c>
      <c r="BR294" s="42">
        <v>500</v>
      </c>
      <c r="BS294" s="42">
        <v>0</v>
      </c>
      <c r="BT294" s="42">
        <v>500</v>
      </c>
      <c r="BU294" s="42">
        <v>500</v>
      </c>
      <c r="BV294" s="42">
        <v>0</v>
      </c>
      <c r="BW294" s="42">
        <v>0</v>
      </c>
      <c r="BX294" s="42">
        <v>0</v>
      </c>
      <c r="BY294" s="42">
        <v>1361</v>
      </c>
      <c r="BZ294" s="42">
        <v>0</v>
      </c>
      <c r="CA294" s="42">
        <v>0</v>
      </c>
      <c r="CB294" s="42">
        <v>0</v>
      </c>
      <c r="CC294" s="42">
        <v>0</v>
      </c>
      <c r="CD294" s="42">
        <v>1861</v>
      </c>
      <c r="CE294" s="42">
        <v>0</v>
      </c>
      <c r="CF294" s="42">
        <v>0</v>
      </c>
      <c r="CG294" s="42">
        <v>0</v>
      </c>
      <c r="CH294" s="42">
        <v>0</v>
      </c>
      <c r="CI294" s="42">
        <v>0</v>
      </c>
      <c r="CJ294" s="42">
        <v>1861</v>
      </c>
      <c r="CK294" s="43">
        <f t="shared" si="46"/>
        <v>22808</v>
      </c>
      <c r="CL294" s="66"/>
      <c r="CM294" s="66">
        <v>0</v>
      </c>
      <c r="CN294" s="66">
        <v>0</v>
      </c>
      <c r="CO294" s="66">
        <v>0</v>
      </c>
      <c r="CP294" s="66">
        <v>1666</v>
      </c>
      <c r="CQ294" s="66">
        <v>0</v>
      </c>
      <c r="CR294" s="66">
        <v>0</v>
      </c>
      <c r="CS294" s="66">
        <v>0</v>
      </c>
      <c r="CT294" s="66">
        <v>0</v>
      </c>
      <c r="CU294" s="66">
        <v>0</v>
      </c>
      <c r="CV294" s="66">
        <v>950</v>
      </c>
      <c r="CW294" s="66">
        <v>0</v>
      </c>
      <c r="CX294" s="66">
        <v>0</v>
      </c>
      <c r="CY294" s="66">
        <v>0</v>
      </c>
      <c r="CZ294" s="66">
        <v>0</v>
      </c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>
        <f>SUM(Table1[[#This Row],[01-03 Apr]:[Mar-26]])</f>
        <v>2616</v>
      </c>
    </row>
    <row r="295" spans="1:115" hidden="1" x14ac:dyDescent="0.2">
      <c r="A295" s="28" t="s">
        <v>2255</v>
      </c>
      <c r="B295" s="29" t="s">
        <v>208</v>
      </c>
      <c r="C295" s="29" t="s">
        <v>208</v>
      </c>
      <c r="D295" s="30" t="s">
        <v>209</v>
      </c>
      <c r="E295" s="30" t="s">
        <v>85</v>
      </c>
      <c r="F295" s="30"/>
      <c r="G295" s="31"/>
      <c r="H295" s="30">
        <v>389771</v>
      </c>
      <c r="I295" s="30" t="str">
        <f>IF(Table1[[#This Row],[Centre Status]]="Returned","NA",IF(Table1[[#This Row],[SD]]&gt;19000,"Full Payment",IF(Table1[[#This Row],[SD]]&lt;1,"No Payment","Partial Payment")))</f>
        <v>Full Payment</v>
      </c>
      <c r="J295" s="30" t="s">
        <v>58</v>
      </c>
      <c r="K295" s="32">
        <v>110000</v>
      </c>
      <c r="L295" s="33">
        <f>Q295+R295+U295+Table1[[#This Row],[Farmer Payment]]</f>
        <v>41924</v>
      </c>
      <c r="M295" s="30"/>
      <c r="N295" s="34"/>
      <c r="O295" s="34"/>
      <c r="P295" s="35">
        <f t="shared" si="43"/>
        <v>68076</v>
      </c>
      <c r="Q295" s="33">
        <f>AI295+AV295+CK295+Table1[[#This Row],[FY 25-26]]</f>
        <v>21924</v>
      </c>
      <c r="R295" s="36">
        <v>20000</v>
      </c>
      <c r="S295" s="37" t="s">
        <v>2585</v>
      </c>
      <c r="T295" s="38">
        <v>45357</v>
      </c>
      <c r="U295" s="39"/>
      <c r="V295" s="39"/>
      <c r="W295" s="40">
        <v>0</v>
      </c>
      <c r="X295" s="40">
        <v>0</v>
      </c>
      <c r="Y295" s="40">
        <v>0</v>
      </c>
      <c r="Z295" s="40">
        <v>0</v>
      </c>
      <c r="AA295" s="40">
        <v>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1">
        <f t="shared" si="44"/>
        <v>0</v>
      </c>
      <c r="AJ295" s="42">
        <v>0</v>
      </c>
      <c r="AK295" s="42">
        <v>0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f t="shared" si="45"/>
        <v>0</v>
      </c>
      <c r="AW295" s="42">
        <v>0</v>
      </c>
      <c r="AX295" s="42">
        <v>0</v>
      </c>
      <c r="AY295" s="42">
        <v>1861</v>
      </c>
      <c r="AZ295" s="42">
        <v>1861</v>
      </c>
      <c r="BA295" s="42">
        <v>651</v>
      </c>
      <c r="BB295" s="42">
        <v>500</v>
      </c>
      <c r="BC295" s="42">
        <v>746</v>
      </c>
      <c r="BD295" s="42">
        <v>500</v>
      </c>
      <c r="BE295" s="42">
        <v>500</v>
      </c>
      <c r="BF295" s="42">
        <v>500</v>
      </c>
      <c r="BG295" s="42">
        <v>500</v>
      </c>
      <c r="BH295" s="42">
        <v>500</v>
      </c>
      <c r="BI295" s="42">
        <v>0</v>
      </c>
      <c r="BJ295" s="42">
        <v>500</v>
      </c>
      <c r="BK295" s="42">
        <v>500</v>
      </c>
      <c r="BL295" s="42">
        <v>500</v>
      </c>
      <c r="BM295" s="42">
        <v>500</v>
      </c>
      <c r="BN295" s="42">
        <v>0</v>
      </c>
      <c r="BO295" s="42">
        <v>500</v>
      </c>
      <c r="BP295" s="42">
        <v>500</v>
      </c>
      <c r="BQ295" s="42">
        <v>500</v>
      </c>
      <c r="BR295" s="42">
        <v>500</v>
      </c>
      <c r="BS295" s="42">
        <v>0</v>
      </c>
      <c r="BT295" s="42">
        <v>500</v>
      </c>
      <c r="BU295" s="42">
        <v>500</v>
      </c>
      <c r="BV295" s="42">
        <v>0</v>
      </c>
      <c r="BW295" s="42">
        <v>0</v>
      </c>
      <c r="BX295" s="42">
        <v>0</v>
      </c>
      <c r="BY295" s="42">
        <v>1361</v>
      </c>
      <c r="BZ295" s="42">
        <v>0</v>
      </c>
      <c r="CA295" s="42">
        <v>0</v>
      </c>
      <c r="CB295" s="42">
        <v>0</v>
      </c>
      <c r="CC295" s="42">
        <v>0</v>
      </c>
      <c r="CD295" s="42">
        <v>1861</v>
      </c>
      <c r="CE295" s="42">
        <v>0</v>
      </c>
      <c r="CF295" s="42">
        <v>0</v>
      </c>
      <c r="CG295" s="42">
        <v>0</v>
      </c>
      <c r="CH295" s="42">
        <v>0</v>
      </c>
      <c r="CI295" s="42">
        <v>0</v>
      </c>
      <c r="CJ295" s="42">
        <v>1861</v>
      </c>
      <c r="CK295" s="43">
        <f t="shared" si="46"/>
        <v>18202</v>
      </c>
      <c r="CL295" s="66"/>
      <c r="CM295" s="66">
        <v>0</v>
      </c>
      <c r="CN295" s="66">
        <v>0</v>
      </c>
      <c r="CO295" s="66">
        <v>0</v>
      </c>
      <c r="CP295" s="66">
        <v>1861</v>
      </c>
      <c r="CQ295" s="66">
        <v>0</v>
      </c>
      <c r="CR295" s="66">
        <v>0</v>
      </c>
      <c r="CS295" s="66">
        <v>0</v>
      </c>
      <c r="CT295" s="66">
        <v>0</v>
      </c>
      <c r="CU295" s="66">
        <v>0</v>
      </c>
      <c r="CV295" s="66">
        <v>1861</v>
      </c>
      <c r="CW295" s="66">
        <v>0</v>
      </c>
      <c r="CX295" s="66">
        <v>0</v>
      </c>
      <c r="CY295" s="66">
        <v>0</v>
      </c>
      <c r="CZ295" s="66">
        <v>0</v>
      </c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>
        <f>SUM(Table1[[#This Row],[01-03 Apr]:[Mar-26]])</f>
        <v>3722</v>
      </c>
    </row>
    <row r="296" spans="1:115" hidden="1" x14ac:dyDescent="0.2">
      <c r="A296" s="28" t="s">
        <v>2255</v>
      </c>
      <c r="B296" s="29" t="s">
        <v>215</v>
      </c>
      <c r="C296" s="29" t="s">
        <v>215</v>
      </c>
      <c r="D296" s="30" t="s">
        <v>216</v>
      </c>
      <c r="E296" s="30" t="s">
        <v>217</v>
      </c>
      <c r="F296" s="30"/>
      <c r="G296" s="31"/>
      <c r="H296" s="30">
        <v>377365</v>
      </c>
      <c r="I296" s="30" t="str">
        <f>IF(Table1[[#This Row],[Centre Status]]="Returned","NA",IF(Table1[[#This Row],[SD]]&gt;19000,"Full Payment",IF(Table1[[#This Row],[SD]]&lt;1,"No Payment","Partial Payment")))</f>
        <v>Full Payment</v>
      </c>
      <c r="J296" s="30" t="s">
        <v>58</v>
      </c>
      <c r="K296" s="32">
        <v>110000</v>
      </c>
      <c r="L296" s="33">
        <f>Q296+R296+U296+Table1[[#This Row],[Farmer Payment]]</f>
        <v>85502.693334528609</v>
      </c>
      <c r="M296" s="30"/>
      <c r="N296" s="34"/>
      <c r="O296" s="34"/>
      <c r="P296" s="35">
        <f t="shared" si="43"/>
        <v>24497.306665471391</v>
      </c>
      <c r="Q296" s="33">
        <f>AI296+AV296+CK296+Table1[[#This Row],[FY 25-26]]</f>
        <v>65502.693334528609</v>
      </c>
      <c r="R296" s="36">
        <v>20000</v>
      </c>
      <c r="S296" s="37" t="s">
        <v>2320</v>
      </c>
      <c r="T296" s="38">
        <v>45349</v>
      </c>
      <c r="U296" s="39"/>
      <c r="V296" s="39"/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1">
        <f t="shared" si="44"/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42">
        <v>0</v>
      </c>
      <c r="AV296" s="42">
        <f t="shared" si="45"/>
        <v>0</v>
      </c>
      <c r="AW296" s="42">
        <v>0</v>
      </c>
      <c r="AX296" s="42">
        <v>0</v>
      </c>
      <c r="AY296" s="42">
        <v>874</v>
      </c>
      <c r="AZ296" s="42">
        <v>1935.6118940088345</v>
      </c>
      <c r="BA296" s="42">
        <v>3851.3525016789681</v>
      </c>
      <c r="BB296" s="42">
        <v>0</v>
      </c>
      <c r="BC296" s="42">
        <v>5407.8595211787242</v>
      </c>
      <c r="BD296" s="42">
        <v>0</v>
      </c>
      <c r="BE296" s="42">
        <v>0</v>
      </c>
      <c r="BF296" s="42">
        <v>0</v>
      </c>
      <c r="BG296" s="42">
        <v>0</v>
      </c>
      <c r="BH296" s="42">
        <v>0</v>
      </c>
      <c r="BI296" s="42">
        <v>4297.8794477030888</v>
      </c>
      <c r="BJ296" s="42">
        <v>0</v>
      </c>
      <c r="BK296" s="42">
        <v>0</v>
      </c>
      <c r="BL296" s="42">
        <v>0</v>
      </c>
      <c r="BM296" s="42">
        <v>0</v>
      </c>
      <c r="BN296" s="42">
        <v>4154.0880608645784</v>
      </c>
      <c r="BO296" s="42">
        <v>0</v>
      </c>
      <c r="BP296" s="42">
        <v>0</v>
      </c>
      <c r="BQ296" s="42">
        <v>0</v>
      </c>
      <c r="BR296" s="42">
        <v>0</v>
      </c>
      <c r="BS296" s="42">
        <v>6307.3127544140025</v>
      </c>
      <c r="BT296" s="42">
        <v>0</v>
      </c>
      <c r="BU296" s="42">
        <v>0</v>
      </c>
      <c r="BV296" s="42">
        <v>0</v>
      </c>
      <c r="BW296" s="42">
        <v>0</v>
      </c>
      <c r="BX296" s="42">
        <v>0</v>
      </c>
      <c r="BY296" s="42">
        <v>5937.2257755724049</v>
      </c>
      <c r="BZ296" s="42">
        <v>0</v>
      </c>
      <c r="CA296" s="42">
        <v>0</v>
      </c>
      <c r="CB296" s="42">
        <v>0</v>
      </c>
      <c r="CC296" s="42">
        <v>0</v>
      </c>
      <c r="CD296" s="42">
        <v>9578.1586636500488</v>
      </c>
      <c r="CE296" s="42">
        <v>0</v>
      </c>
      <c r="CF296" s="42">
        <v>0</v>
      </c>
      <c r="CG296" s="42">
        <v>0</v>
      </c>
      <c r="CH296" s="42">
        <v>0</v>
      </c>
      <c r="CI296" s="42">
        <v>0</v>
      </c>
      <c r="CJ296" s="42">
        <v>10633.302056628248</v>
      </c>
      <c r="CK296" s="43">
        <f t="shared" si="46"/>
        <v>52976.790675698903</v>
      </c>
      <c r="CL296" s="66"/>
      <c r="CM296" s="66">
        <v>0</v>
      </c>
      <c r="CN296" s="66">
        <v>0</v>
      </c>
      <c r="CO296" s="66">
        <v>0</v>
      </c>
      <c r="CP296" s="66">
        <v>6896.2953322389294</v>
      </c>
      <c r="CQ296" s="66">
        <v>0</v>
      </c>
      <c r="CR296" s="66">
        <v>0</v>
      </c>
      <c r="CS296" s="66">
        <v>0</v>
      </c>
      <c r="CT296" s="66">
        <v>0</v>
      </c>
      <c r="CU296" s="66">
        <v>0</v>
      </c>
      <c r="CV296" s="66">
        <v>5629.6073265907753</v>
      </c>
      <c r="CW296" s="66">
        <v>0</v>
      </c>
      <c r="CX296" s="66">
        <v>0</v>
      </c>
      <c r="CY296" s="66">
        <v>0</v>
      </c>
      <c r="CZ296" s="66">
        <v>0</v>
      </c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>
        <f>SUM(Table1[[#This Row],[01-03 Apr]:[Mar-26]])</f>
        <v>12525.902658829706</v>
      </c>
    </row>
    <row r="297" spans="1:115" x14ac:dyDescent="0.2">
      <c r="A297" s="28" t="s">
        <v>2253</v>
      </c>
      <c r="B297" s="29" t="s">
        <v>218</v>
      </c>
      <c r="C297" s="29" t="s">
        <v>218</v>
      </c>
      <c r="D297" s="30" t="s">
        <v>219</v>
      </c>
      <c r="E297" s="30" t="s">
        <v>85</v>
      </c>
      <c r="F297" s="30"/>
      <c r="G297" s="31"/>
      <c r="H297" s="30">
        <v>359702</v>
      </c>
      <c r="I297" s="30" t="str">
        <f>IF(Table1[[#This Row],[Centre Status]]="Returned","NA",IF(Table1[[#This Row],[SD]]&gt;19000,"Full Payment",IF(Table1[[#This Row],[SD]]&lt;1,"No Payment","Partial Payment")))</f>
        <v>Partial Payment</v>
      </c>
      <c r="J297" s="30" t="s">
        <v>58</v>
      </c>
      <c r="K297" s="32">
        <v>110000</v>
      </c>
      <c r="L297" s="33">
        <f>Q297+R297+U297+Table1[[#This Row],[Farmer Payment]]</f>
        <v>30259</v>
      </c>
      <c r="M297" s="30"/>
      <c r="N297" s="34"/>
      <c r="O297" s="34"/>
      <c r="P297" s="35">
        <f t="shared" si="43"/>
        <v>79741</v>
      </c>
      <c r="Q297" s="33">
        <f>AI297+AV297+CK297+Table1[[#This Row],[FY 25-26]]</f>
        <v>20259</v>
      </c>
      <c r="R297" s="36">
        <v>10000</v>
      </c>
      <c r="S297" s="37" t="s">
        <v>2586</v>
      </c>
      <c r="T297" s="38">
        <v>45366</v>
      </c>
      <c r="U297" s="39"/>
      <c r="V297" s="39"/>
      <c r="W297" s="40">
        <v>0</v>
      </c>
      <c r="X297" s="40">
        <v>0</v>
      </c>
      <c r="Y297" s="40">
        <v>0</v>
      </c>
      <c r="Z297" s="40">
        <v>0</v>
      </c>
      <c r="AA297" s="40">
        <v>0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0</v>
      </c>
      <c r="AH297" s="40">
        <v>0</v>
      </c>
      <c r="AI297" s="41">
        <f t="shared" si="44"/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42">
        <v>0</v>
      </c>
      <c r="AV297" s="42">
        <f t="shared" si="45"/>
        <v>0</v>
      </c>
      <c r="AW297" s="42">
        <v>0</v>
      </c>
      <c r="AX297" s="42">
        <v>0</v>
      </c>
      <c r="AY297" s="42">
        <v>1193</v>
      </c>
      <c r="AZ297" s="42">
        <v>519</v>
      </c>
      <c r="BA297" s="42">
        <v>0</v>
      </c>
      <c r="BB297" s="42">
        <v>0</v>
      </c>
      <c r="BC297" s="42">
        <v>1686</v>
      </c>
      <c r="BD297" s="42">
        <v>0</v>
      </c>
      <c r="BE297" s="42">
        <v>0</v>
      </c>
      <c r="BF297" s="42">
        <v>0</v>
      </c>
      <c r="BG297" s="42">
        <v>0</v>
      </c>
      <c r="BH297" s="42">
        <v>0</v>
      </c>
      <c r="BI297" s="42">
        <v>1861</v>
      </c>
      <c r="BJ297" s="42">
        <v>0</v>
      </c>
      <c r="BK297" s="42">
        <v>0</v>
      </c>
      <c r="BL297" s="42">
        <v>0</v>
      </c>
      <c r="BM297" s="42">
        <v>0</v>
      </c>
      <c r="BN297" s="42">
        <v>0</v>
      </c>
      <c r="BO297" s="42">
        <v>500</v>
      </c>
      <c r="BP297" s="42">
        <v>500</v>
      </c>
      <c r="BQ297" s="42">
        <v>500</v>
      </c>
      <c r="BR297" s="42">
        <v>500</v>
      </c>
      <c r="BS297" s="42">
        <v>0</v>
      </c>
      <c r="BT297" s="42">
        <v>500</v>
      </c>
      <c r="BU297" s="42">
        <v>500</v>
      </c>
      <c r="BV297" s="42">
        <v>500</v>
      </c>
      <c r="BW297" s="42">
        <v>500</v>
      </c>
      <c r="BX297" s="42">
        <v>500</v>
      </c>
      <c r="BY297" s="42">
        <v>0</v>
      </c>
      <c r="BZ297" s="42">
        <v>500</v>
      </c>
      <c r="CA297" s="42">
        <v>500</v>
      </c>
      <c r="CB297" s="42">
        <v>500</v>
      </c>
      <c r="CC297" s="42">
        <v>500</v>
      </c>
      <c r="CD297" s="42">
        <v>0</v>
      </c>
      <c r="CE297" s="42">
        <v>500</v>
      </c>
      <c r="CF297" s="42">
        <v>500</v>
      </c>
      <c r="CG297" s="42">
        <v>500</v>
      </c>
      <c r="CH297" s="42">
        <v>500</v>
      </c>
      <c r="CI297" s="42">
        <v>500</v>
      </c>
      <c r="CJ297" s="42">
        <v>0</v>
      </c>
      <c r="CK297" s="43">
        <f t="shared" si="46"/>
        <v>14259</v>
      </c>
      <c r="CL297" s="66"/>
      <c r="CM297" s="66">
        <v>500</v>
      </c>
      <c r="CN297" s="66">
        <v>500</v>
      </c>
      <c r="CO297" s="66">
        <v>500</v>
      </c>
      <c r="CP297" s="66">
        <v>0</v>
      </c>
      <c r="CQ297" s="66">
        <v>500</v>
      </c>
      <c r="CR297" s="66">
        <v>500</v>
      </c>
      <c r="CS297" s="66">
        <v>500</v>
      </c>
      <c r="CT297" s="66">
        <v>500</v>
      </c>
      <c r="CU297" s="66">
        <v>500</v>
      </c>
      <c r="CV297" s="66">
        <v>0</v>
      </c>
      <c r="CW297" s="66">
        <v>500</v>
      </c>
      <c r="CX297" s="66">
        <v>500</v>
      </c>
      <c r="CY297" s="66">
        <v>500</v>
      </c>
      <c r="CZ297" s="66">
        <v>500</v>
      </c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>
        <f>SUM(Table1[[#This Row],[01-03 Apr]:[Mar-26]])</f>
        <v>6000</v>
      </c>
    </row>
    <row r="298" spans="1:115" hidden="1" x14ac:dyDescent="0.2">
      <c r="A298" s="28"/>
      <c r="B298" s="29"/>
      <c r="C298" s="29" t="s">
        <v>3210</v>
      </c>
      <c r="D298" s="30" t="s">
        <v>3212</v>
      </c>
      <c r="E298" s="30" t="s">
        <v>3213</v>
      </c>
      <c r="F298" s="30"/>
      <c r="G298" s="31"/>
      <c r="H298" s="30"/>
      <c r="I298" s="30" t="str">
        <f>IF(Table1[[#This Row],[Centre Status]]="Returned","NA",IF(Table1[[#This Row],[SD]]&gt;19000,"Full Payment",IF(Table1[[#This Row],[SD]]&lt;1,"No Payment","Partial Payment")))</f>
        <v>Full Payment</v>
      </c>
      <c r="J298" s="30" t="s">
        <v>58</v>
      </c>
      <c r="K298" s="32">
        <v>110000</v>
      </c>
      <c r="L298" s="33">
        <f>Q298+R298+U298+Table1[[#This Row],[Farmer Payment]]</f>
        <v>20000</v>
      </c>
      <c r="M298" s="30"/>
      <c r="N298" s="34"/>
      <c r="O298" s="34"/>
      <c r="P298" s="35">
        <f>K298-L298+M298</f>
        <v>90000</v>
      </c>
      <c r="Q298" s="33">
        <f>AI298+AV298+CK298+Table1[[#This Row],[FY 25-26]]</f>
        <v>0</v>
      </c>
      <c r="R298" s="36">
        <v>20000</v>
      </c>
      <c r="S298" s="37" t="s">
        <v>3215</v>
      </c>
      <c r="T298" s="38">
        <v>45745</v>
      </c>
      <c r="U298" s="39"/>
      <c r="V298" s="39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1">
        <f>SUM(W298:AH298)</f>
        <v>0</v>
      </c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>
        <f>SUM(AJ298:AU298)</f>
        <v>0</v>
      </c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  <c r="BV298" s="42"/>
      <c r="BW298" s="42"/>
      <c r="BX298" s="42"/>
      <c r="BY298" s="42"/>
      <c r="BZ298" s="42"/>
      <c r="CA298" s="42"/>
      <c r="CB298" s="42"/>
      <c r="CC298" s="42"/>
      <c r="CD298" s="42"/>
      <c r="CE298" s="42"/>
      <c r="CF298" s="42">
        <v>0</v>
      </c>
      <c r="CG298" s="42">
        <v>0</v>
      </c>
      <c r="CH298" s="42">
        <v>0</v>
      </c>
      <c r="CI298" s="42">
        <v>0</v>
      </c>
      <c r="CJ298" s="42">
        <v>0</v>
      </c>
      <c r="CK298" s="43">
        <f>SUM(AW298:CJ298)</f>
        <v>0</v>
      </c>
      <c r="CL298" s="66"/>
      <c r="CM298" s="66">
        <v>0</v>
      </c>
      <c r="CN298" s="66">
        <v>0</v>
      </c>
      <c r="CO298" s="66">
        <v>0</v>
      </c>
      <c r="CP298" s="66">
        <v>0</v>
      </c>
      <c r="CQ298" s="66">
        <v>0</v>
      </c>
      <c r="CR298" s="66">
        <v>0</v>
      </c>
      <c r="CS298" s="66">
        <v>0</v>
      </c>
      <c r="CT298" s="66">
        <v>0</v>
      </c>
      <c r="CU298" s="66">
        <v>0</v>
      </c>
      <c r="CV298" s="66">
        <v>0</v>
      </c>
      <c r="CW298" s="66">
        <v>0</v>
      </c>
      <c r="CX298" s="66">
        <v>0</v>
      </c>
      <c r="CY298" s="66">
        <v>0</v>
      </c>
      <c r="CZ298" s="66">
        <v>0</v>
      </c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>
        <f>SUM(Table1[[#This Row],[01-03 Apr]:[Mar-26]])</f>
        <v>0</v>
      </c>
    </row>
    <row r="299" spans="1:115" hidden="1" x14ac:dyDescent="0.2">
      <c r="A299" s="28"/>
      <c r="B299" s="29"/>
      <c r="C299" s="29" t="s">
        <v>3211</v>
      </c>
      <c r="D299" s="30" t="s">
        <v>1235</v>
      </c>
      <c r="E299" s="30" t="s">
        <v>3213</v>
      </c>
      <c r="F299" s="30"/>
      <c r="G299" s="31"/>
      <c r="H299" s="30"/>
      <c r="I299" s="30" t="str">
        <f>IF(Table1[[#This Row],[Centre Status]]="Returned","NA",IF(Table1[[#This Row],[SD]]&gt;19000,"Full Payment",IF(Table1[[#This Row],[SD]]&lt;1,"No Payment","Partial Payment")))</f>
        <v>Full Payment</v>
      </c>
      <c r="J299" s="30" t="s">
        <v>58</v>
      </c>
      <c r="K299" s="32">
        <v>110000</v>
      </c>
      <c r="L299" s="33">
        <f>Q299+R299+U299+Table1[[#This Row],[Farmer Payment]]</f>
        <v>21168</v>
      </c>
      <c r="M299" s="30"/>
      <c r="N299" s="34"/>
      <c r="O299" s="34"/>
      <c r="P299" s="35">
        <f>K299-L299+M299</f>
        <v>88832</v>
      </c>
      <c r="Q299" s="33">
        <f>AI299+AV299+CK299+Table1[[#This Row],[FY 25-26]]</f>
        <v>1168</v>
      </c>
      <c r="R299" s="36">
        <v>20000</v>
      </c>
      <c r="S299" s="37" t="s">
        <v>3214</v>
      </c>
      <c r="T299" s="38">
        <v>45742</v>
      </c>
      <c r="U299" s="39"/>
      <c r="V299" s="39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1">
        <f>SUM(W299:AH299)</f>
        <v>0</v>
      </c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>
        <f>SUM(AJ299:AU299)</f>
        <v>0</v>
      </c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>
        <v>0</v>
      </c>
      <c r="CG299" s="42">
        <v>0</v>
      </c>
      <c r="CH299" s="42">
        <v>0</v>
      </c>
      <c r="CI299" s="42">
        <v>0</v>
      </c>
      <c r="CJ299" s="42">
        <v>0</v>
      </c>
      <c r="CK299" s="43">
        <f>SUM(AW299:CJ299)</f>
        <v>0</v>
      </c>
      <c r="CL299" s="66"/>
      <c r="CM299" s="66">
        <v>0</v>
      </c>
      <c r="CN299" s="66">
        <v>0</v>
      </c>
      <c r="CO299" s="66">
        <v>0</v>
      </c>
      <c r="CP299" s="66">
        <v>0</v>
      </c>
      <c r="CQ299" s="66">
        <v>0</v>
      </c>
      <c r="CR299" s="66">
        <v>0</v>
      </c>
      <c r="CS299" s="66">
        <v>0</v>
      </c>
      <c r="CT299" s="66">
        <v>0</v>
      </c>
      <c r="CU299" s="66">
        <v>0</v>
      </c>
      <c r="CV299" s="66">
        <v>1168</v>
      </c>
      <c r="CW299" s="66">
        <v>0</v>
      </c>
      <c r="CX299" s="66">
        <v>0</v>
      </c>
      <c r="CY299" s="66">
        <v>0</v>
      </c>
      <c r="CZ299" s="66">
        <v>0</v>
      </c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>
        <f>SUM(Table1[[#This Row],[01-03 Apr]:[Mar-26]])</f>
        <v>1168</v>
      </c>
    </row>
    <row r="300" spans="1:115" hidden="1" x14ac:dyDescent="0.2">
      <c r="A300" s="28">
        <v>0</v>
      </c>
      <c r="B300" s="29" t="s">
        <v>220</v>
      </c>
      <c r="C300" s="29" t="s">
        <v>220</v>
      </c>
      <c r="D300" s="30" t="s">
        <v>221</v>
      </c>
      <c r="E300" s="30" t="s">
        <v>85</v>
      </c>
      <c r="F300" s="30"/>
      <c r="G300" s="31"/>
      <c r="H300" s="30">
        <v>378725</v>
      </c>
      <c r="I300" s="30" t="str">
        <f>IF(Table1[[#This Row],[Centre Status]]="Returned","NA",IF(Table1[[#This Row],[SD]]&gt;19000,"Full Payment",IF(Table1[[#This Row],[SD]]&lt;1,"No Payment","Partial Payment")))</f>
        <v>NA</v>
      </c>
      <c r="J300" s="30" t="s">
        <v>1903</v>
      </c>
      <c r="K300" s="32">
        <v>110000</v>
      </c>
      <c r="L300" s="33">
        <f>Q300+R300+U300+Table1[[#This Row],[Farmer Payment]]</f>
        <v>23220.643153290148</v>
      </c>
      <c r="M300" s="30">
        <v>24821</v>
      </c>
      <c r="N300" s="34">
        <v>45756</v>
      </c>
      <c r="O300" s="34" t="s">
        <v>2425</v>
      </c>
      <c r="P300" s="35">
        <f t="shared" si="43"/>
        <v>111600.35684670985</v>
      </c>
      <c r="Q300" s="33">
        <f>AI300+AV300+CK300+Table1[[#This Row],[FY 25-26]]</f>
        <v>23220.643153290148</v>
      </c>
      <c r="R300" s="36"/>
      <c r="S300" s="37"/>
      <c r="T300" s="38"/>
      <c r="U300" s="39"/>
      <c r="V300" s="39"/>
      <c r="W300" s="40">
        <v>0</v>
      </c>
      <c r="X300" s="40">
        <v>0</v>
      </c>
      <c r="Y300" s="40">
        <v>0</v>
      </c>
      <c r="Z300" s="40">
        <v>0</v>
      </c>
      <c r="AA300" s="40">
        <v>0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1">
        <f t="shared" si="44"/>
        <v>0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f t="shared" si="45"/>
        <v>0</v>
      </c>
      <c r="AW300" s="42">
        <v>0</v>
      </c>
      <c r="AX300" s="42">
        <v>0</v>
      </c>
      <c r="AY300" s="42">
        <v>0</v>
      </c>
      <c r="AZ300" s="42">
        <v>632</v>
      </c>
      <c r="BA300" s="42">
        <v>1861</v>
      </c>
      <c r="BB300" s="42">
        <v>0</v>
      </c>
      <c r="BC300" s="42">
        <v>1977.3213609402983</v>
      </c>
      <c r="BD300" s="42">
        <v>0</v>
      </c>
      <c r="BE300" s="42">
        <v>0</v>
      </c>
      <c r="BF300" s="42">
        <v>0</v>
      </c>
      <c r="BG300" s="42">
        <v>0</v>
      </c>
      <c r="BH300" s="42">
        <v>0</v>
      </c>
      <c r="BI300" s="42">
        <v>2597.1302311175345</v>
      </c>
      <c r="BJ300" s="42">
        <v>0</v>
      </c>
      <c r="BK300" s="42">
        <v>0</v>
      </c>
      <c r="BL300" s="42">
        <v>0</v>
      </c>
      <c r="BM300" s="42">
        <v>0</v>
      </c>
      <c r="BN300" s="42">
        <v>3065.4894745915058</v>
      </c>
      <c r="BO300" s="42">
        <v>0</v>
      </c>
      <c r="BP300" s="42">
        <v>0</v>
      </c>
      <c r="BQ300" s="42">
        <v>0</v>
      </c>
      <c r="BR300" s="42">
        <v>0</v>
      </c>
      <c r="BS300" s="42">
        <v>4731.8953250879049</v>
      </c>
      <c r="BT300" s="42">
        <v>0</v>
      </c>
      <c r="BU300" s="42">
        <v>0</v>
      </c>
      <c r="BV300" s="42">
        <v>0</v>
      </c>
      <c r="BW300" s="42">
        <v>0</v>
      </c>
      <c r="BX300" s="42">
        <v>0</v>
      </c>
      <c r="BY300" s="42">
        <v>3990.1616390194581</v>
      </c>
      <c r="BZ300" s="42">
        <v>0</v>
      </c>
      <c r="CA300" s="42">
        <v>0</v>
      </c>
      <c r="CB300" s="42">
        <v>0</v>
      </c>
      <c r="CC300" s="42">
        <v>0</v>
      </c>
      <c r="CD300" s="42">
        <v>4365.6451225334467</v>
      </c>
      <c r="CE300" s="42">
        <v>0</v>
      </c>
      <c r="CF300" s="42">
        <v>0</v>
      </c>
      <c r="CG300" s="42">
        <v>0</v>
      </c>
      <c r="CH300" s="42">
        <v>0</v>
      </c>
      <c r="CI300" s="42">
        <v>0</v>
      </c>
      <c r="CJ300" s="42">
        <v>0</v>
      </c>
      <c r="CK300" s="43">
        <f t="shared" si="46"/>
        <v>23220.643153290148</v>
      </c>
      <c r="CL300" s="66"/>
      <c r="CM300" s="66">
        <v>0</v>
      </c>
      <c r="CN300" s="66">
        <v>0</v>
      </c>
      <c r="CO300" s="66">
        <v>0</v>
      </c>
      <c r="CP300" s="66">
        <v>0</v>
      </c>
      <c r="CQ300" s="66">
        <v>0</v>
      </c>
      <c r="CR300" s="66">
        <v>0</v>
      </c>
      <c r="CS300" s="66">
        <v>0</v>
      </c>
      <c r="CT300" s="66">
        <v>0</v>
      </c>
      <c r="CU300" s="66">
        <v>0</v>
      </c>
      <c r="CV300" s="66">
        <v>0</v>
      </c>
      <c r="CW300" s="66">
        <v>0</v>
      </c>
      <c r="CX300" s="66">
        <v>0</v>
      </c>
      <c r="CY300" s="66">
        <v>0</v>
      </c>
      <c r="CZ300" s="66">
        <v>0</v>
      </c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>
        <f>SUM(Table1[[#This Row],[01-03 Apr]:[Mar-26]])</f>
        <v>0</v>
      </c>
    </row>
    <row r="301" spans="1:115" hidden="1" x14ac:dyDescent="0.2">
      <c r="A301" s="28" t="s">
        <v>2255</v>
      </c>
      <c r="B301" s="29" t="s">
        <v>222</v>
      </c>
      <c r="C301" s="29" t="s">
        <v>222</v>
      </c>
      <c r="D301" s="30" t="s">
        <v>223</v>
      </c>
      <c r="E301" s="30" t="s">
        <v>85</v>
      </c>
      <c r="F301" s="30"/>
      <c r="G301" s="31"/>
      <c r="H301" s="30">
        <v>378733</v>
      </c>
      <c r="I301" s="30" t="str">
        <f>IF(Table1[[#This Row],[Centre Status]]="Returned","NA",IF(Table1[[#This Row],[SD]]&gt;19000,"Full Payment",IF(Table1[[#This Row],[SD]]&lt;1,"No Payment","Partial Payment")))</f>
        <v>NA</v>
      </c>
      <c r="J301" s="30" t="s">
        <v>1903</v>
      </c>
      <c r="K301" s="32">
        <v>110000</v>
      </c>
      <c r="L301" s="33">
        <f>Q301+R301+U301+Table1[[#This Row],[Farmer Payment]]</f>
        <v>18237.461214419363</v>
      </c>
      <c r="M301" s="30">
        <v>19837</v>
      </c>
      <c r="N301" s="34">
        <v>45766</v>
      </c>
      <c r="O301" s="34" t="s">
        <v>2457</v>
      </c>
      <c r="P301" s="35">
        <f t="shared" ref="P301:P364" si="47">K301-L301+M301</f>
        <v>111599.53878558063</v>
      </c>
      <c r="Q301" s="33">
        <f>AI301+AV301+CK301+Table1[[#This Row],[FY 25-26]]</f>
        <v>18237.461214419363</v>
      </c>
      <c r="R301" s="36"/>
      <c r="S301" s="37"/>
      <c r="T301" s="38"/>
      <c r="U301" s="39"/>
      <c r="V301" s="39"/>
      <c r="W301" s="40">
        <v>0</v>
      </c>
      <c r="X301" s="40">
        <v>0</v>
      </c>
      <c r="Y301" s="40">
        <v>0</v>
      </c>
      <c r="Z301" s="40">
        <v>0</v>
      </c>
      <c r="AA301" s="40">
        <v>0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41">
        <f t="shared" ref="AI301:AI364" si="48">SUM(W301:AH301)</f>
        <v>0</v>
      </c>
      <c r="AJ301" s="42">
        <v>0</v>
      </c>
      <c r="AK301" s="42">
        <v>0</v>
      </c>
      <c r="AL301" s="42">
        <v>0</v>
      </c>
      <c r="AM301" s="42">
        <v>0</v>
      </c>
      <c r="AN301" s="42">
        <v>0</v>
      </c>
      <c r="AO301" s="42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42">
        <v>0</v>
      </c>
      <c r="AV301" s="42">
        <f t="shared" ref="AV301:AV364" si="49">SUM(AJ301:AU301)</f>
        <v>0</v>
      </c>
      <c r="AW301" s="42">
        <v>0</v>
      </c>
      <c r="AX301" s="42">
        <v>0</v>
      </c>
      <c r="AY301" s="42">
        <v>0</v>
      </c>
      <c r="AZ301" s="42">
        <v>1861</v>
      </c>
      <c r="BA301" s="42">
        <v>1861</v>
      </c>
      <c r="BB301" s="42">
        <v>0</v>
      </c>
      <c r="BC301" s="42">
        <v>2125.730538185604</v>
      </c>
      <c r="BD301" s="42">
        <v>0</v>
      </c>
      <c r="BE301" s="42">
        <v>0</v>
      </c>
      <c r="BF301" s="42">
        <v>0</v>
      </c>
      <c r="BG301" s="42">
        <v>0</v>
      </c>
      <c r="BH301" s="42">
        <v>0</v>
      </c>
      <c r="BI301" s="42">
        <v>2000.3377938466481</v>
      </c>
      <c r="BJ301" s="42">
        <v>0</v>
      </c>
      <c r="BK301" s="42">
        <v>0</v>
      </c>
      <c r="BL301" s="42">
        <v>0</v>
      </c>
      <c r="BM301" s="42">
        <v>0</v>
      </c>
      <c r="BN301" s="42">
        <v>1901.09734003833</v>
      </c>
      <c r="BO301" s="42">
        <v>0</v>
      </c>
      <c r="BP301" s="42">
        <v>0</v>
      </c>
      <c r="BQ301" s="42">
        <v>0</v>
      </c>
      <c r="BR301" s="42">
        <v>0</v>
      </c>
      <c r="BS301" s="42">
        <v>2924.5835153081616</v>
      </c>
      <c r="BT301" s="42">
        <v>0</v>
      </c>
      <c r="BU301" s="42">
        <v>0</v>
      </c>
      <c r="BV301" s="42">
        <v>0</v>
      </c>
      <c r="BW301" s="42">
        <v>0</v>
      </c>
      <c r="BX301" s="42">
        <v>0</v>
      </c>
      <c r="BY301" s="42">
        <v>2918.3004008404628</v>
      </c>
      <c r="BZ301" s="42">
        <v>0</v>
      </c>
      <c r="CA301" s="42">
        <v>0</v>
      </c>
      <c r="CB301" s="42">
        <v>0</v>
      </c>
      <c r="CC301" s="42">
        <v>0</v>
      </c>
      <c r="CD301" s="42">
        <v>2645.4116262001562</v>
      </c>
      <c r="CE301" s="42">
        <v>0</v>
      </c>
      <c r="CF301" s="42">
        <v>0</v>
      </c>
      <c r="CG301" s="42">
        <v>0</v>
      </c>
      <c r="CH301" s="42">
        <v>0</v>
      </c>
      <c r="CI301" s="42">
        <v>0</v>
      </c>
      <c r="CJ301" s="42">
        <v>0</v>
      </c>
      <c r="CK301" s="43">
        <f t="shared" ref="CK301:CK364" si="50">SUM(AW301:CJ301)</f>
        <v>18237.461214419363</v>
      </c>
      <c r="CL301" s="66"/>
      <c r="CM301" s="66">
        <v>0</v>
      </c>
      <c r="CN301" s="66">
        <v>0</v>
      </c>
      <c r="CO301" s="66">
        <v>0</v>
      </c>
      <c r="CP301" s="66">
        <v>0</v>
      </c>
      <c r="CQ301" s="66">
        <v>0</v>
      </c>
      <c r="CR301" s="66">
        <v>0</v>
      </c>
      <c r="CS301" s="66">
        <v>0</v>
      </c>
      <c r="CT301" s="66">
        <v>0</v>
      </c>
      <c r="CU301" s="66">
        <v>0</v>
      </c>
      <c r="CV301" s="66">
        <v>0</v>
      </c>
      <c r="CW301" s="66">
        <v>0</v>
      </c>
      <c r="CX301" s="66">
        <v>0</v>
      </c>
      <c r="CY301" s="66">
        <v>0</v>
      </c>
      <c r="CZ301" s="66">
        <v>0</v>
      </c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>
        <f>SUM(Table1[[#This Row],[01-03 Apr]:[Mar-26]])</f>
        <v>0</v>
      </c>
    </row>
    <row r="302" spans="1:115" x14ac:dyDescent="0.2">
      <c r="A302" s="28" t="s">
        <v>2255</v>
      </c>
      <c r="B302" s="29" t="s">
        <v>224</v>
      </c>
      <c r="C302" s="29" t="s">
        <v>224</v>
      </c>
      <c r="D302" s="30" t="s">
        <v>225</v>
      </c>
      <c r="E302" s="30" t="s">
        <v>101</v>
      </c>
      <c r="F302" s="30"/>
      <c r="G302" s="31"/>
      <c r="H302" s="30">
        <v>2349702</v>
      </c>
      <c r="I302" s="30" t="str">
        <f>IF(Table1[[#This Row],[Centre Status]]="Returned","NA",IF(Table1[[#This Row],[SD]]&gt;19000,"Full Payment",IF(Table1[[#This Row],[SD]]&lt;1,"No Payment","Partial Payment")))</f>
        <v>No Payment</v>
      </c>
      <c r="J302" s="30" t="s">
        <v>58</v>
      </c>
      <c r="K302" s="32">
        <v>110000</v>
      </c>
      <c r="L302" s="33">
        <f>Q302+R302+U302+Table1[[#This Row],[Farmer Payment]]</f>
        <v>21019</v>
      </c>
      <c r="M302" s="30"/>
      <c r="N302" s="34"/>
      <c r="O302" s="34"/>
      <c r="P302" s="35">
        <f t="shared" si="47"/>
        <v>88981</v>
      </c>
      <c r="Q302" s="33">
        <f>AI302+AV302+CK302+Table1[[#This Row],[FY 25-26]]</f>
        <v>21019</v>
      </c>
      <c r="R302" s="36"/>
      <c r="S302" s="37"/>
      <c r="T302" s="38"/>
      <c r="U302" s="39"/>
      <c r="V302" s="39"/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0</v>
      </c>
      <c r="AD302" s="40">
        <v>0</v>
      </c>
      <c r="AE302" s="40">
        <v>0</v>
      </c>
      <c r="AF302" s="40">
        <v>0</v>
      </c>
      <c r="AG302" s="40">
        <v>0</v>
      </c>
      <c r="AH302" s="40">
        <v>0</v>
      </c>
      <c r="AI302" s="41">
        <f t="shared" si="48"/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0</v>
      </c>
      <c r="AO302" s="42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0</v>
      </c>
      <c r="AU302" s="42">
        <v>0</v>
      </c>
      <c r="AV302" s="42">
        <f t="shared" si="49"/>
        <v>0</v>
      </c>
      <c r="AW302" s="42">
        <v>0</v>
      </c>
      <c r="AX302" s="42">
        <v>0</v>
      </c>
      <c r="AY302" s="42">
        <v>1810</v>
      </c>
      <c r="AZ302" s="42">
        <v>1861</v>
      </c>
      <c r="BA302" s="42">
        <v>1861</v>
      </c>
      <c r="BB302" s="42">
        <v>0</v>
      </c>
      <c r="BC302" s="42">
        <v>1861</v>
      </c>
      <c r="BD302" s="42">
        <v>0</v>
      </c>
      <c r="BE302" s="42">
        <v>0</v>
      </c>
      <c r="BF302" s="42">
        <v>0</v>
      </c>
      <c r="BG302" s="42">
        <v>0</v>
      </c>
      <c r="BH302" s="42">
        <v>0</v>
      </c>
      <c r="BI302" s="42">
        <v>1861</v>
      </c>
      <c r="BJ302" s="42">
        <v>0</v>
      </c>
      <c r="BK302" s="42">
        <v>0</v>
      </c>
      <c r="BL302" s="42">
        <v>0</v>
      </c>
      <c r="BM302" s="42">
        <v>0</v>
      </c>
      <c r="BN302" s="42">
        <v>1861</v>
      </c>
      <c r="BO302" s="42">
        <v>0</v>
      </c>
      <c r="BP302" s="42">
        <v>0</v>
      </c>
      <c r="BQ302" s="42">
        <v>0</v>
      </c>
      <c r="BR302" s="42">
        <v>0</v>
      </c>
      <c r="BS302" s="42">
        <v>1861</v>
      </c>
      <c r="BT302" s="42">
        <v>0</v>
      </c>
      <c r="BU302" s="42">
        <v>0</v>
      </c>
      <c r="BV302" s="42">
        <v>0</v>
      </c>
      <c r="BW302" s="42">
        <v>0</v>
      </c>
      <c r="BX302" s="42">
        <v>0</v>
      </c>
      <c r="BY302" s="42">
        <v>1861</v>
      </c>
      <c r="BZ302" s="42">
        <v>0</v>
      </c>
      <c r="CA302" s="42">
        <v>0</v>
      </c>
      <c r="CB302" s="42">
        <v>0</v>
      </c>
      <c r="CC302" s="42">
        <v>0</v>
      </c>
      <c r="CD302" s="42">
        <v>1861</v>
      </c>
      <c r="CE302" s="42">
        <v>0</v>
      </c>
      <c r="CF302" s="42">
        <v>0</v>
      </c>
      <c r="CG302" s="42">
        <v>0</v>
      </c>
      <c r="CH302" s="42">
        <v>0</v>
      </c>
      <c r="CI302" s="42">
        <v>0</v>
      </c>
      <c r="CJ302" s="42">
        <v>1861</v>
      </c>
      <c r="CK302" s="43">
        <f t="shared" si="50"/>
        <v>18559</v>
      </c>
      <c r="CL302" s="66"/>
      <c r="CM302" s="66">
        <v>0</v>
      </c>
      <c r="CN302" s="66">
        <v>0</v>
      </c>
      <c r="CO302" s="66">
        <v>0</v>
      </c>
      <c r="CP302" s="66">
        <v>1861</v>
      </c>
      <c r="CQ302" s="66">
        <v>0</v>
      </c>
      <c r="CR302" s="66">
        <v>0</v>
      </c>
      <c r="CS302" s="66">
        <v>0</v>
      </c>
      <c r="CT302" s="66">
        <v>0</v>
      </c>
      <c r="CU302" s="66">
        <v>0</v>
      </c>
      <c r="CV302" s="66">
        <v>599</v>
      </c>
      <c r="CW302" s="66">
        <v>0</v>
      </c>
      <c r="CX302" s="66">
        <v>0</v>
      </c>
      <c r="CY302" s="66">
        <v>0</v>
      </c>
      <c r="CZ302" s="66">
        <v>0</v>
      </c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>
        <f>SUM(Table1[[#This Row],[01-03 Apr]:[Mar-26]])</f>
        <v>2460</v>
      </c>
    </row>
    <row r="303" spans="1:115" x14ac:dyDescent="0.2">
      <c r="A303" s="28" t="s">
        <v>2255</v>
      </c>
      <c r="B303" s="29" t="s">
        <v>226</v>
      </c>
      <c r="C303" s="29" t="s">
        <v>226</v>
      </c>
      <c r="D303" s="30" t="s">
        <v>227</v>
      </c>
      <c r="E303" s="30" t="s">
        <v>101</v>
      </c>
      <c r="F303" s="30"/>
      <c r="G303" s="31"/>
      <c r="H303" s="30">
        <v>2349730</v>
      </c>
      <c r="I303" s="30" t="str">
        <f>IF(Table1[[#This Row],[Centre Status]]="Returned","NA",IF(Table1[[#This Row],[SD]]&gt;19000,"Full Payment",IF(Table1[[#This Row],[SD]]&lt;1,"No Payment","Partial Payment")))</f>
        <v>No Payment</v>
      </c>
      <c r="J303" s="30" t="s">
        <v>58</v>
      </c>
      <c r="K303" s="32">
        <v>110000</v>
      </c>
      <c r="L303" s="33">
        <f>Q303+R303+U303+Table1[[#This Row],[Farmer Payment]]</f>
        <v>25995</v>
      </c>
      <c r="M303" s="30"/>
      <c r="N303" s="34"/>
      <c r="O303" s="34"/>
      <c r="P303" s="35">
        <f t="shared" si="47"/>
        <v>84005</v>
      </c>
      <c r="Q303" s="33">
        <f>AI303+AV303+CK303+Table1[[#This Row],[FY 25-26]]</f>
        <v>25995</v>
      </c>
      <c r="R303" s="36"/>
      <c r="S303" s="37"/>
      <c r="T303" s="38"/>
      <c r="U303" s="39"/>
      <c r="V303" s="39"/>
      <c r="W303" s="40">
        <v>0</v>
      </c>
      <c r="X303" s="40">
        <v>0</v>
      </c>
      <c r="Y303" s="40">
        <v>0</v>
      </c>
      <c r="Z303" s="40">
        <v>0</v>
      </c>
      <c r="AA303" s="40">
        <v>0</v>
      </c>
      <c r="AB303" s="40">
        <v>0</v>
      </c>
      <c r="AC303" s="40">
        <v>0</v>
      </c>
      <c r="AD303" s="40">
        <v>0</v>
      </c>
      <c r="AE303" s="40">
        <v>0</v>
      </c>
      <c r="AF303" s="40">
        <v>0</v>
      </c>
      <c r="AG303" s="40">
        <v>0</v>
      </c>
      <c r="AH303" s="40">
        <v>0</v>
      </c>
      <c r="AI303" s="41">
        <f t="shared" si="48"/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0</v>
      </c>
      <c r="AO303" s="42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0</v>
      </c>
      <c r="AU303" s="42">
        <v>0</v>
      </c>
      <c r="AV303" s="42">
        <f t="shared" si="49"/>
        <v>0</v>
      </c>
      <c r="AW303" s="42">
        <v>0</v>
      </c>
      <c r="AX303" s="42">
        <v>0</v>
      </c>
      <c r="AY303" s="42">
        <v>1861</v>
      </c>
      <c r="AZ303" s="42">
        <v>1861</v>
      </c>
      <c r="BA303" s="42">
        <v>1551</v>
      </c>
      <c r="BB303" s="42">
        <v>500</v>
      </c>
      <c r="BC303" s="42">
        <v>861</v>
      </c>
      <c r="BD303" s="42">
        <v>500</v>
      </c>
      <c r="BE303" s="42">
        <v>500</v>
      </c>
      <c r="BF303" s="42">
        <v>500</v>
      </c>
      <c r="BG303" s="42">
        <v>500</v>
      </c>
      <c r="BH303" s="42">
        <v>500</v>
      </c>
      <c r="BI303" s="42">
        <v>0</v>
      </c>
      <c r="BJ303" s="42">
        <v>500</v>
      </c>
      <c r="BK303" s="42">
        <v>500</v>
      </c>
      <c r="BL303" s="42">
        <v>500</v>
      </c>
      <c r="BM303" s="42">
        <v>500</v>
      </c>
      <c r="BN303" s="42">
        <v>0</v>
      </c>
      <c r="BO303" s="42">
        <v>500</v>
      </c>
      <c r="BP303" s="42">
        <v>500</v>
      </c>
      <c r="BQ303" s="42">
        <v>500</v>
      </c>
      <c r="BR303" s="42">
        <v>500</v>
      </c>
      <c r="BS303" s="42">
        <v>0</v>
      </c>
      <c r="BT303" s="42">
        <v>500</v>
      </c>
      <c r="BU303" s="42">
        <v>500</v>
      </c>
      <c r="BV303" s="42">
        <v>500</v>
      </c>
      <c r="BW303" s="42">
        <v>500</v>
      </c>
      <c r="BX303" s="42">
        <v>500</v>
      </c>
      <c r="BY303" s="42">
        <v>0</v>
      </c>
      <c r="BZ303" s="42">
        <v>500</v>
      </c>
      <c r="CA303" s="42">
        <v>0</v>
      </c>
      <c r="CB303" s="42">
        <v>500</v>
      </c>
      <c r="CC303" s="42">
        <v>500</v>
      </c>
      <c r="CD303" s="42">
        <v>361</v>
      </c>
      <c r="CE303" s="42">
        <v>500</v>
      </c>
      <c r="CF303" s="42">
        <v>500</v>
      </c>
      <c r="CG303" s="42">
        <v>500</v>
      </c>
      <c r="CH303" s="42">
        <v>500</v>
      </c>
      <c r="CI303" s="42">
        <v>500</v>
      </c>
      <c r="CJ303" s="42">
        <v>0</v>
      </c>
      <c r="CK303" s="43">
        <f t="shared" si="50"/>
        <v>19995</v>
      </c>
      <c r="CL303" s="66"/>
      <c r="CM303" s="66">
        <v>500</v>
      </c>
      <c r="CN303" s="66">
        <v>500</v>
      </c>
      <c r="CO303" s="66">
        <v>500</v>
      </c>
      <c r="CP303" s="66">
        <v>0</v>
      </c>
      <c r="CQ303" s="66">
        <v>500</v>
      </c>
      <c r="CR303" s="66">
        <v>500</v>
      </c>
      <c r="CS303" s="66">
        <v>500</v>
      </c>
      <c r="CT303" s="66">
        <v>500</v>
      </c>
      <c r="CU303" s="66">
        <v>500</v>
      </c>
      <c r="CV303" s="66">
        <v>0</v>
      </c>
      <c r="CW303" s="66">
        <v>500</v>
      </c>
      <c r="CX303" s="66">
        <v>500</v>
      </c>
      <c r="CY303" s="66">
        <v>500</v>
      </c>
      <c r="CZ303" s="66">
        <v>500</v>
      </c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>
        <f>SUM(Table1[[#This Row],[01-03 Apr]:[Mar-26]])</f>
        <v>6000</v>
      </c>
    </row>
    <row r="304" spans="1:115" x14ac:dyDescent="0.2">
      <c r="A304" s="28" t="s">
        <v>2255</v>
      </c>
      <c r="B304" s="29" t="s">
        <v>230</v>
      </c>
      <c r="C304" s="29" t="s">
        <v>230</v>
      </c>
      <c r="D304" s="30" t="s">
        <v>231</v>
      </c>
      <c r="E304" s="30" t="s">
        <v>217</v>
      </c>
      <c r="F304" s="30"/>
      <c r="G304" s="31"/>
      <c r="H304" s="30">
        <v>382405</v>
      </c>
      <c r="I304" s="30" t="str">
        <f>IF(Table1[[#This Row],[Centre Status]]="Returned","NA",IF(Table1[[#This Row],[SD]]&gt;19000,"Full Payment",IF(Table1[[#This Row],[SD]]&lt;1,"No Payment","Partial Payment")))</f>
        <v>No Payment</v>
      </c>
      <c r="J304" s="30" t="s">
        <v>58</v>
      </c>
      <c r="K304" s="32">
        <v>110000</v>
      </c>
      <c r="L304" s="33">
        <f>Q304+R304+U304+Table1[[#This Row],[Farmer Payment]]</f>
        <v>28064.832728798719</v>
      </c>
      <c r="M304" s="30"/>
      <c r="N304" s="34"/>
      <c r="O304" s="34"/>
      <c r="P304" s="35">
        <f t="shared" si="47"/>
        <v>81935.167271201281</v>
      </c>
      <c r="Q304" s="33">
        <f>AI304+AV304+CK304+Table1[[#This Row],[FY 25-26]]</f>
        <v>28064.832728798719</v>
      </c>
      <c r="R304" s="36"/>
      <c r="S304" s="37"/>
      <c r="T304" s="38"/>
      <c r="U304" s="39"/>
      <c r="V304" s="39"/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0</v>
      </c>
      <c r="AH304" s="40">
        <v>0</v>
      </c>
      <c r="AI304" s="41">
        <f t="shared" si="48"/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0</v>
      </c>
      <c r="AO304" s="42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42">
        <v>0</v>
      </c>
      <c r="AV304" s="42">
        <f t="shared" si="49"/>
        <v>0</v>
      </c>
      <c r="AW304" s="42">
        <v>0</v>
      </c>
      <c r="AX304" s="42">
        <v>0</v>
      </c>
      <c r="AY304" s="42">
        <v>1677</v>
      </c>
      <c r="AZ304" s="42">
        <v>1861</v>
      </c>
      <c r="BA304" s="42">
        <v>1861</v>
      </c>
      <c r="BB304" s="42">
        <v>0</v>
      </c>
      <c r="BC304" s="42">
        <v>1861</v>
      </c>
      <c r="BD304" s="42">
        <v>0</v>
      </c>
      <c r="BE304" s="42">
        <v>0</v>
      </c>
      <c r="BF304" s="42">
        <v>0</v>
      </c>
      <c r="BG304" s="42">
        <v>0</v>
      </c>
      <c r="BH304" s="42">
        <v>0</v>
      </c>
      <c r="BI304" s="42">
        <v>1647</v>
      </c>
      <c r="BJ304" s="42">
        <v>0</v>
      </c>
      <c r="BK304" s="42">
        <v>0</v>
      </c>
      <c r="BL304" s="42">
        <v>500</v>
      </c>
      <c r="BM304" s="42">
        <v>500</v>
      </c>
      <c r="BN304" s="42">
        <v>861</v>
      </c>
      <c r="BO304" s="42">
        <v>500</v>
      </c>
      <c r="BP304" s="42">
        <v>500</v>
      </c>
      <c r="BQ304" s="42">
        <v>500</v>
      </c>
      <c r="BR304" s="42">
        <v>500</v>
      </c>
      <c r="BS304" s="42">
        <v>0</v>
      </c>
      <c r="BT304" s="42">
        <v>500</v>
      </c>
      <c r="BU304" s="42">
        <v>500</v>
      </c>
      <c r="BV304" s="42">
        <v>0</v>
      </c>
      <c r="BW304" s="42">
        <v>0</v>
      </c>
      <c r="BX304" s="42">
        <v>0</v>
      </c>
      <c r="BY304" s="42">
        <v>2244.4680396083209</v>
      </c>
      <c r="BZ304" s="42">
        <v>0</v>
      </c>
      <c r="CA304" s="42">
        <v>0</v>
      </c>
      <c r="CB304" s="42">
        <v>0</v>
      </c>
      <c r="CC304" s="42">
        <v>0</v>
      </c>
      <c r="CD304" s="42">
        <v>2853.9836711424009</v>
      </c>
      <c r="CE304" s="42">
        <v>0</v>
      </c>
      <c r="CF304" s="42">
        <v>0</v>
      </c>
      <c r="CG304" s="42">
        <v>0</v>
      </c>
      <c r="CH304" s="42">
        <v>0</v>
      </c>
      <c r="CI304" s="42">
        <v>0</v>
      </c>
      <c r="CJ304" s="42">
        <v>3557.75847318144</v>
      </c>
      <c r="CK304" s="43">
        <f t="shared" si="50"/>
        <v>22424.210183932159</v>
      </c>
      <c r="CL304" s="66"/>
      <c r="CM304" s="66">
        <v>0</v>
      </c>
      <c r="CN304" s="66">
        <v>0</v>
      </c>
      <c r="CO304" s="66">
        <v>0</v>
      </c>
      <c r="CP304" s="66">
        <v>3487.4451741235202</v>
      </c>
      <c r="CQ304" s="66">
        <v>0</v>
      </c>
      <c r="CR304" s="66">
        <v>0</v>
      </c>
      <c r="CS304" s="66">
        <v>0</v>
      </c>
      <c r="CT304" s="66">
        <v>0</v>
      </c>
      <c r="CU304" s="66">
        <v>0</v>
      </c>
      <c r="CV304" s="66">
        <v>2153.1773707430402</v>
      </c>
      <c r="CW304" s="66">
        <v>0</v>
      </c>
      <c r="CX304" s="66">
        <v>0</v>
      </c>
      <c r="CY304" s="66">
        <v>0</v>
      </c>
      <c r="CZ304" s="66">
        <v>0</v>
      </c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>
        <f>SUM(Table1[[#This Row],[01-03 Apr]:[Mar-26]])</f>
        <v>5640.6225448665609</v>
      </c>
    </row>
    <row r="305" spans="1:115" x14ac:dyDescent="0.2">
      <c r="A305" s="28" t="s">
        <v>2255</v>
      </c>
      <c r="B305" s="29" t="s">
        <v>232</v>
      </c>
      <c r="C305" s="29" t="s">
        <v>232</v>
      </c>
      <c r="D305" s="30" t="s">
        <v>233</v>
      </c>
      <c r="E305" s="30" t="s">
        <v>217</v>
      </c>
      <c r="F305" s="30"/>
      <c r="G305" s="31"/>
      <c r="H305" s="30">
        <v>378749</v>
      </c>
      <c r="I305" s="30" t="str">
        <f>IF(Table1[[#This Row],[Centre Status]]="Returned","NA",IF(Table1[[#This Row],[SD]]&gt;19000,"Full Payment",IF(Table1[[#This Row],[SD]]&lt;1,"No Payment","Partial Payment")))</f>
        <v>No Payment</v>
      </c>
      <c r="J305" s="30" t="s">
        <v>58</v>
      </c>
      <c r="K305" s="32">
        <v>110000</v>
      </c>
      <c r="L305" s="33">
        <f>Q305+R305+U305+Table1[[#This Row],[Farmer Payment]]</f>
        <v>32707.422129921652</v>
      </c>
      <c r="M305" s="30"/>
      <c r="N305" s="34"/>
      <c r="O305" s="34"/>
      <c r="P305" s="35">
        <f t="shared" si="47"/>
        <v>77292.577870078356</v>
      </c>
      <c r="Q305" s="33">
        <f>AI305+AV305+CK305+Table1[[#This Row],[FY 25-26]]</f>
        <v>32707.422129921652</v>
      </c>
      <c r="R305" s="36"/>
      <c r="S305" s="37"/>
      <c r="T305" s="38"/>
      <c r="U305" s="39"/>
      <c r="V305" s="39"/>
      <c r="W305" s="40">
        <v>0</v>
      </c>
      <c r="X305" s="40">
        <v>0</v>
      </c>
      <c r="Y305" s="40">
        <v>0</v>
      </c>
      <c r="Z305" s="40">
        <v>0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0</v>
      </c>
      <c r="AH305" s="40">
        <v>0</v>
      </c>
      <c r="AI305" s="41">
        <f t="shared" si="48"/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2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0</v>
      </c>
      <c r="AU305" s="42">
        <v>0</v>
      </c>
      <c r="AV305" s="42">
        <f t="shared" si="49"/>
        <v>0</v>
      </c>
      <c r="AW305" s="42">
        <v>0</v>
      </c>
      <c r="AX305" s="42">
        <v>0</v>
      </c>
      <c r="AY305" s="42">
        <v>3454.7758135257604</v>
      </c>
      <c r="AZ305" s="42">
        <v>5515.976994312633</v>
      </c>
      <c r="BA305" s="42">
        <v>4571.8344829401603</v>
      </c>
      <c r="BB305" s="42">
        <v>0</v>
      </c>
      <c r="BC305" s="42">
        <v>4483.2853417939205</v>
      </c>
      <c r="BD305" s="42">
        <v>0</v>
      </c>
      <c r="BE305" s="42">
        <v>0</v>
      </c>
      <c r="BF305" s="42">
        <v>0</v>
      </c>
      <c r="BG305" s="42">
        <v>0</v>
      </c>
      <c r="BH305" s="42">
        <v>0</v>
      </c>
      <c r="BI305" s="42">
        <v>1875.54949734918</v>
      </c>
      <c r="BJ305" s="42">
        <v>0</v>
      </c>
      <c r="BK305" s="42">
        <v>0</v>
      </c>
      <c r="BL305" s="42">
        <v>0</v>
      </c>
      <c r="BM305" s="42">
        <v>0</v>
      </c>
      <c r="BN305" s="42">
        <v>945</v>
      </c>
      <c r="BO305" s="42">
        <v>500</v>
      </c>
      <c r="BP305" s="42">
        <v>500</v>
      </c>
      <c r="BQ305" s="42">
        <v>500</v>
      </c>
      <c r="BR305" s="42">
        <v>500</v>
      </c>
      <c r="BS305" s="42">
        <v>0</v>
      </c>
      <c r="BT305" s="42">
        <v>0</v>
      </c>
      <c r="BU305" s="42">
        <v>500</v>
      </c>
      <c r="BV305" s="42">
        <v>500</v>
      </c>
      <c r="BW305" s="42">
        <v>500</v>
      </c>
      <c r="BX305" s="42">
        <v>500</v>
      </c>
      <c r="BY305" s="42">
        <v>0</v>
      </c>
      <c r="BZ305" s="42">
        <v>500</v>
      </c>
      <c r="CA305" s="42">
        <v>500</v>
      </c>
      <c r="CB305" s="42">
        <v>500</v>
      </c>
      <c r="CC305" s="42">
        <v>500</v>
      </c>
      <c r="CD305" s="42">
        <v>0</v>
      </c>
      <c r="CE305" s="42">
        <v>0</v>
      </c>
      <c r="CF305" s="42">
        <v>500</v>
      </c>
      <c r="CG305" s="42">
        <v>500</v>
      </c>
      <c r="CH305" s="42">
        <v>500</v>
      </c>
      <c r="CI305" s="42">
        <v>500</v>
      </c>
      <c r="CJ305" s="42">
        <v>0</v>
      </c>
      <c r="CK305" s="43">
        <f t="shared" si="50"/>
        <v>28846.422129921652</v>
      </c>
      <c r="CL305" s="66"/>
      <c r="CM305" s="66">
        <v>500</v>
      </c>
      <c r="CN305" s="66">
        <v>500</v>
      </c>
      <c r="CO305" s="66">
        <v>0</v>
      </c>
      <c r="CP305" s="66">
        <v>0</v>
      </c>
      <c r="CQ305" s="66">
        <v>500</v>
      </c>
      <c r="CR305" s="66">
        <v>500</v>
      </c>
      <c r="CS305" s="66">
        <v>0</v>
      </c>
      <c r="CT305" s="66">
        <v>500</v>
      </c>
      <c r="CU305" s="66">
        <v>500</v>
      </c>
      <c r="CV305" s="66">
        <v>361</v>
      </c>
      <c r="CW305" s="66">
        <v>0</v>
      </c>
      <c r="CX305" s="66">
        <v>0</v>
      </c>
      <c r="CY305" s="66">
        <v>0</v>
      </c>
      <c r="CZ305" s="66">
        <v>500</v>
      </c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>
        <f>SUM(Table1[[#This Row],[01-03 Apr]:[Mar-26]])</f>
        <v>3861</v>
      </c>
    </row>
    <row r="306" spans="1:115" hidden="1" x14ac:dyDescent="0.2">
      <c r="A306" s="28">
        <v>0</v>
      </c>
      <c r="B306" s="29" t="s">
        <v>234</v>
      </c>
      <c r="C306" s="29" t="s">
        <v>234</v>
      </c>
      <c r="D306" s="30" t="s">
        <v>235</v>
      </c>
      <c r="E306" s="30" t="s">
        <v>85</v>
      </c>
      <c r="F306" s="30"/>
      <c r="G306" s="31"/>
      <c r="H306" s="30">
        <v>365835</v>
      </c>
      <c r="I306" s="30" t="str">
        <f>IF(Table1[[#This Row],[Centre Status]]="Returned","NA",IF(Table1[[#This Row],[SD]]&gt;19000,"Full Payment",IF(Table1[[#This Row],[SD]]&lt;1,"No Payment","Partial Payment")))</f>
        <v>NA</v>
      </c>
      <c r="J306" s="30" t="s">
        <v>1903</v>
      </c>
      <c r="K306" s="32">
        <v>110000</v>
      </c>
      <c r="L306" s="33">
        <f>Q306+R306+U306+Table1[[#This Row],[Farmer Payment]]</f>
        <v>10114</v>
      </c>
      <c r="M306" s="30">
        <v>10000</v>
      </c>
      <c r="N306" s="34">
        <v>45565</v>
      </c>
      <c r="O306" s="34" t="s">
        <v>2457</v>
      </c>
      <c r="P306" s="35">
        <f t="shared" si="47"/>
        <v>109886</v>
      </c>
      <c r="Q306" s="33">
        <f>AI306+AV306+CK306+Table1[[#This Row],[FY 25-26]]</f>
        <v>114</v>
      </c>
      <c r="R306" s="36">
        <v>10000</v>
      </c>
      <c r="S306" s="37" t="s">
        <v>2342</v>
      </c>
      <c r="T306" s="38">
        <v>45440</v>
      </c>
      <c r="U306" s="39"/>
      <c r="V306" s="39"/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1">
        <f t="shared" si="48"/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42">
        <v>0</v>
      </c>
      <c r="AV306" s="42">
        <f t="shared" si="49"/>
        <v>0</v>
      </c>
      <c r="AW306" s="42">
        <v>0</v>
      </c>
      <c r="AX306" s="42">
        <v>0</v>
      </c>
      <c r="AY306" s="42">
        <v>0</v>
      </c>
      <c r="AZ306" s="42">
        <v>114</v>
      </c>
      <c r="BA306" s="42">
        <v>0</v>
      </c>
      <c r="BB306" s="42">
        <v>0</v>
      </c>
      <c r="BC306" s="42">
        <v>0</v>
      </c>
      <c r="BD306" s="42">
        <v>0</v>
      </c>
      <c r="BE306" s="42">
        <v>0</v>
      </c>
      <c r="BF306" s="42">
        <v>0</v>
      </c>
      <c r="BG306" s="42">
        <v>0</v>
      </c>
      <c r="BH306" s="42">
        <v>0</v>
      </c>
      <c r="BI306" s="42">
        <v>0</v>
      </c>
      <c r="BJ306" s="42">
        <v>0</v>
      </c>
      <c r="BK306" s="42">
        <v>0</v>
      </c>
      <c r="BL306" s="42">
        <v>0</v>
      </c>
      <c r="BM306" s="42">
        <v>0</v>
      </c>
      <c r="BN306" s="42">
        <v>0</v>
      </c>
      <c r="BO306" s="42">
        <v>0</v>
      </c>
      <c r="BP306" s="42">
        <v>0</v>
      </c>
      <c r="BQ306" s="42">
        <v>0</v>
      </c>
      <c r="BR306" s="42">
        <v>0</v>
      </c>
      <c r="BS306" s="42">
        <v>0</v>
      </c>
      <c r="BT306" s="42">
        <v>0</v>
      </c>
      <c r="BU306" s="42">
        <v>0</v>
      </c>
      <c r="BV306" s="42">
        <v>0</v>
      </c>
      <c r="BW306" s="42">
        <v>0</v>
      </c>
      <c r="BX306" s="42">
        <v>0</v>
      </c>
      <c r="BY306" s="42">
        <v>0</v>
      </c>
      <c r="BZ306" s="42">
        <v>0</v>
      </c>
      <c r="CA306" s="42">
        <v>0</v>
      </c>
      <c r="CB306" s="42">
        <v>0</v>
      </c>
      <c r="CC306" s="42">
        <v>0</v>
      </c>
      <c r="CD306" s="42">
        <v>0</v>
      </c>
      <c r="CE306" s="42">
        <v>0</v>
      </c>
      <c r="CF306" s="42">
        <v>0</v>
      </c>
      <c r="CG306" s="42">
        <v>0</v>
      </c>
      <c r="CH306" s="42">
        <v>0</v>
      </c>
      <c r="CI306" s="42">
        <v>0</v>
      </c>
      <c r="CJ306" s="42">
        <v>0</v>
      </c>
      <c r="CK306" s="43">
        <f t="shared" si="50"/>
        <v>114</v>
      </c>
      <c r="CL306" s="66"/>
      <c r="CM306" s="66">
        <v>0</v>
      </c>
      <c r="CN306" s="66">
        <v>0</v>
      </c>
      <c r="CO306" s="66">
        <v>0</v>
      </c>
      <c r="CP306" s="66">
        <v>0</v>
      </c>
      <c r="CQ306" s="66">
        <v>0</v>
      </c>
      <c r="CR306" s="66">
        <v>0</v>
      </c>
      <c r="CS306" s="66">
        <v>0</v>
      </c>
      <c r="CT306" s="66">
        <v>0</v>
      </c>
      <c r="CU306" s="66">
        <v>0</v>
      </c>
      <c r="CV306" s="66">
        <v>0</v>
      </c>
      <c r="CW306" s="66">
        <v>0</v>
      </c>
      <c r="CX306" s="66">
        <v>0</v>
      </c>
      <c r="CY306" s="66">
        <v>0</v>
      </c>
      <c r="CZ306" s="66">
        <v>0</v>
      </c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>
        <f>SUM(Table1[[#This Row],[01-03 Apr]:[Mar-26]])</f>
        <v>0</v>
      </c>
    </row>
    <row r="307" spans="1:115" hidden="1" x14ac:dyDescent="0.2">
      <c r="A307" s="28" t="s">
        <v>2254</v>
      </c>
      <c r="B307" s="29" t="s">
        <v>236</v>
      </c>
      <c r="C307" s="29" t="s">
        <v>236</v>
      </c>
      <c r="D307" s="30" t="s">
        <v>237</v>
      </c>
      <c r="E307" s="30" t="s">
        <v>943</v>
      </c>
      <c r="F307" s="30"/>
      <c r="G307" s="31"/>
      <c r="H307" s="30">
        <v>379674</v>
      </c>
      <c r="I307" s="30" t="str">
        <f>IF(Table1[[#This Row],[Centre Status]]="Returned","NA",IF(Table1[[#This Row],[SD]]&gt;19000,"Full Payment",IF(Table1[[#This Row],[SD]]&lt;1,"No Payment","Partial Payment")))</f>
        <v>Full Payment</v>
      </c>
      <c r="J307" s="30" t="s">
        <v>58</v>
      </c>
      <c r="K307" s="32">
        <v>110000</v>
      </c>
      <c r="L307" s="33">
        <f>Q307+R307+U307+Table1[[#This Row],[Farmer Payment]]</f>
        <v>56346.463271188222</v>
      </c>
      <c r="M307" s="30"/>
      <c r="N307" s="34"/>
      <c r="O307" s="34"/>
      <c r="P307" s="35">
        <f t="shared" si="47"/>
        <v>53653.536728811778</v>
      </c>
      <c r="Q307" s="33">
        <f>AI307+AV307+CK307+Table1[[#This Row],[FY 25-26]]</f>
        <v>36346.463271188222</v>
      </c>
      <c r="R307" s="36">
        <v>20000</v>
      </c>
      <c r="S307" s="37" t="s">
        <v>1298</v>
      </c>
      <c r="T307" s="38">
        <v>45273</v>
      </c>
      <c r="U307" s="39"/>
      <c r="V307" s="39"/>
      <c r="W307" s="40">
        <v>0</v>
      </c>
      <c r="X307" s="40">
        <v>0</v>
      </c>
      <c r="Y307" s="40">
        <v>0</v>
      </c>
      <c r="Z307" s="40">
        <v>0</v>
      </c>
      <c r="AA307" s="40">
        <v>0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0</v>
      </c>
      <c r="AH307" s="40">
        <v>0</v>
      </c>
      <c r="AI307" s="41">
        <f t="shared" si="48"/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42">
        <v>0</v>
      </c>
      <c r="AV307" s="42">
        <f t="shared" si="49"/>
        <v>0</v>
      </c>
      <c r="AW307" s="42">
        <v>0</v>
      </c>
      <c r="AX307" s="42">
        <v>0</v>
      </c>
      <c r="AY307" s="42">
        <v>1762</v>
      </c>
      <c r="AZ307" s="42">
        <v>2000</v>
      </c>
      <c r="BA307" s="42">
        <v>2000</v>
      </c>
      <c r="BB307" s="42">
        <v>0</v>
      </c>
      <c r="BC307" s="42">
        <v>5923.1396302540807</v>
      </c>
      <c r="BD307" s="42">
        <v>0</v>
      </c>
      <c r="BE307" s="42">
        <v>0</v>
      </c>
      <c r="BF307" s="42">
        <v>0</v>
      </c>
      <c r="BG307" s="42">
        <v>0</v>
      </c>
      <c r="BH307" s="42">
        <v>0</v>
      </c>
      <c r="BI307" s="42">
        <v>4335.8027047449605</v>
      </c>
      <c r="BJ307" s="42">
        <v>0</v>
      </c>
      <c r="BK307" s="42">
        <v>0</v>
      </c>
      <c r="BL307" s="42">
        <v>0</v>
      </c>
      <c r="BM307" s="42">
        <v>0</v>
      </c>
      <c r="BN307" s="42">
        <v>2899.2126396556805</v>
      </c>
      <c r="BO307" s="42">
        <v>0</v>
      </c>
      <c r="BP307" s="42">
        <v>0</v>
      </c>
      <c r="BQ307" s="42">
        <v>0</v>
      </c>
      <c r="BR307" s="42">
        <v>0</v>
      </c>
      <c r="BS307" s="42">
        <v>3273.5664485285806</v>
      </c>
      <c r="BT307" s="42">
        <v>0</v>
      </c>
      <c r="BU307" s="42">
        <v>0</v>
      </c>
      <c r="BV307" s="42">
        <v>0</v>
      </c>
      <c r="BW307" s="42">
        <v>0</v>
      </c>
      <c r="BX307" s="42">
        <v>0</v>
      </c>
      <c r="BY307" s="42">
        <v>3114.7355874172349</v>
      </c>
      <c r="BZ307" s="42">
        <v>0</v>
      </c>
      <c r="CA307" s="42">
        <v>0</v>
      </c>
      <c r="CB307" s="42">
        <v>0</v>
      </c>
      <c r="CC307" s="42">
        <v>0</v>
      </c>
      <c r="CD307" s="42">
        <v>3369.5611328188061</v>
      </c>
      <c r="CE307" s="42">
        <v>0</v>
      </c>
      <c r="CF307" s="42">
        <v>0</v>
      </c>
      <c r="CG307" s="42">
        <v>0</v>
      </c>
      <c r="CH307" s="42">
        <v>0</v>
      </c>
      <c r="CI307" s="42">
        <v>0</v>
      </c>
      <c r="CJ307" s="42">
        <v>3054.4700891551142</v>
      </c>
      <c r="CK307" s="43">
        <f t="shared" si="50"/>
        <v>31732.488232574462</v>
      </c>
      <c r="CL307" s="66"/>
      <c r="CM307" s="66">
        <v>0</v>
      </c>
      <c r="CN307" s="66">
        <v>0</v>
      </c>
      <c r="CO307" s="66">
        <v>0</v>
      </c>
      <c r="CP307" s="66">
        <v>2668.1599977792002</v>
      </c>
      <c r="CQ307" s="66">
        <v>0</v>
      </c>
      <c r="CR307" s="66">
        <v>0</v>
      </c>
      <c r="CS307" s="66">
        <v>0</v>
      </c>
      <c r="CT307" s="66">
        <v>0</v>
      </c>
      <c r="CU307" s="66">
        <v>0</v>
      </c>
      <c r="CV307" s="66">
        <v>1945.81504083456</v>
      </c>
      <c r="CW307" s="66">
        <v>0</v>
      </c>
      <c r="CX307" s="66">
        <v>0</v>
      </c>
      <c r="CY307" s="66">
        <v>0</v>
      </c>
      <c r="CZ307" s="66">
        <v>0</v>
      </c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>
        <f>SUM(Table1[[#This Row],[01-03 Apr]:[Mar-26]])</f>
        <v>4613.9750386137603</v>
      </c>
    </row>
    <row r="308" spans="1:115" hidden="1" x14ac:dyDescent="0.2">
      <c r="A308" s="28" t="s">
        <v>2255</v>
      </c>
      <c r="B308" s="29" t="s">
        <v>238</v>
      </c>
      <c r="C308" s="29" t="s">
        <v>238</v>
      </c>
      <c r="D308" s="30" t="s">
        <v>212</v>
      </c>
      <c r="E308" s="30" t="s">
        <v>203</v>
      </c>
      <c r="F308" s="30"/>
      <c r="G308" s="31"/>
      <c r="H308" s="30">
        <v>387368</v>
      </c>
      <c r="I308" s="30" t="str">
        <f>IF(Table1[[#This Row],[Centre Status]]="Returned","NA",IF(Table1[[#This Row],[SD]]&gt;19000,"Full Payment",IF(Table1[[#This Row],[SD]]&lt;1,"No Payment","Partial Payment")))</f>
        <v>NA</v>
      </c>
      <c r="J308" s="30" t="s">
        <v>1903</v>
      </c>
      <c r="K308" s="32">
        <v>110000</v>
      </c>
      <c r="L308" s="33">
        <f>Q308+R308+U308+Table1[[#This Row],[Farmer Payment]]</f>
        <v>28203</v>
      </c>
      <c r="M308" s="30">
        <v>20000</v>
      </c>
      <c r="N308" s="34">
        <v>45684</v>
      </c>
      <c r="O308" s="34" t="s">
        <v>2861</v>
      </c>
      <c r="P308" s="35">
        <f t="shared" si="47"/>
        <v>101797</v>
      </c>
      <c r="Q308" s="33">
        <f>AI308+AV308+CK308+Table1[[#This Row],[FY 25-26]]</f>
        <v>8203</v>
      </c>
      <c r="R308" s="36">
        <v>20000</v>
      </c>
      <c r="S308" s="37" t="s">
        <v>2346</v>
      </c>
      <c r="T308" s="38">
        <v>45442</v>
      </c>
      <c r="U308" s="39"/>
      <c r="V308" s="39"/>
      <c r="W308" s="40">
        <v>0</v>
      </c>
      <c r="X308" s="40">
        <v>0</v>
      </c>
      <c r="Y308" s="40">
        <v>0</v>
      </c>
      <c r="Z308" s="40">
        <v>0</v>
      </c>
      <c r="AA308" s="40">
        <v>0</v>
      </c>
      <c r="AB308" s="40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</v>
      </c>
      <c r="AI308" s="41">
        <f t="shared" si="48"/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0</v>
      </c>
      <c r="AO308" s="42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0</v>
      </c>
      <c r="AU308" s="42">
        <v>0</v>
      </c>
      <c r="AV308" s="42">
        <f t="shared" si="49"/>
        <v>0</v>
      </c>
      <c r="AW308" s="42">
        <v>0</v>
      </c>
      <c r="AX308" s="42">
        <v>0</v>
      </c>
      <c r="AY308" s="42">
        <v>759</v>
      </c>
      <c r="AZ308" s="42">
        <v>1861</v>
      </c>
      <c r="BA308" s="42">
        <v>1861</v>
      </c>
      <c r="BB308" s="42">
        <v>0</v>
      </c>
      <c r="BC308" s="42">
        <v>1861</v>
      </c>
      <c r="BD308" s="42">
        <v>0</v>
      </c>
      <c r="BE308" s="42">
        <v>0</v>
      </c>
      <c r="BF308" s="42">
        <v>0</v>
      </c>
      <c r="BG308" s="42">
        <v>0</v>
      </c>
      <c r="BH308" s="42">
        <v>0</v>
      </c>
      <c r="BI308" s="42">
        <v>1861</v>
      </c>
      <c r="BJ308" s="42">
        <v>0</v>
      </c>
      <c r="BK308" s="42">
        <v>0</v>
      </c>
      <c r="BL308" s="42">
        <v>0</v>
      </c>
      <c r="BM308" s="42">
        <v>0</v>
      </c>
      <c r="BN308" s="42">
        <v>0</v>
      </c>
      <c r="BO308" s="42">
        <v>0</v>
      </c>
      <c r="BP308" s="42">
        <v>0</v>
      </c>
      <c r="BQ308" s="42">
        <v>0</v>
      </c>
      <c r="BR308" s="42">
        <v>0</v>
      </c>
      <c r="BS308" s="42">
        <v>0</v>
      </c>
      <c r="BT308" s="42">
        <v>0</v>
      </c>
      <c r="BU308" s="42">
        <v>0</v>
      </c>
      <c r="BV308" s="42">
        <v>0</v>
      </c>
      <c r="BW308" s="42">
        <v>0</v>
      </c>
      <c r="BX308" s="42">
        <v>0</v>
      </c>
      <c r="BY308" s="42">
        <v>0</v>
      </c>
      <c r="BZ308" s="42">
        <v>0</v>
      </c>
      <c r="CA308" s="42">
        <v>0</v>
      </c>
      <c r="CB308" s="42">
        <v>0</v>
      </c>
      <c r="CC308" s="42">
        <v>0</v>
      </c>
      <c r="CD308" s="42">
        <v>0</v>
      </c>
      <c r="CE308" s="42">
        <v>0</v>
      </c>
      <c r="CF308" s="42">
        <v>0</v>
      </c>
      <c r="CG308" s="42">
        <v>0</v>
      </c>
      <c r="CH308" s="42">
        <v>0</v>
      </c>
      <c r="CI308" s="42">
        <v>0</v>
      </c>
      <c r="CJ308" s="42">
        <v>0</v>
      </c>
      <c r="CK308" s="43">
        <f t="shared" si="50"/>
        <v>8203</v>
      </c>
      <c r="CL308" s="66"/>
      <c r="CM308" s="66">
        <v>0</v>
      </c>
      <c r="CN308" s="66">
        <v>0</v>
      </c>
      <c r="CO308" s="66">
        <v>0</v>
      </c>
      <c r="CP308" s="66">
        <v>0</v>
      </c>
      <c r="CQ308" s="66">
        <v>0</v>
      </c>
      <c r="CR308" s="66">
        <v>0</v>
      </c>
      <c r="CS308" s="66">
        <v>0</v>
      </c>
      <c r="CT308" s="66">
        <v>0</v>
      </c>
      <c r="CU308" s="66">
        <v>0</v>
      </c>
      <c r="CV308" s="66">
        <v>0</v>
      </c>
      <c r="CW308" s="66">
        <v>0</v>
      </c>
      <c r="CX308" s="66">
        <v>0</v>
      </c>
      <c r="CY308" s="66">
        <v>0</v>
      </c>
      <c r="CZ308" s="66">
        <v>0</v>
      </c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>
        <f>SUM(Table1[[#This Row],[01-03 Apr]:[Mar-26]])</f>
        <v>0</v>
      </c>
    </row>
    <row r="309" spans="1:115" hidden="1" x14ac:dyDescent="0.2">
      <c r="A309" s="28">
        <v>0</v>
      </c>
      <c r="B309" s="29" t="s">
        <v>239</v>
      </c>
      <c r="C309" s="29" t="s">
        <v>239</v>
      </c>
      <c r="D309" s="30" t="s">
        <v>240</v>
      </c>
      <c r="E309" s="30" t="s">
        <v>85</v>
      </c>
      <c r="F309" s="30"/>
      <c r="G309" s="31"/>
      <c r="H309" s="30">
        <v>385642</v>
      </c>
      <c r="I309" s="30" t="str">
        <f>IF(Table1[[#This Row],[Centre Status]]="Returned","NA",IF(Table1[[#This Row],[SD]]&gt;19000,"Full Payment",IF(Table1[[#This Row],[SD]]&lt;1,"No Payment","Partial Payment")))</f>
        <v>Full Payment</v>
      </c>
      <c r="J309" s="30" t="s">
        <v>58</v>
      </c>
      <c r="K309" s="32">
        <v>110000</v>
      </c>
      <c r="L309" s="33">
        <f>Q309+R309+U309+Table1[[#This Row],[Farmer Payment]]</f>
        <v>47189.692317778026</v>
      </c>
      <c r="M309" s="30"/>
      <c r="N309" s="34"/>
      <c r="O309" s="34"/>
      <c r="P309" s="35">
        <f t="shared" si="47"/>
        <v>62810.307682221974</v>
      </c>
      <c r="Q309" s="33">
        <f>AI309+AV309+CK309+Table1[[#This Row],[FY 25-26]]</f>
        <v>27189.692317778026</v>
      </c>
      <c r="R309" s="36">
        <v>20000</v>
      </c>
      <c r="S309" s="37" t="s">
        <v>2347</v>
      </c>
      <c r="T309" s="38">
        <v>45387</v>
      </c>
      <c r="U309" s="39"/>
      <c r="V309" s="39"/>
      <c r="W309" s="40">
        <v>0</v>
      </c>
      <c r="X309" s="40">
        <v>0</v>
      </c>
      <c r="Y309" s="40">
        <v>0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>
        <v>0</v>
      </c>
      <c r="AH309" s="40">
        <v>0</v>
      </c>
      <c r="AI309" s="41">
        <f t="shared" si="48"/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42">
        <v>0</v>
      </c>
      <c r="AV309" s="42">
        <f t="shared" si="49"/>
        <v>0</v>
      </c>
      <c r="AW309" s="42">
        <v>0</v>
      </c>
      <c r="AX309" s="42">
        <v>0</v>
      </c>
      <c r="AY309" s="42">
        <v>161</v>
      </c>
      <c r="AZ309" s="42">
        <v>1367</v>
      </c>
      <c r="BA309" s="42">
        <v>1861</v>
      </c>
      <c r="BB309" s="42">
        <v>0</v>
      </c>
      <c r="BC309" s="42">
        <v>1785</v>
      </c>
      <c r="BD309" s="42">
        <v>0</v>
      </c>
      <c r="BE309" s="42">
        <v>0</v>
      </c>
      <c r="BF309" s="42">
        <v>0</v>
      </c>
      <c r="BG309" s="42">
        <v>0</v>
      </c>
      <c r="BH309" s="42">
        <v>0</v>
      </c>
      <c r="BI309" s="42">
        <v>1861</v>
      </c>
      <c r="BJ309" s="42">
        <v>0</v>
      </c>
      <c r="BK309" s="42">
        <v>0</v>
      </c>
      <c r="BL309" s="42">
        <v>0</v>
      </c>
      <c r="BM309" s="42">
        <v>0</v>
      </c>
      <c r="BN309" s="42">
        <v>1861</v>
      </c>
      <c r="BO309" s="42">
        <v>0</v>
      </c>
      <c r="BP309" s="42">
        <v>0</v>
      </c>
      <c r="BQ309" s="42">
        <v>0</v>
      </c>
      <c r="BR309" s="42">
        <v>0</v>
      </c>
      <c r="BS309" s="42">
        <v>2316.4428006955686</v>
      </c>
      <c r="BT309" s="42">
        <v>0</v>
      </c>
      <c r="BU309" s="42">
        <v>0</v>
      </c>
      <c r="BV309" s="42">
        <v>0</v>
      </c>
      <c r="BW309" s="42">
        <v>0</v>
      </c>
      <c r="BX309" s="42">
        <v>0</v>
      </c>
      <c r="BY309" s="42">
        <v>2456.1870330450338</v>
      </c>
      <c r="BZ309" s="42">
        <v>0</v>
      </c>
      <c r="CA309" s="42">
        <v>0</v>
      </c>
      <c r="CB309" s="42">
        <v>0</v>
      </c>
      <c r="CC309" s="42">
        <v>0</v>
      </c>
      <c r="CD309" s="42">
        <v>3738.4188451304199</v>
      </c>
      <c r="CE309" s="42">
        <v>0</v>
      </c>
      <c r="CF309" s="42">
        <v>0</v>
      </c>
      <c r="CG309" s="42">
        <v>0</v>
      </c>
      <c r="CH309" s="42">
        <v>0</v>
      </c>
      <c r="CI309" s="42">
        <v>0</v>
      </c>
      <c r="CJ309" s="42">
        <v>4573.4357594839848</v>
      </c>
      <c r="CK309" s="43">
        <f t="shared" si="50"/>
        <v>21980.484438355004</v>
      </c>
      <c r="CL309" s="66"/>
      <c r="CM309" s="66">
        <v>0</v>
      </c>
      <c r="CN309" s="66">
        <v>0</v>
      </c>
      <c r="CO309" s="66">
        <v>0</v>
      </c>
      <c r="CP309" s="66">
        <v>3177.4239262530214</v>
      </c>
      <c r="CQ309" s="66">
        <v>0</v>
      </c>
      <c r="CR309" s="66">
        <v>0</v>
      </c>
      <c r="CS309" s="66">
        <v>0</v>
      </c>
      <c r="CT309" s="66">
        <v>0</v>
      </c>
      <c r="CU309" s="66">
        <v>0</v>
      </c>
      <c r="CV309" s="66">
        <v>2031.7839531700001</v>
      </c>
      <c r="CW309" s="66">
        <v>0</v>
      </c>
      <c r="CX309" s="66">
        <v>0</v>
      </c>
      <c r="CY309" s="66">
        <v>0</v>
      </c>
      <c r="CZ309" s="66">
        <v>0</v>
      </c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>
        <f>SUM(Table1[[#This Row],[01-03 Apr]:[Mar-26]])</f>
        <v>5209.207879423022</v>
      </c>
    </row>
    <row r="310" spans="1:115" hidden="1" x14ac:dyDescent="0.2">
      <c r="A310" s="28" t="s">
        <v>2253</v>
      </c>
      <c r="B310" s="29" t="s">
        <v>241</v>
      </c>
      <c r="C310" s="29" t="s">
        <v>242</v>
      </c>
      <c r="D310" s="30" t="s">
        <v>243</v>
      </c>
      <c r="E310" s="30" t="s">
        <v>85</v>
      </c>
      <c r="F310" s="30"/>
      <c r="G310" s="31">
        <v>44810</v>
      </c>
      <c r="H310" s="30">
        <v>359927</v>
      </c>
      <c r="I310" s="30" t="str">
        <f>IF(Table1[[#This Row],[Centre Status]]="Returned","NA",IF(Table1[[#This Row],[SD]]&gt;19000,"Full Payment",IF(Table1[[#This Row],[SD]]&lt;1,"No Payment","Partial Payment")))</f>
        <v>Full Payment</v>
      </c>
      <c r="J310" s="30" t="s">
        <v>58</v>
      </c>
      <c r="K310" s="32">
        <v>110000</v>
      </c>
      <c r="L310" s="33">
        <f>Q310+R310+U310+Table1[[#This Row],[Farmer Payment]]</f>
        <v>82826.660705241055</v>
      </c>
      <c r="M310" s="30"/>
      <c r="N310" s="34"/>
      <c r="O310" s="34"/>
      <c r="P310" s="35">
        <f t="shared" si="47"/>
        <v>27173.339294758945</v>
      </c>
      <c r="Q310" s="33">
        <f>AI310+AV310+CK310+Table1[[#This Row],[FY 25-26]]</f>
        <v>62826.660705241062</v>
      </c>
      <c r="R310" s="36">
        <v>20000</v>
      </c>
      <c r="S310" s="37" t="s">
        <v>244</v>
      </c>
      <c r="T310" s="38">
        <v>44757</v>
      </c>
      <c r="U310" s="39"/>
      <c r="V310" s="39"/>
      <c r="W310" s="40">
        <v>0</v>
      </c>
      <c r="X310" s="40">
        <v>0</v>
      </c>
      <c r="Y310" s="40">
        <v>0</v>
      </c>
      <c r="Z310" s="40">
        <v>0</v>
      </c>
      <c r="AA310" s="40">
        <v>1861</v>
      </c>
      <c r="AB310" s="40">
        <v>1861</v>
      </c>
      <c r="AC310" s="40">
        <v>1962.6233999999999</v>
      </c>
      <c r="AD310" s="40">
        <v>2298.1324</v>
      </c>
      <c r="AE310" s="40">
        <v>2287.0473999999999</v>
      </c>
      <c r="AF310" s="40">
        <v>3850.8744000000002</v>
      </c>
      <c r="AG310" s="40">
        <v>2000</v>
      </c>
      <c r="AH310" s="40">
        <v>2538.1354000000001</v>
      </c>
      <c r="AI310" s="41">
        <f t="shared" si="48"/>
        <v>18658.813000000002</v>
      </c>
      <c r="AJ310" s="42">
        <v>1861</v>
      </c>
      <c r="AK310" s="42">
        <v>2237.8193999999999</v>
      </c>
      <c r="AL310" s="42">
        <v>2027.4775999999999</v>
      </c>
      <c r="AM310" s="42">
        <v>2860.9991999999993</v>
      </c>
      <c r="AN310" s="42">
        <v>1861</v>
      </c>
      <c r="AO310" s="42">
        <v>1936.3231999999998</v>
      </c>
      <c r="AP310" s="42">
        <v>3239.3078000000005</v>
      </c>
      <c r="AQ310" s="42">
        <v>2186.6943999999999</v>
      </c>
      <c r="AR310" s="42">
        <v>2008.9476000000002</v>
      </c>
      <c r="AS310" s="42">
        <v>2284.9789999999998</v>
      </c>
      <c r="AT310" s="42">
        <v>876</v>
      </c>
      <c r="AU310" s="42">
        <v>1736</v>
      </c>
      <c r="AV310" s="42">
        <f t="shared" si="49"/>
        <v>25116.548199999997</v>
      </c>
      <c r="AW310" s="42">
        <v>556</v>
      </c>
      <c r="AX310" s="42">
        <v>0</v>
      </c>
      <c r="AY310" s="42">
        <v>1046</v>
      </c>
      <c r="AZ310" s="42">
        <v>976</v>
      </c>
      <c r="BA310" s="42">
        <v>197</v>
      </c>
      <c r="BB310" s="42">
        <v>500</v>
      </c>
      <c r="BC310" s="42">
        <v>494</v>
      </c>
      <c r="BD310" s="42">
        <v>500</v>
      </c>
      <c r="BE310" s="42">
        <v>500</v>
      </c>
      <c r="BF310" s="42">
        <v>500</v>
      </c>
      <c r="BG310" s="42">
        <v>500</v>
      </c>
      <c r="BH310" s="42">
        <v>500</v>
      </c>
      <c r="BI310" s="42">
        <v>0</v>
      </c>
      <c r="BJ310" s="42">
        <v>500</v>
      </c>
      <c r="BK310" s="42">
        <v>500</v>
      </c>
      <c r="BL310" s="42">
        <v>500</v>
      </c>
      <c r="BM310" s="42">
        <v>500</v>
      </c>
      <c r="BN310" s="42">
        <v>-355</v>
      </c>
      <c r="BO310" s="42">
        <v>500</v>
      </c>
      <c r="BP310" s="42">
        <v>500</v>
      </c>
      <c r="BQ310" s="42">
        <v>500</v>
      </c>
      <c r="BR310" s="42">
        <v>500</v>
      </c>
      <c r="BS310" s="42">
        <v>0</v>
      </c>
      <c r="BT310" s="42">
        <v>500</v>
      </c>
      <c r="BU310" s="42">
        <v>500</v>
      </c>
      <c r="BV310" s="42">
        <v>0</v>
      </c>
      <c r="BW310" s="42">
        <v>0</v>
      </c>
      <c r="BX310" s="42">
        <v>0</v>
      </c>
      <c r="BY310" s="42">
        <v>1361</v>
      </c>
      <c r="BZ310" s="42">
        <v>0</v>
      </c>
      <c r="CA310" s="42">
        <v>0</v>
      </c>
      <c r="CB310" s="42">
        <v>0</v>
      </c>
      <c r="CC310" s="42">
        <v>0</v>
      </c>
      <c r="CD310" s="42">
        <v>1861</v>
      </c>
      <c r="CE310" s="42">
        <v>0</v>
      </c>
      <c r="CF310" s="42">
        <v>0</v>
      </c>
      <c r="CG310" s="42">
        <v>0</v>
      </c>
      <c r="CH310" s="42">
        <v>0</v>
      </c>
      <c r="CI310" s="42">
        <v>0</v>
      </c>
      <c r="CJ310" s="42">
        <v>2240.2995052410638</v>
      </c>
      <c r="CK310" s="43">
        <f t="shared" si="50"/>
        <v>16376.299505241064</v>
      </c>
      <c r="CL310" s="66"/>
      <c r="CM310" s="66">
        <v>0</v>
      </c>
      <c r="CN310" s="66">
        <v>0</v>
      </c>
      <c r="CO310" s="66">
        <v>0</v>
      </c>
      <c r="CP310" s="66">
        <v>1861</v>
      </c>
      <c r="CQ310" s="66">
        <v>0</v>
      </c>
      <c r="CR310" s="66">
        <v>0</v>
      </c>
      <c r="CS310" s="66">
        <v>0</v>
      </c>
      <c r="CT310" s="66">
        <v>0</v>
      </c>
      <c r="CU310" s="66">
        <v>0</v>
      </c>
      <c r="CV310" s="66">
        <v>814</v>
      </c>
      <c r="CW310" s="66">
        <v>0</v>
      </c>
      <c r="CX310" s="66">
        <v>0</v>
      </c>
      <c r="CY310" s="66">
        <v>0</v>
      </c>
      <c r="CZ310" s="66">
        <v>0</v>
      </c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>
        <f>SUM(Table1[[#This Row],[01-03 Apr]:[Mar-26]])</f>
        <v>2675</v>
      </c>
    </row>
    <row r="311" spans="1:115" hidden="1" x14ac:dyDescent="0.2">
      <c r="A311" s="28" t="s">
        <v>2254</v>
      </c>
      <c r="B311" s="29" t="s">
        <v>245</v>
      </c>
      <c r="C311" s="29" t="s">
        <v>246</v>
      </c>
      <c r="D311" s="30" t="s">
        <v>247</v>
      </c>
      <c r="E311" s="30" t="s">
        <v>85</v>
      </c>
      <c r="F311" s="30"/>
      <c r="G311" s="31">
        <v>44810</v>
      </c>
      <c r="H311" s="30">
        <v>351158</v>
      </c>
      <c r="I311" s="30" t="str">
        <f>IF(Table1[[#This Row],[Centre Status]]="Returned","NA",IF(Table1[[#This Row],[SD]]&gt;19000,"Full Payment",IF(Table1[[#This Row],[SD]]&lt;1,"No Payment","Partial Payment")))</f>
        <v>Full Payment</v>
      </c>
      <c r="J311" s="30" t="s">
        <v>58</v>
      </c>
      <c r="K311" s="32">
        <v>110000</v>
      </c>
      <c r="L311" s="33">
        <f>Q311+R311+U311+Table1[[#This Row],[Farmer Payment]]</f>
        <v>81860.467199999999</v>
      </c>
      <c r="M311" s="30"/>
      <c r="N311" s="34"/>
      <c r="O311" s="34"/>
      <c r="P311" s="35">
        <f t="shared" si="47"/>
        <v>28139.532800000001</v>
      </c>
      <c r="Q311" s="33">
        <f>AI311+AV311+CK311+Table1[[#This Row],[FY 25-26]]</f>
        <v>61860.467199999999</v>
      </c>
      <c r="R311" s="36">
        <v>20000</v>
      </c>
      <c r="S311" s="37" t="s">
        <v>248</v>
      </c>
      <c r="T311" s="38">
        <v>44757</v>
      </c>
      <c r="U311" s="39"/>
      <c r="V311" s="39"/>
      <c r="W311" s="40">
        <v>0</v>
      </c>
      <c r="X311" s="40">
        <v>0</v>
      </c>
      <c r="Y311" s="40">
        <v>0</v>
      </c>
      <c r="Z311" s="40">
        <v>0</v>
      </c>
      <c r="AA311" s="40">
        <v>1781</v>
      </c>
      <c r="AB311" s="40">
        <v>951</v>
      </c>
      <c r="AC311" s="40">
        <v>1771</v>
      </c>
      <c r="AD311" s="40">
        <v>1861</v>
      </c>
      <c r="AE311" s="40">
        <v>1861</v>
      </c>
      <c r="AF311" s="40">
        <v>1914.2603999999999</v>
      </c>
      <c r="AG311" s="40">
        <v>1862.4434000000003</v>
      </c>
      <c r="AH311" s="40">
        <v>1961.7634</v>
      </c>
      <c r="AI311" s="41">
        <f t="shared" si="48"/>
        <v>13963.467199999999</v>
      </c>
      <c r="AJ311" s="42">
        <v>1861</v>
      </c>
      <c r="AK311" s="42">
        <v>1861</v>
      </c>
      <c r="AL311" s="42">
        <v>1861</v>
      </c>
      <c r="AM311" s="42">
        <v>2000</v>
      </c>
      <c r="AN311" s="42">
        <v>2000</v>
      </c>
      <c r="AO311" s="42">
        <v>2000</v>
      </c>
      <c r="AP311" s="42">
        <v>2000</v>
      </c>
      <c r="AQ311" s="42">
        <v>1861</v>
      </c>
      <c r="AR311" s="42">
        <v>1861</v>
      </c>
      <c r="AS311" s="42">
        <v>2000</v>
      </c>
      <c r="AT311" s="42">
        <v>2000</v>
      </c>
      <c r="AU311" s="42">
        <v>2000</v>
      </c>
      <c r="AV311" s="42">
        <f t="shared" si="49"/>
        <v>23305</v>
      </c>
      <c r="AW311" s="42">
        <v>2000</v>
      </c>
      <c r="AX311" s="42">
        <v>1861</v>
      </c>
      <c r="AY311" s="42">
        <v>990</v>
      </c>
      <c r="AZ311" s="42">
        <v>0</v>
      </c>
      <c r="BA311" s="42">
        <v>0</v>
      </c>
      <c r="BB311" s="42">
        <v>500</v>
      </c>
      <c r="BC311" s="42">
        <v>0</v>
      </c>
      <c r="BD311" s="42">
        <v>500</v>
      </c>
      <c r="BE311" s="42">
        <v>500</v>
      </c>
      <c r="BF311" s="42">
        <v>500</v>
      </c>
      <c r="BG311" s="42">
        <v>500</v>
      </c>
      <c r="BH311" s="42">
        <v>500</v>
      </c>
      <c r="BI311" s="42">
        <v>0</v>
      </c>
      <c r="BJ311" s="42">
        <v>500</v>
      </c>
      <c r="BK311" s="42">
        <v>500</v>
      </c>
      <c r="BL311" s="42">
        <v>500</v>
      </c>
      <c r="BM311" s="42">
        <v>500</v>
      </c>
      <c r="BN311" s="42">
        <v>0</v>
      </c>
      <c r="BO311" s="42">
        <v>500</v>
      </c>
      <c r="BP311" s="42">
        <v>500</v>
      </c>
      <c r="BQ311" s="42">
        <v>500</v>
      </c>
      <c r="BR311" s="42">
        <v>500</v>
      </c>
      <c r="BS311" s="42">
        <v>0</v>
      </c>
      <c r="BT311" s="42">
        <v>500</v>
      </c>
      <c r="BU311" s="42">
        <v>500</v>
      </c>
      <c r="BV311" s="42">
        <v>500</v>
      </c>
      <c r="BW311" s="42">
        <v>500</v>
      </c>
      <c r="BX311" s="42">
        <v>500</v>
      </c>
      <c r="BY311" s="42">
        <v>0</v>
      </c>
      <c r="BZ311" s="42">
        <v>500</v>
      </c>
      <c r="CA311" s="42">
        <v>0</v>
      </c>
      <c r="CB311" s="42">
        <v>500</v>
      </c>
      <c r="CC311" s="42">
        <v>500</v>
      </c>
      <c r="CD311" s="42">
        <v>241</v>
      </c>
      <c r="CE311" s="42">
        <v>500</v>
      </c>
      <c r="CF311" s="42">
        <v>500</v>
      </c>
      <c r="CG311" s="42">
        <v>500</v>
      </c>
      <c r="CH311" s="42">
        <v>500</v>
      </c>
      <c r="CI311" s="42">
        <v>500</v>
      </c>
      <c r="CJ311" s="42">
        <v>0</v>
      </c>
      <c r="CK311" s="43">
        <f t="shared" si="50"/>
        <v>18592</v>
      </c>
      <c r="CL311" s="66"/>
      <c r="CM311" s="66">
        <v>500</v>
      </c>
      <c r="CN311" s="66">
        <v>500</v>
      </c>
      <c r="CO311" s="66">
        <v>500</v>
      </c>
      <c r="CP311" s="66">
        <v>0</v>
      </c>
      <c r="CQ311" s="66">
        <v>500</v>
      </c>
      <c r="CR311" s="66">
        <v>500</v>
      </c>
      <c r="CS311" s="66">
        <v>500</v>
      </c>
      <c r="CT311" s="66">
        <v>500</v>
      </c>
      <c r="CU311" s="66">
        <v>500</v>
      </c>
      <c r="CV311" s="66">
        <v>0</v>
      </c>
      <c r="CW311" s="66">
        <v>500</v>
      </c>
      <c r="CX311" s="66">
        <v>500</v>
      </c>
      <c r="CY311" s="66">
        <v>500</v>
      </c>
      <c r="CZ311" s="66">
        <v>500</v>
      </c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>
        <f>SUM(Table1[[#This Row],[01-03 Apr]:[Mar-26]])</f>
        <v>6000</v>
      </c>
    </row>
    <row r="312" spans="1:115" hidden="1" x14ac:dyDescent="0.2">
      <c r="A312" s="28" t="s">
        <v>2253</v>
      </c>
      <c r="B312" s="29" t="s">
        <v>249</v>
      </c>
      <c r="C312" s="29" t="s">
        <v>250</v>
      </c>
      <c r="D312" s="30" t="s">
        <v>251</v>
      </c>
      <c r="E312" s="30" t="s">
        <v>85</v>
      </c>
      <c r="F312" s="30"/>
      <c r="G312" s="31">
        <v>44810</v>
      </c>
      <c r="H312" s="30">
        <v>359889</v>
      </c>
      <c r="I312" s="30" t="str">
        <f>IF(Table1[[#This Row],[Centre Status]]="Returned","NA",IF(Table1[[#This Row],[SD]]&gt;19000,"Full Payment",IF(Table1[[#This Row],[SD]]&lt;1,"No Payment","Partial Payment")))</f>
        <v>Full Payment</v>
      </c>
      <c r="J312" s="30" t="s">
        <v>58</v>
      </c>
      <c r="K312" s="32">
        <v>110000</v>
      </c>
      <c r="L312" s="33">
        <f>Q312+R312+U312+Table1[[#This Row],[Farmer Payment]]</f>
        <v>110000</v>
      </c>
      <c r="M312" s="30"/>
      <c r="N312" s="34"/>
      <c r="O312" s="34"/>
      <c r="P312" s="35">
        <f t="shared" si="47"/>
        <v>0</v>
      </c>
      <c r="Q312" s="33">
        <f>AI312+AV312+CK312+Table1[[#This Row],[FY 25-26]]</f>
        <v>90000</v>
      </c>
      <c r="R312" s="36">
        <v>20000</v>
      </c>
      <c r="S312" s="37" t="s">
        <v>252</v>
      </c>
      <c r="T312" s="38">
        <v>44763</v>
      </c>
      <c r="U312" s="39"/>
      <c r="V312" s="39"/>
      <c r="W312" s="40">
        <v>0</v>
      </c>
      <c r="X312" s="40">
        <v>0</v>
      </c>
      <c r="Y312" s="40">
        <v>0</v>
      </c>
      <c r="Z312" s="40">
        <v>0</v>
      </c>
      <c r="AA312" s="40">
        <v>0</v>
      </c>
      <c r="AB312" s="40">
        <v>2784.0230000000006</v>
      </c>
      <c r="AC312" s="40">
        <v>3742.2616000000003</v>
      </c>
      <c r="AD312" s="40">
        <v>6825.1511999999993</v>
      </c>
      <c r="AE312" s="40">
        <v>6998.4839999999995</v>
      </c>
      <c r="AF312" s="40">
        <v>9504.9585999999981</v>
      </c>
      <c r="AG312" s="40">
        <v>2000</v>
      </c>
      <c r="AH312" s="40">
        <v>7289.0491999999995</v>
      </c>
      <c r="AI312" s="41">
        <f t="shared" si="48"/>
        <v>39143.927599999995</v>
      </c>
      <c r="AJ312" s="42">
        <v>4461.9426000000003</v>
      </c>
      <c r="AK312" s="42">
        <v>4705.8858</v>
      </c>
      <c r="AL312" s="42">
        <v>3272.1698000000006</v>
      </c>
      <c r="AM312" s="42">
        <v>4008.6574000000001</v>
      </c>
      <c r="AN312" s="42">
        <v>3838.4276</v>
      </c>
      <c r="AO312" s="42">
        <v>5184.9493999999995</v>
      </c>
      <c r="AP312" s="42">
        <v>7987.4660000000003</v>
      </c>
      <c r="AQ312" s="42">
        <v>6437.3718000000008</v>
      </c>
      <c r="AR312" s="42">
        <v>4929.9507999999996</v>
      </c>
      <c r="AS312" s="42">
        <v>5821.3948</v>
      </c>
      <c r="AT312" s="42">
        <v>207.85640000000421</v>
      </c>
      <c r="AU312" s="42">
        <v>0</v>
      </c>
      <c r="AV312" s="42">
        <f t="shared" si="49"/>
        <v>50856.072400000005</v>
      </c>
      <c r="AW312" s="42">
        <v>0</v>
      </c>
      <c r="AX312" s="42">
        <v>0</v>
      </c>
      <c r="AY312" s="42">
        <v>0</v>
      </c>
      <c r="AZ312" s="42">
        <v>0</v>
      </c>
      <c r="BA312" s="42">
        <v>0</v>
      </c>
      <c r="BB312" s="42">
        <v>0</v>
      </c>
      <c r="BC312" s="42">
        <v>0</v>
      </c>
      <c r="BD312" s="42">
        <v>0</v>
      </c>
      <c r="BE312" s="42">
        <v>0</v>
      </c>
      <c r="BF312" s="42">
        <v>0</v>
      </c>
      <c r="BG312" s="42">
        <v>0</v>
      </c>
      <c r="BH312" s="42">
        <v>0</v>
      </c>
      <c r="BI312" s="42">
        <v>0</v>
      </c>
      <c r="BJ312" s="42">
        <v>0</v>
      </c>
      <c r="BK312" s="42">
        <v>0</v>
      </c>
      <c r="BL312" s="42">
        <v>0</v>
      </c>
      <c r="BM312" s="42">
        <v>0</v>
      </c>
      <c r="BN312" s="42">
        <v>0</v>
      </c>
      <c r="BO312" s="42">
        <v>0</v>
      </c>
      <c r="BP312" s="42">
        <v>0</v>
      </c>
      <c r="BQ312" s="42">
        <v>0</v>
      </c>
      <c r="BR312" s="42">
        <v>0</v>
      </c>
      <c r="BS312" s="42">
        <v>0</v>
      </c>
      <c r="BT312" s="42">
        <v>0</v>
      </c>
      <c r="BU312" s="42">
        <v>0</v>
      </c>
      <c r="BV312" s="42">
        <v>0</v>
      </c>
      <c r="BW312" s="42">
        <v>0</v>
      </c>
      <c r="BX312" s="42">
        <v>0</v>
      </c>
      <c r="BY312" s="42">
        <v>0</v>
      </c>
      <c r="BZ312" s="42">
        <v>0</v>
      </c>
      <c r="CA312" s="42">
        <v>0</v>
      </c>
      <c r="CB312" s="42">
        <v>0</v>
      </c>
      <c r="CC312" s="42">
        <v>0</v>
      </c>
      <c r="CD312" s="42">
        <v>0</v>
      </c>
      <c r="CE312" s="42">
        <v>0</v>
      </c>
      <c r="CF312" s="42">
        <v>0</v>
      </c>
      <c r="CG312" s="42">
        <v>0</v>
      </c>
      <c r="CH312" s="42">
        <v>0</v>
      </c>
      <c r="CI312" s="42">
        <v>0</v>
      </c>
      <c r="CJ312" s="42">
        <v>0</v>
      </c>
      <c r="CK312" s="43">
        <f t="shared" si="50"/>
        <v>0</v>
      </c>
      <c r="CL312" s="66"/>
      <c r="CM312" s="66">
        <v>0</v>
      </c>
      <c r="CN312" s="66">
        <v>0</v>
      </c>
      <c r="CO312" s="66">
        <v>0</v>
      </c>
      <c r="CP312" s="66">
        <v>0</v>
      </c>
      <c r="CQ312" s="66">
        <v>0</v>
      </c>
      <c r="CR312" s="66">
        <v>0</v>
      </c>
      <c r="CS312" s="66">
        <v>0</v>
      </c>
      <c r="CT312" s="66">
        <v>0</v>
      </c>
      <c r="CU312" s="66">
        <v>0</v>
      </c>
      <c r="CV312" s="66">
        <v>0</v>
      </c>
      <c r="CW312" s="66">
        <v>0</v>
      </c>
      <c r="CX312" s="66">
        <v>0</v>
      </c>
      <c r="CY312" s="66">
        <v>0</v>
      </c>
      <c r="CZ312" s="66">
        <v>0</v>
      </c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>
        <f>SUM(Table1[[#This Row],[01-03 Apr]:[Mar-26]])</f>
        <v>0</v>
      </c>
    </row>
    <row r="313" spans="1:115" hidden="1" x14ac:dyDescent="0.2">
      <c r="A313" s="28" t="s">
        <v>2253</v>
      </c>
      <c r="B313" s="29" t="s">
        <v>253</v>
      </c>
      <c r="C313" s="29" t="s">
        <v>254</v>
      </c>
      <c r="D313" s="30" t="s">
        <v>255</v>
      </c>
      <c r="E313" s="30" t="s">
        <v>85</v>
      </c>
      <c r="F313" s="30"/>
      <c r="G313" s="31">
        <v>44810</v>
      </c>
      <c r="H313" s="30">
        <v>360512</v>
      </c>
      <c r="I313" s="30" t="str">
        <f>IF(Table1[[#This Row],[Centre Status]]="Returned","NA",IF(Table1[[#This Row],[SD]]&gt;19000,"Full Payment",IF(Table1[[#This Row],[SD]]&lt;1,"No Payment","Partial Payment")))</f>
        <v>Full Payment</v>
      </c>
      <c r="J313" s="30" t="s">
        <v>58</v>
      </c>
      <c r="K313" s="32">
        <v>110000</v>
      </c>
      <c r="L313" s="33">
        <f>Q313+R313+U313+Table1[[#This Row],[Farmer Payment]]</f>
        <v>86805.999333214728</v>
      </c>
      <c r="M313" s="30"/>
      <c r="N313" s="34"/>
      <c r="O313" s="34"/>
      <c r="P313" s="35">
        <f t="shared" si="47"/>
        <v>23194.000666785272</v>
      </c>
      <c r="Q313" s="33">
        <f>AI313+AV313+CK313+Table1[[#This Row],[FY 25-26]]</f>
        <v>66805.999333214728</v>
      </c>
      <c r="R313" s="36">
        <v>20000</v>
      </c>
      <c r="S313" s="37" t="s">
        <v>256</v>
      </c>
      <c r="T313" s="38">
        <v>44770</v>
      </c>
      <c r="U313" s="39"/>
      <c r="V313" s="39"/>
      <c r="W313" s="40">
        <v>0</v>
      </c>
      <c r="X313" s="40">
        <v>0</v>
      </c>
      <c r="Y313" s="40">
        <v>0</v>
      </c>
      <c r="Z313" s="40">
        <v>0</v>
      </c>
      <c r="AA313" s="40">
        <v>1861</v>
      </c>
      <c r="AB313" s="40">
        <v>1861</v>
      </c>
      <c r="AC313" s="40">
        <v>1861</v>
      </c>
      <c r="AD313" s="40">
        <v>1998.1324</v>
      </c>
      <c r="AE313" s="40">
        <v>1861</v>
      </c>
      <c r="AF313" s="40">
        <v>2677.5236</v>
      </c>
      <c r="AG313" s="40">
        <v>3974.4755999999993</v>
      </c>
      <c r="AH313" s="40">
        <v>4246.8955999999998</v>
      </c>
      <c r="AI313" s="41">
        <f t="shared" si="48"/>
        <v>20341.0272</v>
      </c>
      <c r="AJ313" s="42">
        <v>3487.3364000000001</v>
      </c>
      <c r="AK313" s="42">
        <v>3647.1182000000003</v>
      </c>
      <c r="AL313" s="42">
        <v>3042.9917999999998</v>
      </c>
      <c r="AM313" s="42">
        <v>3309.0853999999999</v>
      </c>
      <c r="AN313" s="42">
        <v>2476.8880000000004</v>
      </c>
      <c r="AO313" s="42">
        <v>2683.3962000000001</v>
      </c>
      <c r="AP313" s="42">
        <v>1861</v>
      </c>
      <c r="AQ313" s="42">
        <v>1861</v>
      </c>
      <c r="AR313" s="42">
        <v>1861</v>
      </c>
      <c r="AS313" s="42">
        <v>1861</v>
      </c>
      <c r="AT313" s="42">
        <v>1885.6147999999998</v>
      </c>
      <c r="AU313" s="42">
        <v>3940.1834000000003</v>
      </c>
      <c r="AV313" s="42">
        <f t="shared" si="49"/>
        <v>31916.614200000004</v>
      </c>
      <c r="AW313" s="42">
        <v>3833.2314306048006</v>
      </c>
      <c r="AX313" s="42">
        <v>2060.0414505062404</v>
      </c>
      <c r="AY313" s="42">
        <v>1861</v>
      </c>
      <c r="AZ313" s="42">
        <v>2689.0850521036805</v>
      </c>
      <c r="BA313" s="42">
        <v>1861</v>
      </c>
      <c r="BB313" s="42">
        <v>0</v>
      </c>
      <c r="BC313" s="42">
        <v>1861</v>
      </c>
      <c r="BD313" s="42">
        <v>0</v>
      </c>
      <c r="BE313" s="42">
        <v>0</v>
      </c>
      <c r="BF313" s="42">
        <v>0</v>
      </c>
      <c r="BG313" s="42">
        <v>0</v>
      </c>
      <c r="BH313" s="42">
        <v>0</v>
      </c>
      <c r="BI313" s="42">
        <v>383</v>
      </c>
      <c r="BJ313" s="42">
        <v>0</v>
      </c>
      <c r="BK313" s="42">
        <v>0</v>
      </c>
      <c r="BL313" s="42">
        <v>0</v>
      </c>
      <c r="BM313" s="42">
        <v>0</v>
      </c>
      <c r="BN313" s="42">
        <v>0</v>
      </c>
      <c r="BO313" s="42">
        <v>0</v>
      </c>
      <c r="BP313" s="42">
        <v>0</v>
      </c>
      <c r="BQ313" s="42">
        <v>0</v>
      </c>
      <c r="BR313" s="42">
        <v>0</v>
      </c>
      <c r="BS313" s="42">
        <v>0</v>
      </c>
      <c r="BT313" s="42">
        <v>0</v>
      </c>
      <c r="BU313" s="42">
        <v>0</v>
      </c>
      <c r="BV313" s="42">
        <v>0</v>
      </c>
      <c r="BW313" s="42">
        <v>0</v>
      </c>
      <c r="BX313" s="42">
        <v>0</v>
      </c>
      <c r="BY313" s="42">
        <v>0</v>
      </c>
      <c r="BZ313" s="42">
        <v>0</v>
      </c>
      <c r="CA313" s="42">
        <v>0</v>
      </c>
      <c r="CB313" s="42">
        <v>0</v>
      </c>
      <c r="CC313" s="42">
        <v>0</v>
      </c>
      <c r="CD313" s="42">
        <v>0</v>
      </c>
      <c r="CE313" s="42">
        <v>0</v>
      </c>
      <c r="CF313" s="42">
        <v>0</v>
      </c>
      <c r="CG313" s="42">
        <v>0</v>
      </c>
      <c r="CH313" s="42">
        <v>0</v>
      </c>
      <c r="CI313" s="42">
        <v>0</v>
      </c>
      <c r="CJ313" s="42">
        <v>0</v>
      </c>
      <c r="CK313" s="43">
        <f t="shared" si="50"/>
        <v>14548.357933214722</v>
      </c>
      <c r="CL313" s="66"/>
      <c r="CM313" s="66">
        <v>0</v>
      </c>
      <c r="CN313" s="66">
        <v>0</v>
      </c>
      <c r="CO313" s="66">
        <v>0</v>
      </c>
      <c r="CP313" s="66">
        <v>0</v>
      </c>
      <c r="CQ313" s="66">
        <v>0</v>
      </c>
      <c r="CR313" s="66">
        <v>0</v>
      </c>
      <c r="CS313" s="66">
        <v>0</v>
      </c>
      <c r="CT313" s="66">
        <v>0</v>
      </c>
      <c r="CU313" s="66">
        <v>0</v>
      </c>
      <c r="CV313" s="66">
        <v>0</v>
      </c>
      <c r="CW313" s="66">
        <v>0</v>
      </c>
      <c r="CX313" s="66">
        <v>0</v>
      </c>
      <c r="CY313" s="66">
        <v>0</v>
      </c>
      <c r="CZ313" s="66">
        <v>0</v>
      </c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>
        <f>SUM(Table1[[#This Row],[01-03 Apr]:[Mar-26]])</f>
        <v>0</v>
      </c>
    </row>
    <row r="314" spans="1:115" hidden="1" x14ac:dyDescent="0.2">
      <c r="A314" s="28" t="s">
        <v>2255</v>
      </c>
      <c r="B314" s="29" t="s">
        <v>257</v>
      </c>
      <c r="C314" s="29" t="s">
        <v>258</v>
      </c>
      <c r="D314" s="30" t="s">
        <v>259</v>
      </c>
      <c r="E314" s="30" t="s">
        <v>57</v>
      </c>
      <c r="F314" s="30"/>
      <c r="G314" s="31" t="s">
        <v>260</v>
      </c>
      <c r="H314" s="30">
        <v>277013</v>
      </c>
      <c r="I314" s="30" t="str">
        <f>IF(Table1[[#This Row],[Centre Status]]="Returned","NA",IF(Table1[[#This Row],[SD]]&gt;19000,"Full Payment",IF(Table1[[#This Row],[SD]]&lt;1,"No Payment","Partial Payment")))</f>
        <v>Full Payment</v>
      </c>
      <c r="J314" s="30" t="s">
        <v>58</v>
      </c>
      <c r="K314" s="32">
        <v>64000</v>
      </c>
      <c r="L314" s="33">
        <f>Q314+R314+U314+Table1[[#This Row],[Farmer Payment]]</f>
        <v>60656.960399999996</v>
      </c>
      <c r="M314" s="30"/>
      <c r="N314" s="34"/>
      <c r="O314" s="34"/>
      <c r="P314" s="35">
        <f t="shared" si="47"/>
        <v>3343.0396000000037</v>
      </c>
      <c r="Q314" s="33">
        <f>AI314+AV314+CK314+Table1[[#This Row],[FY 25-26]]</f>
        <v>40656.960399999996</v>
      </c>
      <c r="R314" s="36">
        <v>20000</v>
      </c>
      <c r="S314" s="37" t="s">
        <v>261</v>
      </c>
      <c r="T314" s="38">
        <v>44645</v>
      </c>
      <c r="U314" s="39"/>
      <c r="V314" s="39"/>
      <c r="W314" s="40">
        <v>0</v>
      </c>
      <c r="X314" s="40">
        <v>1861</v>
      </c>
      <c r="Y314" s="40">
        <v>1696</v>
      </c>
      <c r="Z314" s="40">
        <v>657</v>
      </c>
      <c r="AA314" s="40">
        <v>0</v>
      </c>
      <c r="AB314" s="40">
        <v>0</v>
      </c>
      <c r="AC314" s="40">
        <v>0</v>
      </c>
      <c r="AD314" s="40">
        <v>8</v>
      </c>
      <c r="AE314" s="40">
        <v>630</v>
      </c>
      <c r="AF314" s="40">
        <v>0</v>
      </c>
      <c r="AG314" s="40">
        <v>506</v>
      </c>
      <c r="AH314" s="40">
        <v>215</v>
      </c>
      <c r="AI314" s="41">
        <f t="shared" si="48"/>
        <v>5573</v>
      </c>
      <c r="AJ314" s="42">
        <v>979</v>
      </c>
      <c r="AK314" s="42">
        <v>1257</v>
      </c>
      <c r="AL314" s="42">
        <v>302</v>
      </c>
      <c r="AM314" s="42">
        <v>39</v>
      </c>
      <c r="AN314" s="42">
        <v>0</v>
      </c>
      <c r="AO314" s="42">
        <v>36</v>
      </c>
      <c r="AP314" s="42">
        <v>1409</v>
      </c>
      <c r="AQ314" s="42">
        <v>1861</v>
      </c>
      <c r="AR314" s="42">
        <v>1861</v>
      </c>
      <c r="AS314" s="42">
        <v>1861</v>
      </c>
      <c r="AT314" s="42">
        <v>1861</v>
      </c>
      <c r="AU314" s="42">
        <v>1872.9604000000002</v>
      </c>
      <c r="AV314" s="42">
        <f t="shared" si="49"/>
        <v>13338.9604</v>
      </c>
      <c r="AW314" s="42">
        <v>1861</v>
      </c>
      <c r="AX314" s="42">
        <v>1861</v>
      </c>
      <c r="AY314" s="42">
        <v>1861</v>
      </c>
      <c r="AZ314" s="42">
        <v>940</v>
      </c>
      <c r="BA314" s="42">
        <v>0</v>
      </c>
      <c r="BB314" s="42">
        <v>500</v>
      </c>
      <c r="BC314" s="42">
        <v>0</v>
      </c>
      <c r="BD314" s="42">
        <v>500</v>
      </c>
      <c r="BE314" s="42">
        <v>500</v>
      </c>
      <c r="BF314" s="42">
        <v>500</v>
      </c>
      <c r="BG314" s="42">
        <v>500</v>
      </c>
      <c r="BH314" s="42">
        <v>500</v>
      </c>
      <c r="BI314" s="42">
        <v>0</v>
      </c>
      <c r="BJ314" s="42">
        <v>500</v>
      </c>
      <c r="BK314" s="42">
        <v>500</v>
      </c>
      <c r="BL314" s="42">
        <v>500</v>
      </c>
      <c r="BM314" s="42">
        <v>500</v>
      </c>
      <c r="BN314" s="42">
        <v>0</v>
      </c>
      <c r="BO314" s="42">
        <v>0</v>
      </c>
      <c r="BP314" s="42">
        <v>0</v>
      </c>
      <c r="BQ314" s="42">
        <v>0</v>
      </c>
      <c r="BR314" s="42">
        <v>0</v>
      </c>
      <c r="BS314" s="42">
        <v>0</v>
      </c>
      <c r="BT314" s="42">
        <v>0</v>
      </c>
      <c r="BU314" s="42">
        <v>0</v>
      </c>
      <c r="BV314" s="42">
        <v>500</v>
      </c>
      <c r="BW314" s="42">
        <v>500</v>
      </c>
      <c r="BX314" s="42">
        <v>500</v>
      </c>
      <c r="BY314" s="42">
        <v>361</v>
      </c>
      <c r="BZ314" s="42">
        <v>500</v>
      </c>
      <c r="CA314" s="42">
        <v>500</v>
      </c>
      <c r="CB314" s="42">
        <v>500</v>
      </c>
      <c r="CC314" s="42">
        <v>500</v>
      </c>
      <c r="CD314" s="42">
        <v>0</v>
      </c>
      <c r="CE314" s="42">
        <v>500</v>
      </c>
      <c r="CF314" s="42">
        <v>500</v>
      </c>
      <c r="CG314" s="42">
        <v>500</v>
      </c>
      <c r="CH314" s="42">
        <v>500</v>
      </c>
      <c r="CI314" s="42">
        <v>500</v>
      </c>
      <c r="CJ314" s="42">
        <v>0</v>
      </c>
      <c r="CK314" s="43">
        <f t="shared" si="50"/>
        <v>17884</v>
      </c>
      <c r="CL314" s="66"/>
      <c r="CM314" s="66">
        <v>500</v>
      </c>
      <c r="CN314" s="66">
        <v>500</v>
      </c>
      <c r="CO314" s="66">
        <v>500</v>
      </c>
      <c r="CP314" s="66">
        <v>361</v>
      </c>
      <c r="CQ314" s="66">
        <v>0</v>
      </c>
      <c r="CR314" s="66">
        <v>500</v>
      </c>
      <c r="CS314" s="66">
        <v>500</v>
      </c>
      <c r="CT314" s="66">
        <v>500</v>
      </c>
      <c r="CU314" s="66">
        <v>500</v>
      </c>
      <c r="CV314" s="66">
        <v>0</v>
      </c>
      <c r="CW314" s="66">
        <v>0</v>
      </c>
      <c r="CX314" s="66">
        <v>0</v>
      </c>
      <c r="CY314" s="66">
        <v>0</v>
      </c>
      <c r="CZ314" s="66">
        <v>0</v>
      </c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>
        <f>SUM(Table1[[#This Row],[01-03 Apr]:[Mar-26]])</f>
        <v>3861</v>
      </c>
    </row>
    <row r="315" spans="1:115" hidden="1" x14ac:dyDescent="0.2">
      <c r="A315" s="28" t="s">
        <v>2363</v>
      </c>
      <c r="B315" s="29" t="s">
        <v>262</v>
      </c>
      <c r="C315" s="29" t="s">
        <v>3336</v>
      </c>
      <c r="D315" s="30" t="s">
        <v>263</v>
      </c>
      <c r="E315" s="30" t="s">
        <v>217</v>
      </c>
      <c r="F315" s="30"/>
      <c r="G315" s="31" t="s">
        <v>264</v>
      </c>
      <c r="H315" s="30"/>
      <c r="I315" s="30" t="str">
        <f>IF(Table1[[#This Row],[Centre Status]]="Returned","NA",IF(Table1[[#This Row],[SD]]&gt;19000,"Full Payment",IF(Table1[[#This Row],[SD]]&lt;1,"No Payment","Partial Payment")))</f>
        <v>Full Payment</v>
      </c>
      <c r="J315" s="30" t="s">
        <v>58</v>
      </c>
      <c r="K315" s="32">
        <v>64000</v>
      </c>
      <c r="L315" s="33">
        <f>Q315+R315+U315+Table1[[#This Row],[Farmer Payment]]</f>
        <v>20244</v>
      </c>
      <c r="M315" s="30"/>
      <c r="N315" s="34"/>
      <c r="O315" s="34"/>
      <c r="P315" s="35">
        <f t="shared" si="47"/>
        <v>43756</v>
      </c>
      <c r="Q315" s="33">
        <f>AI315+AV315+CK315+Table1[[#This Row],[FY 25-26]]</f>
        <v>244</v>
      </c>
      <c r="R315" s="36">
        <v>20000</v>
      </c>
      <c r="S315" s="37" t="s">
        <v>265</v>
      </c>
      <c r="T315" s="38">
        <v>44661</v>
      </c>
      <c r="U315" s="39"/>
      <c r="V315" s="39"/>
      <c r="W315" s="40">
        <v>0</v>
      </c>
      <c r="X315" s="40">
        <v>0</v>
      </c>
      <c r="Y315" s="40">
        <v>0</v>
      </c>
      <c r="Z315" s="40">
        <v>0</v>
      </c>
      <c r="AA315" s="40">
        <v>244</v>
      </c>
      <c r="AB315" s="40">
        <v>0</v>
      </c>
      <c r="AC315" s="40">
        <v>0</v>
      </c>
      <c r="AD315" s="40">
        <v>0</v>
      </c>
      <c r="AE315" s="40">
        <v>0</v>
      </c>
      <c r="AF315" s="40">
        <v>0</v>
      </c>
      <c r="AG315" s="40">
        <v>0</v>
      </c>
      <c r="AH315" s="40">
        <v>0</v>
      </c>
      <c r="AI315" s="41">
        <f t="shared" si="48"/>
        <v>244</v>
      </c>
      <c r="AJ315" s="42">
        <v>0</v>
      </c>
      <c r="AK315" s="42">
        <v>0</v>
      </c>
      <c r="AL315" s="42">
        <v>0</v>
      </c>
      <c r="AM315" s="42">
        <v>0</v>
      </c>
      <c r="AN315" s="42">
        <v>0</v>
      </c>
      <c r="AO315" s="42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0</v>
      </c>
      <c r="AU315" s="42">
        <v>0</v>
      </c>
      <c r="AV315" s="42">
        <f t="shared" si="49"/>
        <v>0</v>
      </c>
      <c r="AW315" s="42">
        <v>0</v>
      </c>
      <c r="AX315" s="42">
        <v>0</v>
      </c>
      <c r="AY315" s="42">
        <v>0</v>
      </c>
      <c r="AZ315" s="42">
        <v>0</v>
      </c>
      <c r="BA315" s="42">
        <v>0</v>
      </c>
      <c r="BB315" s="42">
        <v>0</v>
      </c>
      <c r="BC315" s="42">
        <v>0</v>
      </c>
      <c r="BD315" s="42">
        <v>0</v>
      </c>
      <c r="BE315" s="42">
        <v>0</v>
      </c>
      <c r="BF315" s="42">
        <v>0</v>
      </c>
      <c r="BG315" s="42">
        <v>0</v>
      </c>
      <c r="BH315" s="42">
        <v>0</v>
      </c>
      <c r="BI315" s="42">
        <v>0</v>
      </c>
      <c r="BJ315" s="42">
        <v>0</v>
      </c>
      <c r="BK315" s="42">
        <v>0</v>
      </c>
      <c r="BL315" s="42">
        <v>0</v>
      </c>
      <c r="BM315" s="42">
        <v>0</v>
      </c>
      <c r="BN315" s="42">
        <v>0</v>
      </c>
      <c r="BO315" s="42">
        <v>0</v>
      </c>
      <c r="BP315" s="42">
        <v>0</v>
      </c>
      <c r="BQ315" s="42">
        <v>0</v>
      </c>
      <c r="BR315" s="42">
        <v>0</v>
      </c>
      <c r="BS315" s="42">
        <v>0</v>
      </c>
      <c r="BT315" s="42">
        <v>0</v>
      </c>
      <c r="BU315" s="42">
        <v>0</v>
      </c>
      <c r="BV315" s="42">
        <v>0</v>
      </c>
      <c r="BW315" s="42">
        <v>0</v>
      </c>
      <c r="BX315" s="42">
        <v>0</v>
      </c>
      <c r="BY315" s="42">
        <v>0</v>
      </c>
      <c r="BZ315" s="42">
        <v>0</v>
      </c>
      <c r="CA315" s="42">
        <v>0</v>
      </c>
      <c r="CB315" s="42">
        <v>0</v>
      </c>
      <c r="CC315" s="42">
        <v>0</v>
      </c>
      <c r="CD315" s="42">
        <v>0</v>
      </c>
      <c r="CE315" s="42">
        <v>0</v>
      </c>
      <c r="CF315" s="42">
        <v>0</v>
      </c>
      <c r="CG315" s="42">
        <v>0</v>
      </c>
      <c r="CH315" s="42">
        <v>0</v>
      </c>
      <c r="CI315" s="42">
        <v>0</v>
      </c>
      <c r="CJ315" s="42">
        <v>0</v>
      </c>
      <c r="CK315" s="43">
        <f t="shared" si="50"/>
        <v>0</v>
      </c>
      <c r="CL315" s="66"/>
      <c r="CM315" s="66">
        <v>0</v>
      </c>
      <c r="CN315" s="66">
        <v>0</v>
      </c>
      <c r="CO315" s="66">
        <v>0</v>
      </c>
      <c r="CP315" s="66">
        <v>0</v>
      </c>
      <c r="CQ315" s="66">
        <v>0</v>
      </c>
      <c r="CR315" s="66">
        <v>0</v>
      </c>
      <c r="CS315" s="66">
        <v>0</v>
      </c>
      <c r="CT315" s="66">
        <v>0</v>
      </c>
      <c r="CU315" s="66">
        <v>0</v>
      </c>
      <c r="CV315" s="66">
        <v>0</v>
      </c>
      <c r="CW315" s="66">
        <v>0</v>
      </c>
      <c r="CX315" s="66">
        <v>0</v>
      </c>
      <c r="CY315" s="66">
        <v>0</v>
      </c>
      <c r="CZ315" s="66">
        <v>0</v>
      </c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>
        <f>SUM(Table1[[#This Row],[01-03 Apr]:[Mar-26]])</f>
        <v>0</v>
      </c>
    </row>
    <row r="316" spans="1:115" hidden="1" x14ac:dyDescent="0.2">
      <c r="A316" s="28" t="s">
        <v>2253</v>
      </c>
      <c r="B316" s="29" t="s">
        <v>266</v>
      </c>
      <c r="C316" s="29" t="s">
        <v>267</v>
      </c>
      <c r="D316" s="30" t="s">
        <v>268</v>
      </c>
      <c r="E316" s="30" t="s">
        <v>217</v>
      </c>
      <c r="F316" s="30"/>
      <c r="G316" s="31" t="s">
        <v>269</v>
      </c>
      <c r="H316" s="30">
        <v>359939</v>
      </c>
      <c r="I316" s="30" t="str">
        <f>IF(Table1[[#This Row],[Centre Status]]="Returned","NA",IF(Table1[[#This Row],[SD]]&gt;19000,"Full Payment",IF(Table1[[#This Row],[SD]]&lt;1,"No Payment","Partial Payment")))</f>
        <v>Full Payment</v>
      </c>
      <c r="J316" s="30" t="s">
        <v>58</v>
      </c>
      <c r="K316" s="32">
        <v>64000</v>
      </c>
      <c r="L316" s="33">
        <f>Q316+R316+U316+Table1[[#This Row],[Farmer Payment]]</f>
        <v>64000</v>
      </c>
      <c r="M316" s="30"/>
      <c r="N316" s="34"/>
      <c r="O316" s="34"/>
      <c r="P316" s="35">
        <f t="shared" si="47"/>
        <v>0</v>
      </c>
      <c r="Q316" s="33">
        <f>AI316+AV316+CK316+Table1[[#This Row],[FY 25-26]]</f>
        <v>44000</v>
      </c>
      <c r="R316" s="36">
        <v>20000</v>
      </c>
      <c r="S316" s="37" t="s">
        <v>270</v>
      </c>
      <c r="T316" s="38">
        <v>44664</v>
      </c>
      <c r="U316" s="39"/>
      <c r="V316" s="39"/>
      <c r="W316" s="40">
        <v>0</v>
      </c>
      <c r="X316" s="40">
        <v>1861</v>
      </c>
      <c r="Y316" s="40">
        <v>1492</v>
      </c>
      <c r="Z316" s="40">
        <v>1861</v>
      </c>
      <c r="AA316" s="40">
        <v>4261.9024000000009</v>
      </c>
      <c r="AB316" s="40">
        <v>5558.5156000000006</v>
      </c>
      <c r="AC316" s="40">
        <v>5157.9115999999995</v>
      </c>
      <c r="AD316" s="40">
        <v>5218.4465999999993</v>
      </c>
      <c r="AE316" s="40">
        <v>5614.0953999999992</v>
      </c>
      <c r="AF316" s="40">
        <v>5129.3498000000009</v>
      </c>
      <c r="AG316" s="40">
        <v>3242.0092000000004</v>
      </c>
      <c r="AH316" s="40">
        <v>2861.0257999999994</v>
      </c>
      <c r="AI316" s="41">
        <f t="shared" si="48"/>
        <v>42257.256399999998</v>
      </c>
      <c r="AJ316" s="42">
        <v>1742.7436000000016</v>
      </c>
      <c r="AK316" s="42">
        <v>0</v>
      </c>
      <c r="AL316" s="42">
        <v>0</v>
      </c>
      <c r="AM316" s="42">
        <v>0</v>
      </c>
      <c r="AN316" s="42">
        <v>0</v>
      </c>
      <c r="AO316" s="42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0</v>
      </c>
      <c r="AU316" s="42">
        <v>0</v>
      </c>
      <c r="AV316" s="42">
        <f t="shared" si="49"/>
        <v>1742.7436000000016</v>
      </c>
      <c r="AW316" s="42">
        <v>0</v>
      </c>
      <c r="AX316" s="42">
        <v>0</v>
      </c>
      <c r="AY316" s="42">
        <v>0</v>
      </c>
      <c r="AZ316" s="42">
        <v>0</v>
      </c>
      <c r="BA316" s="42">
        <v>0</v>
      </c>
      <c r="BB316" s="42">
        <v>0</v>
      </c>
      <c r="BC316" s="42">
        <v>0</v>
      </c>
      <c r="BD316" s="42">
        <v>0</v>
      </c>
      <c r="BE316" s="42">
        <v>0</v>
      </c>
      <c r="BF316" s="42">
        <v>0</v>
      </c>
      <c r="BG316" s="42">
        <v>0</v>
      </c>
      <c r="BH316" s="42">
        <v>0</v>
      </c>
      <c r="BI316" s="42">
        <v>0</v>
      </c>
      <c r="BJ316" s="42">
        <v>0</v>
      </c>
      <c r="BK316" s="42">
        <v>0</v>
      </c>
      <c r="BL316" s="42">
        <v>0</v>
      </c>
      <c r="BM316" s="42">
        <v>0</v>
      </c>
      <c r="BN316" s="42">
        <v>0</v>
      </c>
      <c r="BO316" s="42">
        <v>0</v>
      </c>
      <c r="BP316" s="42">
        <v>0</v>
      </c>
      <c r="BQ316" s="42">
        <v>0</v>
      </c>
      <c r="BR316" s="42">
        <v>0</v>
      </c>
      <c r="BS316" s="42">
        <v>0</v>
      </c>
      <c r="BT316" s="42">
        <v>0</v>
      </c>
      <c r="BU316" s="42">
        <v>0</v>
      </c>
      <c r="BV316" s="42">
        <v>0</v>
      </c>
      <c r="BW316" s="42">
        <v>0</v>
      </c>
      <c r="BX316" s="42">
        <v>0</v>
      </c>
      <c r="BY316" s="42">
        <v>0</v>
      </c>
      <c r="BZ316" s="42">
        <v>0</v>
      </c>
      <c r="CA316" s="42">
        <v>0</v>
      </c>
      <c r="CB316" s="42">
        <v>0</v>
      </c>
      <c r="CC316" s="42">
        <v>0</v>
      </c>
      <c r="CD316" s="42">
        <v>0</v>
      </c>
      <c r="CE316" s="42">
        <v>0</v>
      </c>
      <c r="CF316" s="42">
        <v>0</v>
      </c>
      <c r="CG316" s="42">
        <v>0</v>
      </c>
      <c r="CH316" s="42">
        <v>0</v>
      </c>
      <c r="CI316" s="42">
        <v>0</v>
      </c>
      <c r="CJ316" s="42">
        <v>0</v>
      </c>
      <c r="CK316" s="43">
        <f t="shared" si="50"/>
        <v>0</v>
      </c>
      <c r="CL316" s="66"/>
      <c r="CM316" s="66">
        <v>0</v>
      </c>
      <c r="CN316" s="66">
        <v>0</v>
      </c>
      <c r="CO316" s="66">
        <v>0</v>
      </c>
      <c r="CP316" s="66">
        <v>0</v>
      </c>
      <c r="CQ316" s="66">
        <v>0</v>
      </c>
      <c r="CR316" s="66">
        <v>0</v>
      </c>
      <c r="CS316" s="66">
        <v>0</v>
      </c>
      <c r="CT316" s="66">
        <v>0</v>
      </c>
      <c r="CU316" s="66">
        <v>0</v>
      </c>
      <c r="CV316" s="66">
        <v>0</v>
      </c>
      <c r="CW316" s="66">
        <v>0</v>
      </c>
      <c r="CX316" s="66">
        <v>0</v>
      </c>
      <c r="CY316" s="66">
        <v>0</v>
      </c>
      <c r="CZ316" s="66">
        <v>0</v>
      </c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>
        <f>SUM(Table1[[#This Row],[01-03 Apr]:[Mar-26]])</f>
        <v>0</v>
      </c>
    </row>
    <row r="317" spans="1:115" hidden="1" x14ac:dyDescent="0.2">
      <c r="A317" s="28" t="s">
        <v>2256</v>
      </c>
      <c r="B317" s="29" t="s">
        <v>271</v>
      </c>
      <c r="C317" s="29" t="s">
        <v>272</v>
      </c>
      <c r="D317" s="30" t="s">
        <v>273</v>
      </c>
      <c r="E317" s="30" t="s">
        <v>217</v>
      </c>
      <c r="F317" s="30"/>
      <c r="G317" s="31" t="s">
        <v>264</v>
      </c>
      <c r="H317" s="30">
        <v>276884</v>
      </c>
      <c r="I317" s="30" t="str">
        <f>IF(Table1[[#This Row],[Centre Status]]="Returned","NA",IF(Table1[[#This Row],[SD]]&gt;19000,"Full Payment",IF(Table1[[#This Row],[SD]]&lt;1,"No Payment","Partial Payment")))</f>
        <v>Full Payment</v>
      </c>
      <c r="J317" s="30" t="s">
        <v>58</v>
      </c>
      <c r="K317" s="32">
        <v>64000</v>
      </c>
      <c r="L317" s="33">
        <f>Q317+R317+U317+Table1[[#This Row],[Farmer Payment]]</f>
        <v>64566.862399999998</v>
      </c>
      <c r="M317" s="30"/>
      <c r="N317" s="34"/>
      <c r="O317" s="34"/>
      <c r="P317" s="35">
        <f t="shared" si="47"/>
        <v>-566.86239999999816</v>
      </c>
      <c r="Q317" s="33">
        <f>AI317+AV317+CK317+Table1[[#This Row],[FY 25-26]]</f>
        <v>44566.862399999998</v>
      </c>
      <c r="R317" s="36">
        <v>20000</v>
      </c>
      <c r="S317" s="37" t="s">
        <v>274</v>
      </c>
      <c r="T317" s="38">
        <v>44664</v>
      </c>
      <c r="U317" s="39"/>
      <c r="V317" s="39"/>
      <c r="W317" s="40">
        <v>1861</v>
      </c>
      <c r="X317" s="40">
        <v>2239.3182000000002</v>
      </c>
      <c r="Y317" s="40">
        <v>2291.3126000000007</v>
      </c>
      <c r="Z317" s="40">
        <v>1861</v>
      </c>
      <c r="AA317" s="40">
        <v>2109.9969999999998</v>
      </c>
      <c r="AB317" s="40">
        <v>2434.2346000000002</v>
      </c>
      <c r="AC317" s="40">
        <v>1861</v>
      </c>
      <c r="AD317" s="40">
        <v>1861</v>
      </c>
      <c r="AE317" s="40">
        <v>1861</v>
      </c>
      <c r="AF317" s="40">
        <v>865</v>
      </c>
      <c r="AG317" s="40">
        <v>1185</v>
      </c>
      <c r="AH317" s="40">
        <v>1861</v>
      </c>
      <c r="AI317" s="41">
        <f t="shared" si="48"/>
        <v>22290.862399999998</v>
      </c>
      <c r="AJ317" s="42">
        <v>1832</v>
      </c>
      <c r="AK317" s="42">
        <v>0</v>
      </c>
      <c r="AL317" s="42">
        <v>1715</v>
      </c>
      <c r="AM317" s="42">
        <v>1861</v>
      </c>
      <c r="AN317" s="42">
        <v>1860</v>
      </c>
      <c r="AO317" s="42">
        <v>0</v>
      </c>
      <c r="AP317" s="42">
        <v>1754</v>
      </c>
      <c r="AQ317" s="42">
        <v>284</v>
      </c>
      <c r="AR317" s="42">
        <v>268</v>
      </c>
      <c r="AS317" s="42">
        <v>754</v>
      </c>
      <c r="AT317" s="42">
        <v>1203</v>
      </c>
      <c r="AU317" s="42">
        <v>0</v>
      </c>
      <c r="AV317" s="42">
        <f t="shared" si="49"/>
        <v>11531</v>
      </c>
      <c r="AW317" s="42">
        <v>0</v>
      </c>
      <c r="AX317" s="42">
        <v>740</v>
      </c>
      <c r="AY317" s="42">
        <v>1778</v>
      </c>
      <c r="AZ317" s="42">
        <v>1549</v>
      </c>
      <c r="BA317" s="42">
        <v>767</v>
      </c>
      <c r="BB317" s="42">
        <v>500</v>
      </c>
      <c r="BC317" s="42">
        <v>411</v>
      </c>
      <c r="BD317" s="42">
        <v>500</v>
      </c>
      <c r="BE317" s="42">
        <v>500</v>
      </c>
      <c r="BF317" s="42">
        <v>500</v>
      </c>
      <c r="BG317" s="42">
        <v>500</v>
      </c>
      <c r="BH317" s="42">
        <v>500</v>
      </c>
      <c r="BI317" s="42">
        <v>0</v>
      </c>
      <c r="BJ317" s="42">
        <v>500</v>
      </c>
      <c r="BK317" s="42">
        <v>500</v>
      </c>
      <c r="BL317" s="42">
        <v>0</v>
      </c>
      <c r="BM317" s="42">
        <v>0</v>
      </c>
      <c r="BN317" s="42">
        <v>0</v>
      </c>
      <c r="BO317" s="42">
        <v>0</v>
      </c>
      <c r="BP317" s="42">
        <v>0</v>
      </c>
      <c r="BQ317" s="42">
        <v>0</v>
      </c>
      <c r="BR317" s="42">
        <v>0</v>
      </c>
      <c r="BS317" s="42">
        <v>500</v>
      </c>
      <c r="BT317" s="42">
        <v>0</v>
      </c>
      <c r="BU317" s="42">
        <v>0</v>
      </c>
      <c r="BV317" s="42">
        <v>500</v>
      </c>
      <c r="BW317" s="42">
        <v>500</v>
      </c>
      <c r="BX317" s="42">
        <v>500</v>
      </c>
      <c r="BY317" s="42">
        <v>-1500</v>
      </c>
      <c r="BZ317" s="42">
        <v>500</v>
      </c>
      <c r="CA317" s="42">
        <v>0</v>
      </c>
      <c r="CB317" s="42">
        <v>0</v>
      </c>
      <c r="CC317" s="42">
        <v>500</v>
      </c>
      <c r="CD317" s="42">
        <v>0</v>
      </c>
      <c r="CE317" s="42">
        <v>0</v>
      </c>
      <c r="CF317" s="42">
        <v>0</v>
      </c>
      <c r="CG317" s="42">
        <v>0</v>
      </c>
      <c r="CH317" s="42">
        <v>0</v>
      </c>
      <c r="CI317" s="42">
        <v>0</v>
      </c>
      <c r="CJ317" s="42">
        <v>0</v>
      </c>
      <c r="CK317" s="43">
        <f t="shared" si="50"/>
        <v>10745</v>
      </c>
      <c r="CL317" s="66"/>
      <c r="CM317" s="66">
        <v>0</v>
      </c>
      <c r="CN317" s="66">
        <v>0</v>
      </c>
      <c r="CO317" s="66">
        <v>0</v>
      </c>
      <c r="CP317" s="66">
        <v>0</v>
      </c>
      <c r="CQ317" s="66">
        <v>0</v>
      </c>
      <c r="CR317" s="66">
        <v>0</v>
      </c>
      <c r="CS317" s="66">
        <v>0</v>
      </c>
      <c r="CT317" s="66">
        <v>0</v>
      </c>
      <c r="CU317" s="66">
        <v>0</v>
      </c>
      <c r="CV317" s="66">
        <v>0</v>
      </c>
      <c r="CW317" s="66">
        <v>0</v>
      </c>
      <c r="CX317" s="66">
        <v>0</v>
      </c>
      <c r="CY317" s="66">
        <v>0</v>
      </c>
      <c r="CZ317" s="66">
        <v>0</v>
      </c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>
        <f>SUM(Table1[[#This Row],[01-03 Apr]:[Mar-26]])</f>
        <v>0</v>
      </c>
    </row>
    <row r="318" spans="1:115" hidden="1" x14ac:dyDescent="0.2">
      <c r="A318" s="28" t="s">
        <v>2364</v>
      </c>
      <c r="B318" s="29" t="s">
        <v>278</v>
      </c>
      <c r="C318" s="29" t="s">
        <v>3336</v>
      </c>
      <c r="D318" s="30" t="s">
        <v>279</v>
      </c>
      <c r="E318" s="30" t="s">
        <v>217</v>
      </c>
      <c r="F318" s="30"/>
      <c r="G318" s="31" t="s">
        <v>264</v>
      </c>
      <c r="H318" s="30"/>
      <c r="I318" s="30" t="str">
        <f>IF(Table1[[#This Row],[Centre Status]]="Returned","NA",IF(Table1[[#This Row],[SD]]&gt;19000,"Full Payment",IF(Table1[[#This Row],[SD]]&lt;1,"No Payment","Partial Payment")))</f>
        <v>Full Payment</v>
      </c>
      <c r="J318" s="30" t="s">
        <v>58</v>
      </c>
      <c r="K318" s="32">
        <v>110000</v>
      </c>
      <c r="L318" s="33">
        <f>Q318+R318+U318+Table1[[#This Row],[Farmer Payment]]</f>
        <v>23524</v>
      </c>
      <c r="M318" s="30"/>
      <c r="N318" s="34"/>
      <c r="O318" s="34"/>
      <c r="P318" s="35">
        <f t="shared" si="47"/>
        <v>86476</v>
      </c>
      <c r="Q318" s="33">
        <f>AI318+AV318+CK318+Table1[[#This Row],[FY 25-26]]</f>
        <v>3524</v>
      </c>
      <c r="R318" s="36">
        <v>20000</v>
      </c>
      <c r="S318" s="37" t="s">
        <v>280</v>
      </c>
      <c r="T318" s="38">
        <v>44665</v>
      </c>
      <c r="U318" s="39"/>
      <c r="V318" s="39"/>
      <c r="W318" s="40">
        <v>1173</v>
      </c>
      <c r="X318" s="40">
        <v>1861</v>
      </c>
      <c r="Y318" s="40">
        <v>0</v>
      </c>
      <c r="Z318" s="40">
        <v>0</v>
      </c>
      <c r="AA318" s="40">
        <v>0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1">
        <f t="shared" si="48"/>
        <v>3034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0</v>
      </c>
      <c r="AP318" s="42">
        <v>0</v>
      </c>
      <c r="AQ318" s="42">
        <v>490</v>
      </c>
      <c r="AR318" s="42">
        <v>0</v>
      </c>
      <c r="AS318" s="42">
        <v>0</v>
      </c>
      <c r="AT318" s="42">
        <v>0</v>
      </c>
      <c r="AU318" s="42">
        <v>0</v>
      </c>
      <c r="AV318" s="42">
        <f t="shared" si="49"/>
        <v>490</v>
      </c>
      <c r="AW318" s="42">
        <v>0</v>
      </c>
      <c r="AX318" s="42">
        <v>0</v>
      </c>
      <c r="AY318" s="42">
        <v>0</v>
      </c>
      <c r="AZ318" s="42">
        <v>0</v>
      </c>
      <c r="BA318" s="42">
        <v>0</v>
      </c>
      <c r="BB318" s="42">
        <v>0</v>
      </c>
      <c r="BC318" s="42">
        <v>0</v>
      </c>
      <c r="BD318" s="42">
        <v>0</v>
      </c>
      <c r="BE318" s="42">
        <v>0</v>
      </c>
      <c r="BF318" s="42">
        <v>0</v>
      </c>
      <c r="BG318" s="42">
        <v>0</v>
      </c>
      <c r="BH318" s="42">
        <v>0</v>
      </c>
      <c r="BI318" s="42">
        <v>0</v>
      </c>
      <c r="BJ318" s="42">
        <v>0</v>
      </c>
      <c r="BK318" s="42">
        <v>0</v>
      </c>
      <c r="BL318" s="42">
        <v>0</v>
      </c>
      <c r="BM318" s="42">
        <v>0</v>
      </c>
      <c r="BN318" s="42">
        <v>0</v>
      </c>
      <c r="BO318" s="42">
        <v>0</v>
      </c>
      <c r="BP318" s="42">
        <v>0</v>
      </c>
      <c r="BQ318" s="42">
        <v>0</v>
      </c>
      <c r="BR318" s="42">
        <v>0</v>
      </c>
      <c r="BS318" s="42">
        <v>0</v>
      </c>
      <c r="BT318" s="42">
        <v>0</v>
      </c>
      <c r="BU318" s="42">
        <v>0</v>
      </c>
      <c r="BV318" s="42">
        <v>0</v>
      </c>
      <c r="BW318" s="42">
        <v>0</v>
      </c>
      <c r="BX318" s="42">
        <v>0</v>
      </c>
      <c r="BY318" s="42">
        <v>0</v>
      </c>
      <c r="BZ318" s="42">
        <v>0</v>
      </c>
      <c r="CA318" s="42">
        <v>0</v>
      </c>
      <c r="CB318" s="42">
        <v>0</v>
      </c>
      <c r="CC318" s="42">
        <v>0</v>
      </c>
      <c r="CD318" s="42">
        <v>0</v>
      </c>
      <c r="CE318" s="42">
        <v>0</v>
      </c>
      <c r="CF318" s="42">
        <v>0</v>
      </c>
      <c r="CG318" s="42">
        <v>0</v>
      </c>
      <c r="CH318" s="42">
        <v>0</v>
      </c>
      <c r="CI318" s="42">
        <v>0</v>
      </c>
      <c r="CJ318" s="42">
        <v>0</v>
      </c>
      <c r="CK318" s="43">
        <f t="shared" si="50"/>
        <v>0</v>
      </c>
      <c r="CL318" s="66"/>
      <c r="CM318" s="66">
        <v>0</v>
      </c>
      <c r="CN318" s="66">
        <v>0</v>
      </c>
      <c r="CO318" s="66">
        <v>0</v>
      </c>
      <c r="CP318" s="66">
        <v>0</v>
      </c>
      <c r="CQ318" s="66">
        <v>0</v>
      </c>
      <c r="CR318" s="66">
        <v>0</v>
      </c>
      <c r="CS318" s="66">
        <v>0</v>
      </c>
      <c r="CT318" s="66">
        <v>0</v>
      </c>
      <c r="CU318" s="66">
        <v>0</v>
      </c>
      <c r="CV318" s="66">
        <v>0</v>
      </c>
      <c r="CW318" s="66">
        <v>0</v>
      </c>
      <c r="CX318" s="66">
        <v>0</v>
      </c>
      <c r="CY318" s="66">
        <v>0</v>
      </c>
      <c r="CZ318" s="66">
        <v>0</v>
      </c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>
        <f>SUM(Table1[[#This Row],[01-03 Apr]:[Mar-26]])</f>
        <v>0</v>
      </c>
    </row>
    <row r="319" spans="1:115" hidden="1" x14ac:dyDescent="0.2">
      <c r="A319" s="28" t="s">
        <v>2363</v>
      </c>
      <c r="B319" s="29" t="s">
        <v>281</v>
      </c>
      <c r="C319" s="29" t="s">
        <v>3336</v>
      </c>
      <c r="D319" s="30" t="s">
        <v>282</v>
      </c>
      <c r="E319" s="30" t="s">
        <v>217</v>
      </c>
      <c r="F319" s="30"/>
      <c r="G319" s="31" t="s">
        <v>264</v>
      </c>
      <c r="H319" s="30"/>
      <c r="I319" s="30" t="str">
        <f>IF(Table1[[#This Row],[Centre Status]]="Returned","NA",IF(Table1[[#This Row],[SD]]&gt;19000,"Full Payment",IF(Table1[[#This Row],[SD]]&lt;1,"No Payment","Partial Payment")))</f>
        <v>Full Payment</v>
      </c>
      <c r="J319" s="30" t="s">
        <v>58</v>
      </c>
      <c r="K319" s="32">
        <v>64000</v>
      </c>
      <c r="L319" s="33">
        <f>Q319+R319+U319+Table1[[#This Row],[Farmer Payment]]</f>
        <v>21919</v>
      </c>
      <c r="M319" s="30"/>
      <c r="N319" s="34"/>
      <c r="O319" s="34"/>
      <c r="P319" s="35">
        <f t="shared" si="47"/>
        <v>42081</v>
      </c>
      <c r="Q319" s="33">
        <f>AI319+AV319+CK319+Table1[[#This Row],[FY 25-26]]</f>
        <v>1919</v>
      </c>
      <c r="R319" s="36">
        <v>20000</v>
      </c>
      <c r="S319" s="37" t="s">
        <v>283</v>
      </c>
      <c r="T319" s="38">
        <v>44665</v>
      </c>
      <c r="U319" s="39"/>
      <c r="V319" s="39"/>
      <c r="W319" s="40">
        <v>0</v>
      </c>
      <c r="X319" s="40">
        <v>1861</v>
      </c>
      <c r="Y319" s="40">
        <v>0</v>
      </c>
      <c r="Z319" s="40">
        <v>58</v>
      </c>
      <c r="AA319" s="40">
        <v>0</v>
      </c>
      <c r="AB319" s="40">
        <v>0</v>
      </c>
      <c r="AC319" s="40">
        <v>0</v>
      </c>
      <c r="AD319" s="40">
        <v>0</v>
      </c>
      <c r="AE319" s="40">
        <v>0</v>
      </c>
      <c r="AF319" s="40">
        <v>0</v>
      </c>
      <c r="AG319" s="40">
        <v>0</v>
      </c>
      <c r="AH319" s="40">
        <v>0</v>
      </c>
      <c r="AI319" s="41">
        <f t="shared" si="48"/>
        <v>1919</v>
      </c>
      <c r="AJ319" s="42">
        <v>0</v>
      </c>
      <c r="AK319" s="42">
        <v>0</v>
      </c>
      <c r="AL319" s="42">
        <v>0</v>
      </c>
      <c r="AM319" s="42">
        <v>0</v>
      </c>
      <c r="AN319" s="42">
        <v>0</v>
      </c>
      <c r="AO319" s="42">
        <v>0</v>
      </c>
      <c r="AP319" s="42">
        <v>0</v>
      </c>
      <c r="AQ319" s="42">
        <v>0</v>
      </c>
      <c r="AR319" s="42">
        <v>0</v>
      </c>
      <c r="AS319" s="42">
        <v>0</v>
      </c>
      <c r="AT319" s="42">
        <v>0</v>
      </c>
      <c r="AU319" s="42">
        <v>0</v>
      </c>
      <c r="AV319" s="42">
        <f t="shared" si="49"/>
        <v>0</v>
      </c>
      <c r="AW319" s="42">
        <v>0</v>
      </c>
      <c r="AX319" s="42">
        <v>0</v>
      </c>
      <c r="AY319" s="42">
        <v>0</v>
      </c>
      <c r="AZ319" s="42">
        <v>0</v>
      </c>
      <c r="BA319" s="42">
        <v>0</v>
      </c>
      <c r="BB319" s="42">
        <v>0</v>
      </c>
      <c r="BC319" s="42">
        <v>0</v>
      </c>
      <c r="BD319" s="42">
        <v>0</v>
      </c>
      <c r="BE319" s="42">
        <v>0</v>
      </c>
      <c r="BF319" s="42">
        <v>0</v>
      </c>
      <c r="BG319" s="42">
        <v>0</v>
      </c>
      <c r="BH319" s="42">
        <v>0</v>
      </c>
      <c r="BI319" s="42">
        <v>0</v>
      </c>
      <c r="BJ319" s="42">
        <v>0</v>
      </c>
      <c r="BK319" s="42">
        <v>0</v>
      </c>
      <c r="BL319" s="42">
        <v>0</v>
      </c>
      <c r="BM319" s="42">
        <v>0</v>
      </c>
      <c r="BN319" s="42">
        <v>0</v>
      </c>
      <c r="BO319" s="42">
        <v>0</v>
      </c>
      <c r="BP319" s="42">
        <v>0</v>
      </c>
      <c r="BQ319" s="42">
        <v>0</v>
      </c>
      <c r="BR319" s="42">
        <v>0</v>
      </c>
      <c r="BS319" s="42">
        <v>0</v>
      </c>
      <c r="BT319" s="42">
        <v>0</v>
      </c>
      <c r="BU319" s="42">
        <v>0</v>
      </c>
      <c r="BV319" s="42">
        <v>0</v>
      </c>
      <c r="BW319" s="42">
        <v>0</v>
      </c>
      <c r="BX319" s="42">
        <v>0</v>
      </c>
      <c r="BY319" s="42">
        <v>0</v>
      </c>
      <c r="BZ319" s="42">
        <v>0</v>
      </c>
      <c r="CA319" s="42">
        <v>0</v>
      </c>
      <c r="CB319" s="42">
        <v>0</v>
      </c>
      <c r="CC319" s="42">
        <v>0</v>
      </c>
      <c r="CD319" s="42">
        <v>0</v>
      </c>
      <c r="CE319" s="42">
        <v>0</v>
      </c>
      <c r="CF319" s="42">
        <v>0</v>
      </c>
      <c r="CG319" s="42">
        <v>0</v>
      </c>
      <c r="CH319" s="42">
        <v>0</v>
      </c>
      <c r="CI319" s="42">
        <v>0</v>
      </c>
      <c r="CJ319" s="42">
        <v>0</v>
      </c>
      <c r="CK319" s="43">
        <f t="shared" si="50"/>
        <v>0</v>
      </c>
      <c r="CL319" s="66"/>
      <c r="CM319" s="66">
        <v>0</v>
      </c>
      <c r="CN319" s="66">
        <v>0</v>
      </c>
      <c r="CO319" s="66">
        <v>0</v>
      </c>
      <c r="CP319" s="66">
        <v>0</v>
      </c>
      <c r="CQ319" s="66">
        <v>0</v>
      </c>
      <c r="CR319" s="66">
        <v>0</v>
      </c>
      <c r="CS319" s="66">
        <v>0</v>
      </c>
      <c r="CT319" s="66">
        <v>0</v>
      </c>
      <c r="CU319" s="66">
        <v>0</v>
      </c>
      <c r="CV319" s="66">
        <v>0</v>
      </c>
      <c r="CW319" s="66">
        <v>0</v>
      </c>
      <c r="CX319" s="66">
        <v>0</v>
      </c>
      <c r="CY319" s="66">
        <v>0</v>
      </c>
      <c r="CZ319" s="66">
        <v>0</v>
      </c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>
        <f>SUM(Table1[[#This Row],[01-03 Apr]:[Mar-26]])</f>
        <v>0</v>
      </c>
    </row>
    <row r="320" spans="1:115" hidden="1" x14ac:dyDescent="0.2">
      <c r="A320" s="28" t="s">
        <v>2363</v>
      </c>
      <c r="B320" s="29" t="s">
        <v>284</v>
      </c>
      <c r="C320" s="29" t="s">
        <v>3336</v>
      </c>
      <c r="D320" s="30" t="s">
        <v>285</v>
      </c>
      <c r="E320" s="30" t="s">
        <v>217</v>
      </c>
      <c r="F320" s="30"/>
      <c r="G320" s="31" t="s">
        <v>264</v>
      </c>
      <c r="H320" s="30"/>
      <c r="I320" s="30" t="str">
        <f>IF(Table1[[#This Row],[Centre Status]]="Returned","NA",IF(Table1[[#This Row],[SD]]&gt;19000,"Full Payment",IF(Table1[[#This Row],[SD]]&lt;1,"No Payment","Partial Payment")))</f>
        <v>Full Payment</v>
      </c>
      <c r="J320" s="30" t="s">
        <v>58</v>
      </c>
      <c r="K320" s="32">
        <v>64000</v>
      </c>
      <c r="L320" s="33">
        <f>Q320+R320+U320+Table1[[#This Row],[Farmer Payment]]</f>
        <v>21391</v>
      </c>
      <c r="M320" s="30"/>
      <c r="N320" s="34"/>
      <c r="O320" s="34"/>
      <c r="P320" s="35">
        <f t="shared" si="47"/>
        <v>42609</v>
      </c>
      <c r="Q320" s="33">
        <f>AI320+AV320+CK320+Table1[[#This Row],[FY 25-26]]</f>
        <v>1391</v>
      </c>
      <c r="R320" s="36">
        <v>20000</v>
      </c>
      <c r="S320" s="37" t="s">
        <v>286</v>
      </c>
      <c r="T320" s="38">
        <v>44666</v>
      </c>
      <c r="U320" s="39"/>
      <c r="V320" s="39"/>
      <c r="W320" s="40">
        <v>0</v>
      </c>
      <c r="X320" s="40">
        <v>1221</v>
      </c>
      <c r="Y320" s="40">
        <v>170</v>
      </c>
      <c r="Z320" s="40">
        <v>0</v>
      </c>
      <c r="AA320" s="40">
        <v>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0</v>
      </c>
      <c r="AI320" s="41">
        <f t="shared" si="48"/>
        <v>1391</v>
      </c>
      <c r="AJ320" s="42">
        <v>0</v>
      </c>
      <c r="AK320" s="42">
        <v>0</v>
      </c>
      <c r="AL320" s="42">
        <v>0</v>
      </c>
      <c r="AM320" s="42">
        <v>0</v>
      </c>
      <c r="AN320" s="42">
        <v>0</v>
      </c>
      <c r="AO320" s="42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42">
        <v>0</v>
      </c>
      <c r="AV320" s="42">
        <f t="shared" si="49"/>
        <v>0</v>
      </c>
      <c r="AW320" s="42">
        <v>0</v>
      </c>
      <c r="AX320" s="42">
        <v>0</v>
      </c>
      <c r="AY320" s="42">
        <v>0</v>
      </c>
      <c r="AZ320" s="42">
        <v>0</v>
      </c>
      <c r="BA320" s="42">
        <v>0</v>
      </c>
      <c r="BB320" s="42">
        <v>0</v>
      </c>
      <c r="BC320" s="42">
        <v>0</v>
      </c>
      <c r="BD320" s="42">
        <v>0</v>
      </c>
      <c r="BE320" s="42">
        <v>0</v>
      </c>
      <c r="BF320" s="42">
        <v>0</v>
      </c>
      <c r="BG320" s="42">
        <v>0</v>
      </c>
      <c r="BH320" s="42">
        <v>0</v>
      </c>
      <c r="BI320" s="42">
        <v>0</v>
      </c>
      <c r="BJ320" s="42">
        <v>0</v>
      </c>
      <c r="BK320" s="42">
        <v>0</v>
      </c>
      <c r="BL320" s="42">
        <v>0</v>
      </c>
      <c r="BM320" s="42">
        <v>0</v>
      </c>
      <c r="BN320" s="42">
        <v>0</v>
      </c>
      <c r="BO320" s="42">
        <v>0</v>
      </c>
      <c r="BP320" s="42">
        <v>0</v>
      </c>
      <c r="BQ320" s="42">
        <v>0</v>
      </c>
      <c r="BR320" s="42">
        <v>0</v>
      </c>
      <c r="BS320" s="42">
        <v>0</v>
      </c>
      <c r="BT320" s="42">
        <v>0</v>
      </c>
      <c r="BU320" s="42">
        <v>0</v>
      </c>
      <c r="BV320" s="42">
        <v>0</v>
      </c>
      <c r="BW320" s="42">
        <v>0</v>
      </c>
      <c r="BX320" s="42">
        <v>0</v>
      </c>
      <c r="BY320" s="42">
        <v>0</v>
      </c>
      <c r="BZ320" s="42">
        <v>0</v>
      </c>
      <c r="CA320" s="42">
        <v>0</v>
      </c>
      <c r="CB320" s="42">
        <v>0</v>
      </c>
      <c r="CC320" s="42">
        <v>0</v>
      </c>
      <c r="CD320" s="42">
        <v>0</v>
      </c>
      <c r="CE320" s="42">
        <v>0</v>
      </c>
      <c r="CF320" s="42">
        <v>0</v>
      </c>
      <c r="CG320" s="42">
        <v>0</v>
      </c>
      <c r="CH320" s="42">
        <v>0</v>
      </c>
      <c r="CI320" s="42">
        <v>0</v>
      </c>
      <c r="CJ320" s="42">
        <v>0</v>
      </c>
      <c r="CK320" s="43">
        <f t="shared" si="50"/>
        <v>0</v>
      </c>
      <c r="CL320" s="66"/>
      <c r="CM320" s="66">
        <v>0</v>
      </c>
      <c r="CN320" s="66">
        <v>0</v>
      </c>
      <c r="CO320" s="66">
        <v>0</v>
      </c>
      <c r="CP320" s="66">
        <v>0</v>
      </c>
      <c r="CQ320" s="66">
        <v>0</v>
      </c>
      <c r="CR320" s="66">
        <v>0</v>
      </c>
      <c r="CS320" s="66">
        <v>0</v>
      </c>
      <c r="CT320" s="66">
        <v>0</v>
      </c>
      <c r="CU320" s="66">
        <v>0</v>
      </c>
      <c r="CV320" s="66">
        <v>0</v>
      </c>
      <c r="CW320" s="66">
        <v>0</v>
      </c>
      <c r="CX320" s="66">
        <v>0</v>
      </c>
      <c r="CY320" s="66">
        <v>0</v>
      </c>
      <c r="CZ320" s="66">
        <v>0</v>
      </c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>
        <f>SUM(Table1[[#This Row],[01-03 Apr]:[Mar-26]])</f>
        <v>0</v>
      </c>
    </row>
    <row r="321" spans="1:115" hidden="1" x14ac:dyDescent="0.2">
      <c r="A321" s="28" t="s">
        <v>2255</v>
      </c>
      <c r="B321" s="29" t="s">
        <v>287</v>
      </c>
      <c r="C321" s="29" t="s">
        <v>288</v>
      </c>
      <c r="D321" s="30" t="s">
        <v>289</v>
      </c>
      <c r="E321" s="30" t="s">
        <v>217</v>
      </c>
      <c r="F321" s="30"/>
      <c r="G321" s="31" t="s">
        <v>264</v>
      </c>
      <c r="H321" s="30">
        <v>277080</v>
      </c>
      <c r="I321" s="30" t="str">
        <f>IF(Table1[[#This Row],[Centre Status]]="Returned","NA",IF(Table1[[#This Row],[SD]]&gt;19000,"Full Payment",IF(Table1[[#This Row],[SD]]&lt;1,"No Payment","Partial Payment")))</f>
        <v>Full Payment</v>
      </c>
      <c r="J321" s="30" t="s">
        <v>58</v>
      </c>
      <c r="K321" s="32">
        <v>110000</v>
      </c>
      <c r="L321" s="33">
        <f>Q321+R321+U321+Table1[[#This Row],[Farmer Payment]]</f>
        <v>94631.006906391689</v>
      </c>
      <c r="M321" s="30"/>
      <c r="N321" s="34"/>
      <c r="O321" s="34"/>
      <c r="P321" s="35">
        <f t="shared" si="47"/>
        <v>15368.993093608311</v>
      </c>
      <c r="Q321" s="33">
        <f>AI321+AV321+CK321+Table1[[#This Row],[FY 25-26]]</f>
        <v>74631.006906391689</v>
      </c>
      <c r="R321" s="36">
        <v>20000</v>
      </c>
      <c r="S321" s="37" t="s">
        <v>290</v>
      </c>
      <c r="T321" s="38">
        <v>44666</v>
      </c>
      <c r="U321" s="39"/>
      <c r="V321" s="39"/>
      <c r="W321" s="40">
        <v>0</v>
      </c>
      <c r="X321" s="40">
        <v>0</v>
      </c>
      <c r="Y321" s="40">
        <v>1861</v>
      </c>
      <c r="Z321" s="40">
        <v>2279.5308</v>
      </c>
      <c r="AA321" s="40">
        <v>2749.2346000000002</v>
      </c>
      <c r="AB321" s="40">
        <v>1861</v>
      </c>
      <c r="AC321" s="40">
        <v>1936.076</v>
      </c>
      <c r="AD321" s="40">
        <v>2716.0591999999997</v>
      </c>
      <c r="AE321" s="40">
        <v>1861</v>
      </c>
      <c r="AF321" s="40">
        <v>2442.1998000000003</v>
      </c>
      <c r="AG321" s="40">
        <v>2223.835</v>
      </c>
      <c r="AH321" s="40">
        <v>2551.9258</v>
      </c>
      <c r="AI321" s="41">
        <f t="shared" si="48"/>
        <v>22481.861200000003</v>
      </c>
      <c r="AJ321" s="42">
        <v>2132.3810000000003</v>
      </c>
      <c r="AK321" s="42">
        <v>1861</v>
      </c>
      <c r="AL321" s="42">
        <v>2011.5486000000003</v>
      </c>
      <c r="AM321" s="42">
        <v>4150.9616000000005</v>
      </c>
      <c r="AN321" s="42">
        <v>3360.1028000000006</v>
      </c>
      <c r="AO321" s="42">
        <v>3956.5729999999999</v>
      </c>
      <c r="AP321" s="42">
        <v>4045.5717999999943</v>
      </c>
      <c r="AQ321" s="42">
        <v>0</v>
      </c>
      <c r="AR321" s="42">
        <v>0</v>
      </c>
      <c r="AS321" s="42">
        <v>0</v>
      </c>
      <c r="AT321" s="42">
        <v>0</v>
      </c>
      <c r="AU321" s="42">
        <v>2553.8494000000001</v>
      </c>
      <c r="AV321" s="42">
        <f t="shared" si="49"/>
        <v>24071.988199999996</v>
      </c>
      <c r="AW321" s="42">
        <v>2489.7403159296005</v>
      </c>
      <c r="AX321" s="42">
        <v>2671.6236921600002</v>
      </c>
      <c r="AY321" s="42">
        <v>1963.15357721856</v>
      </c>
      <c r="AZ321" s="42">
        <v>1603</v>
      </c>
      <c r="BA321" s="42">
        <v>1155</v>
      </c>
      <c r="BB321" s="42">
        <v>500</v>
      </c>
      <c r="BC321" s="42">
        <v>861</v>
      </c>
      <c r="BD321" s="42">
        <v>500</v>
      </c>
      <c r="BE321" s="42">
        <v>0</v>
      </c>
      <c r="BF321" s="42">
        <v>0</v>
      </c>
      <c r="BG321" s="42">
        <v>0</v>
      </c>
      <c r="BH321" s="42">
        <v>0</v>
      </c>
      <c r="BI321" s="42">
        <v>1861</v>
      </c>
      <c r="BJ321" s="42">
        <v>0</v>
      </c>
      <c r="BK321" s="42">
        <v>0</v>
      </c>
      <c r="BL321" s="42">
        <v>0</v>
      </c>
      <c r="BM321" s="42">
        <v>0</v>
      </c>
      <c r="BN321" s="42">
        <v>1861</v>
      </c>
      <c r="BO321" s="42">
        <v>0</v>
      </c>
      <c r="BP321" s="42">
        <v>0</v>
      </c>
      <c r="BQ321" s="42">
        <v>0</v>
      </c>
      <c r="BR321" s="42">
        <v>0</v>
      </c>
      <c r="BS321" s="42">
        <v>2245.7311564492807</v>
      </c>
      <c r="BT321" s="42">
        <v>0</v>
      </c>
      <c r="BU321" s="42">
        <v>0</v>
      </c>
      <c r="BV321" s="42">
        <v>0</v>
      </c>
      <c r="BW321" s="42">
        <v>0</v>
      </c>
      <c r="BX321" s="42">
        <v>0</v>
      </c>
      <c r="BY321" s="42">
        <v>1861</v>
      </c>
      <c r="BZ321" s="42">
        <v>0</v>
      </c>
      <c r="CA321" s="42">
        <v>0</v>
      </c>
      <c r="CB321" s="42">
        <v>0</v>
      </c>
      <c r="CC321" s="42">
        <v>0</v>
      </c>
      <c r="CD321" s="42">
        <v>2288.8966505809803</v>
      </c>
      <c r="CE321" s="42">
        <v>0</v>
      </c>
      <c r="CF321" s="42">
        <v>0</v>
      </c>
      <c r="CG321" s="42">
        <v>0</v>
      </c>
      <c r="CH321" s="42">
        <v>0</v>
      </c>
      <c r="CI321" s="42">
        <v>0</v>
      </c>
      <c r="CJ321" s="42">
        <v>2494.0121140532701</v>
      </c>
      <c r="CK321" s="43">
        <f t="shared" si="50"/>
        <v>24355.15750639169</v>
      </c>
      <c r="CL321" s="66"/>
      <c r="CM321" s="66">
        <v>0</v>
      </c>
      <c r="CN321" s="66">
        <v>0</v>
      </c>
      <c r="CO321" s="66">
        <v>0</v>
      </c>
      <c r="CP321" s="66">
        <v>1861</v>
      </c>
      <c r="CQ321" s="66">
        <v>0</v>
      </c>
      <c r="CR321" s="66">
        <v>0</v>
      </c>
      <c r="CS321" s="66">
        <v>0</v>
      </c>
      <c r="CT321" s="66">
        <v>0</v>
      </c>
      <c r="CU321" s="66">
        <v>0</v>
      </c>
      <c r="CV321" s="66">
        <v>1861</v>
      </c>
      <c r="CW321" s="66">
        <v>0</v>
      </c>
      <c r="CX321" s="66">
        <v>0</v>
      </c>
      <c r="CY321" s="66">
        <v>0</v>
      </c>
      <c r="CZ321" s="66">
        <v>0</v>
      </c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>
        <f>SUM(Table1[[#This Row],[01-03 Apr]:[Mar-26]])</f>
        <v>3722</v>
      </c>
    </row>
    <row r="322" spans="1:115" hidden="1" x14ac:dyDescent="0.2">
      <c r="A322" s="28" t="s">
        <v>2255</v>
      </c>
      <c r="B322" s="29" t="s">
        <v>291</v>
      </c>
      <c r="C322" s="29" t="s">
        <v>292</v>
      </c>
      <c r="D322" s="30" t="s">
        <v>293</v>
      </c>
      <c r="E322" s="30" t="s">
        <v>217</v>
      </c>
      <c r="F322" s="30"/>
      <c r="G322" s="31" t="s">
        <v>264</v>
      </c>
      <c r="H322" s="30">
        <v>311430</v>
      </c>
      <c r="I322" s="30" t="str">
        <f>IF(Table1[[#This Row],[Centre Status]]="Returned","NA",IF(Table1[[#This Row],[SD]]&gt;19000,"Full Payment",IF(Table1[[#This Row],[SD]]&lt;1,"No Payment","Partial Payment")))</f>
        <v>Full Payment</v>
      </c>
      <c r="J322" s="30" t="s">
        <v>58</v>
      </c>
      <c r="K322" s="32">
        <v>64000</v>
      </c>
      <c r="L322" s="33">
        <f>Q322+R322+U322+Table1[[#This Row],[Farmer Payment]]</f>
        <v>64000</v>
      </c>
      <c r="M322" s="30"/>
      <c r="N322" s="34"/>
      <c r="O322" s="34"/>
      <c r="P322" s="35">
        <f t="shared" si="47"/>
        <v>0</v>
      </c>
      <c r="Q322" s="33">
        <f>AI322+AV322+CK322+Table1[[#This Row],[FY 25-26]]</f>
        <v>44000</v>
      </c>
      <c r="R322" s="36">
        <v>20000</v>
      </c>
      <c r="S322" s="37" t="s">
        <v>294</v>
      </c>
      <c r="T322" s="38">
        <v>44666</v>
      </c>
      <c r="U322" s="39"/>
      <c r="V322" s="39"/>
      <c r="W322" s="40">
        <v>1861</v>
      </c>
      <c r="X322" s="40">
        <v>1966.6909999999998</v>
      </c>
      <c r="Y322" s="40">
        <v>1861</v>
      </c>
      <c r="Z322" s="40">
        <v>1861</v>
      </c>
      <c r="AA322" s="40">
        <v>1483</v>
      </c>
      <c r="AB322" s="40">
        <v>575</v>
      </c>
      <c r="AC322" s="40">
        <v>77</v>
      </c>
      <c r="AD322" s="40">
        <v>1861</v>
      </c>
      <c r="AE322" s="40">
        <v>1861</v>
      </c>
      <c r="AF322" s="40">
        <v>2337.8250000000003</v>
      </c>
      <c r="AG322" s="40">
        <v>2039.0533999999998</v>
      </c>
      <c r="AH322" s="40">
        <v>1861</v>
      </c>
      <c r="AI322" s="41">
        <f t="shared" si="48"/>
        <v>19644.5694</v>
      </c>
      <c r="AJ322" s="42">
        <v>1861</v>
      </c>
      <c r="AK322" s="42">
        <v>1861</v>
      </c>
      <c r="AL322" s="42">
        <v>1861</v>
      </c>
      <c r="AM322" s="42">
        <v>1894.3417999999999</v>
      </c>
      <c r="AN322" s="42">
        <v>1861</v>
      </c>
      <c r="AO322" s="42">
        <v>1059</v>
      </c>
      <c r="AP322" s="42">
        <v>0</v>
      </c>
      <c r="AQ322" s="42">
        <v>858</v>
      </c>
      <c r="AR322" s="42">
        <v>1861</v>
      </c>
      <c r="AS322" s="42">
        <v>1861</v>
      </c>
      <c r="AT322" s="42">
        <v>1885.5597999999998</v>
      </c>
      <c r="AU322" s="42">
        <v>2517.1592000000001</v>
      </c>
      <c r="AV322" s="42">
        <f t="shared" si="49"/>
        <v>19380.060799999999</v>
      </c>
      <c r="AW322" s="42">
        <v>2548.6043724672004</v>
      </c>
      <c r="AX322" s="42">
        <v>2070.5760025228801</v>
      </c>
      <c r="AY322" s="42">
        <v>356.18942500992125</v>
      </c>
      <c r="AZ322" s="42">
        <v>0</v>
      </c>
      <c r="BA322" s="42">
        <v>0</v>
      </c>
      <c r="BB322" s="42">
        <v>0</v>
      </c>
      <c r="BC322" s="42">
        <v>0</v>
      </c>
      <c r="BD322" s="42">
        <v>0</v>
      </c>
      <c r="BE322" s="42">
        <v>0</v>
      </c>
      <c r="BF322" s="42">
        <v>0</v>
      </c>
      <c r="BG322" s="42">
        <v>0</v>
      </c>
      <c r="BH322" s="42">
        <v>0</v>
      </c>
      <c r="BI322" s="42">
        <v>0</v>
      </c>
      <c r="BJ322" s="42">
        <v>0</v>
      </c>
      <c r="BK322" s="42">
        <v>0</v>
      </c>
      <c r="BL322" s="42">
        <v>0</v>
      </c>
      <c r="BM322" s="42">
        <v>0</v>
      </c>
      <c r="BN322" s="42">
        <v>0</v>
      </c>
      <c r="BO322" s="42">
        <v>0</v>
      </c>
      <c r="BP322" s="42">
        <v>0</v>
      </c>
      <c r="BQ322" s="42">
        <v>0</v>
      </c>
      <c r="BR322" s="42">
        <v>0</v>
      </c>
      <c r="BS322" s="42">
        <v>0</v>
      </c>
      <c r="BT322" s="42">
        <v>0</v>
      </c>
      <c r="BU322" s="42">
        <v>0</v>
      </c>
      <c r="BV322" s="42">
        <v>0</v>
      </c>
      <c r="BW322" s="42">
        <v>0</v>
      </c>
      <c r="BX322" s="42">
        <v>0</v>
      </c>
      <c r="BY322" s="42">
        <v>0</v>
      </c>
      <c r="BZ322" s="42">
        <v>0</v>
      </c>
      <c r="CA322" s="42">
        <v>0</v>
      </c>
      <c r="CB322" s="42">
        <v>0</v>
      </c>
      <c r="CC322" s="42">
        <v>0</v>
      </c>
      <c r="CD322" s="42">
        <v>0</v>
      </c>
      <c r="CE322" s="42">
        <v>0</v>
      </c>
      <c r="CF322" s="42">
        <v>0</v>
      </c>
      <c r="CG322" s="42">
        <v>0</v>
      </c>
      <c r="CH322" s="42">
        <v>0</v>
      </c>
      <c r="CI322" s="42">
        <v>0</v>
      </c>
      <c r="CJ322" s="42">
        <v>0</v>
      </c>
      <c r="CK322" s="43">
        <f t="shared" si="50"/>
        <v>4975.3698000000022</v>
      </c>
      <c r="CL322" s="66"/>
      <c r="CM322" s="66">
        <v>0</v>
      </c>
      <c r="CN322" s="66">
        <v>0</v>
      </c>
      <c r="CO322" s="66">
        <v>0</v>
      </c>
      <c r="CP322" s="66">
        <v>0</v>
      </c>
      <c r="CQ322" s="66">
        <v>0</v>
      </c>
      <c r="CR322" s="66">
        <v>0</v>
      </c>
      <c r="CS322" s="66">
        <v>0</v>
      </c>
      <c r="CT322" s="66">
        <v>0</v>
      </c>
      <c r="CU322" s="66">
        <v>0</v>
      </c>
      <c r="CV322" s="66">
        <v>0</v>
      </c>
      <c r="CW322" s="66">
        <v>0</v>
      </c>
      <c r="CX322" s="66">
        <v>0</v>
      </c>
      <c r="CY322" s="66">
        <v>0</v>
      </c>
      <c r="CZ322" s="66">
        <v>0</v>
      </c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>
        <f>SUM(Table1[[#This Row],[01-03 Apr]:[Mar-26]])</f>
        <v>0</v>
      </c>
    </row>
    <row r="323" spans="1:115" x14ac:dyDescent="0.2">
      <c r="A323" s="28" t="s">
        <v>2255</v>
      </c>
      <c r="B323" s="29" t="s">
        <v>299</v>
      </c>
      <c r="C323" s="29" t="s">
        <v>3336</v>
      </c>
      <c r="D323" s="30" t="s">
        <v>300</v>
      </c>
      <c r="E323" s="30" t="s">
        <v>177</v>
      </c>
      <c r="F323" s="30"/>
      <c r="G323" s="31"/>
      <c r="H323" s="30">
        <v>310522</v>
      </c>
      <c r="I323" s="30" t="str">
        <f>IF(Table1[[#This Row],[Centre Status]]="Returned","NA",IF(Table1[[#This Row],[SD]]&gt;19000,"Full Payment",IF(Table1[[#This Row],[SD]]&lt;1,"No Payment","Partial Payment")))</f>
        <v>Partial Payment</v>
      </c>
      <c r="J323" s="30" t="s">
        <v>58</v>
      </c>
      <c r="K323" s="32">
        <v>64000</v>
      </c>
      <c r="L323" s="33">
        <f>Q323+R323+U323+Table1[[#This Row],[Farmer Payment]]</f>
        <v>9852</v>
      </c>
      <c r="M323" s="30"/>
      <c r="N323" s="34"/>
      <c r="O323" s="34"/>
      <c r="P323" s="35">
        <f t="shared" si="47"/>
        <v>54148</v>
      </c>
      <c r="Q323" s="33">
        <f>AI323+AV323+CK323+Table1[[#This Row],[FY 25-26]]</f>
        <v>4852</v>
      </c>
      <c r="R323" s="36">
        <v>5000</v>
      </c>
      <c r="S323" s="37" t="s">
        <v>301</v>
      </c>
      <c r="T323" s="38">
        <v>45020</v>
      </c>
      <c r="U323" s="39"/>
      <c r="V323" s="39"/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0</v>
      </c>
      <c r="AD323" s="40">
        <v>0</v>
      </c>
      <c r="AE323" s="40">
        <v>0</v>
      </c>
      <c r="AF323" s="40">
        <v>0</v>
      </c>
      <c r="AG323" s="40">
        <v>0</v>
      </c>
      <c r="AH323" s="40">
        <v>0</v>
      </c>
      <c r="AI323" s="41">
        <f t="shared" si="48"/>
        <v>0</v>
      </c>
      <c r="AJ323" s="42">
        <v>0</v>
      </c>
      <c r="AK323" s="42">
        <v>1470</v>
      </c>
      <c r="AL323" s="42">
        <v>1521</v>
      </c>
      <c r="AM323" s="42">
        <v>1861</v>
      </c>
      <c r="AN323" s="42">
        <v>0</v>
      </c>
      <c r="AO323" s="42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42">
        <v>0</v>
      </c>
      <c r="AV323" s="42">
        <f t="shared" si="49"/>
        <v>4852</v>
      </c>
      <c r="AW323" s="42">
        <v>0</v>
      </c>
      <c r="AX323" s="42">
        <v>0</v>
      </c>
      <c r="AY323" s="42">
        <v>0</v>
      </c>
      <c r="AZ323" s="42">
        <v>0</v>
      </c>
      <c r="BA323" s="42">
        <v>0</v>
      </c>
      <c r="BB323" s="42">
        <v>0</v>
      </c>
      <c r="BC323" s="42">
        <v>0</v>
      </c>
      <c r="BD323" s="42">
        <v>0</v>
      </c>
      <c r="BE323" s="42">
        <v>0</v>
      </c>
      <c r="BF323" s="42">
        <v>0</v>
      </c>
      <c r="BG323" s="42">
        <v>0</v>
      </c>
      <c r="BH323" s="42">
        <v>0</v>
      </c>
      <c r="BI323" s="42">
        <v>0</v>
      </c>
      <c r="BJ323" s="42">
        <v>0</v>
      </c>
      <c r="BK323" s="42">
        <v>0</v>
      </c>
      <c r="BL323" s="42">
        <v>0</v>
      </c>
      <c r="BM323" s="42">
        <v>0</v>
      </c>
      <c r="BN323" s="42">
        <v>0</v>
      </c>
      <c r="BO323" s="42">
        <v>0</v>
      </c>
      <c r="BP323" s="42">
        <v>0</v>
      </c>
      <c r="BQ323" s="42">
        <v>0</v>
      </c>
      <c r="BR323" s="42">
        <v>0</v>
      </c>
      <c r="BS323" s="42">
        <v>0</v>
      </c>
      <c r="BT323" s="42">
        <v>0</v>
      </c>
      <c r="BU323" s="42">
        <v>0</v>
      </c>
      <c r="BV323" s="42">
        <v>0</v>
      </c>
      <c r="BW323" s="42">
        <v>0</v>
      </c>
      <c r="BX323" s="42">
        <v>0</v>
      </c>
      <c r="BY323" s="42">
        <v>0</v>
      </c>
      <c r="BZ323" s="42">
        <v>0</v>
      </c>
      <c r="CA323" s="42">
        <v>0</v>
      </c>
      <c r="CB323" s="42">
        <v>0</v>
      </c>
      <c r="CC323" s="42">
        <v>0</v>
      </c>
      <c r="CD323" s="42">
        <v>0</v>
      </c>
      <c r="CE323" s="42">
        <v>0</v>
      </c>
      <c r="CF323" s="42">
        <v>0</v>
      </c>
      <c r="CG323" s="42">
        <v>0</v>
      </c>
      <c r="CH323" s="42">
        <v>0</v>
      </c>
      <c r="CI323" s="42">
        <v>0</v>
      </c>
      <c r="CJ323" s="42">
        <v>0</v>
      </c>
      <c r="CK323" s="43">
        <f t="shared" si="50"/>
        <v>0</v>
      </c>
      <c r="CL323" s="66"/>
      <c r="CM323" s="66">
        <v>0</v>
      </c>
      <c r="CN323" s="66">
        <v>0</v>
      </c>
      <c r="CO323" s="66">
        <v>0</v>
      </c>
      <c r="CP323" s="66">
        <v>0</v>
      </c>
      <c r="CQ323" s="66">
        <v>0</v>
      </c>
      <c r="CR323" s="66">
        <v>0</v>
      </c>
      <c r="CS323" s="66">
        <v>0</v>
      </c>
      <c r="CT323" s="66">
        <v>0</v>
      </c>
      <c r="CU323" s="66">
        <v>0</v>
      </c>
      <c r="CV323" s="66">
        <v>0</v>
      </c>
      <c r="CW323" s="66">
        <v>0</v>
      </c>
      <c r="CX323" s="66">
        <v>0</v>
      </c>
      <c r="CY323" s="66">
        <v>0</v>
      </c>
      <c r="CZ323" s="66">
        <v>0</v>
      </c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>
        <f>SUM(Table1[[#This Row],[01-03 Apr]:[Mar-26]])</f>
        <v>0</v>
      </c>
    </row>
    <row r="324" spans="1:115" hidden="1" x14ac:dyDescent="0.2">
      <c r="A324" s="28" t="s">
        <v>2255</v>
      </c>
      <c r="B324" s="29" t="s">
        <v>302</v>
      </c>
      <c r="C324" s="29" t="s">
        <v>303</v>
      </c>
      <c r="D324" s="30" t="s">
        <v>304</v>
      </c>
      <c r="E324" s="30" t="s">
        <v>217</v>
      </c>
      <c r="F324" s="30"/>
      <c r="G324" s="31">
        <v>44656</v>
      </c>
      <c r="H324" s="30">
        <v>310445</v>
      </c>
      <c r="I324" s="30" t="str">
        <f>IF(Table1[[#This Row],[Centre Status]]="Returned","NA",IF(Table1[[#This Row],[SD]]&gt;19000,"Full Payment",IF(Table1[[#This Row],[SD]]&lt;1,"No Payment","Partial Payment")))</f>
        <v>Full Payment</v>
      </c>
      <c r="J324" s="30" t="s">
        <v>58</v>
      </c>
      <c r="K324" s="32">
        <v>64000</v>
      </c>
      <c r="L324" s="33">
        <f>Q324+R324+U324+Table1[[#This Row],[Farmer Payment]]</f>
        <v>64294</v>
      </c>
      <c r="M324" s="30"/>
      <c r="N324" s="34"/>
      <c r="O324" s="34"/>
      <c r="P324" s="35">
        <f t="shared" si="47"/>
        <v>-294</v>
      </c>
      <c r="Q324" s="33">
        <f>AI324+AV324+CK324+Table1[[#This Row],[FY 25-26]]</f>
        <v>44294</v>
      </c>
      <c r="R324" s="36">
        <v>20000</v>
      </c>
      <c r="S324" s="37" t="s">
        <v>305</v>
      </c>
      <c r="T324" s="38">
        <v>44674</v>
      </c>
      <c r="U324" s="39"/>
      <c r="V324" s="39"/>
      <c r="W324" s="40">
        <v>0</v>
      </c>
      <c r="X324" s="40">
        <v>1861</v>
      </c>
      <c r="Y324" s="40">
        <v>1861</v>
      </c>
      <c r="Z324" s="40">
        <v>1861</v>
      </c>
      <c r="AA324" s="40">
        <v>2859.6382000000003</v>
      </c>
      <c r="AB324" s="40">
        <v>1861</v>
      </c>
      <c r="AC324" s="40">
        <v>1861</v>
      </c>
      <c r="AD324" s="40">
        <v>3462.3588</v>
      </c>
      <c r="AE324" s="40">
        <v>4161.7194</v>
      </c>
      <c r="AF324" s="40">
        <v>4552.9492</v>
      </c>
      <c r="AG324" s="40">
        <v>3363.7602000000002</v>
      </c>
      <c r="AH324" s="40">
        <v>2288.6176</v>
      </c>
      <c r="AI324" s="41">
        <f t="shared" si="48"/>
        <v>29994.043400000002</v>
      </c>
      <c r="AJ324" s="42">
        <v>2188.0732000000003</v>
      </c>
      <c r="AK324" s="42">
        <v>3389.7347999999993</v>
      </c>
      <c r="AL324" s="42">
        <v>2885.9485999999997</v>
      </c>
      <c r="AM324" s="42">
        <v>3703.9300000000003</v>
      </c>
      <c r="AN324" s="42">
        <v>1838.2699999999968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0</v>
      </c>
      <c r="AU324" s="42">
        <v>0</v>
      </c>
      <c r="AV324" s="42">
        <f t="shared" si="49"/>
        <v>14005.956599999996</v>
      </c>
      <c r="AW324" s="42">
        <v>0</v>
      </c>
      <c r="AX324" s="42">
        <v>0</v>
      </c>
      <c r="AY324" s="42">
        <v>0</v>
      </c>
      <c r="AZ324" s="42">
        <v>0</v>
      </c>
      <c r="BA324" s="42">
        <v>0</v>
      </c>
      <c r="BB324" s="42">
        <v>0</v>
      </c>
      <c r="BC324" s="42">
        <v>0</v>
      </c>
      <c r="BD324" s="42">
        <v>294</v>
      </c>
      <c r="BE324" s="42">
        <v>0</v>
      </c>
      <c r="BF324" s="42">
        <v>0</v>
      </c>
      <c r="BG324" s="42">
        <v>0</v>
      </c>
      <c r="BH324" s="42">
        <v>0</v>
      </c>
      <c r="BI324" s="42">
        <v>0</v>
      </c>
      <c r="BJ324" s="42">
        <v>0</v>
      </c>
      <c r="BK324" s="42">
        <v>0</v>
      </c>
      <c r="BL324" s="42">
        <v>0</v>
      </c>
      <c r="BM324" s="42">
        <v>0</v>
      </c>
      <c r="BN324" s="42">
        <v>0</v>
      </c>
      <c r="BO324" s="42">
        <v>0</v>
      </c>
      <c r="BP324" s="42">
        <v>0</v>
      </c>
      <c r="BQ324" s="42">
        <v>0</v>
      </c>
      <c r="BR324" s="42">
        <v>0</v>
      </c>
      <c r="BS324" s="42">
        <v>0</v>
      </c>
      <c r="BT324" s="42">
        <v>0</v>
      </c>
      <c r="BU324" s="42">
        <v>0</v>
      </c>
      <c r="BV324" s="42">
        <v>0</v>
      </c>
      <c r="BW324" s="42">
        <v>0</v>
      </c>
      <c r="BX324" s="42">
        <v>0</v>
      </c>
      <c r="BY324" s="42">
        <v>0</v>
      </c>
      <c r="BZ324" s="42">
        <v>0</v>
      </c>
      <c r="CA324" s="42">
        <v>0</v>
      </c>
      <c r="CB324" s="42">
        <v>0</v>
      </c>
      <c r="CC324" s="42">
        <v>0</v>
      </c>
      <c r="CD324" s="42">
        <v>0</v>
      </c>
      <c r="CE324" s="42">
        <v>0</v>
      </c>
      <c r="CF324" s="42">
        <v>0</v>
      </c>
      <c r="CG324" s="42">
        <v>0</v>
      </c>
      <c r="CH324" s="42">
        <v>0</v>
      </c>
      <c r="CI324" s="42">
        <v>0</v>
      </c>
      <c r="CJ324" s="42">
        <v>0</v>
      </c>
      <c r="CK324" s="43">
        <f t="shared" si="50"/>
        <v>294</v>
      </c>
      <c r="CL324" s="66"/>
      <c r="CM324" s="66">
        <v>0</v>
      </c>
      <c r="CN324" s="66">
        <v>0</v>
      </c>
      <c r="CO324" s="66">
        <v>0</v>
      </c>
      <c r="CP324" s="66">
        <v>0</v>
      </c>
      <c r="CQ324" s="66">
        <v>0</v>
      </c>
      <c r="CR324" s="66">
        <v>0</v>
      </c>
      <c r="CS324" s="66">
        <v>0</v>
      </c>
      <c r="CT324" s="66">
        <v>0</v>
      </c>
      <c r="CU324" s="66">
        <v>0</v>
      </c>
      <c r="CV324" s="66">
        <v>0</v>
      </c>
      <c r="CW324" s="66">
        <v>0</v>
      </c>
      <c r="CX324" s="66">
        <v>0</v>
      </c>
      <c r="CY324" s="66">
        <v>0</v>
      </c>
      <c r="CZ324" s="66">
        <v>0</v>
      </c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>
        <f>SUM(Table1[[#This Row],[01-03 Apr]:[Mar-26]])</f>
        <v>0</v>
      </c>
    </row>
    <row r="325" spans="1:115" hidden="1" x14ac:dyDescent="0.2">
      <c r="A325" s="28" t="s">
        <v>2255</v>
      </c>
      <c r="B325" s="29" t="s">
        <v>306</v>
      </c>
      <c r="C325" s="29" t="s">
        <v>307</v>
      </c>
      <c r="D325" s="30" t="s">
        <v>308</v>
      </c>
      <c r="E325" s="30" t="s">
        <v>217</v>
      </c>
      <c r="F325" s="30"/>
      <c r="G325" s="31">
        <v>44656</v>
      </c>
      <c r="H325" s="30">
        <v>277614</v>
      </c>
      <c r="I325" s="30" t="str">
        <f>IF(Table1[[#This Row],[Centre Status]]="Returned","NA",IF(Table1[[#This Row],[SD]]&gt;19000,"Full Payment",IF(Table1[[#This Row],[SD]]&lt;1,"No Payment","Partial Payment")))</f>
        <v>Full Payment</v>
      </c>
      <c r="J325" s="30" t="s">
        <v>58</v>
      </c>
      <c r="K325" s="32">
        <v>64000</v>
      </c>
      <c r="L325" s="33">
        <f>Q325+R325+U325+Table1[[#This Row],[Farmer Payment]]</f>
        <v>63882.243141376319</v>
      </c>
      <c r="M325" s="30"/>
      <c r="N325" s="34"/>
      <c r="O325" s="34"/>
      <c r="P325" s="35">
        <f t="shared" si="47"/>
        <v>117.75685862368118</v>
      </c>
      <c r="Q325" s="33">
        <f>AI325+AV325+CK325+Table1[[#This Row],[FY 25-26]]</f>
        <v>43882.243141376319</v>
      </c>
      <c r="R325" s="36">
        <v>20000</v>
      </c>
      <c r="S325" s="37" t="s">
        <v>309</v>
      </c>
      <c r="T325" s="38">
        <v>44674</v>
      </c>
      <c r="U325" s="39"/>
      <c r="V325" s="39"/>
      <c r="W325" s="40">
        <v>0</v>
      </c>
      <c r="X325" s="40">
        <v>1861</v>
      </c>
      <c r="Y325" s="40">
        <v>1861</v>
      </c>
      <c r="Z325" s="40">
        <v>1861</v>
      </c>
      <c r="AA325" s="40">
        <v>1861</v>
      </c>
      <c r="AB325" s="40">
        <v>1861</v>
      </c>
      <c r="AC325" s="40">
        <v>1112</v>
      </c>
      <c r="AD325" s="40">
        <v>1861</v>
      </c>
      <c r="AE325" s="40">
        <v>1861</v>
      </c>
      <c r="AF325" s="40">
        <v>1861</v>
      </c>
      <c r="AG325" s="40">
        <v>729</v>
      </c>
      <c r="AH325" s="40">
        <v>0</v>
      </c>
      <c r="AI325" s="41">
        <f t="shared" si="48"/>
        <v>16729</v>
      </c>
      <c r="AJ325" s="42">
        <v>0</v>
      </c>
      <c r="AK325" s="42">
        <v>207</v>
      </c>
      <c r="AL325" s="42">
        <v>0</v>
      </c>
      <c r="AM325" s="42">
        <v>190</v>
      </c>
      <c r="AN325" s="42">
        <v>0</v>
      </c>
      <c r="AO325" s="42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208.92175551533001</v>
      </c>
      <c r="AU325" s="42">
        <v>2074.8958000000002</v>
      </c>
      <c r="AV325" s="42">
        <f t="shared" si="49"/>
        <v>2680.8175555153302</v>
      </c>
      <c r="AW325" s="42">
        <v>1245</v>
      </c>
      <c r="AX325" s="42">
        <v>890</v>
      </c>
      <c r="AY325" s="42">
        <v>1063</v>
      </c>
      <c r="AZ325" s="42">
        <v>1553</v>
      </c>
      <c r="BA325" s="42">
        <v>26</v>
      </c>
      <c r="BB325" s="42">
        <v>500</v>
      </c>
      <c r="BC325" s="42">
        <v>0</v>
      </c>
      <c r="BD325" s="42">
        <v>500</v>
      </c>
      <c r="BE325" s="42">
        <v>500</v>
      </c>
      <c r="BF325" s="42">
        <v>500</v>
      </c>
      <c r="BG325" s="42">
        <v>500</v>
      </c>
      <c r="BH325" s="42">
        <v>500</v>
      </c>
      <c r="BI325" s="42">
        <v>0</v>
      </c>
      <c r="BJ325" s="42">
        <v>500</v>
      </c>
      <c r="BK325" s="42">
        <v>500</v>
      </c>
      <c r="BL325" s="42">
        <v>500</v>
      </c>
      <c r="BM325" s="42">
        <v>500</v>
      </c>
      <c r="BN325" s="42">
        <v>0</v>
      </c>
      <c r="BO325" s="42">
        <v>0</v>
      </c>
      <c r="BP325" s="42">
        <v>0</v>
      </c>
      <c r="BQ325" s="42">
        <v>0</v>
      </c>
      <c r="BR325" s="42">
        <v>0</v>
      </c>
      <c r="BS325" s="42">
        <v>2396.3894170301191</v>
      </c>
      <c r="BT325" s="42">
        <v>0</v>
      </c>
      <c r="BU325" s="42">
        <v>0</v>
      </c>
      <c r="BV325" s="42">
        <v>0</v>
      </c>
      <c r="BW325" s="42">
        <v>0</v>
      </c>
      <c r="BX325" s="42">
        <v>0</v>
      </c>
      <c r="BY325" s="42">
        <v>2455.9577804544006</v>
      </c>
      <c r="BZ325" s="42">
        <v>0</v>
      </c>
      <c r="CA325" s="42">
        <v>0</v>
      </c>
      <c r="CB325" s="42">
        <v>0</v>
      </c>
      <c r="CC325" s="42">
        <v>0</v>
      </c>
      <c r="CD325" s="42">
        <v>3133.5852183104803</v>
      </c>
      <c r="CE325" s="42">
        <v>0</v>
      </c>
      <c r="CF325" s="42">
        <v>0</v>
      </c>
      <c r="CG325" s="42">
        <v>0</v>
      </c>
      <c r="CH325" s="42">
        <v>0</v>
      </c>
      <c r="CI325" s="42">
        <v>0</v>
      </c>
      <c r="CJ325" s="42">
        <v>2732.9525252705143</v>
      </c>
      <c r="CK325" s="43">
        <f t="shared" si="50"/>
        <v>20495.884941065513</v>
      </c>
      <c r="CL325" s="66"/>
      <c r="CM325" s="66">
        <v>0</v>
      </c>
      <c r="CN325" s="66">
        <v>0</v>
      </c>
      <c r="CO325" s="66">
        <v>0</v>
      </c>
      <c r="CP325" s="66">
        <v>2115.5406447954815</v>
      </c>
      <c r="CQ325" s="66">
        <v>0</v>
      </c>
      <c r="CR325" s="66">
        <v>0</v>
      </c>
      <c r="CS325" s="66">
        <v>0</v>
      </c>
      <c r="CT325" s="66">
        <v>0</v>
      </c>
      <c r="CU325" s="66">
        <v>0</v>
      </c>
      <c r="CV325" s="66">
        <v>1861</v>
      </c>
      <c r="CW325" s="66">
        <v>0</v>
      </c>
      <c r="CX325" s="66">
        <v>0</v>
      </c>
      <c r="CY325" s="66">
        <v>0</v>
      </c>
      <c r="CZ325" s="66">
        <v>0</v>
      </c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>
        <f>SUM(Table1[[#This Row],[01-03 Apr]:[Mar-26]])</f>
        <v>3976.5406447954815</v>
      </c>
    </row>
    <row r="326" spans="1:115" hidden="1" x14ac:dyDescent="0.2">
      <c r="A326" s="28" t="s">
        <v>2253</v>
      </c>
      <c r="B326" s="29" t="s">
        <v>310</v>
      </c>
      <c r="C326" s="29" t="s">
        <v>311</v>
      </c>
      <c r="D326" s="30" t="s">
        <v>312</v>
      </c>
      <c r="E326" s="30" t="s">
        <v>297</v>
      </c>
      <c r="F326" s="30"/>
      <c r="G326" s="31">
        <v>44656</v>
      </c>
      <c r="H326" s="30">
        <v>359873</v>
      </c>
      <c r="I326" s="30" t="str">
        <f>IF(Table1[[#This Row],[Centre Status]]="Returned","NA",IF(Table1[[#This Row],[SD]]&gt;19000,"Full Payment",IF(Table1[[#This Row],[SD]]&lt;1,"No Payment","Partial Payment")))</f>
        <v>Full Payment</v>
      </c>
      <c r="J326" s="30" t="s">
        <v>58</v>
      </c>
      <c r="K326" s="32">
        <v>64000</v>
      </c>
      <c r="L326" s="33">
        <f>Q326+R326+U326+Table1[[#This Row],[Farmer Payment]]</f>
        <v>64000</v>
      </c>
      <c r="M326" s="30"/>
      <c r="N326" s="34"/>
      <c r="O326" s="34"/>
      <c r="P326" s="35">
        <f t="shared" si="47"/>
        <v>0</v>
      </c>
      <c r="Q326" s="33">
        <f>AI326+AV326+CK326+Table1[[#This Row],[FY 25-26]]</f>
        <v>44000</v>
      </c>
      <c r="R326" s="36">
        <v>20000</v>
      </c>
      <c r="S326" s="37" t="s">
        <v>313</v>
      </c>
      <c r="T326" s="38">
        <v>44676</v>
      </c>
      <c r="U326" s="39"/>
      <c r="V326" s="39"/>
      <c r="W326" s="40">
        <v>0</v>
      </c>
      <c r="X326" s="40">
        <v>411</v>
      </c>
      <c r="Y326" s="40">
        <v>4796.4694</v>
      </c>
      <c r="Z326" s="40">
        <v>5171.8323999999993</v>
      </c>
      <c r="AA326" s="40">
        <v>6526.7978000000003</v>
      </c>
      <c r="AB326" s="40">
        <v>2452.5756000000006</v>
      </c>
      <c r="AC326" s="40">
        <v>2716.5668000000001</v>
      </c>
      <c r="AD326" s="40">
        <v>2112.1529999999998</v>
      </c>
      <c r="AE326" s="40">
        <v>1949.5878000000002</v>
      </c>
      <c r="AF326" s="40">
        <v>3664.3221999999996</v>
      </c>
      <c r="AG326" s="40">
        <v>4233.8008000000009</v>
      </c>
      <c r="AH326" s="40">
        <v>4743.2778000000008</v>
      </c>
      <c r="AI326" s="41">
        <f t="shared" si="48"/>
        <v>38778.383600000008</v>
      </c>
      <c r="AJ326" s="42">
        <v>3081.7289999999998</v>
      </c>
      <c r="AK326" s="42">
        <v>1861</v>
      </c>
      <c r="AL326" s="42">
        <v>278.88739999999234</v>
      </c>
      <c r="AM326" s="42">
        <v>0</v>
      </c>
      <c r="AN326" s="42">
        <v>0</v>
      </c>
      <c r="AO326" s="42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42">
        <v>0</v>
      </c>
      <c r="AV326" s="42">
        <f t="shared" si="49"/>
        <v>5221.6163999999917</v>
      </c>
      <c r="AW326" s="42">
        <v>0</v>
      </c>
      <c r="AX326" s="42">
        <v>0</v>
      </c>
      <c r="AY326" s="42">
        <v>0</v>
      </c>
      <c r="AZ326" s="42">
        <v>0</v>
      </c>
      <c r="BA326" s="42">
        <v>0</v>
      </c>
      <c r="BB326" s="42">
        <v>0</v>
      </c>
      <c r="BC326" s="42">
        <v>0</v>
      </c>
      <c r="BD326" s="42">
        <v>0</v>
      </c>
      <c r="BE326" s="42">
        <v>0</v>
      </c>
      <c r="BF326" s="42">
        <v>0</v>
      </c>
      <c r="BG326" s="42">
        <v>0</v>
      </c>
      <c r="BH326" s="42">
        <v>0</v>
      </c>
      <c r="BI326" s="42">
        <v>0</v>
      </c>
      <c r="BJ326" s="42">
        <v>0</v>
      </c>
      <c r="BK326" s="42">
        <v>0</v>
      </c>
      <c r="BL326" s="42">
        <v>0</v>
      </c>
      <c r="BM326" s="42">
        <v>0</v>
      </c>
      <c r="BN326" s="42">
        <v>0</v>
      </c>
      <c r="BO326" s="42">
        <v>0</v>
      </c>
      <c r="BP326" s="42">
        <v>0</v>
      </c>
      <c r="BQ326" s="42">
        <v>0</v>
      </c>
      <c r="BR326" s="42">
        <v>0</v>
      </c>
      <c r="BS326" s="42">
        <v>0</v>
      </c>
      <c r="BT326" s="42">
        <v>0</v>
      </c>
      <c r="BU326" s="42">
        <v>0</v>
      </c>
      <c r="BV326" s="42">
        <v>0</v>
      </c>
      <c r="BW326" s="42">
        <v>0</v>
      </c>
      <c r="BX326" s="42">
        <v>0</v>
      </c>
      <c r="BY326" s="42">
        <v>0</v>
      </c>
      <c r="BZ326" s="42">
        <v>0</v>
      </c>
      <c r="CA326" s="42">
        <v>0</v>
      </c>
      <c r="CB326" s="42">
        <v>0</v>
      </c>
      <c r="CC326" s="42">
        <v>0</v>
      </c>
      <c r="CD326" s="42">
        <v>0</v>
      </c>
      <c r="CE326" s="42">
        <v>0</v>
      </c>
      <c r="CF326" s="42">
        <v>0</v>
      </c>
      <c r="CG326" s="42">
        <v>0</v>
      </c>
      <c r="CH326" s="42">
        <v>0</v>
      </c>
      <c r="CI326" s="42">
        <v>0</v>
      </c>
      <c r="CJ326" s="42">
        <v>0</v>
      </c>
      <c r="CK326" s="43">
        <f t="shared" si="50"/>
        <v>0</v>
      </c>
      <c r="CL326" s="66"/>
      <c r="CM326" s="66">
        <v>0</v>
      </c>
      <c r="CN326" s="66">
        <v>0</v>
      </c>
      <c r="CO326" s="66">
        <v>0</v>
      </c>
      <c r="CP326" s="66">
        <v>0</v>
      </c>
      <c r="CQ326" s="66">
        <v>0</v>
      </c>
      <c r="CR326" s="66">
        <v>0</v>
      </c>
      <c r="CS326" s="66">
        <v>0</v>
      </c>
      <c r="CT326" s="66">
        <v>0</v>
      </c>
      <c r="CU326" s="66">
        <v>0</v>
      </c>
      <c r="CV326" s="66">
        <v>0</v>
      </c>
      <c r="CW326" s="66">
        <v>0</v>
      </c>
      <c r="CX326" s="66">
        <v>0</v>
      </c>
      <c r="CY326" s="66">
        <v>0</v>
      </c>
      <c r="CZ326" s="66">
        <v>0</v>
      </c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>
        <f>SUM(Table1[[#This Row],[01-03 Apr]:[Mar-26]])</f>
        <v>0</v>
      </c>
    </row>
    <row r="327" spans="1:115" x14ac:dyDescent="0.2">
      <c r="A327" s="28" t="s">
        <v>2255</v>
      </c>
      <c r="B327" s="29" t="s">
        <v>314</v>
      </c>
      <c r="C327" s="29" t="s">
        <v>3337</v>
      </c>
      <c r="D327" s="30" t="s">
        <v>315</v>
      </c>
      <c r="E327" s="30" t="s">
        <v>217</v>
      </c>
      <c r="F327" s="30"/>
      <c r="G327" s="31">
        <v>44656</v>
      </c>
      <c r="H327" s="30">
        <v>276867</v>
      </c>
      <c r="I327" s="30" t="str">
        <f>IF(Table1[[#This Row],[Centre Status]]="Returned","NA",IF(Table1[[#This Row],[SD]]&gt;19000,"Full Payment",IF(Table1[[#This Row],[SD]]&lt;1,"No Payment","Partial Payment")))</f>
        <v>Partial Payment</v>
      </c>
      <c r="J327" s="30" t="s">
        <v>58</v>
      </c>
      <c r="K327" s="32">
        <v>64000</v>
      </c>
      <c r="L327" s="33">
        <f>Q327+R327+U327+Table1[[#This Row],[Farmer Payment]]</f>
        <v>31401.260821327403</v>
      </c>
      <c r="M327" s="30"/>
      <c r="N327" s="34"/>
      <c r="O327" s="34"/>
      <c r="P327" s="35">
        <f t="shared" si="47"/>
        <v>32598.739178672597</v>
      </c>
      <c r="Q327" s="33">
        <f>AI327+AV327+CK327+Table1[[#This Row],[FY 25-26]]</f>
        <v>21401.260821327403</v>
      </c>
      <c r="R327" s="36">
        <v>10000</v>
      </c>
      <c r="S327" s="37" t="s">
        <v>316</v>
      </c>
      <c r="T327" s="38">
        <v>44678</v>
      </c>
      <c r="U327" s="39"/>
      <c r="V327" s="39"/>
      <c r="W327" s="40">
        <v>0</v>
      </c>
      <c r="X327" s="40">
        <v>0</v>
      </c>
      <c r="Y327" s="40">
        <v>1861</v>
      </c>
      <c r="Z327" s="40">
        <v>1861</v>
      </c>
      <c r="AA327" s="40">
        <v>2580.6871999999998</v>
      </c>
      <c r="AB327" s="40">
        <v>1861</v>
      </c>
      <c r="AC327" s="40">
        <v>1861</v>
      </c>
      <c r="AD327" s="40">
        <v>1861</v>
      </c>
      <c r="AE327" s="40">
        <v>2003.5985999999998</v>
      </c>
      <c r="AF327" s="40">
        <v>2192.5509999999999</v>
      </c>
      <c r="AG327" s="40">
        <v>1861</v>
      </c>
      <c r="AH327" s="40">
        <v>1234</v>
      </c>
      <c r="AI327" s="41">
        <f t="shared" si="48"/>
        <v>19176.836799999997</v>
      </c>
      <c r="AJ327" s="42">
        <v>312</v>
      </c>
      <c r="AK327" s="42">
        <v>0</v>
      </c>
      <c r="AL327" s="42">
        <v>0</v>
      </c>
      <c r="AM327" s="42">
        <v>0</v>
      </c>
      <c r="AN327" s="42">
        <v>0</v>
      </c>
      <c r="AO327" s="42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463.42402132740665</v>
      </c>
      <c r="AU327" s="42">
        <v>1229</v>
      </c>
      <c r="AV327" s="42">
        <f t="shared" si="49"/>
        <v>2004.4240213274065</v>
      </c>
      <c r="AW327" s="42">
        <v>220</v>
      </c>
      <c r="AX327" s="42">
        <v>0</v>
      </c>
      <c r="AY327" s="42">
        <v>0</v>
      </c>
      <c r="AZ327" s="42">
        <v>0</v>
      </c>
      <c r="BA327" s="42">
        <v>0</v>
      </c>
      <c r="BB327" s="42">
        <v>0</v>
      </c>
      <c r="BC327" s="42">
        <v>0</v>
      </c>
      <c r="BD327" s="42">
        <v>0</v>
      </c>
      <c r="BE327" s="42">
        <v>0</v>
      </c>
      <c r="BF327" s="42">
        <v>0</v>
      </c>
      <c r="BG327" s="42">
        <v>0</v>
      </c>
      <c r="BH327" s="42">
        <v>0</v>
      </c>
      <c r="BI327" s="42">
        <v>0</v>
      </c>
      <c r="BJ327" s="42">
        <v>0</v>
      </c>
      <c r="BK327" s="42">
        <v>0</v>
      </c>
      <c r="BL327" s="42">
        <v>0</v>
      </c>
      <c r="BM327" s="42">
        <v>0</v>
      </c>
      <c r="BN327" s="42">
        <v>0</v>
      </c>
      <c r="BO327" s="42">
        <v>0</v>
      </c>
      <c r="BP327" s="42">
        <v>0</v>
      </c>
      <c r="BQ327" s="42">
        <v>0</v>
      </c>
      <c r="BR327" s="42">
        <v>0</v>
      </c>
      <c r="BS327" s="42">
        <v>0</v>
      </c>
      <c r="BT327" s="42">
        <v>0</v>
      </c>
      <c r="BU327" s="42">
        <v>0</v>
      </c>
      <c r="BV327" s="42">
        <v>0</v>
      </c>
      <c r="BW327" s="42">
        <v>0</v>
      </c>
      <c r="BX327" s="42">
        <v>0</v>
      </c>
      <c r="BY327" s="42">
        <v>0</v>
      </c>
      <c r="BZ327" s="42">
        <v>0</v>
      </c>
      <c r="CA327" s="42">
        <v>0</v>
      </c>
      <c r="CB327" s="42">
        <v>0</v>
      </c>
      <c r="CC327" s="42">
        <v>0</v>
      </c>
      <c r="CD327" s="42">
        <v>0</v>
      </c>
      <c r="CE327" s="42">
        <v>0</v>
      </c>
      <c r="CF327" s="42">
        <v>0</v>
      </c>
      <c r="CG327" s="42">
        <v>0</v>
      </c>
      <c r="CH327" s="42">
        <v>0</v>
      </c>
      <c r="CI327" s="42">
        <v>0</v>
      </c>
      <c r="CJ327" s="42">
        <v>0</v>
      </c>
      <c r="CK327" s="43">
        <f t="shared" si="50"/>
        <v>220</v>
      </c>
      <c r="CL327" s="66"/>
      <c r="CM327" s="66">
        <v>0</v>
      </c>
      <c r="CN327" s="66">
        <v>0</v>
      </c>
      <c r="CO327" s="66">
        <v>0</v>
      </c>
      <c r="CP327" s="66">
        <v>0</v>
      </c>
      <c r="CQ327" s="66">
        <v>0</v>
      </c>
      <c r="CR327" s="66">
        <v>0</v>
      </c>
      <c r="CS327" s="66">
        <v>0</v>
      </c>
      <c r="CT327" s="66">
        <v>0</v>
      </c>
      <c r="CU327" s="66">
        <v>0</v>
      </c>
      <c r="CV327" s="66">
        <v>0</v>
      </c>
      <c r="CW327" s="66">
        <v>0</v>
      </c>
      <c r="CX327" s="66">
        <v>0</v>
      </c>
      <c r="CY327" s="66">
        <v>0</v>
      </c>
      <c r="CZ327" s="66">
        <v>0</v>
      </c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>
        <f>SUM(Table1[[#This Row],[01-03 Apr]:[Mar-26]])</f>
        <v>0</v>
      </c>
    </row>
    <row r="328" spans="1:115" x14ac:dyDescent="0.2">
      <c r="A328" s="28" t="s">
        <v>2363</v>
      </c>
      <c r="B328" s="29" t="s">
        <v>317</v>
      </c>
      <c r="C328" s="29" t="s">
        <v>3336</v>
      </c>
      <c r="D328" s="30" t="s">
        <v>318</v>
      </c>
      <c r="E328" s="30" t="s">
        <v>297</v>
      </c>
      <c r="F328" s="30"/>
      <c r="G328" s="31">
        <v>44656</v>
      </c>
      <c r="H328" s="30"/>
      <c r="I328" s="30" t="str">
        <f>IF(Table1[[#This Row],[Centre Status]]="Returned","NA",IF(Table1[[#This Row],[SD]]&gt;19000,"Full Payment",IF(Table1[[#This Row],[SD]]&lt;1,"No Payment","Partial Payment")))</f>
        <v>Partial Payment</v>
      </c>
      <c r="J328" s="30" t="s">
        <v>58</v>
      </c>
      <c r="K328" s="32">
        <v>64000</v>
      </c>
      <c r="L328" s="33">
        <f>Q328+R328+U328+Table1[[#This Row],[Farmer Payment]]</f>
        <v>10000</v>
      </c>
      <c r="M328" s="30"/>
      <c r="N328" s="34"/>
      <c r="O328" s="34"/>
      <c r="P328" s="35">
        <f t="shared" si="47"/>
        <v>54000</v>
      </c>
      <c r="Q328" s="33">
        <f>AI328+AV328+CK328+Table1[[#This Row],[FY 25-26]]</f>
        <v>0</v>
      </c>
      <c r="R328" s="36">
        <v>10000</v>
      </c>
      <c r="S328" s="37" t="s">
        <v>319</v>
      </c>
      <c r="T328" s="38">
        <v>44678</v>
      </c>
      <c r="U328" s="39"/>
      <c r="V328" s="39"/>
      <c r="W328" s="40">
        <v>0</v>
      </c>
      <c r="X328" s="40">
        <v>0</v>
      </c>
      <c r="Y328" s="40">
        <v>0</v>
      </c>
      <c r="Z328" s="40">
        <v>0</v>
      </c>
      <c r="AA328" s="40">
        <v>0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41">
        <f t="shared" si="48"/>
        <v>0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42">
        <v>0</v>
      </c>
      <c r="AV328" s="42">
        <f t="shared" si="49"/>
        <v>0</v>
      </c>
      <c r="AW328" s="42">
        <v>0</v>
      </c>
      <c r="AX328" s="42">
        <v>0</v>
      </c>
      <c r="AY328" s="42">
        <v>0</v>
      </c>
      <c r="AZ328" s="42">
        <v>0</v>
      </c>
      <c r="BA328" s="42">
        <v>0</v>
      </c>
      <c r="BB328" s="42">
        <v>0</v>
      </c>
      <c r="BC328" s="42">
        <v>0</v>
      </c>
      <c r="BD328" s="42">
        <v>0</v>
      </c>
      <c r="BE328" s="42">
        <v>0</v>
      </c>
      <c r="BF328" s="42">
        <v>0</v>
      </c>
      <c r="BG328" s="42">
        <v>0</v>
      </c>
      <c r="BH328" s="42">
        <v>0</v>
      </c>
      <c r="BI328" s="42">
        <v>0</v>
      </c>
      <c r="BJ328" s="42">
        <v>0</v>
      </c>
      <c r="BK328" s="42">
        <v>0</v>
      </c>
      <c r="BL328" s="42">
        <v>0</v>
      </c>
      <c r="BM328" s="42">
        <v>0</v>
      </c>
      <c r="BN328" s="42">
        <v>0</v>
      </c>
      <c r="BO328" s="42">
        <v>0</v>
      </c>
      <c r="BP328" s="42">
        <v>0</v>
      </c>
      <c r="BQ328" s="42">
        <v>0</v>
      </c>
      <c r="BR328" s="42">
        <v>0</v>
      </c>
      <c r="BS328" s="42">
        <v>0</v>
      </c>
      <c r="BT328" s="42">
        <v>0</v>
      </c>
      <c r="BU328" s="42">
        <v>0</v>
      </c>
      <c r="BV328" s="42">
        <v>0</v>
      </c>
      <c r="BW328" s="42">
        <v>0</v>
      </c>
      <c r="BX328" s="42">
        <v>0</v>
      </c>
      <c r="BY328" s="42">
        <v>0</v>
      </c>
      <c r="BZ328" s="42">
        <v>0</v>
      </c>
      <c r="CA328" s="42">
        <v>0</v>
      </c>
      <c r="CB328" s="42">
        <v>0</v>
      </c>
      <c r="CC328" s="42">
        <v>0</v>
      </c>
      <c r="CD328" s="42">
        <v>0</v>
      </c>
      <c r="CE328" s="42">
        <v>0</v>
      </c>
      <c r="CF328" s="42">
        <v>0</v>
      </c>
      <c r="CG328" s="42">
        <v>0</v>
      </c>
      <c r="CH328" s="42">
        <v>0</v>
      </c>
      <c r="CI328" s="42">
        <v>0</v>
      </c>
      <c r="CJ328" s="42">
        <v>0</v>
      </c>
      <c r="CK328" s="43">
        <f t="shared" si="50"/>
        <v>0</v>
      </c>
      <c r="CL328" s="66"/>
      <c r="CM328" s="66">
        <v>0</v>
      </c>
      <c r="CN328" s="66">
        <v>0</v>
      </c>
      <c r="CO328" s="66">
        <v>0</v>
      </c>
      <c r="CP328" s="66">
        <v>0</v>
      </c>
      <c r="CQ328" s="66">
        <v>0</v>
      </c>
      <c r="CR328" s="66">
        <v>0</v>
      </c>
      <c r="CS328" s="66">
        <v>0</v>
      </c>
      <c r="CT328" s="66">
        <v>0</v>
      </c>
      <c r="CU328" s="66">
        <v>0</v>
      </c>
      <c r="CV328" s="66">
        <v>0</v>
      </c>
      <c r="CW328" s="66">
        <v>0</v>
      </c>
      <c r="CX328" s="66">
        <v>0</v>
      </c>
      <c r="CY328" s="66">
        <v>0</v>
      </c>
      <c r="CZ328" s="66">
        <v>0</v>
      </c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>
        <f>SUM(Table1[[#This Row],[01-03 Apr]:[Mar-26]])</f>
        <v>0</v>
      </c>
    </row>
    <row r="329" spans="1:115" hidden="1" x14ac:dyDescent="0.2">
      <c r="A329" s="28" t="s">
        <v>2363</v>
      </c>
      <c r="B329" s="29" t="s">
        <v>320</v>
      </c>
      <c r="C329" s="29" t="s">
        <v>321</v>
      </c>
      <c r="D329" s="30" t="s">
        <v>322</v>
      </c>
      <c r="E329" s="30" t="s">
        <v>63</v>
      </c>
      <c r="F329" s="30"/>
      <c r="G329" s="31">
        <v>44870</v>
      </c>
      <c r="H329" s="30">
        <v>210808</v>
      </c>
      <c r="I329" s="30" t="str">
        <f>IF(Table1[[#This Row],[Centre Status]]="Returned","NA",IF(Table1[[#This Row],[SD]]&gt;19000,"Full Payment",IF(Table1[[#This Row],[SD]]&lt;1,"No Payment","Partial Payment")))</f>
        <v>Full Payment</v>
      </c>
      <c r="J329" s="30" t="s">
        <v>58</v>
      </c>
      <c r="K329" s="32">
        <v>64000</v>
      </c>
      <c r="L329" s="33">
        <f>Q329+R329+U329+Table1[[#This Row],[Farmer Payment]]</f>
        <v>64000</v>
      </c>
      <c r="M329" s="30"/>
      <c r="N329" s="34"/>
      <c r="O329" s="34"/>
      <c r="P329" s="35">
        <f t="shared" si="47"/>
        <v>0</v>
      </c>
      <c r="Q329" s="33">
        <f>AI329+AV329+CK329+Table1[[#This Row],[FY 25-26]]</f>
        <v>44000</v>
      </c>
      <c r="R329" s="36">
        <v>20000</v>
      </c>
      <c r="S329" s="37" t="s">
        <v>323</v>
      </c>
      <c r="T329" s="38">
        <v>44677</v>
      </c>
      <c r="U329" s="39"/>
      <c r="V329" s="39"/>
      <c r="W329" s="40">
        <v>0</v>
      </c>
      <c r="X329" s="40">
        <v>0</v>
      </c>
      <c r="Y329" s="40">
        <v>4316.0932000000012</v>
      </c>
      <c r="Z329" s="40">
        <v>4175.5429999999997</v>
      </c>
      <c r="AA329" s="40">
        <v>9224.7278000000006</v>
      </c>
      <c r="AB329" s="40">
        <v>8476.9248000000007</v>
      </c>
      <c r="AC329" s="40">
        <v>7741.6772000000001</v>
      </c>
      <c r="AD329" s="40">
        <v>10065.034</v>
      </c>
      <c r="AE329" s="40">
        <v>0</v>
      </c>
      <c r="AF329" s="40">
        <v>0</v>
      </c>
      <c r="AG329" s="40">
        <v>0</v>
      </c>
      <c r="AH329" s="40">
        <v>0</v>
      </c>
      <c r="AI329" s="41">
        <f t="shared" si="48"/>
        <v>44000</v>
      </c>
      <c r="AJ329" s="42">
        <v>0</v>
      </c>
      <c r="AK329" s="42">
        <v>0</v>
      </c>
      <c r="AL329" s="42">
        <v>0</v>
      </c>
      <c r="AM329" s="42">
        <v>0</v>
      </c>
      <c r="AN329" s="42">
        <v>0</v>
      </c>
      <c r="AO329" s="42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42">
        <v>0</v>
      </c>
      <c r="AV329" s="42">
        <f t="shared" si="49"/>
        <v>0</v>
      </c>
      <c r="AW329" s="42">
        <v>0</v>
      </c>
      <c r="AX329" s="42">
        <v>0</v>
      </c>
      <c r="AY329" s="42">
        <v>0</v>
      </c>
      <c r="AZ329" s="42">
        <v>0</v>
      </c>
      <c r="BA329" s="42">
        <v>0</v>
      </c>
      <c r="BB329" s="42">
        <v>0</v>
      </c>
      <c r="BC329" s="42">
        <v>0</v>
      </c>
      <c r="BD329" s="42">
        <v>0</v>
      </c>
      <c r="BE329" s="42">
        <v>0</v>
      </c>
      <c r="BF329" s="42">
        <v>0</v>
      </c>
      <c r="BG329" s="42">
        <v>0</v>
      </c>
      <c r="BH329" s="42">
        <v>0</v>
      </c>
      <c r="BI329" s="42">
        <v>0</v>
      </c>
      <c r="BJ329" s="42">
        <v>0</v>
      </c>
      <c r="BK329" s="42">
        <v>0</v>
      </c>
      <c r="BL329" s="42">
        <v>0</v>
      </c>
      <c r="BM329" s="42">
        <v>0</v>
      </c>
      <c r="BN329" s="42">
        <v>0</v>
      </c>
      <c r="BO329" s="42">
        <v>0</v>
      </c>
      <c r="BP329" s="42">
        <v>0</v>
      </c>
      <c r="BQ329" s="42">
        <v>0</v>
      </c>
      <c r="BR329" s="42">
        <v>0</v>
      </c>
      <c r="BS329" s="42">
        <v>0</v>
      </c>
      <c r="BT329" s="42">
        <v>0</v>
      </c>
      <c r="BU329" s="42">
        <v>0</v>
      </c>
      <c r="BV329" s="42">
        <v>0</v>
      </c>
      <c r="BW329" s="42">
        <v>0</v>
      </c>
      <c r="BX329" s="42">
        <v>0</v>
      </c>
      <c r="BY329" s="42">
        <v>0</v>
      </c>
      <c r="BZ329" s="42">
        <v>0</v>
      </c>
      <c r="CA329" s="42">
        <v>0</v>
      </c>
      <c r="CB329" s="42">
        <v>0</v>
      </c>
      <c r="CC329" s="42">
        <v>0</v>
      </c>
      <c r="CD329" s="42">
        <v>0</v>
      </c>
      <c r="CE329" s="42">
        <v>0</v>
      </c>
      <c r="CF329" s="42">
        <v>0</v>
      </c>
      <c r="CG329" s="42">
        <v>0</v>
      </c>
      <c r="CH329" s="42">
        <v>0</v>
      </c>
      <c r="CI329" s="42">
        <v>0</v>
      </c>
      <c r="CJ329" s="42">
        <v>0</v>
      </c>
      <c r="CK329" s="43">
        <f t="shared" si="50"/>
        <v>0</v>
      </c>
      <c r="CL329" s="66"/>
      <c r="CM329" s="66">
        <v>0</v>
      </c>
      <c r="CN329" s="66">
        <v>0</v>
      </c>
      <c r="CO329" s="66">
        <v>0</v>
      </c>
      <c r="CP329" s="66">
        <v>0</v>
      </c>
      <c r="CQ329" s="66">
        <v>0</v>
      </c>
      <c r="CR329" s="66">
        <v>0</v>
      </c>
      <c r="CS329" s="66">
        <v>0</v>
      </c>
      <c r="CT329" s="66">
        <v>0</v>
      </c>
      <c r="CU329" s="66">
        <v>0</v>
      </c>
      <c r="CV329" s="66">
        <v>0</v>
      </c>
      <c r="CW329" s="66">
        <v>0</v>
      </c>
      <c r="CX329" s="66">
        <v>0</v>
      </c>
      <c r="CY329" s="66">
        <v>0</v>
      </c>
      <c r="CZ329" s="66">
        <v>0</v>
      </c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>
        <f>SUM(Table1[[#This Row],[01-03 Apr]:[Mar-26]])</f>
        <v>0</v>
      </c>
    </row>
    <row r="330" spans="1:115" hidden="1" x14ac:dyDescent="0.2">
      <c r="A330" s="28" t="s">
        <v>2255</v>
      </c>
      <c r="B330" s="29" t="s">
        <v>324</v>
      </c>
      <c r="C330" s="29" t="s">
        <v>325</v>
      </c>
      <c r="D330" s="30" t="s">
        <v>326</v>
      </c>
      <c r="E330" s="30" t="s">
        <v>63</v>
      </c>
      <c r="F330" s="30"/>
      <c r="G330" s="31">
        <v>44870</v>
      </c>
      <c r="H330" s="30">
        <v>277378</v>
      </c>
      <c r="I330" s="30" t="str">
        <f>IF(Table1[[#This Row],[Centre Status]]="Returned","NA",IF(Table1[[#This Row],[SD]]&gt;19000,"Full Payment",IF(Table1[[#This Row],[SD]]&lt;1,"No Payment","Partial Payment")))</f>
        <v>Full Payment</v>
      </c>
      <c r="J330" s="30" t="s">
        <v>58</v>
      </c>
      <c r="K330" s="32">
        <v>64000</v>
      </c>
      <c r="L330" s="33">
        <f>Q330+R330+U330+Table1[[#This Row],[Farmer Payment]]</f>
        <v>64000</v>
      </c>
      <c r="M330" s="30"/>
      <c r="N330" s="34"/>
      <c r="O330" s="34"/>
      <c r="P330" s="35">
        <f t="shared" si="47"/>
        <v>0</v>
      </c>
      <c r="Q330" s="33">
        <f>AI330+AV330+CK330+Table1[[#This Row],[FY 25-26]]</f>
        <v>44000</v>
      </c>
      <c r="R330" s="36">
        <v>20000</v>
      </c>
      <c r="S330" s="37" t="s">
        <v>327</v>
      </c>
      <c r="T330" s="38">
        <v>44691</v>
      </c>
      <c r="U330" s="39"/>
      <c r="V330" s="39"/>
      <c r="W330" s="40">
        <v>0</v>
      </c>
      <c r="X330" s="40">
        <v>0</v>
      </c>
      <c r="Y330" s="40">
        <v>1861</v>
      </c>
      <c r="Z330" s="40">
        <v>1861</v>
      </c>
      <c r="AA330" s="40">
        <v>2366.0068000000001</v>
      </c>
      <c r="AB330" s="40">
        <v>1861</v>
      </c>
      <c r="AC330" s="40">
        <v>1112</v>
      </c>
      <c r="AD330" s="40">
        <v>1373</v>
      </c>
      <c r="AE330" s="40">
        <v>1133</v>
      </c>
      <c r="AF330" s="40">
        <v>1861</v>
      </c>
      <c r="AG330" s="40">
        <v>1861</v>
      </c>
      <c r="AH330" s="40">
        <v>1861</v>
      </c>
      <c r="AI330" s="41">
        <f t="shared" si="48"/>
        <v>17150.006799999999</v>
      </c>
      <c r="AJ330" s="42">
        <v>1861</v>
      </c>
      <c r="AK330" s="42">
        <v>2045.395</v>
      </c>
      <c r="AL330" s="42">
        <v>1861</v>
      </c>
      <c r="AM330" s="42">
        <v>2190.8798000000002</v>
      </c>
      <c r="AN330" s="42">
        <v>1861</v>
      </c>
      <c r="AO330" s="42">
        <v>1349</v>
      </c>
      <c r="AP330" s="42">
        <v>1044</v>
      </c>
      <c r="AQ330" s="42">
        <v>1861</v>
      </c>
      <c r="AR330" s="42">
        <v>1861</v>
      </c>
      <c r="AS330" s="42">
        <v>1861</v>
      </c>
      <c r="AT330" s="42">
        <v>1861</v>
      </c>
      <c r="AU330" s="42">
        <v>1861</v>
      </c>
      <c r="AV330" s="42">
        <f t="shared" si="49"/>
        <v>21517.274799999999</v>
      </c>
      <c r="AW330" s="42">
        <v>1861</v>
      </c>
      <c r="AX330" s="42">
        <v>1521</v>
      </c>
      <c r="AY330" s="42">
        <v>1366</v>
      </c>
      <c r="AZ330" s="42">
        <v>584.71839999999793</v>
      </c>
      <c r="BA330" s="42">
        <v>0</v>
      </c>
      <c r="BB330" s="42">
        <v>0</v>
      </c>
      <c r="BC330" s="42">
        <v>0</v>
      </c>
      <c r="BD330" s="42">
        <v>0</v>
      </c>
      <c r="BE330" s="42">
        <v>0</v>
      </c>
      <c r="BF330" s="42">
        <v>0</v>
      </c>
      <c r="BG330" s="42">
        <v>0</v>
      </c>
      <c r="BH330" s="42">
        <v>0</v>
      </c>
      <c r="BI330" s="42">
        <v>0</v>
      </c>
      <c r="BJ330" s="42">
        <v>0</v>
      </c>
      <c r="BK330" s="42">
        <v>0</v>
      </c>
      <c r="BL330" s="42">
        <v>0</v>
      </c>
      <c r="BM330" s="42">
        <v>0</v>
      </c>
      <c r="BN330" s="42">
        <v>0</v>
      </c>
      <c r="BO330" s="42">
        <v>0</v>
      </c>
      <c r="BP330" s="42">
        <v>0</v>
      </c>
      <c r="BQ330" s="42">
        <v>0</v>
      </c>
      <c r="BR330" s="42">
        <v>0</v>
      </c>
      <c r="BS330" s="42">
        <v>0</v>
      </c>
      <c r="BT330" s="42">
        <v>0</v>
      </c>
      <c r="BU330" s="42">
        <v>0</v>
      </c>
      <c r="BV330" s="42">
        <v>0</v>
      </c>
      <c r="BW330" s="42">
        <v>0</v>
      </c>
      <c r="BX330" s="42">
        <v>0</v>
      </c>
      <c r="BY330" s="42">
        <v>0</v>
      </c>
      <c r="BZ330" s="42">
        <v>0</v>
      </c>
      <c r="CA330" s="42">
        <v>0</v>
      </c>
      <c r="CB330" s="42">
        <v>0</v>
      </c>
      <c r="CC330" s="42">
        <v>0</v>
      </c>
      <c r="CD330" s="42">
        <v>0</v>
      </c>
      <c r="CE330" s="42">
        <v>0</v>
      </c>
      <c r="CF330" s="42">
        <v>0</v>
      </c>
      <c r="CG330" s="42">
        <v>0</v>
      </c>
      <c r="CH330" s="42">
        <v>0</v>
      </c>
      <c r="CI330" s="42">
        <v>0</v>
      </c>
      <c r="CJ330" s="42">
        <v>0</v>
      </c>
      <c r="CK330" s="43">
        <f t="shared" si="50"/>
        <v>5332.7183999999979</v>
      </c>
      <c r="CL330" s="66"/>
      <c r="CM330" s="66">
        <v>0</v>
      </c>
      <c r="CN330" s="66">
        <v>0</v>
      </c>
      <c r="CO330" s="66">
        <v>0</v>
      </c>
      <c r="CP330" s="66">
        <v>0</v>
      </c>
      <c r="CQ330" s="66">
        <v>0</v>
      </c>
      <c r="CR330" s="66">
        <v>0</v>
      </c>
      <c r="CS330" s="66">
        <v>0</v>
      </c>
      <c r="CT330" s="66">
        <v>0</v>
      </c>
      <c r="CU330" s="66">
        <v>0</v>
      </c>
      <c r="CV330" s="66">
        <v>0</v>
      </c>
      <c r="CW330" s="66">
        <v>0</v>
      </c>
      <c r="CX330" s="66">
        <v>0</v>
      </c>
      <c r="CY330" s="66">
        <v>0</v>
      </c>
      <c r="CZ330" s="66">
        <v>0</v>
      </c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>
        <f>SUM(Table1[[#This Row],[01-03 Apr]:[Mar-26]])</f>
        <v>0</v>
      </c>
    </row>
    <row r="331" spans="1:115" hidden="1" x14ac:dyDescent="0.2">
      <c r="A331" s="28" t="s">
        <v>2256</v>
      </c>
      <c r="B331" s="29" t="s">
        <v>328</v>
      </c>
      <c r="C331" s="29" t="s">
        <v>329</v>
      </c>
      <c r="D331" s="30" t="s">
        <v>330</v>
      </c>
      <c r="E331" s="30" t="s">
        <v>1321</v>
      </c>
      <c r="F331" s="30"/>
      <c r="G331" s="31">
        <v>44870</v>
      </c>
      <c r="H331" s="30">
        <v>210701</v>
      </c>
      <c r="I331" s="30" t="str">
        <f>IF(Table1[[#This Row],[Centre Status]]="Returned","NA",IF(Table1[[#This Row],[SD]]&gt;19000,"Full Payment",IF(Table1[[#This Row],[SD]]&lt;1,"No Payment","Partial Payment")))</f>
        <v>Full Payment</v>
      </c>
      <c r="J331" s="30" t="s">
        <v>58</v>
      </c>
      <c r="K331" s="32">
        <v>64000</v>
      </c>
      <c r="L331" s="33">
        <f>Q331+R331+U331+Table1[[#This Row],[Farmer Payment]]</f>
        <v>64000</v>
      </c>
      <c r="M331" s="30"/>
      <c r="N331" s="34"/>
      <c r="O331" s="34"/>
      <c r="P331" s="35">
        <f t="shared" si="47"/>
        <v>0</v>
      </c>
      <c r="Q331" s="33">
        <f>AI331+AV331+CK331+Table1[[#This Row],[FY 25-26]]</f>
        <v>44000</v>
      </c>
      <c r="R331" s="36">
        <v>20000</v>
      </c>
      <c r="S331" s="37" t="s">
        <v>331</v>
      </c>
      <c r="T331" s="38">
        <v>44673</v>
      </c>
      <c r="U331" s="39"/>
      <c r="V331" s="39"/>
      <c r="W331" s="40">
        <v>0</v>
      </c>
      <c r="X331" s="40">
        <v>0</v>
      </c>
      <c r="Y331" s="40">
        <v>2523.8288000000002</v>
      </c>
      <c r="Z331" s="40">
        <v>1861</v>
      </c>
      <c r="AA331" s="40">
        <v>5399.7732000000005</v>
      </c>
      <c r="AB331" s="40">
        <v>4076.9752000000003</v>
      </c>
      <c r="AC331" s="40">
        <v>1921.3406</v>
      </c>
      <c r="AD331" s="40">
        <v>2725.3236000000006</v>
      </c>
      <c r="AE331" s="40">
        <v>2809.1466000000005</v>
      </c>
      <c r="AF331" s="40">
        <v>3416.0088000000001</v>
      </c>
      <c r="AG331" s="40">
        <v>3951.5486000000001</v>
      </c>
      <c r="AH331" s="40">
        <v>5725.4481999999998</v>
      </c>
      <c r="AI331" s="41">
        <f t="shared" si="48"/>
        <v>34410.393600000003</v>
      </c>
      <c r="AJ331" s="42">
        <v>5923.241589780001</v>
      </c>
      <c r="AK331" s="42">
        <v>3666.364810219995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 s="42">
        <f t="shared" si="49"/>
        <v>9589.6063999999969</v>
      </c>
      <c r="AW331" s="42">
        <v>0</v>
      </c>
      <c r="AX331" s="42">
        <v>0</v>
      </c>
      <c r="AY331" s="42">
        <v>0</v>
      </c>
      <c r="AZ331" s="42">
        <v>0</v>
      </c>
      <c r="BA331" s="42">
        <v>0</v>
      </c>
      <c r="BB331" s="42">
        <v>0</v>
      </c>
      <c r="BC331" s="42">
        <v>0</v>
      </c>
      <c r="BD331" s="42">
        <v>0</v>
      </c>
      <c r="BE331" s="42">
        <v>0</v>
      </c>
      <c r="BF331" s="42">
        <v>0</v>
      </c>
      <c r="BG331" s="42">
        <v>0</v>
      </c>
      <c r="BH331" s="42">
        <v>0</v>
      </c>
      <c r="BI331" s="42">
        <v>0</v>
      </c>
      <c r="BJ331" s="42">
        <v>0</v>
      </c>
      <c r="BK331" s="42">
        <v>0</v>
      </c>
      <c r="BL331" s="42">
        <v>0</v>
      </c>
      <c r="BM331" s="42">
        <v>0</v>
      </c>
      <c r="BN331" s="42">
        <v>0</v>
      </c>
      <c r="BO331" s="42">
        <v>0</v>
      </c>
      <c r="BP331" s="42">
        <v>0</v>
      </c>
      <c r="BQ331" s="42">
        <v>0</v>
      </c>
      <c r="BR331" s="42">
        <v>0</v>
      </c>
      <c r="BS331" s="42">
        <v>0</v>
      </c>
      <c r="BT331" s="42">
        <v>0</v>
      </c>
      <c r="BU331" s="42">
        <v>0</v>
      </c>
      <c r="BV331" s="42">
        <v>0</v>
      </c>
      <c r="BW331" s="42">
        <v>0</v>
      </c>
      <c r="BX331" s="42">
        <v>0</v>
      </c>
      <c r="BY331" s="42">
        <v>0</v>
      </c>
      <c r="BZ331" s="42">
        <v>0</v>
      </c>
      <c r="CA331" s="42">
        <v>0</v>
      </c>
      <c r="CB331" s="42">
        <v>0</v>
      </c>
      <c r="CC331" s="42">
        <v>0</v>
      </c>
      <c r="CD331" s="42">
        <v>0</v>
      </c>
      <c r="CE331" s="42">
        <v>0</v>
      </c>
      <c r="CF331" s="42">
        <v>0</v>
      </c>
      <c r="CG331" s="42">
        <v>0</v>
      </c>
      <c r="CH331" s="42">
        <v>0</v>
      </c>
      <c r="CI331" s="42">
        <v>0</v>
      </c>
      <c r="CJ331" s="42">
        <v>0</v>
      </c>
      <c r="CK331" s="43">
        <f t="shared" si="50"/>
        <v>0</v>
      </c>
      <c r="CL331" s="66"/>
      <c r="CM331" s="66">
        <v>0</v>
      </c>
      <c r="CN331" s="66">
        <v>0</v>
      </c>
      <c r="CO331" s="66">
        <v>0</v>
      </c>
      <c r="CP331" s="66">
        <v>0</v>
      </c>
      <c r="CQ331" s="66">
        <v>0</v>
      </c>
      <c r="CR331" s="66">
        <v>0</v>
      </c>
      <c r="CS331" s="66">
        <v>0</v>
      </c>
      <c r="CT331" s="66">
        <v>0</v>
      </c>
      <c r="CU331" s="66">
        <v>0</v>
      </c>
      <c r="CV331" s="66">
        <v>0</v>
      </c>
      <c r="CW331" s="66">
        <v>0</v>
      </c>
      <c r="CX331" s="66">
        <v>0</v>
      </c>
      <c r="CY331" s="66">
        <v>0</v>
      </c>
      <c r="CZ331" s="66">
        <v>0</v>
      </c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>
        <f>SUM(Table1[[#This Row],[01-03 Apr]:[Mar-26]])</f>
        <v>0</v>
      </c>
    </row>
    <row r="332" spans="1:115" x14ac:dyDescent="0.2">
      <c r="A332" s="28" t="s">
        <v>2364</v>
      </c>
      <c r="B332" s="29" t="s">
        <v>332</v>
      </c>
      <c r="C332" s="29" t="s">
        <v>3336</v>
      </c>
      <c r="D332" s="30" t="s">
        <v>333</v>
      </c>
      <c r="E332" s="30" t="s">
        <v>177</v>
      </c>
      <c r="F332" s="30"/>
      <c r="G332" s="31"/>
      <c r="H332" s="30"/>
      <c r="I332" s="30" t="str">
        <f>IF(Table1[[#This Row],[Centre Status]]="Returned","NA",IF(Table1[[#This Row],[SD]]&gt;19000,"Full Payment",IF(Table1[[#This Row],[SD]]&lt;1,"No Payment","Partial Payment")))</f>
        <v>No Payment</v>
      </c>
      <c r="J332" s="30" t="s">
        <v>58</v>
      </c>
      <c r="K332" s="32">
        <v>110000</v>
      </c>
      <c r="L332" s="33">
        <f>Q332+R332+U332+Table1[[#This Row],[Farmer Payment]]</f>
        <v>25000</v>
      </c>
      <c r="M332" s="30"/>
      <c r="N332" s="34"/>
      <c r="O332" s="34"/>
      <c r="P332" s="35">
        <f t="shared" si="47"/>
        <v>85000</v>
      </c>
      <c r="Q332" s="33">
        <f>AI332+AV332+CK332+Table1[[#This Row],[FY 25-26]]</f>
        <v>0</v>
      </c>
      <c r="R332" s="36">
        <v>0</v>
      </c>
      <c r="S332" s="37"/>
      <c r="T332" s="38"/>
      <c r="U332" s="39">
        <v>25000</v>
      </c>
      <c r="V332" s="39"/>
      <c r="W332" s="40">
        <v>0</v>
      </c>
      <c r="X332" s="40">
        <v>0</v>
      </c>
      <c r="Y332" s="40">
        <v>0</v>
      </c>
      <c r="Z332" s="40">
        <v>0</v>
      </c>
      <c r="AA332" s="40">
        <v>0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>
        <v>0</v>
      </c>
      <c r="AH332" s="40">
        <v>0</v>
      </c>
      <c r="AI332" s="41">
        <f t="shared" si="48"/>
        <v>0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0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42">
        <v>0</v>
      </c>
      <c r="AV332" s="42">
        <f t="shared" si="49"/>
        <v>0</v>
      </c>
      <c r="AW332" s="42">
        <v>0</v>
      </c>
      <c r="AX332" s="42">
        <v>0</v>
      </c>
      <c r="AY332" s="42">
        <v>0</v>
      </c>
      <c r="AZ332" s="42">
        <v>0</v>
      </c>
      <c r="BA332" s="42">
        <v>0</v>
      </c>
      <c r="BB332" s="42">
        <v>0</v>
      </c>
      <c r="BC332" s="42">
        <v>0</v>
      </c>
      <c r="BD332" s="42">
        <v>0</v>
      </c>
      <c r="BE332" s="42">
        <v>0</v>
      </c>
      <c r="BF332" s="42">
        <v>0</v>
      </c>
      <c r="BG332" s="42">
        <v>0</v>
      </c>
      <c r="BH332" s="42">
        <v>0</v>
      </c>
      <c r="BI332" s="42">
        <v>0</v>
      </c>
      <c r="BJ332" s="42">
        <v>0</v>
      </c>
      <c r="BK332" s="42">
        <v>0</v>
      </c>
      <c r="BL332" s="42">
        <v>0</v>
      </c>
      <c r="BM332" s="42">
        <v>0</v>
      </c>
      <c r="BN332" s="42">
        <v>0</v>
      </c>
      <c r="BO332" s="42">
        <v>0</v>
      </c>
      <c r="BP332" s="42">
        <v>0</v>
      </c>
      <c r="BQ332" s="42">
        <v>0</v>
      </c>
      <c r="BR332" s="42">
        <v>0</v>
      </c>
      <c r="BS332" s="42">
        <v>0</v>
      </c>
      <c r="BT332" s="42">
        <v>0</v>
      </c>
      <c r="BU332" s="42">
        <v>0</v>
      </c>
      <c r="BV332" s="42">
        <v>0</v>
      </c>
      <c r="BW332" s="42">
        <v>0</v>
      </c>
      <c r="BX332" s="42">
        <v>0</v>
      </c>
      <c r="BY332" s="42">
        <v>0</v>
      </c>
      <c r="BZ332" s="42">
        <v>0</v>
      </c>
      <c r="CA332" s="42">
        <v>0</v>
      </c>
      <c r="CB332" s="42">
        <v>0</v>
      </c>
      <c r="CC332" s="42">
        <v>0</v>
      </c>
      <c r="CD332" s="42">
        <v>0</v>
      </c>
      <c r="CE332" s="42">
        <v>0</v>
      </c>
      <c r="CF332" s="42">
        <v>0</v>
      </c>
      <c r="CG332" s="42">
        <v>0</v>
      </c>
      <c r="CH332" s="42">
        <v>0</v>
      </c>
      <c r="CI332" s="42">
        <v>0</v>
      </c>
      <c r="CJ332" s="42">
        <v>0</v>
      </c>
      <c r="CK332" s="43">
        <f t="shared" si="50"/>
        <v>0</v>
      </c>
      <c r="CL332" s="66"/>
      <c r="CM332" s="66">
        <v>0</v>
      </c>
      <c r="CN332" s="66">
        <v>0</v>
      </c>
      <c r="CO332" s="66">
        <v>0</v>
      </c>
      <c r="CP332" s="66">
        <v>0</v>
      </c>
      <c r="CQ332" s="66">
        <v>0</v>
      </c>
      <c r="CR332" s="66">
        <v>0</v>
      </c>
      <c r="CS332" s="66">
        <v>0</v>
      </c>
      <c r="CT332" s="66">
        <v>0</v>
      </c>
      <c r="CU332" s="66">
        <v>0</v>
      </c>
      <c r="CV332" s="66">
        <v>0</v>
      </c>
      <c r="CW332" s="66">
        <v>0</v>
      </c>
      <c r="CX332" s="66">
        <v>0</v>
      </c>
      <c r="CY332" s="66">
        <v>0</v>
      </c>
      <c r="CZ332" s="66">
        <v>0</v>
      </c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>
        <f>SUM(Table1[[#This Row],[01-03 Apr]:[Mar-26]])</f>
        <v>0</v>
      </c>
    </row>
    <row r="333" spans="1:115" x14ac:dyDescent="0.2">
      <c r="A333" s="28" t="s">
        <v>2364</v>
      </c>
      <c r="B333" s="29" t="s">
        <v>334</v>
      </c>
      <c r="C333" s="29" t="s">
        <v>1498</v>
      </c>
      <c r="D333" s="30" t="s">
        <v>1499</v>
      </c>
      <c r="E333" s="30" t="s">
        <v>1630</v>
      </c>
      <c r="F333" s="30"/>
      <c r="G333" s="31"/>
      <c r="H333" s="30">
        <v>378760</v>
      </c>
      <c r="I333" s="30" t="str">
        <f>IF(Table1[[#This Row],[Centre Status]]="Returned","NA",IF(Table1[[#This Row],[SD]]&gt;19000,"Full Payment",IF(Table1[[#This Row],[SD]]&lt;1,"No Payment","Partial Payment")))</f>
        <v>No Payment</v>
      </c>
      <c r="J333" s="30" t="s">
        <v>58</v>
      </c>
      <c r="K333" s="32">
        <v>110000</v>
      </c>
      <c r="L333" s="33">
        <f>Q333+R333+U333+Table1[[#This Row],[Farmer Payment]]</f>
        <v>110000</v>
      </c>
      <c r="M333" s="30"/>
      <c r="N333" s="34"/>
      <c r="O333" s="34"/>
      <c r="P333" s="35">
        <f t="shared" si="47"/>
        <v>0</v>
      </c>
      <c r="Q333" s="33">
        <f>AI333+AV333+CK333+Table1[[#This Row],[FY 25-26]]</f>
        <v>81303</v>
      </c>
      <c r="R333" s="36">
        <v>0</v>
      </c>
      <c r="S333" s="37"/>
      <c r="T333" s="38"/>
      <c r="U333" s="39">
        <v>28697</v>
      </c>
      <c r="V333" s="39"/>
      <c r="W333" s="40">
        <v>0</v>
      </c>
      <c r="X333" s="40">
        <v>0</v>
      </c>
      <c r="Y333" s="40">
        <v>0</v>
      </c>
      <c r="Z333" s="40">
        <v>0</v>
      </c>
      <c r="AA333" s="40">
        <v>0</v>
      </c>
      <c r="AB333" s="40">
        <v>0</v>
      </c>
      <c r="AC333" s="40">
        <v>0</v>
      </c>
      <c r="AD333" s="40">
        <v>0</v>
      </c>
      <c r="AE333" s="40">
        <v>0</v>
      </c>
      <c r="AF333" s="40">
        <v>0</v>
      </c>
      <c r="AG333" s="40">
        <v>1919.105</v>
      </c>
      <c r="AH333" s="40">
        <v>2000</v>
      </c>
      <c r="AI333" s="41">
        <f t="shared" si="48"/>
        <v>3919.105</v>
      </c>
      <c r="AJ333" s="42">
        <v>561</v>
      </c>
      <c r="AK333" s="42">
        <v>0</v>
      </c>
      <c r="AL333" s="42">
        <v>0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42">
        <v>0</v>
      </c>
      <c r="AV333" s="42">
        <f t="shared" si="49"/>
        <v>561</v>
      </c>
      <c r="AW333" s="42">
        <v>6133.2538199662522</v>
      </c>
      <c r="AX333" s="42">
        <v>6174.6678608639213</v>
      </c>
      <c r="AY333" s="42">
        <v>6656.7458923064942</v>
      </c>
      <c r="AZ333" s="42">
        <v>7700.507403366275</v>
      </c>
      <c r="BA333" s="42">
        <v>5594.697637781961</v>
      </c>
      <c r="BB333" s="42">
        <v>0</v>
      </c>
      <c r="BC333" s="42">
        <v>7945.8138678245923</v>
      </c>
      <c r="BD333" s="42">
        <v>0</v>
      </c>
      <c r="BE333" s="42">
        <v>0</v>
      </c>
      <c r="BF333" s="42">
        <v>0</v>
      </c>
      <c r="BG333" s="42">
        <v>0</v>
      </c>
      <c r="BH333" s="42">
        <v>0</v>
      </c>
      <c r="BI333" s="42">
        <v>7201.1233814940242</v>
      </c>
      <c r="BJ333" s="42">
        <v>0</v>
      </c>
      <c r="BK333" s="42">
        <v>0</v>
      </c>
      <c r="BL333" s="42">
        <v>0</v>
      </c>
      <c r="BM333" s="42">
        <v>0</v>
      </c>
      <c r="BN333" s="42">
        <v>6975.4945608427215</v>
      </c>
      <c r="BO333" s="42">
        <v>0</v>
      </c>
      <c r="BP333" s="42">
        <v>0</v>
      </c>
      <c r="BQ333" s="42">
        <v>0</v>
      </c>
      <c r="BR333" s="42">
        <v>0</v>
      </c>
      <c r="BS333" s="42">
        <v>10454.624447372138</v>
      </c>
      <c r="BT333" s="42">
        <v>0</v>
      </c>
      <c r="BU333" s="42">
        <v>0</v>
      </c>
      <c r="BV333" s="42">
        <v>0</v>
      </c>
      <c r="BW333" s="42">
        <v>0</v>
      </c>
      <c r="BX333" s="42">
        <v>0</v>
      </c>
      <c r="BY333" s="42">
        <v>10636.630190912341</v>
      </c>
      <c r="BZ333" s="42">
        <v>0</v>
      </c>
      <c r="CA333" s="42">
        <v>0</v>
      </c>
      <c r="CB333" s="42">
        <v>0</v>
      </c>
      <c r="CC333" s="42">
        <v>0</v>
      </c>
      <c r="CD333" s="42">
        <v>1349.3359372692939</v>
      </c>
      <c r="CE333" s="42">
        <v>0</v>
      </c>
      <c r="CF333" s="42">
        <v>0</v>
      </c>
      <c r="CG333" s="42">
        <v>0</v>
      </c>
      <c r="CH333" s="42">
        <v>0</v>
      </c>
      <c r="CI333" s="42">
        <v>0</v>
      </c>
      <c r="CJ333" s="42">
        <v>0</v>
      </c>
      <c r="CK333" s="43">
        <f t="shared" si="50"/>
        <v>76822.895000000004</v>
      </c>
      <c r="CL333" s="66"/>
      <c r="CM333" s="66">
        <v>0</v>
      </c>
      <c r="CN333" s="66">
        <v>0</v>
      </c>
      <c r="CO333" s="66">
        <v>0</v>
      </c>
      <c r="CP333" s="66">
        <v>0</v>
      </c>
      <c r="CQ333" s="66">
        <v>0</v>
      </c>
      <c r="CR333" s="66">
        <v>0</v>
      </c>
      <c r="CS333" s="66">
        <v>0</v>
      </c>
      <c r="CT333" s="66">
        <v>0</v>
      </c>
      <c r="CU333" s="66">
        <v>0</v>
      </c>
      <c r="CV333" s="66">
        <v>0</v>
      </c>
      <c r="CW333" s="66">
        <v>0</v>
      </c>
      <c r="CX333" s="66">
        <v>0</v>
      </c>
      <c r="CY333" s="66">
        <v>0</v>
      </c>
      <c r="CZ333" s="66">
        <v>0</v>
      </c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>
        <f>SUM(Table1[[#This Row],[01-03 Apr]:[Mar-26]])</f>
        <v>0</v>
      </c>
    </row>
    <row r="334" spans="1:115" x14ac:dyDescent="0.2">
      <c r="A334" s="28"/>
      <c r="B334" s="29"/>
      <c r="C334" s="29" t="s">
        <v>2635</v>
      </c>
      <c r="D334" s="30" t="s">
        <v>2640</v>
      </c>
      <c r="E334" s="30" t="s">
        <v>203</v>
      </c>
      <c r="F334" s="30"/>
      <c r="G334" s="31"/>
      <c r="H334" s="30"/>
      <c r="I334" s="30" t="str">
        <f>IF(Table1[[#This Row],[Centre Status]]="Returned","NA",IF(Table1[[#This Row],[SD]]&gt;19000,"Full Payment",IF(Table1[[#This Row],[SD]]&lt;1,"No Payment","Partial Payment")))</f>
        <v>Partial Payment</v>
      </c>
      <c r="J334" s="30" t="s">
        <v>58</v>
      </c>
      <c r="K334" s="32">
        <v>110000</v>
      </c>
      <c r="L334" s="33">
        <f>Q334+R334+U334+Table1[[#This Row],[Farmer Payment]]</f>
        <v>39938.031323655312</v>
      </c>
      <c r="M334" s="30"/>
      <c r="N334" s="34"/>
      <c r="O334" s="34"/>
      <c r="P334" s="35">
        <f t="shared" si="47"/>
        <v>70061.968676344695</v>
      </c>
      <c r="Q334" s="33">
        <f>AI334+AV334+CK334+Table1[[#This Row],[FY 25-26]]</f>
        <v>29938.031323655312</v>
      </c>
      <c r="R334" s="36">
        <v>10000</v>
      </c>
      <c r="S334" s="37" t="s">
        <v>2641</v>
      </c>
      <c r="T334" s="38">
        <v>45440</v>
      </c>
      <c r="U334" s="39"/>
      <c r="V334" s="39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1">
        <f t="shared" si="48"/>
        <v>0</v>
      </c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>
        <f t="shared" si="49"/>
        <v>0</v>
      </c>
      <c r="AW334" s="42"/>
      <c r="AX334" s="42"/>
      <c r="AY334" s="42"/>
      <c r="AZ334" s="42"/>
      <c r="BA334" s="42"/>
      <c r="BB334" s="42">
        <v>0</v>
      </c>
      <c r="BC334" s="42">
        <v>3132.6655517936906</v>
      </c>
      <c r="BD334" s="42">
        <v>0</v>
      </c>
      <c r="BE334" s="42">
        <v>0</v>
      </c>
      <c r="BF334" s="42">
        <v>0</v>
      </c>
      <c r="BG334" s="42">
        <v>0</v>
      </c>
      <c r="BH334" s="42">
        <v>0</v>
      </c>
      <c r="BI334" s="42">
        <v>3100.8491608973745</v>
      </c>
      <c r="BJ334" s="42">
        <v>0</v>
      </c>
      <c r="BK334" s="42">
        <v>0</v>
      </c>
      <c r="BL334" s="42">
        <v>0</v>
      </c>
      <c r="BM334" s="42">
        <v>0</v>
      </c>
      <c r="BN334" s="42">
        <v>2323.3335103017284</v>
      </c>
      <c r="BO334" s="42">
        <v>0</v>
      </c>
      <c r="BP334" s="42">
        <v>0</v>
      </c>
      <c r="BQ334" s="42">
        <v>0</v>
      </c>
      <c r="BR334" s="42">
        <v>0</v>
      </c>
      <c r="BS334" s="42">
        <v>3435.2403005804717</v>
      </c>
      <c r="BT334" s="42">
        <v>0</v>
      </c>
      <c r="BU334" s="42">
        <v>0</v>
      </c>
      <c r="BV334" s="42">
        <v>0</v>
      </c>
      <c r="BW334" s="42">
        <v>0</v>
      </c>
      <c r="BX334" s="42">
        <v>0</v>
      </c>
      <c r="BY334" s="42">
        <v>3523.45522966202</v>
      </c>
      <c r="BZ334" s="42">
        <v>0</v>
      </c>
      <c r="CA334" s="42">
        <v>0</v>
      </c>
      <c r="CB334" s="42">
        <v>0</v>
      </c>
      <c r="CC334" s="42">
        <v>0</v>
      </c>
      <c r="CD334" s="42">
        <v>3454.7926057657569</v>
      </c>
      <c r="CE334" s="42">
        <v>0</v>
      </c>
      <c r="CF334" s="42">
        <v>0</v>
      </c>
      <c r="CG334" s="42">
        <v>0</v>
      </c>
      <c r="CH334" s="42">
        <v>0</v>
      </c>
      <c r="CI334" s="42">
        <v>0</v>
      </c>
      <c r="CJ334" s="42">
        <v>4736.2346374764584</v>
      </c>
      <c r="CK334" s="43">
        <f t="shared" si="50"/>
        <v>23706.570996477501</v>
      </c>
      <c r="CL334" s="66"/>
      <c r="CM334" s="66">
        <v>0</v>
      </c>
      <c r="CN334" s="66">
        <v>0</v>
      </c>
      <c r="CO334" s="66">
        <v>0</v>
      </c>
      <c r="CP334" s="66">
        <v>3721.0581151984343</v>
      </c>
      <c r="CQ334" s="66">
        <v>0</v>
      </c>
      <c r="CR334" s="66">
        <v>0</v>
      </c>
      <c r="CS334" s="66">
        <v>0</v>
      </c>
      <c r="CT334" s="66">
        <v>0</v>
      </c>
      <c r="CU334" s="66">
        <v>0</v>
      </c>
      <c r="CV334" s="66">
        <v>2510.402211979374</v>
      </c>
      <c r="CW334" s="66">
        <v>0</v>
      </c>
      <c r="CX334" s="66">
        <v>0</v>
      </c>
      <c r="CY334" s="66">
        <v>0</v>
      </c>
      <c r="CZ334" s="66">
        <v>0</v>
      </c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>
        <f>SUM(Table1[[#This Row],[01-03 Apr]:[Mar-26]])</f>
        <v>6231.4603271778087</v>
      </c>
    </row>
    <row r="335" spans="1:115" hidden="1" x14ac:dyDescent="0.2">
      <c r="A335" s="28" t="s">
        <v>2255</v>
      </c>
      <c r="B335" s="29" t="s">
        <v>338</v>
      </c>
      <c r="C335" s="29" t="s">
        <v>339</v>
      </c>
      <c r="D335" s="30" t="s">
        <v>340</v>
      </c>
      <c r="E335" s="30" t="s">
        <v>1321</v>
      </c>
      <c r="F335" s="30"/>
      <c r="G335" s="31">
        <v>44870</v>
      </c>
      <c r="H335" s="30">
        <v>277358</v>
      </c>
      <c r="I335" s="30" t="str">
        <f>IF(Table1[[#This Row],[Centre Status]]="Returned","NA",IF(Table1[[#This Row],[SD]]&gt;19000,"Full Payment",IF(Table1[[#This Row],[SD]]&lt;1,"No Payment","Partial Payment")))</f>
        <v>Full Payment</v>
      </c>
      <c r="J335" s="30" t="s">
        <v>58</v>
      </c>
      <c r="K335" s="32">
        <v>64000</v>
      </c>
      <c r="L335" s="33">
        <f>Q335+R335+U335+Table1[[#This Row],[Farmer Payment]]</f>
        <v>64000</v>
      </c>
      <c r="M335" s="30"/>
      <c r="N335" s="34"/>
      <c r="O335" s="34"/>
      <c r="P335" s="35">
        <f t="shared" si="47"/>
        <v>0</v>
      </c>
      <c r="Q335" s="33">
        <f>AI335+AV335+CK335+Table1[[#This Row],[FY 25-26]]</f>
        <v>44000</v>
      </c>
      <c r="R335" s="36">
        <v>20000</v>
      </c>
      <c r="S335" s="37" t="s">
        <v>341</v>
      </c>
      <c r="T335" s="38">
        <v>44662</v>
      </c>
      <c r="U335" s="39"/>
      <c r="V335" s="39"/>
      <c r="W335" s="40">
        <v>0</v>
      </c>
      <c r="X335" s="40">
        <v>0</v>
      </c>
      <c r="Y335" s="40">
        <v>1861</v>
      </c>
      <c r="Z335" s="40">
        <v>1861</v>
      </c>
      <c r="AA335" s="40">
        <v>1861</v>
      </c>
      <c r="AB335" s="40">
        <v>1535</v>
      </c>
      <c r="AC335" s="40">
        <v>830</v>
      </c>
      <c r="AD335" s="40">
        <v>1861</v>
      </c>
      <c r="AE335" s="40">
        <v>2104.8150000000001</v>
      </c>
      <c r="AF335" s="40">
        <v>3265.3566000000005</v>
      </c>
      <c r="AG335" s="40">
        <v>2000</v>
      </c>
      <c r="AH335" s="40">
        <v>3320.4644000000003</v>
      </c>
      <c r="AI335" s="41">
        <f t="shared" si="48"/>
        <v>20499.636000000002</v>
      </c>
      <c r="AJ335" s="42">
        <v>2606.5873999999999</v>
      </c>
      <c r="AK335" s="42">
        <v>2313.8838000000001</v>
      </c>
      <c r="AL335" s="42">
        <v>1861</v>
      </c>
      <c r="AM335" s="42">
        <v>2833.2478000000006</v>
      </c>
      <c r="AN335" s="42">
        <v>2765.0710000000004</v>
      </c>
      <c r="AO335" s="42">
        <v>2843.6590000000001</v>
      </c>
      <c r="AP335" s="42">
        <v>3477.5946000000008</v>
      </c>
      <c r="AQ335" s="42">
        <v>2365.9942000000001</v>
      </c>
      <c r="AR335" s="42">
        <v>2433.3261999999959</v>
      </c>
      <c r="AS335" s="42">
        <v>0</v>
      </c>
      <c r="AT335" s="42">
        <v>0</v>
      </c>
      <c r="AU335" s="42">
        <v>0</v>
      </c>
      <c r="AV335" s="42">
        <f t="shared" si="49"/>
        <v>23500.363999999998</v>
      </c>
      <c r="AW335" s="42">
        <v>0</v>
      </c>
      <c r="AX335" s="42">
        <v>0</v>
      </c>
      <c r="AY335" s="42">
        <v>0</v>
      </c>
      <c r="AZ335" s="42">
        <v>0</v>
      </c>
      <c r="BA335" s="42">
        <v>0</v>
      </c>
      <c r="BB335" s="42">
        <v>0</v>
      </c>
      <c r="BC335" s="42">
        <v>0</v>
      </c>
      <c r="BD335" s="42">
        <v>0</v>
      </c>
      <c r="BE335" s="42">
        <v>0</v>
      </c>
      <c r="BF335" s="42">
        <v>0</v>
      </c>
      <c r="BG335" s="42">
        <v>0</v>
      </c>
      <c r="BH335" s="42">
        <v>0</v>
      </c>
      <c r="BI335" s="42">
        <v>0</v>
      </c>
      <c r="BJ335" s="42">
        <v>0</v>
      </c>
      <c r="BK335" s="42">
        <v>0</v>
      </c>
      <c r="BL335" s="42">
        <v>0</v>
      </c>
      <c r="BM335" s="42">
        <v>0</v>
      </c>
      <c r="BN335" s="42">
        <v>0</v>
      </c>
      <c r="BO335" s="42">
        <v>0</v>
      </c>
      <c r="BP335" s="42">
        <v>0</v>
      </c>
      <c r="BQ335" s="42">
        <v>0</v>
      </c>
      <c r="BR335" s="42">
        <v>0</v>
      </c>
      <c r="BS335" s="42">
        <v>0</v>
      </c>
      <c r="BT335" s="42">
        <v>0</v>
      </c>
      <c r="BU335" s="42">
        <v>0</v>
      </c>
      <c r="BV335" s="42">
        <v>0</v>
      </c>
      <c r="BW335" s="42">
        <v>0</v>
      </c>
      <c r="BX335" s="42">
        <v>0</v>
      </c>
      <c r="BY335" s="42">
        <v>0</v>
      </c>
      <c r="BZ335" s="42">
        <v>0</v>
      </c>
      <c r="CA335" s="42">
        <v>0</v>
      </c>
      <c r="CB335" s="42">
        <v>0</v>
      </c>
      <c r="CC335" s="42">
        <v>0</v>
      </c>
      <c r="CD335" s="42">
        <v>0</v>
      </c>
      <c r="CE335" s="42">
        <v>0</v>
      </c>
      <c r="CF335" s="42">
        <v>0</v>
      </c>
      <c r="CG335" s="42">
        <v>0</v>
      </c>
      <c r="CH335" s="42">
        <v>0</v>
      </c>
      <c r="CI335" s="42">
        <v>0</v>
      </c>
      <c r="CJ335" s="42">
        <v>0</v>
      </c>
      <c r="CK335" s="43">
        <f t="shared" si="50"/>
        <v>0</v>
      </c>
      <c r="CL335" s="66"/>
      <c r="CM335" s="66">
        <v>0</v>
      </c>
      <c r="CN335" s="66">
        <v>0</v>
      </c>
      <c r="CO335" s="66">
        <v>0</v>
      </c>
      <c r="CP335" s="66">
        <v>0</v>
      </c>
      <c r="CQ335" s="66">
        <v>0</v>
      </c>
      <c r="CR335" s="66">
        <v>0</v>
      </c>
      <c r="CS335" s="66">
        <v>0</v>
      </c>
      <c r="CT335" s="66">
        <v>0</v>
      </c>
      <c r="CU335" s="66">
        <v>0</v>
      </c>
      <c r="CV335" s="66">
        <v>0</v>
      </c>
      <c r="CW335" s="66">
        <v>0</v>
      </c>
      <c r="CX335" s="66">
        <v>0</v>
      </c>
      <c r="CY335" s="66">
        <v>0</v>
      </c>
      <c r="CZ335" s="66">
        <v>0</v>
      </c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>
        <f>SUM(Table1[[#This Row],[01-03 Apr]:[Mar-26]])</f>
        <v>0</v>
      </c>
    </row>
    <row r="336" spans="1:115" hidden="1" x14ac:dyDescent="0.2">
      <c r="A336" s="28" t="s">
        <v>2255</v>
      </c>
      <c r="B336" s="29" t="s">
        <v>342</v>
      </c>
      <c r="C336" s="29" t="s">
        <v>343</v>
      </c>
      <c r="D336" s="30" t="s">
        <v>344</v>
      </c>
      <c r="E336" s="30" t="s">
        <v>177</v>
      </c>
      <c r="F336" s="30"/>
      <c r="G336" s="31" t="s">
        <v>345</v>
      </c>
      <c r="H336" s="30">
        <v>277032</v>
      </c>
      <c r="I336" s="30" t="str">
        <f>IF(Table1[[#This Row],[Centre Status]]="Returned","NA",IF(Table1[[#This Row],[SD]]&gt;19000,"Full Payment",IF(Table1[[#This Row],[SD]]&lt;1,"No Payment","Partial Payment")))</f>
        <v>Full Payment</v>
      </c>
      <c r="J336" s="30" t="s">
        <v>58</v>
      </c>
      <c r="K336" s="32">
        <v>64000</v>
      </c>
      <c r="L336" s="33">
        <f>Q336+R336+U336+Table1[[#This Row],[Farmer Payment]]</f>
        <v>64000</v>
      </c>
      <c r="M336" s="30"/>
      <c r="N336" s="34"/>
      <c r="O336" s="34"/>
      <c r="P336" s="35">
        <f t="shared" si="47"/>
        <v>0</v>
      </c>
      <c r="Q336" s="33">
        <f>AI336+AV336+CK336+Table1[[#This Row],[FY 25-26]]</f>
        <v>44000</v>
      </c>
      <c r="R336" s="36">
        <v>20000</v>
      </c>
      <c r="S336" s="37" t="s">
        <v>346</v>
      </c>
      <c r="T336" s="38">
        <v>44656</v>
      </c>
      <c r="U336" s="39"/>
      <c r="V336" s="39"/>
      <c r="W336" s="40">
        <v>0</v>
      </c>
      <c r="X336" s="40">
        <v>226</v>
      </c>
      <c r="Y336" s="40">
        <v>1543</v>
      </c>
      <c r="Z336" s="40">
        <v>662</v>
      </c>
      <c r="AA336" s="40">
        <v>47</v>
      </c>
      <c r="AB336" s="40">
        <v>1471</v>
      </c>
      <c r="AC336" s="40">
        <v>1110</v>
      </c>
      <c r="AD336" s="40">
        <v>1175</v>
      </c>
      <c r="AE336" s="40">
        <v>782</v>
      </c>
      <c r="AF336" s="40">
        <v>0</v>
      </c>
      <c r="AG336" s="40">
        <v>1037</v>
      </c>
      <c r="AH336" s="40">
        <v>198</v>
      </c>
      <c r="AI336" s="41">
        <f t="shared" si="48"/>
        <v>8251</v>
      </c>
      <c r="AJ336" s="42">
        <v>0</v>
      </c>
      <c r="AK336" s="42">
        <v>769</v>
      </c>
      <c r="AL336" s="42">
        <v>957</v>
      </c>
      <c r="AM336" s="42">
        <v>1861</v>
      </c>
      <c r="AN336" s="42">
        <v>1914.9240000000002</v>
      </c>
      <c r="AO336" s="42">
        <v>2500.8631999999998</v>
      </c>
      <c r="AP336" s="42">
        <v>4517.7286000000004</v>
      </c>
      <c r="AQ336" s="42">
        <v>3087.6680000000001</v>
      </c>
      <c r="AR336" s="42">
        <v>3278.2731999999996</v>
      </c>
      <c r="AS336" s="42">
        <v>4747.7142000000003</v>
      </c>
      <c r="AT336" s="42">
        <v>4358.5084000000006</v>
      </c>
      <c r="AU336" s="42">
        <v>4975.1992000000009</v>
      </c>
      <c r="AV336" s="42">
        <f t="shared" si="49"/>
        <v>32967.878800000006</v>
      </c>
      <c r="AW336" s="42">
        <v>2781.1211999999941</v>
      </c>
      <c r="AX336" s="42">
        <v>0</v>
      </c>
      <c r="AY336" s="42">
        <v>0</v>
      </c>
      <c r="AZ336" s="42">
        <v>0</v>
      </c>
      <c r="BA336" s="42">
        <v>0</v>
      </c>
      <c r="BB336" s="42">
        <v>0</v>
      </c>
      <c r="BC336" s="42">
        <v>0</v>
      </c>
      <c r="BD336" s="42">
        <v>0</v>
      </c>
      <c r="BE336" s="42">
        <v>0</v>
      </c>
      <c r="BF336" s="42">
        <v>0</v>
      </c>
      <c r="BG336" s="42">
        <v>0</v>
      </c>
      <c r="BH336" s="42">
        <v>0</v>
      </c>
      <c r="BI336" s="42">
        <v>0</v>
      </c>
      <c r="BJ336" s="42">
        <v>0</v>
      </c>
      <c r="BK336" s="42">
        <v>0</v>
      </c>
      <c r="BL336" s="42">
        <v>0</v>
      </c>
      <c r="BM336" s="42">
        <v>0</v>
      </c>
      <c r="BN336" s="42">
        <v>0</v>
      </c>
      <c r="BO336" s="42">
        <v>0</v>
      </c>
      <c r="BP336" s="42">
        <v>0</v>
      </c>
      <c r="BQ336" s="42">
        <v>0</v>
      </c>
      <c r="BR336" s="42">
        <v>0</v>
      </c>
      <c r="BS336" s="42">
        <v>0</v>
      </c>
      <c r="BT336" s="42">
        <v>0</v>
      </c>
      <c r="BU336" s="42">
        <v>0</v>
      </c>
      <c r="BV336" s="42">
        <v>0</v>
      </c>
      <c r="BW336" s="42">
        <v>0</v>
      </c>
      <c r="BX336" s="42">
        <v>0</v>
      </c>
      <c r="BY336" s="42">
        <v>0</v>
      </c>
      <c r="BZ336" s="42">
        <v>0</v>
      </c>
      <c r="CA336" s="42">
        <v>0</v>
      </c>
      <c r="CB336" s="42">
        <v>0</v>
      </c>
      <c r="CC336" s="42">
        <v>0</v>
      </c>
      <c r="CD336" s="42">
        <v>0</v>
      </c>
      <c r="CE336" s="42">
        <v>0</v>
      </c>
      <c r="CF336" s="42">
        <v>0</v>
      </c>
      <c r="CG336" s="42">
        <v>0</v>
      </c>
      <c r="CH336" s="42">
        <v>0</v>
      </c>
      <c r="CI336" s="42">
        <v>0</v>
      </c>
      <c r="CJ336" s="42">
        <v>0</v>
      </c>
      <c r="CK336" s="43">
        <f t="shared" si="50"/>
        <v>2781.1211999999941</v>
      </c>
      <c r="CL336" s="66"/>
      <c r="CM336" s="66">
        <v>0</v>
      </c>
      <c r="CN336" s="66">
        <v>0</v>
      </c>
      <c r="CO336" s="66">
        <v>0</v>
      </c>
      <c r="CP336" s="66">
        <v>0</v>
      </c>
      <c r="CQ336" s="66">
        <v>0</v>
      </c>
      <c r="CR336" s="66">
        <v>0</v>
      </c>
      <c r="CS336" s="66">
        <v>0</v>
      </c>
      <c r="CT336" s="66">
        <v>0</v>
      </c>
      <c r="CU336" s="66">
        <v>0</v>
      </c>
      <c r="CV336" s="66">
        <v>0</v>
      </c>
      <c r="CW336" s="66">
        <v>0</v>
      </c>
      <c r="CX336" s="66">
        <v>0</v>
      </c>
      <c r="CY336" s="66">
        <v>0</v>
      </c>
      <c r="CZ336" s="66">
        <v>0</v>
      </c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>
        <f>SUM(Table1[[#This Row],[01-03 Apr]:[Mar-26]])</f>
        <v>0</v>
      </c>
    </row>
    <row r="337" spans="1:115" hidden="1" x14ac:dyDescent="0.2">
      <c r="A337" s="28" t="s">
        <v>2363</v>
      </c>
      <c r="B337" s="29" t="s">
        <v>347</v>
      </c>
      <c r="C337" s="29" t="s">
        <v>3336</v>
      </c>
      <c r="D337" s="30" t="s">
        <v>348</v>
      </c>
      <c r="E337" s="30" t="s">
        <v>349</v>
      </c>
      <c r="F337" s="30"/>
      <c r="G337" s="31" t="s">
        <v>345</v>
      </c>
      <c r="H337" s="30"/>
      <c r="I337" s="30" t="str">
        <f>IF(Table1[[#This Row],[Centre Status]]="Returned","NA",IF(Table1[[#This Row],[SD]]&gt;19000,"Full Payment",IF(Table1[[#This Row],[SD]]&lt;1,"No Payment","Partial Payment")))</f>
        <v>Full Payment</v>
      </c>
      <c r="J337" s="30" t="s">
        <v>58</v>
      </c>
      <c r="K337" s="32">
        <v>64000</v>
      </c>
      <c r="L337" s="33">
        <f>Q337+R337+U337+Table1[[#This Row],[Farmer Payment]]</f>
        <v>24550</v>
      </c>
      <c r="M337" s="30"/>
      <c r="N337" s="34"/>
      <c r="O337" s="34"/>
      <c r="P337" s="35">
        <f t="shared" si="47"/>
        <v>39450</v>
      </c>
      <c r="Q337" s="33">
        <f>AI337+AV337+CK337+Table1[[#This Row],[FY 25-26]]</f>
        <v>4550</v>
      </c>
      <c r="R337" s="36">
        <v>20000</v>
      </c>
      <c r="S337" s="37" t="s">
        <v>350</v>
      </c>
      <c r="T337" s="38">
        <v>44670</v>
      </c>
      <c r="U337" s="39"/>
      <c r="V337" s="39"/>
      <c r="W337" s="40">
        <v>0</v>
      </c>
      <c r="X337" s="40">
        <v>0</v>
      </c>
      <c r="Y337" s="40">
        <v>1145</v>
      </c>
      <c r="Z337" s="40">
        <v>1218</v>
      </c>
      <c r="AA337" s="40">
        <v>1861</v>
      </c>
      <c r="AB337" s="40">
        <v>273</v>
      </c>
      <c r="AC337" s="40">
        <v>0</v>
      </c>
      <c r="AD337" s="40">
        <v>53</v>
      </c>
      <c r="AE337" s="40">
        <v>0</v>
      </c>
      <c r="AF337" s="40">
        <v>0</v>
      </c>
      <c r="AG337" s="40">
        <v>0</v>
      </c>
      <c r="AH337" s="40">
        <v>0</v>
      </c>
      <c r="AI337" s="41">
        <f t="shared" si="48"/>
        <v>4550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0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42">
        <v>0</v>
      </c>
      <c r="AV337" s="42">
        <f t="shared" si="49"/>
        <v>0</v>
      </c>
      <c r="AW337" s="42">
        <v>0</v>
      </c>
      <c r="AX337" s="42">
        <v>0</v>
      </c>
      <c r="AY337" s="42">
        <v>0</v>
      </c>
      <c r="AZ337" s="42">
        <v>0</v>
      </c>
      <c r="BA337" s="42">
        <v>0</v>
      </c>
      <c r="BB337" s="42">
        <v>0</v>
      </c>
      <c r="BC337" s="42">
        <v>0</v>
      </c>
      <c r="BD337" s="42">
        <v>0</v>
      </c>
      <c r="BE337" s="42">
        <v>0</v>
      </c>
      <c r="BF337" s="42">
        <v>0</v>
      </c>
      <c r="BG337" s="42">
        <v>0</v>
      </c>
      <c r="BH337" s="42">
        <v>0</v>
      </c>
      <c r="BI337" s="42">
        <v>0</v>
      </c>
      <c r="BJ337" s="42">
        <v>0</v>
      </c>
      <c r="BK337" s="42">
        <v>0</v>
      </c>
      <c r="BL337" s="42">
        <v>0</v>
      </c>
      <c r="BM337" s="42">
        <v>0</v>
      </c>
      <c r="BN337" s="42">
        <v>0</v>
      </c>
      <c r="BO337" s="42">
        <v>0</v>
      </c>
      <c r="BP337" s="42">
        <v>0</v>
      </c>
      <c r="BQ337" s="42">
        <v>0</v>
      </c>
      <c r="BR337" s="42">
        <v>0</v>
      </c>
      <c r="BS337" s="42">
        <v>0</v>
      </c>
      <c r="BT337" s="42">
        <v>0</v>
      </c>
      <c r="BU337" s="42">
        <v>0</v>
      </c>
      <c r="BV337" s="42">
        <v>0</v>
      </c>
      <c r="BW337" s="42">
        <v>0</v>
      </c>
      <c r="BX337" s="42">
        <v>0</v>
      </c>
      <c r="BY337" s="42">
        <v>0</v>
      </c>
      <c r="BZ337" s="42">
        <v>0</v>
      </c>
      <c r="CA337" s="42">
        <v>0</v>
      </c>
      <c r="CB337" s="42">
        <v>0</v>
      </c>
      <c r="CC337" s="42">
        <v>0</v>
      </c>
      <c r="CD337" s="42">
        <v>0</v>
      </c>
      <c r="CE337" s="42">
        <v>0</v>
      </c>
      <c r="CF337" s="42">
        <v>0</v>
      </c>
      <c r="CG337" s="42">
        <v>0</v>
      </c>
      <c r="CH337" s="42">
        <v>0</v>
      </c>
      <c r="CI337" s="42">
        <v>0</v>
      </c>
      <c r="CJ337" s="42">
        <v>0</v>
      </c>
      <c r="CK337" s="43">
        <f t="shared" si="50"/>
        <v>0</v>
      </c>
      <c r="CL337" s="66"/>
      <c r="CM337" s="66">
        <v>0</v>
      </c>
      <c r="CN337" s="66">
        <v>0</v>
      </c>
      <c r="CO337" s="66">
        <v>0</v>
      </c>
      <c r="CP337" s="66">
        <v>0</v>
      </c>
      <c r="CQ337" s="66">
        <v>0</v>
      </c>
      <c r="CR337" s="66">
        <v>0</v>
      </c>
      <c r="CS337" s="66">
        <v>0</v>
      </c>
      <c r="CT337" s="66">
        <v>0</v>
      </c>
      <c r="CU337" s="66">
        <v>0</v>
      </c>
      <c r="CV337" s="66">
        <v>0</v>
      </c>
      <c r="CW337" s="66">
        <v>0</v>
      </c>
      <c r="CX337" s="66">
        <v>0</v>
      </c>
      <c r="CY337" s="66">
        <v>0</v>
      </c>
      <c r="CZ337" s="66">
        <v>0</v>
      </c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>
        <f>SUM(Table1[[#This Row],[01-03 Apr]:[Mar-26]])</f>
        <v>0</v>
      </c>
    </row>
    <row r="338" spans="1:115" hidden="1" x14ac:dyDescent="0.2">
      <c r="A338" s="28" t="s">
        <v>2363</v>
      </c>
      <c r="B338" s="29" t="s">
        <v>351</v>
      </c>
      <c r="C338" s="29" t="s">
        <v>352</v>
      </c>
      <c r="D338" s="30" t="s">
        <v>353</v>
      </c>
      <c r="E338" s="30" t="s">
        <v>1630</v>
      </c>
      <c r="F338" s="30"/>
      <c r="G338" s="31" t="s">
        <v>345</v>
      </c>
      <c r="H338" s="30"/>
      <c r="I338" s="30" t="str">
        <f>IF(Table1[[#This Row],[Centre Status]]="Returned","NA",IF(Table1[[#This Row],[SD]]&gt;19000,"Full Payment",IF(Table1[[#This Row],[SD]]&lt;1,"No Payment","Partial Payment")))</f>
        <v>Full Payment</v>
      </c>
      <c r="J338" s="30" t="s">
        <v>58</v>
      </c>
      <c r="K338" s="32">
        <v>64000</v>
      </c>
      <c r="L338" s="33">
        <f>Q338+R338+U338+Table1[[#This Row],[Farmer Payment]]</f>
        <v>55698.571599999996</v>
      </c>
      <c r="M338" s="30"/>
      <c r="N338" s="34"/>
      <c r="O338" s="34"/>
      <c r="P338" s="35">
        <f t="shared" si="47"/>
        <v>8301.4284000000043</v>
      </c>
      <c r="Q338" s="33">
        <f>AI338+AV338+CK338+Table1[[#This Row],[FY 25-26]]</f>
        <v>35698.571599999996</v>
      </c>
      <c r="R338" s="36">
        <v>20000</v>
      </c>
      <c r="S338" s="37" t="s">
        <v>354</v>
      </c>
      <c r="T338" s="38">
        <v>44674</v>
      </c>
      <c r="U338" s="39"/>
      <c r="V338" s="39"/>
      <c r="W338" s="40">
        <v>0</v>
      </c>
      <c r="X338" s="40">
        <v>350</v>
      </c>
      <c r="Y338" s="40">
        <v>1861</v>
      </c>
      <c r="Z338" s="40">
        <v>1834</v>
      </c>
      <c r="AA338" s="40">
        <v>1861</v>
      </c>
      <c r="AB338" s="40">
        <v>1861</v>
      </c>
      <c r="AC338" s="40">
        <v>1861</v>
      </c>
      <c r="AD338" s="40">
        <v>2007.1322</v>
      </c>
      <c r="AE338" s="40">
        <v>1861</v>
      </c>
      <c r="AF338" s="40">
        <v>0</v>
      </c>
      <c r="AG338" s="40">
        <v>1861</v>
      </c>
      <c r="AH338" s="40">
        <v>518</v>
      </c>
      <c r="AI338" s="41">
        <f t="shared" si="48"/>
        <v>15875.1322</v>
      </c>
      <c r="AJ338" s="42">
        <v>0</v>
      </c>
      <c r="AK338" s="42">
        <v>0</v>
      </c>
      <c r="AL338" s="42">
        <v>0</v>
      </c>
      <c r="AM338" s="42">
        <v>474</v>
      </c>
      <c r="AN338" s="42">
        <v>1861</v>
      </c>
      <c r="AO338" s="42">
        <v>1861</v>
      </c>
      <c r="AP338" s="42">
        <v>2322.6094000000003</v>
      </c>
      <c r="AQ338" s="42">
        <v>1879.5441999999998</v>
      </c>
      <c r="AR338" s="42">
        <v>2271.1073999999999</v>
      </c>
      <c r="AS338" s="42">
        <v>3850.1784000000002</v>
      </c>
      <c r="AT338" s="42">
        <v>1861</v>
      </c>
      <c r="AU338" s="42">
        <v>1861</v>
      </c>
      <c r="AV338" s="42">
        <f t="shared" si="49"/>
        <v>18241.439399999999</v>
      </c>
      <c r="AW338" s="42">
        <v>1582</v>
      </c>
      <c r="AX338" s="42">
        <v>0</v>
      </c>
      <c r="AY338" s="42">
        <v>0</v>
      </c>
      <c r="AZ338" s="42">
        <v>0</v>
      </c>
      <c r="BA338" s="42">
        <v>0</v>
      </c>
      <c r="BB338" s="42">
        <v>0</v>
      </c>
      <c r="BC338" s="42">
        <v>0</v>
      </c>
      <c r="BD338" s="42">
        <v>0</v>
      </c>
      <c r="BE338" s="42">
        <v>0</v>
      </c>
      <c r="BF338" s="42">
        <v>0</v>
      </c>
      <c r="BG338" s="42">
        <v>0</v>
      </c>
      <c r="BH338" s="42">
        <v>0</v>
      </c>
      <c r="BI338" s="42">
        <v>0</v>
      </c>
      <c r="BJ338" s="42">
        <v>0</v>
      </c>
      <c r="BK338" s="42">
        <v>0</v>
      </c>
      <c r="BL338" s="42">
        <v>0</v>
      </c>
      <c r="BM338" s="42">
        <v>0</v>
      </c>
      <c r="BN338" s="42">
        <v>0</v>
      </c>
      <c r="BO338" s="42">
        <v>0</v>
      </c>
      <c r="BP338" s="42">
        <v>0</v>
      </c>
      <c r="BQ338" s="42">
        <v>0</v>
      </c>
      <c r="BR338" s="42">
        <v>0</v>
      </c>
      <c r="BS338" s="42">
        <v>0</v>
      </c>
      <c r="BT338" s="42">
        <v>0</v>
      </c>
      <c r="BU338" s="42">
        <v>0</v>
      </c>
      <c r="BV338" s="42">
        <v>0</v>
      </c>
      <c r="BW338" s="42">
        <v>0</v>
      </c>
      <c r="BX338" s="42">
        <v>0</v>
      </c>
      <c r="BY338" s="42">
        <v>0</v>
      </c>
      <c r="BZ338" s="42">
        <v>0</v>
      </c>
      <c r="CA338" s="42">
        <v>0</v>
      </c>
      <c r="CB338" s="42">
        <v>0</v>
      </c>
      <c r="CC338" s="42">
        <v>0</v>
      </c>
      <c r="CD338" s="42">
        <v>0</v>
      </c>
      <c r="CE338" s="42">
        <v>0</v>
      </c>
      <c r="CF338" s="42">
        <v>0</v>
      </c>
      <c r="CG338" s="42">
        <v>0</v>
      </c>
      <c r="CH338" s="42">
        <v>0</v>
      </c>
      <c r="CI338" s="42">
        <v>0</v>
      </c>
      <c r="CJ338" s="42">
        <v>0</v>
      </c>
      <c r="CK338" s="43">
        <f t="shared" si="50"/>
        <v>1582</v>
      </c>
      <c r="CL338" s="66"/>
      <c r="CM338" s="66">
        <v>0</v>
      </c>
      <c r="CN338" s="66">
        <v>0</v>
      </c>
      <c r="CO338" s="66">
        <v>0</v>
      </c>
      <c r="CP338" s="66">
        <v>0</v>
      </c>
      <c r="CQ338" s="66">
        <v>0</v>
      </c>
      <c r="CR338" s="66">
        <v>0</v>
      </c>
      <c r="CS338" s="66">
        <v>0</v>
      </c>
      <c r="CT338" s="66">
        <v>0</v>
      </c>
      <c r="CU338" s="66">
        <v>0</v>
      </c>
      <c r="CV338" s="66">
        <v>0</v>
      </c>
      <c r="CW338" s="66">
        <v>0</v>
      </c>
      <c r="CX338" s="66">
        <v>0</v>
      </c>
      <c r="CY338" s="66">
        <v>0</v>
      </c>
      <c r="CZ338" s="66">
        <v>0</v>
      </c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>
        <f>SUM(Table1[[#This Row],[01-03 Apr]:[Mar-26]])</f>
        <v>0</v>
      </c>
    </row>
    <row r="339" spans="1:115" x14ac:dyDescent="0.2">
      <c r="A339" s="28" t="s">
        <v>2254</v>
      </c>
      <c r="B339" s="29" t="s">
        <v>355</v>
      </c>
      <c r="C339" s="29" t="s">
        <v>356</v>
      </c>
      <c r="D339" s="30" t="s">
        <v>357</v>
      </c>
      <c r="E339" s="30" t="s">
        <v>177</v>
      </c>
      <c r="F339" s="30"/>
      <c r="G339" s="31" t="s">
        <v>358</v>
      </c>
      <c r="H339" s="30">
        <v>371212</v>
      </c>
      <c r="I339" s="30" t="str">
        <f>IF(Table1[[#This Row],[Centre Status]]="Returned","NA",IF(Table1[[#This Row],[SD]]&gt;19000,"Full Payment",IF(Table1[[#This Row],[SD]]&lt;1,"No Payment","Partial Payment")))</f>
        <v>Partial Payment</v>
      </c>
      <c r="J339" s="30" t="s">
        <v>58</v>
      </c>
      <c r="K339" s="32">
        <v>110000</v>
      </c>
      <c r="L339" s="33">
        <f>Q339+R339+U339+Table1[[#This Row],[Farmer Payment]]</f>
        <v>98039.484533465715</v>
      </c>
      <c r="M339" s="30"/>
      <c r="N339" s="34"/>
      <c r="O339" s="34"/>
      <c r="P339" s="35">
        <f t="shared" si="47"/>
        <v>11960.515466534285</v>
      </c>
      <c r="Q339" s="33">
        <f>AI339+AV339+CK339+Table1[[#This Row],[FY 25-26]]</f>
        <v>88039.484533465715</v>
      </c>
      <c r="R339" s="36">
        <v>10000</v>
      </c>
      <c r="S339" s="37" t="s">
        <v>359</v>
      </c>
      <c r="T339" s="38">
        <v>44700</v>
      </c>
      <c r="U339" s="39"/>
      <c r="V339" s="39"/>
      <c r="W339" s="40">
        <v>0</v>
      </c>
      <c r="X339" s="40">
        <v>0</v>
      </c>
      <c r="Y339" s="40">
        <v>1861</v>
      </c>
      <c r="Z339" s="40">
        <v>2259.1442000000002</v>
      </c>
      <c r="AA339" s="40">
        <v>3099.6578000000004</v>
      </c>
      <c r="AB339" s="40">
        <v>2975.8396000000002</v>
      </c>
      <c r="AC339" s="40">
        <v>2927.4351999999994</v>
      </c>
      <c r="AD339" s="40">
        <v>3881.9772000000003</v>
      </c>
      <c r="AE339" s="40">
        <v>3534.5058000000004</v>
      </c>
      <c r="AF339" s="40">
        <v>2000</v>
      </c>
      <c r="AG339" s="40">
        <v>3228.4477999999999</v>
      </c>
      <c r="AH339" s="40">
        <v>2000</v>
      </c>
      <c r="AI339" s="41">
        <f t="shared" si="48"/>
        <v>27768.007600000004</v>
      </c>
      <c r="AJ339" s="42">
        <v>2000</v>
      </c>
      <c r="AK339" s="42">
        <v>2000</v>
      </c>
      <c r="AL339" s="42">
        <v>2000</v>
      </c>
      <c r="AM339" s="42">
        <v>2000</v>
      </c>
      <c r="AN339" s="42">
        <v>2000</v>
      </c>
      <c r="AO339" s="42">
        <v>2000</v>
      </c>
      <c r="AP339" s="42">
        <v>2000</v>
      </c>
      <c r="AQ339" s="42">
        <v>2000</v>
      </c>
      <c r="AR339" s="42">
        <v>2000</v>
      </c>
      <c r="AS339" s="42">
        <v>2000</v>
      </c>
      <c r="AT339" s="42">
        <v>2000</v>
      </c>
      <c r="AU339" s="42">
        <v>2000</v>
      </c>
      <c r="AV339" s="42">
        <f t="shared" si="49"/>
        <v>24000</v>
      </c>
      <c r="AW339" s="42">
        <v>2000</v>
      </c>
      <c r="AX339" s="42">
        <v>2000</v>
      </c>
      <c r="AY339" s="42">
        <v>2000</v>
      </c>
      <c r="AZ339" s="42">
        <v>2000</v>
      </c>
      <c r="BA339" s="42">
        <v>2000</v>
      </c>
      <c r="BB339" s="42">
        <v>0</v>
      </c>
      <c r="BC339" s="42">
        <v>3433.4035735296006</v>
      </c>
      <c r="BD339" s="42">
        <v>0</v>
      </c>
      <c r="BE339" s="42">
        <v>0</v>
      </c>
      <c r="BF339" s="42">
        <v>0</v>
      </c>
      <c r="BG339" s="42">
        <v>0</v>
      </c>
      <c r="BH339" s="42">
        <v>0</v>
      </c>
      <c r="BI339" s="42">
        <v>2333.7898984272201</v>
      </c>
      <c r="BJ339" s="42">
        <v>0</v>
      </c>
      <c r="BK339" s="42">
        <v>0</v>
      </c>
      <c r="BL339" s="42">
        <v>0</v>
      </c>
      <c r="BM339" s="42">
        <v>0</v>
      </c>
      <c r="BN339" s="42">
        <v>2322.1987796736003</v>
      </c>
      <c r="BO339" s="42">
        <v>0</v>
      </c>
      <c r="BP339" s="42">
        <v>0</v>
      </c>
      <c r="BQ339" s="42">
        <v>0</v>
      </c>
      <c r="BR339" s="42">
        <v>0</v>
      </c>
      <c r="BS339" s="42">
        <v>3431.3159716032005</v>
      </c>
      <c r="BT339" s="42">
        <v>0</v>
      </c>
      <c r="BU339" s="42">
        <v>0</v>
      </c>
      <c r="BV339" s="42">
        <v>0</v>
      </c>
      <c r="BW339" s="42">
        <v>0</v>
      </c>
      <c r="BX339" s="42">
        <v>0</v>
      </c>
      <c r="BY339" s="42">
        <v>3368.7684121728003</v>
      </c>
      <c r="BZ339" s="42">
        <v>0</v>
      </c>
      <c r="CA339" s="42">
        <v>0</v>
      </c>
      <c r="CB339" s="42">
        <v>0</v>
      </c>
      <c r="CC339" s="42">
        <v>0</v>
      </c>
      <c r="CD339" s="42">
        <v>3559.2051987738</v>
      </c>
      <c r="CE339" s="42">
        <v>0</v>
      </c>
      <c r="CF339" s="42">
        <v>0</v>
      </c>
      <c r="CG339" s="42">
        <v>0</v>
      </c>
      <c r="CH339" s="42">
        <v>0</v>
      </c>
      <c r="CI339" s="42">
        <v>0</v>
      </c>
      <c r="CJ339" s="42">
        <v>3502.9806198374404</v>
      </c>
      <c r="CK339" s="43">
        <f t="shared" si="50"/>
        <v>31951.66245401766</v>
      </c>
      <c r="CL339" s="66"/>
      <c r="CM339" s="66">
        <v>0</v>
      </c>
      <c r="CN339" s="66">
        <v>0</v>
      </c>
      <c r="CO339" s="66">
        <v>0</v>
      </c>
      <c r="CP339" s="66">
        <v>2454.7786054118401</v>
      </c>
      <c r="CQ339" s="66">
        <v>0</v>
      </c>
      <c r="CR339" s="66">
        <v>0</v>
      </c>
      <c r="CS339" s="66">
        <v>0</v>
      </c>
      <c r="CT339" s="66">
        <v>0</v>
      </c>
      <c r="CU339" s="66">
        <v>0</v>
      </c>
      <c r="CV339" s="66">
        <v>1865.0358740362103</v>
      </c>
      <c r="CW339" s="66">
        <v>0</v>
      </c>
      <c r="CX339" s="66">
        <v>0</v>
      </c>
      <c r="CY339" s="66">
        <v>0</v>
      </c>
      <c r="CZ339" s="66">
        <v>0</v>
      </c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>
        <f>SUM(Table1[[#This Row],[01-03 Apr]:[Mar-26]])</f>
        <v>4319.8144794480504</v>
      </c>
    </row>
    <row r="340" spans="1:115" x14ac:dyDescent="0.2">
      <c r="A340" s="28" t="s">
        <v>2254</v>
      </c>
      <c r="B340" s="29" t="s">
        <v>360</v>
      </c>
      <c r="C340" s="29" t="s">
        <v>361</v>
      </c>
      <c r="D340" s="30" t="s">
        <v>362</v>
      </c>
      <c r="E340" s="30" t="s">
        <v>1630</v>
      </c>
      <c r="F340" s="30"/>
      <c r="G340" s="31" t="s">
        <v>358</v>
      </c>
      <c r="H340" s="30">
        <v>371228</v>
      </c>
      <c r="I340" s="30" t="str">
        <f>IF(Table1[[#This Row],[Centre Status]]="Returned","NA",IF(Table1[[#This Row],[SD]]&gt;19000,"Full Payment",IF(Table1[[#This Row],[SD]]&lt;1,"No Payment","Partial Payment")))</f>
        <v>No Payment</v>
      </c>
      <c r="J340" s="30" t="s">
        <v>58</v>
      </c>
      <c r="K340" s="32">
        <v>110000</v>
      </c>
      <c r="L340" s="33">
        <f>Q340+R340+U340+Table1[[#This Row],[Farmer Payment]]</f>
        <v>83611.86045389717</v>
      </c>
      <c r="M340" s="30"/>
      <c r="N340" s="34"/>
      <c r="O340" s="34"/>
      <c r="P340" s="35">
        <f t="shared" si="47"/>
        <v>26388.13954610283</v>
      </c>
      <c r="Q340" s="33">
        <f>AI340+AV340+CK340+Table1[[#This Row],[FY 25-26]]</f>
        <v>58611.86045389717</v>
      </c>
      <c r="R340" s="36">
        <v>0</v>
      </c>
      <c r="S340" s="37"/>
      <c r="T340" s="38"/>
      <c r="U340" s="39">
        <v>25000</v>
      </c>
      <c r="V340" s="39"/>
      <c r="W340" s="40">
        <v>0</v>
      </c>
      <c r="X340" s="40">
        <v>0</v>
      </c>
      <c r="Y340" s="40">
        <v>0</v>
      </c>
      <c r="Z340" s="40">
        <v>0</v>
      </c>
      <c r="AA340" s="40">
        <v>0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>
        <v>1572</v>
      </c>
      <c r="AH340" s="40">
        <v>1861</v>
      </c>
      <c r="AI340" s="41">
        <f t="shared" si="48"/>
        <v>3433</v>
      </c>
      <c r="AJ340" s="42">
        <v>1861</v>
      </c>
      <c r="AK340" s="42">
        <v>1086</v>
      </c>
      <c r="AL340" s="42">
        <v>1861</v>
      </c>
      <c r="AM340" s="42">
        <v>2000</v>
      </c>
      <c r="AN340" s="42">
        <v>2000</v>
      </c>
      <c r="AO340" s="42">
        <v>2000</v>
      </c>
      <c r="AP340" s="42">
        <v>2000</v>
      </c>
      <c r="AQ340" s="42">
        <v>2000</v>
      </c>
      <c r="AR340" s="42">
        <v>2000</v>
      </c>
      <c r="AS340" s="42">
        <v>2000</v>
      </c>
      <c r="AT340" s="42">
        <v>2000</v>
      </c>
      <c r="AU340" s="42">
        <v>2000</v>
      </c>
      <c r="AV340" s="42">
        <f t="shared" si="49"/>
        <v>22808</v>
      </c>
      <c r="AW340" s="42">
        <v>2000</v>
      </c>
      <c r="AX340" s="42">
        <v>2000</v>
      </c>
      <c r="AY340" s="42">
        <v>2000</v>
      </c>
      <c r="AZ340" s="42">
        <v>2000</v>
      </c>
      <c r="BA340" s="42">
        <v>2000</v>
      </c>
      <c r="BB340" s="42">
        <v>0</v>
      </c>
      <c r="BC340" s="42">
        <v>4534.8091736484412</v>
      </c>
      <c r="BD340" s="42">
        <v>0</v>
      </c>
      <c r="BE340" s="42">
        <v>0</v>
      </c>
      <c r="BF340" s="42">
        <v>0</v>
      </c>
      <c r="BG340" s="42">
        <v>0</v>
      </c>
      <c r="BH340" s="42">
        <v>0</v>
      </c>
      <c r="BI340" s="42">
        <v>2749.2328767516801</v>
      </c>
      <c r="BJ340" s="42">
        <v>0</v>
      </c>
      <c r="BK340" s="42">
        <v>0</v>
      </c>
      <c r="BL340" s="42">
        <v>0</v>
      </c>
      <c r="BM340" s="42">
        <v>0</v>
      </c>
      <c r="BN340" s="42">
        <v>1861</v>
      </c>
      <c r="BO340" s="42">
        <v>0</v>
      </c>
      <c r="BP340" s="42">
        <v>0</v>
      </c>
      <c r="BQ340" s="42">
        <v>0</v>
      </c>
      <c r="BR340" s="42">
        <v>0</v>
      </c>
      <c r="BS340" s="42">
        <v>2383.4241628812392</v>
      </c>
      <c r="BT340" s="42">
        <v>0</v>
      </c>
      <c r="BU340" s="42">
        <v>0</v>
      </c>
      <c r="BV340" s="42">
        <v>0</v>
      </c>
      <c r="BW340" s="42">
        <v>0</v>
      </c>
      <c r="BX340" s="42">
        <v>0</v>
      </c>
      <c r="BY340" s="42">
        <v>2119.8914292440149</v>
      </c>
      <c r="BZ340" s="42">
        <v>0</v>
      </c>
      <c r="CA340" s="42">
        <v>0</v>
      </c>
      <c r="CB340" s="42">
        <v>0</v>
      </c>
      <c r="CC340" s="42">
        <v>0</v>
      </c>
      <c r="CD340" s="42">
        <v>2161.7865358102599</v>
      </c>
      <c r="CE340" s="42">
        <v>0</v>
      </c>
      <c r="CF340" s="42">
        <v>0</v>
      </c>
      <c r="CG340" s="42">
        <v>0</v>
      </c>
      <c r="CH340" s="42">
        <v>0</v>
      </c>
      <c r="CI340" s="42">
        <v>0</v>
      </c>
      <c r="CJ340" s="42">
        <v>2499.0589214627121</v>
      </c>
      <c r="CK340" s="43">
        <f t="shared" si="50"/>
        <v>28309.203099798349</v>
      </c>
      <c r="CL340" s="66"/>
      <c r="CM340" s="66">
        <v>0</v>
      </c>
      <c r="CN340" s="66">
        <v>0</v>
      </c>
      <c r="CO340" s="66">
        <v>0</v>
      </c>
      <c r="CP340" s="66">
        <v>2200.6573540988161</v>
      </c>
      <c r="CQ340" s="66">
        <v>0</v>
      </c>
      <c r="CR340" s="66">
        <v>0</v>
      </c>
      <c r="CS340" s="66">
        <v>0</v>
      </c>
      <c r="CT340" s="66">
        <v>0</v>
      </c>
      <c r="CU340" s="66">
        <v>0</v>
      </c>
      <c r="CV340" s="66">
        <v>1861</v>
      </c>
      <c r="CW340" s="66">
        <v>0</v>
      </c>
      <c r="CX340" s="66">
        <v>0</v>
      </c>
      <c r="CY340" s="66">
        <v>0</v>
      </c>
      <c r="CZ340" s="66">
        <v>0</v>
      </c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>
        <f>SUM(Table1[[#This Row],[01-03 Apr]:[Mar-26]])</f>
        <v>4061.6573540988161</v>
      </c>
    </row>
    <row r="341" spans="1:115" x14ac:dyDescent="0.2">
      <c r="A341" s="28" t="s">
        <v>2255</v>
      </c>
      <c r="B341" s="29" t="s">
        <v>363</v>
      </c>
      <c r="C341" s="29" t="s">
        <v>364</v>
      </c>
      <c r="D341" s="30" t="s">
        <v>365</v>
      </c>
      <c r="E341" s="30" t="s">
        <v>177</v>
      </c>
      <c r="F341" s="30"/>
      <c r="G341" s="31" t="s">
        <v>366</v>
      </c>
      <c r="H341" s="30">
        <v>322692</v>
      </c>
      <c r="I341" s="30" t="str">
        <f>IF(Table1[[#This Row],[Centre Status]]="Returned","NA",IF(Table1[[#This Row],[SD]]&gt;19000,"Full Payment",IF(Table1[[#This Row],[SD]]&lt;1,"No Payment","Partial Payment")))</f>
        <v>Partial Payment</v>
      </c>
      <c r="J341" s="30" t="s">
        <v>58</v>
      </c>
      <c r="K341" s="32">
        <v>64000</v>
      </c>
      <c r="L341" s="33">
        <f>Q341+R341+U341+Table1[[#This Row],[Farmer Payment]]</f>
        <v>64000</v>
      </c>
      <c r="M341" s="30"/>
      <c r="N341" s="34"/>
      <c r="O341" s="34"/>
      <c r="P341" s="35">
        <f t="shared" si="47"/>
        <v>0</v>
      </c>
      <c r="Q341" s="33">
        <f>AI341+AV341+CK341+Table1[[#This Row],[FY 25-26]]</f>
        <v>54000</v>
      </c>
      <c r="R341" s="36">
        <v>10000</v>
      </c>
      <c r="S341" s="37" t="s">
        <v>367</v>
      </c>
      <c r="T341" s="38">
        <v>44802</v>
      </c>
      <c r="U341" s="39"/>
      <c r="V341" s="39"/>
      <c r="W341" s="40">
        <v>0</v>
      </c>
      <c r="X341" s="40">
        <v>0</v>
      </c>
      <c r="Y341" s="40">
        <v>0</v>
      </c>
      <c r="Z341" s="40">
        <v>0</v>
      </c>
      <c r="AA341" s="40">
        <v>0</v>
      </c>
      <c r="AB341" s="40">
        <v>0</v>
      </c>
      <c r="AC341" s="40">
        <v>0</v>
      </c>
      <c r="AD341" s="40">
        <v>1300</v>
      </c>
      <c r="AE341" s="40">
        <v>1757</v>
      </c>
      <c r="AF341" s="40">
        <v>1659</v>
      </c>
      <c r="AG341" s="40">
        <v>775</v>
      </c>
      <c r="AH341" s="40">
        <v>1231</v>
      </c>
      <c r="AI341" s="41">
        <f t="shared" si="48"/>
        <v>6722</v>
      </c>
      <c r="AJ341" s="42">
        <v>1204</v>
      </c>
      <c r="AK341" s="42">
        <v>627</v>
      </c>
      <c r="AL341" s="42">
        <v>1297</v>
      </c>
      <c r="AM341" s="42">
        <v>2175.4074000000001</v>
      </c>
      <c r="AN341" s="42">
        <v>2548.2732000000001</v>
      </c>
      <c r="AO341" s="42">
        <v>2870.6040000000003</v>
      </c>
      <c r="AP341" s="42">
        <v>2780.2852000000003</v>
      </c>
      <c r="AQ341" s="42">
        <v>1912.8833999999999</v>
      </c>
      <c r="AR341" s="42">
        <v>1861</v>
      </c>
      <c r="AS341" s="42">
        <v>1861</v>
      </c>
      <c r="AT341" s="42">
        <v>1861</v>
      </c>
      <c r="AU341" s="42">
        <v>1861</v>
      </c>
      <c r="AV341" s="42">
        <f t="shared" si="49"/>
        <v>22859.4532</v>
      </c>
      <c r="AW341" s="42">
        <v>1791</v>
      </c>
      <c r="AX341" s="42">
        <v>529</v>
      </c>
      <c r="AY341" s="42">
        <v>1241</v>
      </c>
      <c r="AZ341" s="42">
        <v>1658</v>
      </c>
      <c r="BA341" s="42">
        <v>1861</v>
      </c>
      <c r="BB341" s="42">
        <v>0</v>
      </c>
      <c r="BC341" s="42">
        <v>1950.9878364580964</v>
      </c>
      <c r="BD341" s="42">
        <v>0</v>
      </c>
      <c r="BE341" s="42">
        <v>0</v>
      </c>
      <c r="BF341" s="42">
        <v>0</v>
      </c>
      <c r="BG341" s="42">
        <v>0</v>
      </c>
      <c r="BH341" s="42">
        <v>0</v>
      </c>
      <c r="BI341" s="42">
        <v>1861</v>
      </c>
      <c r="BJ341" s="42">
        <v>0</v>
      </c>
      <c r="BK341" s="42">
        <v>0</v>
      </c>
      <c r="BL341" s="42">
        <v>0</v>
      </c>
      <c r="BM341" s="42">
        <v>0</v>
      </c>
      <c r="BN341" s="42">
        <v>2005.6257603261838</v>
      </c>
      <c r="BO341" s="42">
        <v>0</v>
      </c>
      <c r="BP341" s="42">
        <v>0</v>
      </c>
      <c r="BQ341" s="42">
        <v>0</v>
      </c>
      <c r="BR341" s="42">
        <v>0</v>
      </c>
      <c r="BS341" s="42">
        <v>3364.7983615041176</v>
      </c>
      <c r="BT341" s="42">
        <v>0</v>
      </c>
      <c r="BU341" s="42">
        <v>0</v>
      </c>
      <c r="BV341" s="42">
        <v>0</v>
      </c>
      <c r="BW341" s="42">
        <v>0</v>
      </c>
      <c r="BX341" s="42">
        <v>0</v>
      </c>
      <c r="BY341" s="42">
        <v>2095.7404039374624</v>
      </c>
      <c r="BZ341" s="42">
        <v>0</v>
      </c>
      <c r="CA341" s="42">
        <v>0</v>
      </c>
      <c r="CB341" s="42">
        <v>0</v>
      </c>
      <c r="CC341" s="42">
        <v>0</v>
      </c>
      <c r="CD341" s="42">
        <v>2421.7260481170983</v>
      </c>
      <c r="CE341" s="42">
        <v>0</v>
      </c>
      <c r="CF341" s="42">
        <v>0</v>
      </c>
      <c r="CG341" s="42">
        <v>0</v>
      </c>
      <c r="CH341" s="42">
        <v>0</v>
      </c>
      <c r="CI341" s="42">
        <v>0</v>
      </c>
      <c r="CJ341" s="42">
        <v>1920.4067754402122</v>
      </c>
      <c r="CK341" s="43">
        <f t="shared" si="50"/>
        <v>22700.285185783174</v>
      </c>
      <c r="CL341" s="66"/>
      <c r="CM341" s="66">
        <v>0</v>
      </c>
      <c r="CN341" s="66">
        <v>0</v>
      </c>
      <c r="CO341" s="66">
        <v>0</v>
      </c>
      <c r="CP341" s="66">
        <v>1698.2616142168263</v>
      </c>
      <c r="CQ341" s="66">
        <v>0</v>
      </c>
      <c r="CR341" s="66">
        <v>0</v>
      </c>
      <c r="CS341" s="66">
        <v>0</v>
      </c>
      <c r="CT341" s="66">
        <v>0</v>
      </c>
      <c r="CU341" s="66">
        <v>0</v>
      </c>
      <c r="CV341" s="66">
        <v>20</v>
      </c>
      <c r="CW341" s="66">
        <v>0</v>
      </c>
      <c r="CX341" s="66">
        <v>0</v>
      </c>
      <c r="CY341" s="66">
        <v>0</v>
      </c>
      <c r="CZ341" s="66">
        <v>0</v>
      </c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>
        <f>SUM(Table1[[#This Row],[01-03 Apr]:[Mar-26]])</f>
        <v>1718.2616142168263</v>
      </c>
    </row>
    <row r="342" spans="1:115" x14ac:dyDescent="0.2">
      <c r="A342" s="28" t="s">
        <v>2254</v>
      </c>
      <c r="B342" s="29" t="s">
        <v>368</v>
      </c>
      <c r="C342" s="29" t="s">
        <v>369</v>
      </c>
      <c r="D342" s="30" t="s">
        <v>370</v>
      </c>
      <c r="E342" s="30" t="s">
        <v>1630</v>
      </c>
      <c r="F342" s="30"/>
      <c r="G342" s="31" t="s">
        <v>371</v>
      </c>
      <c r="H342" s="30">
        <v>383181</v>
      </c>
      <c r="I342" s="30" t="str">
        <f>IF(Table1[[#This Row],[Centre Status]]="Returned","NA",IF(Table1[[#This Row],[SD]]&gt;19000,"Full Payment",IF(Table1[[#This Row],[SD]]&lt;1,"No Payment","Partial Payment")))</f>
        <v>Partial Payment</v>
      </c>
      <c r="J342" s="30" t="s">
        <v>58</v>
      </c>
      <c r="K342" s="32">
        <v>110000</v>
      </c>
      <c r="L342" s="33">
        <f>Q342+R342+U342+Table1[[#This Row],[Farmer Payment]]</f>
        <v>40525</v>
      </c>
      <c r="M342" s="30"/>
      <c r="N342" s="34"/>
      <c r="O342" s="34"/>
      <c r="P342" s="35">
        <f t="shared" si="47"/>
        <v>69475</v>
      </c>
      <c r="Q342" s="33">
        <f>AI342+AV342+CK342+Table1[[#This Row],[FY 25-26]]</f>
        <v>30525</v>
      </c>
      <c r="R342" s="36">
        <v>10000</v>
      </c>
      <c r="S342" s="37" t="s">
        <v>372</v>
      </c>
      <c r="T342" s="38">
        <v>44704</v>
      </c>
      <c r="U342" s="39"/>
      <c r="V342" s="39"/>
      <c r="W342" s="40">
        <v>0</v>
      </c>
      <c r="X342" s="40">
        <v>0</v>
      </c>
      <c r="Y342" s="40">
        <v>0</v>
      </c>
      <c r="Z342" s="40">
        <v>0</v>
      </c>
      <c r="AA342" s="40">
        <v>0</v>
      </c>
      <c r="AB342" s="40">
        <v>0</v>
      </c>
      <c r="AC342" s="40">
        <v>0</v>
      </c>
      <c r="AD342" s="40">
        <v>1299</v>
      </c>
      <c r="AE342" s="40">
        <v>1861</v>
      </c>
      <c r="AF342" s="40">
        <v>1064</v>
      </c>
      <c r="AG342" s="40">
        <v>0</v>
      </c>
      <c r="AH342" s="40">
        <v>1861</v>
      </c>
      <c r="AI342" s="41">
        <f t="shared" si="48"/>
        <v>6085</v>
      </c>
      <c r="AJ342" s="42">
        <v>0</v>
      </c>
      <c r="AK342" s="42">
        <v>0</v>
      </c>
      <c r="AL342" s="42">
        <v>22</v>
      </c>
      <c r="AM342" s="42">
        <v>602</v>
      </c>
      <c r="AN342" s="42">
        <v>1253</v>
      </c>
      <c r="AO342" s="42">
        <v>845</v>
      </c>
      <c r="AP342" s="42">
        <v>746</v>
      </c>
      <c r="AQ342" s="42">
        <v>332</v>
      </c>
      <c r="AR342" s="42">
        <v>0</v>
      </c>
      <c r="AS342" s="42">
        <v>685</v>
      </c>
      <c r="AT342" s="42">
        <v>0</v>
      </c>
      <c r="AU342" s="42">
        <v>0</v>
      </c>
      <c r="AV342" s="42">
        <f t="shared" si="49"/>
        <v>4485</v>
      </c>
      <c r="AW342" s="42">
        <v>455</v>
      </c>
      <c r="AX342" s="42">
        <v>0</v>
      </c>
      <c r="AY342" s="42">
        <v>0</v>
      </c>
      <c r="AZ342" s="42">
        <v>0</v>
      </c>
      <c r="BA342" s="42">
        <v>0</v>
      </c>
      <c r="BB342" s="42">
        <v>500</v>
      </c>
      <c r="BC342" s="42">
        <v>0</v>
      </c>
      <c r="BD342" s="42">
        <v>500</v>
      </c>
      <c r="BE342" s="42">
        <v>500</v>
      </c>
      <c r="BF342" s="42">
        <v>500</v>
      </c>
      <c r="BG342" s="42">
        <v>500</v>
      </c>
      <c r="BH342" s="42">
        <v>500</v>
      </c>
      <c r="BI342" s="42">
        <v>0</v>
      </c>
      <c r="BJ342" s="42">
        <v>500</v>
      </c>
      <c r="BK342" s="42">
        <v>500</v>
      </c>
      <c r="BL342" s="42">
        <v>500</v>
      </c>
      <c r="BM342" s="42">
        <v>500</v>
      </c>
      <c r="BN342" s="42">
        <v>0</v>
      </c>
      <c r="BO342" s="42">
        <v>500</v>
      </c>
      <c r="BP342" s="42">
        <v>500</v>
      </c>
      <c r="BQ342" s="42">
        <v>500</v>
      </c>
      <c r="BR342" s="42">
        <v>500</v>
      </c>
      <c r="BS342" s="42">
        <v>0</v>
      </c>
      <c r="BT342" s="42">
        <v>500</v>
      </c>
      <c r="BU342" s="42">
        <v>500</v>
      </c>
      <c r="BV342" s="42">
        <v>500</v>
      </c>
      <c r="BW342" s="42">
        <v>500</v>
      </c>
      <c r="BX342" s="42">
        <v>500</v>
      </c>
      <c r="BY342" s="42">
        <v>0</v>
      </c>
      <c r="BZ342" s="42">
        <v>500</v>
      </c>
      <c r="CA342" s="42">
        <v>500</v>
      </c>
      <c r="CB342" s="42">
        <v>500</v>
      </c>
      <c r="CC342" s="42">
        <v>500</v>
      </c>
      <c r="CD342" s="42">
        <v>0</v>
      </c>
      <c r="CE342" s="42">
        <v>500</v>
      </c>
      <c r="CF342" s="42">
        <v>500</v>
      </c>
      <c r="CG342" s="42">
        <v>500</v>
      </c>
      <c r="CH342" s="42">
        <v>500</v>
      </c>
      <c r="CI342" s="42">
        <v>500</v>
      </c>
      <c r="CJ342" s="42">
        <v>0</v>
      </c>
      <c r="CK342" s="43">
        <f t="shared" si="50"/>
        <v>14455</v>
      </c>
      <c r="CL342" s="66"/>
      <c r="CM342" s="66">
        <v>500</v>
      </c>
      <c r="CN342" s="66">
        <v>500</v>
      </c>
      <c r="CO342" s="66">
        <v>500</v>
      </c>
      <c r="CP342" s="66">
        <v>0</v>
      </c>
      <c r="CQ342" s="66">
        <v>500</v>
      </c>
      <c r="CR342" s="66">
        <v>500</v>
      </c>
      <c r="CS342" s="66">
        <v>500</v>
      </c>
      <c r="CT342" s="66">
        <v>500</v>
      </c>
      <c r="CU342" s="66">
        <v>0</v>
      </c>
      <c r="CV342" s="66">
        <v>0</v>
      </c>
      <c r="CW342" s="66">
        <v>500</v>
      </c>
      <c r="CX342" s="66">
        <v>500</v>
      </c>
      <c r="CY342" s="66">
        <v>500</v>
      </c>
      <c r="CZ342" s="66">
        <v>500</v>
      </c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>
        <f>SUM(Table1[[#This Row],[01-03 Apr]:[Mar-26]])</f>
        <v>5500</v>
      </c>
    </row>
    <row r="343" spans="1:115" x14ac:dyDescent="0.2">
      <c r="A343" s="28" t="s">
        <v>2363</v>
      </c>
      <c r="B343" s="29" t="s">
        <v>373</v>
      </c>
      <c r="C343" s="29" t="s">
        <v>374</v>
      </c>
      <c r="D343" s="30" t="s">
        <v>375</v>
      </c>
      <c r="E343" s="30" t="s">
        <v>1630</v>
      </c>
      <c r="F343" s="30"/>
      <c r="G343" s="31" t="s">
        <v>371</v>
      </c>
      <c r="H343" s="30">
        <v>322420</v>
      </c>
      <c r="I343" s="30" t="str">
        <f>IF(Table1[[#This Row],[Centre Status]]="Returned","NA",IF(Table1[[#This Row],[SD]]&gt;19000,"Full Payment",IF(Table1[[#This Row],[SD]]&lt;1,"No Payment","Partial Payment")))</f>
        <v>Partial Payment</v>
      </c>
      <c r="J343" s="30" t="s">
        <v>58</v>
      </c>
      <c r="K343" s="32">
        <v>64000</v>
      </c>
      <c r="L343" s="33">
        <f>Q343+R343+U343+Table1[[#This Row],[Farmer Payment]]</f>
        <v>55010.996688510975</v>
      </c>
      <c r="M343" s="30"/>
      <c r="N343" s="34"/>
      <c r="O343" s="34"/>
      <c r="P343" s="35">
        <f t="shared" si="47"/>
        <v>8989.0033114890248</v>
      </c>
      <c r="Q343" s="33">
        <f>AI343+AV343+CK343+Table1[[#This Row],[FY 25-26]]</f>
        <v>45010.996688510975</v>
      </c>
      <c r="R343" s="36">
        <v>10000</v>
      </c>
      <c r="S343" s="37" t="s">
        <v>376</v>
      </c>
      <c r="T343" s="38">
        <v>44725</v>
      </c>
      <c r="U343" s="39"/>
      <c r="V343" s="39"/>
      <c r="W343" s="40">
        <v>0</v>
      </c>
      <c r="X343" s="40">
        <v>0</v>
      </c>
      <c r="Y343" s="40">
        <v>0</v>
      </c>
      <c r="Z343" s="40">
        <v>0</v>
      </c>
      <c r="AA343" s="40">
        <v>0</v>
      </c>
      <c r="AB343" s="40">
        <v>0</v>
      </c>
      <c r="AC343" s="40">
        <v>0</v>
      </c>
      <c r="AD343" s="40">
        <v>0</v>
      </c>
      <c r="AE343" s="40">
        <v>0</v>
      </c>
      <c r="AF343" s="40">
        <v>0</v>
      </c>
      <c r="AG343" s="40">
        <v>1529</v>
      </c>
      <c r="AH343" s="40">
        <v>1861</v>
      </c>
      <c r="AI343" s="41">
        <f t="shared" si="48"/>
        <v>3390</v>
      </c>
      <c r="AJ343" s="42">
        <v>1861</v>
      </c>
      <c r="AK343" s="42">
        <v>1861</v>
      </c>
      <c r="AL343" s="42">
        <v>1861</v>
      </c>
      <c r="AM343" s="42">
        <v>1246</v>
      </c>
      <c r="AN343" s="42">
        <v>1499</v>
      </c>
      <c r="AO343" s="42">
        <v>0</v>
      </c>
      <c r="AP343" s="42">
        <v>1861</v>
      </c>
      <c r="AQ343" s="42">
        <v>506</v>
      </c>
      <c r="AR343" s="42">
        <v>1456</v>
      </c>
      <c r="AS343" s="42">
        <v>900</v>
      </c>
      <c r="AT343" s="42">
        <v>1861</v>
      </c>
      <c r="AU343" s="42">
        <v>1861</v>
      </c>
      <c r="AV343" s="42">
        <f t="shared" si="49"/>
        <v>16773</v>
      </c>
      <c r="AW343" s="42">
        <v>482</v>
      </c>
      <c r="AX343" s="42">
        <v>400</v>
      </c>
      <c r="AY343" s="42">
        <v>4</v>
      </c>
      <c r="AZ343" s="42">
        <v>1456</v>
      </c>
      <c r="BA343" s="42">
        <v>1743</v>
      </c>
      <c r="BB343" s="42">
        <v>500</v>
      </c>
      <c r="BC343" s="42">
        <v>989.24534321934402</v>
      </c>
      <c r="BD343" s="42">
        <v>500</v>
      </c>
      <c r="BE343" s="42">
        <v>0</v>
      </c>
      <c r="BF343" s="42">
        <v>0</v>
      </c>
      <c r="BG343" s="42">
        <v>0</v>
      </c>
      <c r="BH343" s="42">
        <v>0</v>
      </c>
      <c r="BI343" s="42">
        <v>1861</v>
      </c>
      <c r="BJ343" s="42">
        <v>0</v>
      </c>
      <c r="BK343" s="42">
        <v>0</v>
      </c>
      <c r="BL343" s="42">
        <v>0</v>
      </c>
      <c r="BM343" s="42">
        <v>0</v>
      </c>
      <c r="BN343" s="42">
        <v>2230.5545467113043</v>
      </c>
      <c r="BO343" s="42">
        <v>0</v>
      </c>
      <c r="BP343" s="42">
        <v>0</v>
      </c>
      <c r="BQ343" s="42">
        <v>0</v>
      </c>
      <c r="BR343" s="42">
        <v>0</v>
      </c>
      <c r="BS343" s="42">
        <v>3054.6914550733786</v>
      </c>
      <c r="BT343" s="42">
        <v>0</v>
      </c>
      <c r="BU343" s="42">
        <v>0</v>
      </c>
      <c r="BV343" s="42">
        <v>0</v>
      </c>
      <c r="BW343" s="42">
        <v>0</v>
      </c>
      <c r="BX343" s="42">
        <v>0</v>
      </c>
      <c r="BY343" s="42">
        <v>2411.7745576734847</v>
      </c>
      <c r="BZ343" s="42">
        <v>0</v>
      </c>
      <c r="CA343" s="42">
        <v>0</v>
      </c>
      <c r="CB343" s="42">
        <v>0</v>
      </c>
      <c r="CC343" s="42">
        <v>0</v>
      </c>
      <c r="CD343" s="42">
        <v>2609.0939219085844</v>
      </c>
      <c r="CE343" s="42">
        <v>0</v>
      </c>
      <c r="CF343" s="42">
        <v>0</v>
      </c>
      <c r="CG343" s="42">
        <v>0</v>
      </c>
      <c r="CH343" s="42">
        <v>0</v>
      </c>
      <c r="CI343" s="42">
        <v>0</v>
      </c>
      <c r="CJ343" s="42">
        <v>2730.6522320880213</v>
      </c>
      <c r="CK343" s="43">
        <f t="shared" si="50"/>
        <v>20972.012056674117</v>
      </c>
      <c r="CL343" s="66"/>
      <c r="CM343" s="66">
        <v>0</v>
      </c>
      <c r="CN343" s="66">
        <v>0</v>
      </c>
      <c r="CO343" s="66">
        <v>0</v>
      </c>
      <c r="CP343" s="66">
        <v>2014.9846318368609</v>
      </c>
      <c r="CQ343" s="66">
        <v>0</v>
      </c>
      <c r="CR343" s="66">
        <v>0</v>
      </c>
      <c r="CS343" s="66">
        <v>0</v>
      </c>
      <c r="CT343" s="66">
        <v>0</v>
      </c>
      <c r="CU343" s="66">
        <v>0</v>
      </c>
      <c r="CV343" s="66">
        <v>1861</v>
      </c>
      <c r="CW343" s="66">
        <v>0</v>
      </c>
      <c r="CX343" s="66">
        <v>0</v>
      </c>
      <c r="CY343" s="66">
        <v>0</v>
      </c>
      <c r="CZ343" s="66">
        <v>0</v>
      </c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>
        <f>SUM(Table1[[#This Row],[01-03 Apr]:[Mar-26]])</f>
        <v>3875.9846318368609</v>
      </c>
    </row>
    <row r="344" spans="1:115" x14ac:dyDescent="0.2">
      <c r="A344" s="28" t="s">
        <v>2254</v>
      </c>
      <c r="B344" s="29" t="s">
        <v>380</v>
      </c>
      <c r="C344" s="29" t="s">
        <v>381</v>
      </c>
      <c r="D344" s="30" t="s">
        <v>382</v>
      </c>
      <c r="E344" s="30" t="s">
        <v>177</v>
      </c>
      <c r="F344" s="30"/>
      <c r="G344" s="31">
        <v>44569</v>
      </c>
      <c r="H344" s="30">
        <v>371216</v>
      </c>
      <c r="I344" s="30" t="str">
        <f>IF(Table1[[#This Row],[Centre Status]]="Returned","NA",IF(Table1[[#This Row],[SD]]&gt;19000,"Full Payment",IF(Table1[[#This Row],[SD]]&lt;1,"No Payment","Partial Payment")))</f>
        <v>Partial Payment</v>
      </c>
      <c r="J344" s="30" t="s">
        <v>58</v>
      </c>
      <c r="K344" s="32">
        <v>110000</v>
      </c>
      <c r="L344" s="33">
        <f>Q344+R344+U344+Table1[[#This Row],[Farmer Payment]]</f>
        <v>61152.467621523334</v>
      </c>
      <c r="M344" s="30"/>
      <c r="N344" s="34"/>
      <c r="O344" s="34"/>
      <c r="P344" s="35">
        <f t="shared" si="47"/>
        <v>48847.532378476666</v>
      </c>
      <c r="Q344" s="33">
        <f>AI344+AV344+CK344+Table1[[#This Row],[FY 25-26]]</f>
        <v>51152.467621523334</v>
      </c>
      <c r="R344" s="36">
        <v>10000</v>
      </c>
      <c r="S344" s="37" t="s">
        <v>383</v>
      </c>
      <c r="T344" s="38">
        <v>44733</v>
      </c>
      <c r="U344" s="39"/>
      <c r="V344" s="39"/>
      <c r="W344" s="40">
        <v>0</v>
      </c>
      <c r="X344" s="40">
        <v>0</v>
      </c>
      <c r="Y344" s="40">
        <v>0</v>
      </c>
      <c r="Z344" s="40">
        <v>0</v>
      </c>
      <c r="AA344" s="40">
        <v>1111</v>
      </c>
      <c r="AB344" s="40">
        <v>656</v>
      </c>
      <c r="AC344" s="40">
        <v>872</v>
      </c>
      <c r="AD344" s="40">
        <v>1861</v>
      </c>
      <c r="AE344" s="40">
        <v>0</v>
      </c>
      <c r="AF344" s="40">
        <v>121</v>
      </c>
      <c r="AG344" s="40">
        <v>758</v>
      </c>
      <c r="AH344" s="40">
        <v>1596</v>
      </c>
      <c r="AI344" s="41">
        <f t="shared" si="48"/>
        <v>6975</v>
      </c>
      <c r="AJ344" s="42">
        <v>1193</v>
      </c>
      <c r="AK344" s="42">
        <v>2001.4758000000002</v>
      </c>
      <c r="AL344" s="42">
        <v>1861</v>
      </c>
      <c r="AM344" s="42">
        <v>2000</v>
      </c>
      <c r="AN344" s="42">
        <v>2000</v>
      </c>
      <c r="AO344" s="42">
        <v>2000</v>
      </c>
      <c r="AP344" s="42">
        <v>2000</v>
      </c>
      <c r="AQ344" s="42">
        <v>2000</v>
      </c>
      <c r="AR344" s="42">
        <v>2000</v>
      </c>
      <c r="AS344" s="42">
        <v>2000</v>
      </c>
      <c r="AT344" s="42">
        <v>2000</v>
      </c>
      <c r="AU344" s="42">
        <v>2000</v>
      </c>
      <c r="AV344" s="42">
        <f t="shared" si="49"/>
        <v>23055.4758</v>
      </c>
      <c r="AW344" s="42">
        <v>1953.077970018976</v>
      </c>
      <c r="AX344" s="42">
        <v>1413</v>
      </c>
      <c r="AY344" s="42">
        <v>1223</v>
      </c>
      <c r="AZ344" s="42">
        <v>16</v>
      </c>
      <c r="BA344" s="42">
        <v>0</v>
      </c>
      <c r="BB344" s="42">
        <v>500</v>
      </c>
      <c r="BC344" s="42">
        <v>0</v>
      </c>
      <c r="BD344" s="42">
        <v>500</v>
      </c>
      <c r="BE344" s="42">
        <v>500</v>
      </c>
      <c r="BF344" s="42">
        <v>500</v>
      </c>
      <c r="BG344" s="42">
        <v>500</v>
      </c>
      <c r="BH344" s="42">
        <v>500</v>
      </c>
      <c r="BI344" s="42">
        <v>0</v>
      </c>
      <c r="BJ344" s="42">
        <v>500</v>
      </c>
      <c r="BK344" s="42">
        <v>500</v>
      </c>
      <c r="BL344" s="42">
        <v>500</v>
      </c>
      <c r="BM344" s="42">
        <v>500</v>
      </c>
      <c r="BN344" s="42">
        <v>0</v>
      </c>
      <c r="BO344" s="42">
        <v>0</v>
      </c>
      <c r="BP344" s="42">
        <v>0</v>
      </c>
      <c r="BQ344" s="42">
        <v>0</v>
      </c>
      <c r="BR344" s="42">
        <v>0</v>
      </c>
      <c r="BS344" s="42">
        <v>1861</v>
      </c>
      <c r="BT344" s="42">
        <v>0</v>
      </c>
      <c r="BU344" s="42">
        <v>0</v>
      </c>
      <c r="BV344" s="42">
        <v>0</v>
      </c>
      <c r="BW344" s="42">
        <v>0</v>
      </c>
      <c r="BX344" s="42">
        <v>0</v>
      </c>
      <c r="BY344" s="42">
        <v>1861</v>
      </c>
      <c r="BZ344" s="42">
        <v>0</v>
      </c>
      <c r="CA344" s="42">
        <v>0</v>
      </c>
      <c r="CB344" s="42">
        <v>0</v>
      </c>
      <c r="CC344" s="42">
        <v>0</v>
      </c>
      <c r="CD344" s="42">
        <v>1935.2178600394004</v>
      </c>
      <c r="CE344" s="42">
        <v>0</v>
      </c>
      <c r="CF344" s="42">
        <v>0</v>
      </c>
      <c r="CG344" s="42">
        <v>0</v>
      </c>
      <c r="CH344" s="42">
        <v>0</v>
      </c>
      <c r="CI344" s="42">
        <v>0</v>
      </c>
      <c r="CJ344" s="42">
        <v>2137.6959914649606</v>
      </c>
      <c r="CK344" s="43">
        <f t="shared" si="50"/>
        <v>17399.991821523337</v>
      </c>
      <c r="CL344" s="66"/>
      <c r="CM344" s="66">
        <v>0</v>
      </c>
      <c r="CN344" s="66">
        <v>0</v>
      </c>
      <c r="CO344" s="66">
        <v>0</v>
      </c>
      <c r="CP344" s="66">
        <v>1861</v>
      </c>
      <c r="CQ344" s="66">
        <v>0</v>
      </c>
      <c r="CR344" s="66">
        <v>0</v>
      </c>
      <c r="CS344" s="66">
        <v>0</v>
      </c>
      <c r="CT344" s="66">
        <v>0</v>
      </c>
      <c r="CU344" s="66">
        <v>0</v>
      </c>
      <c r="CV344" s="66">
        <v>1861</v>
      </c>
      <c r="CW344" s="66">
        <v>0</v>
      </c>
      <c r="CX344" s="66">
        <v>0</v>
      </c>
      <c r="CY344" s="66">
        <v>0</v>
      </c>
      <c r="CZ344" s="66">
        <v>0</v>
      </c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>
        <f>SUM(Table1[[#This Row],[01-03 Apr]:[Mar-26]])</f>
        <v>3722</v>
      </c>
    </row>
    <row r="345" spans="1:115" x14ac:dyDescent="0.2">
      <c r="A345" s="28" t="s">
        <v>2256</v>
      </c>
      <c r="B345" s="29" t="s">
        <v>384</v>
      </c>
      <c r="C345" s="29" t="s">
        <v>385</v>
      </c>
      <c r="D345" s="30" t="s">
        <v>386</v>
      </c>
      <c r="E345" s="30" t="s">
        <v>1630</v>
      </c>
      <c r="F345" s="30"/>
      <c r="G345" s="31" t="s">
        <v>371</v>
      </c>
      <c r="H345" s="30">
        <v>190507</v>
      </c>
      <c r="I345" s="30" t="str">
        <f>IF(Table1[[#This Row],[Centre Status]]="Returned","NA",IF(Table1[[#This Row],[SD]]&gt;19000,"Full Payment",IF(Table1[[#This Row],[SD]]&lt;1,"No Payment","Partial Payment")))</f>
        <v>Partial Payment</v>
      </c>
      <c r="J345" s="30" t="s">
        <v>58</v>
      </c>
      <c r="K345" s="32">
        <v>64000</v>
      </c>
      <c r="L345" s="33">
        <f>Q345+R345+U345+Table1[[#This Row],[Farmer Payment]]</f>
        <v>42492.082599999994</v>
      </c>
      <c r="M345" s="30"/>
      <c r="N345" s="34"/>
      <c r="O345" s="34"/>
      <c r="P345" s="35">
        <f t="shared" si="47"/>
        <v>21507.917400000006</v>
      </c>
      <c r="Q345" s="33">
        <f>AI345+AV345+CK345+Table1[[#This Row],[FY 25-26]]</f>
        <v>32492.082599999998</v>
      </c>
      <c r="R345" s="36">
        <v>10000</v>
      </c>
      <c r="S345" s="37" t="s">
        <v>387</v>
      </c>
      <c r="T345" s="38">
        <v>44733</v>
      </c>
      <c r="U345" s="39"/>
      <c r="V345" s="39"/>
      <c r="W345" s="40">
        <v>0</v>
      </c>
      <c r="X345" s="40">
        <v>0</v>
      </c>
      <c r="Y345" s="40">
        <v>0</v>
      </c>
      <c r="Z345" s="40">
        <v>0</v>
      </c>
      <c r="AA345" s="40">
        <v>0</v>
      </c>
      <c r="AB345" s="40">
        <v>0</v>
      </c>
      <c r="AC345" s="40">
        <v>0</v>
      </c>
      <c r="AD345" s="40">
        <v>1121</v>
      </c>
      <c r="AE345" s="40">
        <v>77</v>
      </c>
      <c r="AF345" s="40">
        <v>1861</v>
      </c>
      <c r="AG345" s="40">
        <v>1861</v>
      </c>
      <c r="AH345" s="40">
        <v>1861</v>
      </c>
      <c r="AI345" s="41">
        <f t="shared" si="48"/>
        <v>6781</v>
      </c>
      <c r="AJ345" s="42">
        <v>1861</v>
      </c>
      <c r="AK345" s="42">
        <v>2057.2817999999997</v>
      </c>
      <c r="AL345" s="42">
        <v>2322.3912000000005</v>
      </c>
      <c r="AM345" s="42">
        <v>3248.7565999999997</v>
      </c>
      <c r="AN345" s="42">
        <v>2271.9502000000002</v>
      </c>
      <c r="AO345" s="42">
        <v>2784.8464000000004</v>
      </c>
      <c r="AP345" s="42">
        <v>2322.8564000000001</v>
      </c>
      <c r="AQ345" s="42">
        <v>1861</v>
      </c>
      <c r="AR345" s="42">
        <v>1861</v>
      </c>
      <c r="AS345" s="42">
        <v>1861</v>
      </c>
      <c r="AT345" s="42">
        <v>1861</v>
      </c>
      <c r="AU345" s="42">
        <v>1102</v>
      </c>
      <c r="AV345" s="42">
        <f t="shared" si="49"/>
        <v>25415.082599999998</v>
      </c>
      <c r="AW345" s="42">
        <v>296</v>
      </c>
      <c r="AX345" s="42">
        <v>0</v>
      </c>
      <c r="AY345" s="42">
        <v>0</v>
      </c>
      <c r="AZ345" s="42">
        <v>0</v>
      </c>
      <c r="BA345" s="42">
        <v>0</v>
      </c>
      <c r="BB345" s="42">
        <v>0</v>
      </c>
      <c r="BC345" s="42">
        <v>0</v>
      </c>
      <c r="BD345" s="42">
        <v>0</v>
      </c>
      <c r="BE345" s="42">
        <v>0</v>
      </c>
      <c r="BF345" s="42">
        <v>0</v>
      </c>
      <c r="BG345" s="42">
        <v>0</v>
      </c>
      <c r="BH345" s="42">
        <v>0</v>
      </c>
      <c r="BI345" s="42">
        <v>0</v>
      </c>
      <c r="BJ345" s="42">
        <v>0</v>
      </c>
      <c r="BK345" s="42">
        <v>0</v>
      </c>
      <c r="BL345" s="42">
        <v>0</v>
      </c>
      <c r="BM345" s="42">
        <v>0</v>
      </c>
      <c r="BN345" s="42">
        <v>0</v>
      </c>
      <c r="BO345" s="42">
        <v>0</v>
      </c>
      <c r="BP345" s="42">
        <v>0</v>
      </c>
      <c r="BQ345" s="42">
        <v>0</v>
      </c>
      <c r="BR345" s="42">
        <v>0</v>
      </c>
      <c r="BS345" s="42">
        <v>0</v>
      </c>
      <c r="BT345" s="42">
        <v>0</v>
      </c>
      <c r="BU345" s="42">
        <v>0</v>
      </c>
      <c r="BV345" s="42">
        <v>0</v>
      </c>
      <c r="BW345" s="42">
        <v>0</v>
      </c>
      <c r="BX345" s="42">
        <v>0</v>
      </c>
      <c r="BY345" s="42">
        <v>0</v>
      </c>
      <c r="BZ345" s="42">
        <v>0</v>
      </c>
      <c r="CA345" s="42">
        <v>0</v>
      </c>
      <c r="CB345" s="42">
        <v>0</v>
      </c>
      <c r="CC345" s="42">
        <v>0</v>
      </c>
      <c r="CD345" s="42">
        <v>0</v>
      </c>
      <c r="CE345" s="42">
        <v>0</v>
      </c>
      <c r="CF345" s="42">
        <v>0</v>
      </c>
      <c r="CG345" s="42">
        <v>0</v>
      </c>
      <c r="CH345" s="42">
        <v>0</v>
      </c>
      <c r="CI345" s="42">
        <v>0</v>
      </c>
      <c r="CJ345" s="42">
        <v>0</v>
      </c>
      <c r="CK345" s="43">
        <f t="shared" si="50"/>
        <v>296</v>
      </c>
      <c r="CL345" s="66"/>
      <c r="CM345" s="66">
        <v>0</v>
      </c>
      <c r="CN345" s="66">
        <v>0</v>
      </c>
      <c r="CO345" s="66">
        <v>0</v>
      </c>
      <c r="CP345" s="66">
        <v>0</v>
      </c>
      <c r="CQ345" s="66">
        <v>0</v>
      </c>
      <c r="CR345" s="66">
        <v>0</v>
      </c>
      <c r="CS345" s="66">
        <v>0</v>
      </c>
      <c r="CT345" s="66">
        <v>0</v>
      </c>
      <c r="CU345" s="66">
        <v>0</v>
      </c>
      <c r="CV345" s="66">
        <v>0</v>
      </c>
      <c r="CW345" s="66">
        <v>0</v>
      </c>
      <c r="CX345" s="66">
        <v>0</v>
      </c>
      <c r="CY345" s="66">
        <v>0</v>
      </c>
      <c r="CZ345" s="66">
        <v>0</v>
      </c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>
        <f>SUM(Table1[[#This Row],[01-03 Apr]:[Mar-26]])</f>
        <v>0</v>
      </c>
    </row>
    <row r="346" spans="1:115" x14ac:dyDescent="0.2">
      <c r="A346" s="28" t="s">
        <v>2255</v>
      </c>
      <c r="B346" s="29" t="s">
        <v>388</v>
      </c>
      <c r="C346" s="29" t="s">
        <v>389</v>
      </c>
      <c r="D346" s="30" t="s">
        <v>390</v>
      </c>
      <c r="E346" s="30" t="s">
        <v>1630</v>
      </c>
      <c r="F346" s="30"/>
      <c r="G346" s="31" t="s">
        <v>366</v>
      </c>
      <c r="H346" s="30">
        <v>322684</v>
      </c>
      <c r="I346" s="30" t="str">
        <f>IF(Table1[[#This Row],[Centre Status]]="Returned","NA",IF(Table1[[#This Row],[SD]]&gt;19000,"Full Payment",IF(Table1[[#This Row],[SD]]&lt;1,"No Payment","Partial Payment")))</f>
        <v>Partial Payment</v>
      </c>
      <c r="J346" s="30" t="s">
        <v>58</v>
      </c>
      <c r="K346" s="32">
        <v>64000</v>
      </c>
      <c r="L346" s="33">
        <f>Q346+R346+U346+Table1[[#This Row],[Farmer Payment]]</f>
        <v>64000</v>
      </c>
      <c r="M346" s="30"/>
      <c r="N346" s="34"/>
      <c r="O346" s="34"/>
      <c r="P346" s="35">
        <f t="shared" si="47"/>
        <v>0</v>
      </c>
      <c r="Q346" s="33">
        <f>AI346+AV346+CK346+Table1[[#This Row],[FY 25-26]]</f>
        <v>59000</v>
      </c>
      <c r="R346" s="36">
        <v>5000</v>
      </c>
      <c r="S346" s="37" t="s">
        <v>391</v>
      </c>
      <c r="T346" s="38">
        <v>44772</v>
      </c>
      <c r="U346" s="39"/>
      <c r="V346" s="39"/>
      <c r="W346" s="40">
        <v>0</v>
      </c>
      <c r="X346" s="40">
        <v>0</v>
      </c>
      <c r="Y346" s="40">
        <v>0</v>
      </c>
      <c r="Z346" s="40">
        <v>0</v>
      </c>
      <c r="AA346" s="40">
        <v>0</v>
      </c>
      <c r="AB346" s="40">
        <v>0</v>
      </c>
      <c r="AC346" s="40">
        <v>0</v>
      </c>
      <c r="AD346" s="40">
        <v>0</v>
      </c>
      <c r="AE346" s="40">
        <v>0</v>
      </c>
      <c r="AF346" s="40">
        <v>0</v>
      </c>
      <c r="AG346" s="40">
        <v>1861</v>
      </c>
      <c r="AH346" s="40">
        <v>1861</v>
      </c>
      <c r="AI346" s="41">
        <f t="shared" si="48"/>
        <v>3722</v>
      </c>
      <c r="AJ346" s="42">
        <v>1861</v>
      </c>
      <c r="AK346" s="42">
        <v>2708.9896000000003</v>
      </c>
      <c r="AL346" s="42">
        <v>2486.2256000000002</v>
      </c>
      <c r="AM346" s="42">
        <v>3290.9306000000001</v>
      </c>
      <c r="AN346" s="42">
        <v>2409.2800000000002</v>
      </c>
      <c r="AO346" s="42">
        <v>2568.7270000000003</v>
      </c>
      <c r="AP346" s="42">
        <v>3408.6996000000004</v>
      </c>
      <c r="AQ346" s="42">
        <v>2462.6268</v>
      </c>
      <c r="AR346" s="42">
        <v>2914.2281999999996</v>
      </c>
      <c r="AS346" s="42">
        <v>3549.6427999999996</v>
      </c>
      <c r="AT346" s="42">
        <v>2847.7318</v>
      </c>
      <c r="AU346" s="42">
        <v>2847.8394000000003</v>
      </c>
      <c r="AV346" s="42">
        <f t="shared" si="49"/>
        <v>33355.921399999999</v>
      </c>
      <c r="AW346" s="42">
        <v>2627.1405261734403</v>
      </c>
      <c r="AX346" s="42">
        <v>2266.858880064</v>
      </c>
      <c r="AY346" s="42">
        <v>2314.4040528537603</v>
      </c>
      <c r="AZ346" s="42">
        <v>2623.2537802291204</v>
      </c>
      <c r="BA346" s="42">
        <v>2015.6161174041601</v>
      </c>
      <c r="BB346" s="42">
        <v>0</v>
      </c>
      <c r="BC346" s="42">
        <v>2804.6205272178404</v>
      </c>
      <c r="BD346" s="42">
        <v>0</v>
      </c>
      <c r="BE346" s="42">
        <v>0</v>
      </c>
      <c r="BF346" s="42">
        <v>0</v>
      </c>
      <c r="BG346" s="42">
        <v>0</v>
      </c>
      <c r="BH346" s="42">
        <v>0</v>
      </c>
      <c r="BI346" s="42">
        <v>1861</v>
      </c>
      <c r="BJ346" s="42">
        <v>0</v>
      </c>
      <c r="BK346" s="42">
        <v>0</v>
      </c>
      <c r="BL346" s="42">
        <v>0</v>
      </c>
      <c r="BM346" s="42">
        <v>0</v>
      </c>
      <c r="BN346" s="42">
        <v>2036.5558205363102</v>
      </c>
      <c r="BO346" s="42">
        <v>0</v>
      </c>
      <c r="BP346" s="42">
        <v>0</v>
      </c>
      <c r="BQ346" s="42">
        <v>0</v>
      </c>
      <c r="BR346" s="42">
        <v>0</v>
      </c>
      <c r="BS346" s="42">
        <v>3331.7267747174401</v>
      </c>
      <c r="BT346" s="42">
        <v>0</v>
      </c>
      <c r="BU346" s="42">
        <v>0</v>
      </c>
      <c r="BV346" s="42">
        <v>0</v>
      </c>
      <c r="BW346" s="42">
        <v>0</v>
      </c>
      <c r="BX346" s="42">
        <v>0</v>
      </c>
      <c r="BY346" s="42">
        <v>40.902120803926664</v>
      </c>
      <c r="BZ346" s="42">
        <v>0</v>
      </c>
      <c r="CA346" s="42">
        <v>0</v>
      </c>
      <c r="CB346" s="42">
        <v>0</v>
      </c>
      <c r="CC346" s="42">
        <v>0</v>
      </c>
      <c r="CD346" s="42">
        <v>0</v>
      </c>
      <c r="CE346" s="42">
        <v>0</v>
      </c>
      <c r="CF346" s="42">
        <v>0</v>
      </c>
      <c r="CG346" s="42">
        <v>0</v>
      </c>
      <c r="CH346" s="42">
        <v>0</v>
      </c>
      <c r="CI346" s="42">
        <v>0</v>
      </c>
      <c r="CJ346" s="42">
        <v>0</v>
      </c>
      <c r="CK346" s="43">
        <f t="shared" si="50"/>
        <v>21922.078600000001</v>
      </c>
      <c r="CL346" s="66"/>
      <c r="CM346" s="66">
        <v>0</v>
      </c>
      <c r="CN346" s="66">
        <v>0</v>
      </c>
      <c r="CO346" s="66">
        <v>0</v>
      </c>
      <c r="CP346" s="66">
        <v>0</v>
      </c>
      <c r="CQ346" s="66">
        <v>0</v>
      </c>
      <c r="CR346" s="66">
        <v>0</v>
      </c>
      <c r="CS346" s="66">
        <v>0</v>
      </c>
      <c r="CT346" s="66">
        <v>0</v>
      </c>
      <c r="CU346" s="66">
        <v>0</v>
      </c>
      <c r="CV346" s="66">
        <v>0</v>
      </c>
      <c r="CW346" s="66">
        <v>0</v>
      </c>
      <c r="CX346" s="66">
        <v>0</v>
      </c>
      <c r="CY346" s="66">
        <v>0</v>
      </c>
      <c r="CZ346" s="66">
        <v>0</v>
      </c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>
        <f>SUM(Table1[[#This Row],[01-03 Apr]:[Mar-26]])</f>
        <v>0</v>
      </c>
    </row>
    <row r="347" spans="1:115" hidden="1" x14ac:dyDescent="0.2">
      <c r="A347" s="28" t="s">
        <v>2363</v>
      </c>
      <c r="B347" s="29" t="s">
        <v>392</v>
      </c>
      <c r="C347" s="29" t="s">
        <v>393</v>
      </c>
      <c r="D347" s="30" t="s">
        <v>394</v>
      </c>
      <c r="E347" s="30" t="s">
        <v>217</v>
      </c>
      <c r="F347" s="30"/>
      <c r="G347" s="31" t="s">
        <v>395</v>
      </c>
      <c r="H347" s="30">
        <v>276140</v>
      </c>
      <c r="I347" s="30" t="str">
        <f>IF(Table1[[#This Row],[Centre Status]]="Returned","NA",IF(Table1[[#This Row],[SD]]&gt;19000,"Full Payment",IF(Table1[[#This Row],[SD]]&lt;1,"No Payment","Partial Payment")))</f>
        <v>Full Payment</v>
      </c>
      <c r="J347" s="30" t="s">
        <v>58</v>
      </c>
      <c r="K347" s="32">
        <v>64000</v>
      </c>
      <c r="L347" s="33">
        <f>Q347+R347+U347+Table1[[#This Row],[Farmer Payment]]</f>
        <v>64000</v>
      </c>
      <c r="M347" s="30"/>
      <c r="N347" s="34"/>
      <c r="O347" s="34"/>
      <c r="P347" s="35">
        <f t="shared" si="47"/>
        <v>0</v>
      </c>
      <c r="Q347" s="33">
        <f>AI347+AV347+CK347+Table1[[#This Row],[FY 25-26]]</f>
        <v>44000</v>
      </c>
      <c r="R347" s="36">
        <v>20000</v>
      </c>
      <c r="S347" s="37" t="s">
        <v>396</v>
      </c>
      <c r="T347" s="38">
        <v>44693</v>
      </c>
      <c r="U347" s="39"/>
      <c r="V347" s="39"/>
      <c r="W347" s="40">
        <v>0</v>
      </c>
      <c r="X347" s="40">
        <v>0</v>
      </c>
      <c r="Y347" s="40">
        <v>0</v>
      </c>
      <c r="Z347" s="40">
        <v>255</v>
      </c>
      <c r="AA347" s="40">
        <v>2782.2972000000004</v>
      </c>
      <c r="AB347" s="40">
        <v>2377.8230000000003</v>
      </c>
      <c r="AC347" s="40">
        <v>2559.1163999999999</v>
      </c>
      <c r="AD347" s="40">
        <v>3551.4436000000001</v>
      </c>
      <c r="AE347" s="40">
        <v>5770.8450000000003</v>
      </c>
      <c r="AF347" s="40">
        <v>6863.9821999999995</v>
      </c>
      <c r="AG347" s="40">
        <v>3737.9994000000002</v>
      </c>
      <c r="AH347" s="40">
        <v>4530.5985999999994</v>
      </c>
      <c r="AI347" s="41">
        <f t="shared" si="48"/>
        <v>32429.1054</v>
      </c>
      <c r="AJ347" s="42">
        <v>2978.7786000000001</v>
      </c>
      <c r="AK347" s="42">
        <v>0</v>
      </c>
      <c r="AL347" s="42">
        <v>0</v>
      </c>
      <c r="AM347" s="42">
        <v>5355.9524000000001</v>
      </c>
      <c r="AN347" s="42">
        <v>3236.1635999999999</v>
      </c>
      <c r="AO347" s="42">
        <v>0</v>
      </c>
      <c r="AP347" s="42">
        <v>0</v>
      </c>
      <c r="AQ347" s="42">
        <v>0</v>
      </c>
      <c r="AR347" s="42">
        <v>0</v>
      </c>
      <c r="AS347" s="42">
        <v>0</v>
      </c>
      <c r="AT347" s="42">
        <v>0</v>
      </c>
      <c r="AU347" s="42">
        <v>0</v>
      </c>
      <c r="AV347" s="42">
        <f t="shared" si="49"/>
        <v>11570.8946</v>
      </c>
      <c r="AW347" s="42">
        <v>0</v>
      </c>
      <c r="AX347" s="42">
        <v>0</v>
      </c>
      <c r="AY347" s="42">
        <v>0</v>
      </c>
      <c r="AZ347" s="42">
        <v>0</v>
      </c>
      <c r="BA347" s="42">
        <v>0</v>
      </c>
      <c r="BB347" s="42">
        <v>0</v>
      </c>
      <c r="BC347" s="42">
        <v>0</v>
      </c>
      <c r="BD347" s="42">
        <v>0</v>
      </c>
      <c r="BE347" s="42">
        <v>0</v>
      </c>
      <c r="BF347" s="42">
        <v>0</v>
      </c>
      <c r="BG347" s="42">
        <v>0</v>
      </c>
      <c r="BH347" s="42">
        <v>0</v>
      </c>
      <c r="BI347" s="42">
        <v>0</v>
      </c>
      <c r="BJ347" s="42">
        <v>0</v>
      </c>
      <c r="BK347" s="42">
        <v>0</v>
      </c>
      <c r="BL347" s="42">
        <v>0</v>
      </c>
      <c r="BM347" s="42">
        <v>0</v>
      </c>
      <c r="BN347" s="42">
        <v>0</v>
      </c>
      <c r="BO347" s="42">
        <v>0</v>
      </c>
      <c r="BP347" s="42">
        <v>0</v>
      </c>
      <c r="BQ347" s="42">
        <v>0</v>
      </c>
      <c r="BR347" s="42">
        <v>0</v>
      </c>
      <c r="BS347" s="42">
        <v>0</v>
      </c>
      <c r="BT347" s="42">
        <v>0</v>
      </c>
      <c r="BU347" s="42">
        <v>0</v>
      </c>
      <c r="BV347" s="42">
        <v>0</v>
      </c>
      <c r="BW347" s="42">
        <v>0</v>
      </c>
      <c r="BX347" s="42">
        <v>0</v>
      </c>
      <c r="BY347" s="42">
        <v>0</v>
      </c>
      <c r="BZ347" s="42">
        <v>0</v>
      </c>
      <c r="CA347" s="42">
        <v>0</v>
      </c>
      <c r="CB347" s="42">
        <v>0</v>
      </c>
      <c r="CC347" s="42">
        <v>0</v>
      </c>
      <c r="CD347" s="42">
        <v>0</v>
      </c>
      <c r="CE347" s="42">
        <v>0</v>
      </c>
      <c r="CF347" s="42">
        <v>0</v>
      </c>
      <c r="CG347" s="42">
        <v>0</v>
      </c>
      <c r="CH347" s="42">
        <v>0</v>
      </c>
      <c r="CI347" s="42">
        <v>0</v>
      </c>
      <c r="CJ347" s="42">
        <v>0</v>
      </c>
      <c r="CK347" s="43">
        <f t="shared" si="50"/>
        <v>0</v>
      </c>
      <c r="CL347" s="66"/>
      <c r="CM347" s="66">
        <v>0</v>
      </c>
      <c r="CN347" s="66">
        <v>0</v>
      </c>
      <c r="CO347" s="66">
        <v>0</v>
      </c>
      <c r="CP347" s="66">
        <v>0</v>
      </c>
      <c r="CQ347" s="66">
        <v>0</v>
      </c>
      <c r="CR347" s="66">
        <v>0</v>
      </c>
      <c r="CS347" s="66">
        <v>0</v>
      </c>
      <c r="CT347" s="66">
        <v>0</v>
      </c>
      <c r="CU347" s="66">
        <v>0</v>
      </c>
      <c r="CV347" s="66">
        <v>0</v>
      </c>
      <c r="CW347" s="66">
        <v>0</v>
      </c>
      <c r="CX347" s="66">
        <v>0</v>
      </c>
      <c r="CY347" s="66">
        <v>0</v>
      </c>
      <c r="CZ347" s="66">
        <v>0</v>
      </c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>
        <f>SUM(Table1[[#This Row],[01-03 Apr]:[Mar-26]])</f>
        <v>0</v>
      </c>
    </row>
    <row r="348" spans="1:115" hidden="1" x14ac:dyDescent="0.2">
      <c r="A348" s="28" t="s">
        <v>2256</v>
      </c>
      <c r="B348" s="29" t="s">
        <v>397</v>
      </c>
      <c r="C348" s="29" t="s">
        <v>2290</v>
      </c>
      <c r="D348" s="30" t="s">
        <v>398</v>
      </c>
      <c r="E348" s="30" t="s">
        <v>297</v>
      </c>
      <c r="F348" s="30"/>
      <c r="G348" s="31" t="s">
        <v>395</v>
      </c>
      <c r="H348" s="30">
        <v>195484</v>
      </c>
      <c r="I348" s="30" t="str">
        <f>IF(Table1[[#This Row],[Centre Status]]="Returned","NA",IF(Table1[[#This Row],[SD]]&gt;19000,"Full Payment",IF(Table1[[#This Row],[SD]]&lt;1,"No Payment","Partial Payment")))</f>
        <v>Full Payment</v>
      </c>
      <c r="J348" s="30" t="s">
        <v>58</v>
      </c>
      <c r="K348" s="32">
        <v>64000</v>
      </c>
      <c r="L348" s="33">
        <f>Q348+R348+U348+Table1[[#This Row],[Farmer Payment]]</f>
        <v>35259.86300567034</v>
      </c>
      <c r="M348" s="30"/>
      <c r="N348" s="34"/>
      <c r="O348" s="34"/>
      <c r="P348" s="35">
        <f t="shared" si="47"/>
        <v>28740.13699432966</v>
      </c>
      <c r="Q348" s="33">
        <f>AI348+AV348+CK348+Table1[[#This Row],[FY 25-26]]</f>
        <v>15259.863005670344</v>
      </c>
      <c r="R348" s="36">
        <v>20000</v>
      </c>
      <c r="S348" s="37" t="s">
        <v>399</v>
      </c>
      <c r="T348" s="38">
        <v>44720</v>
      </c>
      <c r="U348" s="39"/>
      <c r="V348" s="39"/>
      <c r="W348" s="40">
        <v>0</v>
      </c>
      <c r="X348" s="40">
        <v>0</v>
      </c>
      <c r="Y348" s="40">
        <v>0</v>
      </c>
      <c r="Z348" s="40">
        <v>0</v>
      </c>
      <c r="AA348" s="40">
        <v>1859</v>
      </c>
      <c r="AB348" s="40">
        <v>0</v>
      </c>
      <c r="AC348" s="40">
        <v>9</v>
      </c>
      <c r="AD348" s="40">
        <v>1861</v>
      </c>
      <c r="AE348" s="40">
        <v>1861</v>
      </c>
      <c r="AF348" s="40">
        <v>883</v>
      </c>
      <c r="AG348" s="40">
        <v>751</v>
      </c>
      <c r="AH348" s="40">
        <v>444</v>
      </c>
      <c r="AI348" s="41">
        <f t="shared" si="48"/>
        <v>7668</v>
      </c>
      <c r="AJ348" s="42">
        <v>101</v>
      </c>
      <c r="AK348" s="42">
        <v>0</v>
      </c>
      <c r="AL348" s="42">
        <v>215</v>
      </c>
      <c r="AM348" s="42">
        <v>242</v>
      </c>
      <c r="AN348" s="42">
        <v>1289</v>
      </c>
      <c r="AO348" s="42">
        <v>656</v>
      </c>
      <c r="AP348" s="42">
        <v>946</v>
      </c>
      <c r="AQ348" s="42">
        <v>785</v>
      </c>
      <c r="AR348" s="42">
        <v>897</v>
      </c>
      <c r="AS348" s="42">
        <v>1712</v>
      </c>
      <c r="AT348" s="42">
        <v>748.863005670343</v>
      </c>
      <c r="AU348" s="42">
        <v>0</v>
      </c>
      <c r="AV348" s="42">
        <f t="shared" si="49"/>
        <v>7591.8630056703432</v>
      </c>
      <c r="AW348" s="42">
        <v>0</v>
      </c>
      <c r="AX348" s="42">
        <v>0</v>
      </c>
      <c r="AY348" s="42">
        <v>0</v>
      </c>
      <c r="AZ348" s="42">
        <v>0</v>
      </c>
      <c r="BA348" s="42">
        <v>0</v>
      </c>
      <c r="BB348" s="42">
        <v>0</v>
      </c>
      <c r="BC348" s="42">
        <v>0</v>
      </c>
      <c r="BD348" s="42">
        <v>0</v>
      </c>
      <c r="BE348" s="42">
        <v>0</v>
      </c>
      <c r="BF348" s="42">
        <v>0</v>
      </c>
      <c r="BG348" s="42">
        <v>0</v>
      </c>
      <c r="BH348" s="42">
        <v>0</v>
      </c>
      <c r="BI348" s="42">
        <v>0</v>
      </c>
      <c r="BJ348" s="42">
        <v>0</v>
      </c>
      <c r="BK348" s="42">
        <v>0</v>
      </c>
      <c r="BL348" s="42">
        <v>0</v>
      </c>
      <c r="BM348" s="42">
        <v>0</v>
      </c>
      <c r="BN348" s="42">
        <v>0</v>
      </c>
      <c r="BO348" s="42">
        <v>0</v>
      </c>
      <c r="BP348" s="42">
        <v>0</v>
      </c>
      <c r="BQ348" s="42">
        <v>0</v>
      </c>
      <c r="BR348" s="42">
        <v>0</v>
      </c>
      <c r="BS348" s="42">
        <v>0</v>
      </c>
      <c r="BT348" s="42">
        <v>0</v>
      </c>
      <c r="BU348" s="42">
        <v>0</v>
      </c>
      <c r="BV348" s="42">
        <v>0</v>
      </c>
      <c r="BW348" s="42">
        <v>0</v>
      </c>
      <c r="BX348" s="42">
        <v>0</v>
      </c>
      <c r="BY348" s="42">
        <v>0</v>
      </c>
      <c r="BZ348" s="42">
        <v>0</v>
      </c>
      <c r="CA348" s="42">
        <v>0</v>
      </c>
      <c r="CB348" s="42">
        <v>0</v>
      </c>
      <c r="CC348" s="42">
        <v>0</v>
      </c>
      <c r="CD348" s="42">
        <v>0</v>
      </c>
      <c r="CE348" s="42">
        <v>0</v>
      </c>
      <c r="CF348" s="42">
        <v>0</v>
      </c>
      <c r="CG348" s="42">
        <v>0</v>
      </c>
      <c r="CH348" s="42">
        <v>0</v>
      </c>
      <c r="CI348" s="42">
        <v>0</v>
      </c>
      <c r="CJ348" s="42">
        <v>0</v>
      </c>
      <c r="CK348" s="43">
        <f t="shared" si="50"/>
        <v>0</v>
      </c>
      <c r="CL348" s="66"/>
      <c r="CM348" s="66">
        <v>0</v>
      </c>
      <c r="CN348" s="66">
        <v>0</v>
      </c>
      <c r="CO348" s="66">
        <v>0</v>
      </c>
      <c r="CP348" s="66">
        <v>0</v>
      </c>
      <c r="CQ348" s="66">
        <v>0</v>
      </c>
      <c r="CR348" s="66">
        <v>0</v>
      </c>
      <c r="CS348" s="66">
        <v>0</v>
      </c>
      <c r="CT348" s="66">
        <v>0</v>
      </c>
      <c r="CU348" s="66">
        <v>0</v>
      </c>
      <c r="CV348" s="66">
        <v>0</v>
      </c>
      <c r="CW348" s="66">
        <v>0</v>
      </c>
      <c r="CX348" s="66">
        <v>0</v>
      </c>
      <c r="CY348" s="66">
        <v>0</v>
      </c>
      <c r="CZ348" s="66">
        <v>0</v>
      </c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>
        <f>SUM(Table1[[#This Row],[01-03 Apr]:[Mar-26]])</f>
        <v>0</v>
      </c>
    </row>
    <row r="349" spans="1:115" x14ac:dyDescent="0.2">
      <c r="A349" s="28" t="s">
        <v>2363</v>
      </c>
      <c r="B349" s="29" t="s">
        <v>403</v>
      </c>
      <c r="C349" s="29" t="s">
        <v>3336</v>
      </c>
      <c r="D349" s="30" t="s">
        <v>404</v>
      </c>
      <c r="E349" s="30" t="s">
        <v>217</v>
      </c>
      <c r="F349" s="30"/>
      <c r="G349" s="31" t="s">
        <v>395</v>
      </c>
      <c r="H349" s="30"/>
      <c r="I349" s="30" t="str">
        <f>IF(Table1[[#This Row],[Centre Status]]="Returned","NA",IF(Table1[[#This Row],[SD]]&gt;19000,"Full Payment",IF(Table1[[#This Row],[SD]]&lt;1,"No Payment","Partial Payment")))</f>
        <v>Partial Payment</v>
      </c>
      <c r="J349" s="30" t="s">
        <v>58</v>
      </c>
      <c r="K349" s="32">
        <v>64000</v>
      </c>
      <c r="L349" s="33">
        <f>Q349+R349+U349+Table1[[#This Row],[Farmer Payment]]</f>
        <v>11118</v>
      </c>
      <c r="M349" s="30"/>
      <c r="N349" s="34"/>
      <c r="O349" s="34"/>
      <c r="P349" s="35">
        <f t="shared" si="47"/>
        <v>52882</v>
      </c>
      <c r="Q349" s="33">
        <f>AI349+AV349+CK349+Table1[[#This Row],[FY 25-26]]</f>
        <v>1118</v>
      </c>
      <c r="R349" s="36">
        <v>10000</v>
      </c>
      <c r="S349" s="37" t="s">
        <v>405</v>
      </c>
      <c r="T349" s="38">
        <v>44704</v>
      </c>
      <c r="U349" s="39"/>
      <c r="V349" s="39"/>
      <c r="W349" s="40">
        <v>0</v>
      </c>
      <c r="X349" s="40">
        <v>0</v>
      </c>
      <c r="Y349" s="40">
        <v>311</v>
      </c>
      <c r="Z349" s="40">
        <v>0</v>
      </c>
      <c r="AA349" s="40">
        <v>807</v>
      </c>
      <c r="AB349" s="40">
        <v>0</v>
      </c>
      <c r="AC349" s="40">
        <v>0</v>
      </c>
      <c r="AD349" s="40">
        <v>0</v>
      </c>
      <c r="AE349" s="40">
        <v>0</v>
      </c>
      <c r="AF349" s="40">
        <v>0</v>
      </c>
      <c r="AG349" s="40">
        <v>0</v>
      </c>
      <c r="AH349" s="40">
        <v>0</v>
      </c>
      <c r="AI349" s="41">
        <f t="shared" si="48"/>
        <v>1118</v>
      </c>
      <c r="AJ349" s="42">
        <v>0</v>
      </c>
      <c r="AK349" s="42">
        <v>0</v>
      </c>
      <c r="AL349" s="42">
        <v>0</v>
      </c>
      <c r="AM349" s="42">
        <v>0</v>
      </c>
      <c r="AN349" s="42">
        <v>0</v>
      </c>
      <c r="AO349" s="42">
        <v>0</v>
      </c>
      <c r="AP349" s="42">
        <v>0</v>
      </c>
      <c r="AQ349" s="42">
        <v>0</v>
      </c>
      <c r="AR349" s="42">
        <v>0</v>
      </c>
      <c r="AS349" s="42">
        <v>0</v>
      </c>
      <c r="AT349" s="42">
        <v>0</v>
      </c>
      <c r="AU349" s="42">
        <v>0</v>
      </c>
      <c r="AV349" s="42">
        <f t="shared" si="49"/>
        <v>0</v>
      </c>
      <c r="AW349" s="42">
        <v>0</v>
      </c>
      <c r="AX349" s="42">
        <v>0</v>
      </c>
      <c r="AY349" s="42">
        <v>0</v>
      </c>
      <c r="AZ349" s="42">
        <v>0</v>
      </c>
      <c r="BA349" s="42">
        <v>0</v>
      </c>
      <c r="BB349" s="42">
        <v>0</v>
      </c>
      <c r="BC349" s="42">
        <v>0</v>
      </c>
      <c r="BD349" s="42">
        <v>0</v>
      </c>
      <c r="BE349" s="42">
        <v>0</v>
      </c>
      <c r="BF349" s="42">
        <v>0</v>
      </c>
      <c r="BG349" s="42">
        <v>0</v>
      </c>
      <c r="BH349" s="42">
        <v>0</v>
      </c>
      <c r="BI349" s="42">
        <v>0</v>
      </c>
      <c r="BJ349" s="42">
        <v>0</v>
      </c>
      <c r="BK349" s="42">
        <v>0</v>
      </c>
      <c r="BL349" s="42">
        <v>0</v>
      </c>
      <c r="BM349" s="42">
        <v>0</v>
      </c>
      <c r="BN349" s="42">
        <v>0</v>
      </c>
      <c r="BO349" s="42">
        <v>0</v>
      </c>
      <c r="BP349" s="42">
        <v>0</v>
      </c>
      <c r="BQ349" s="42">
        <v>0</v>
      </c>
      <c r="BR349" s="42">
        <v>0</v>
      </c>
      <c r="BS349" s="42">
        <v>0</v>
      </c>
      <c r="BT349" s="42">
        <v>0</v>
      </c>
      <c r="BU349" s="42">
        <v>0</v>
      </c>
      <c r="BV349" s="42">
        <v>0</v>
      </c>
      <c r="BW349" s="42">
        <v>0</v>
      </c>
      <c r="BX349" s="42">
        <v>0</v>
      </c>
      <c r="BY349" s="42">
        <v>0</v>
      </c>
      <c r="BZ349" s="42">
        <v>0</v>
      </c>
      <c r="CA349" s="42">
        <v>0</v>
      </c>
      <c r="CB349" s="42">
        <v>0</v>
      </c>
      <c r="CC349" s="42">
        <v>0</v>
      </c>
      <c r="CD349" s="42">
        <v>0</v>
      </c>
      <c r="CE349" s="42">
        <v>0</v>
      </c>
      <c r="CF349" s="42">
        <v>0</v>
      </c>
      <c r="CG349" s="42">
        <v>0</v>
      </c>
      <c r="CH349" s="42">
        <v>0</v>
      </c>
      <c r="CI349" s="42">
        <v>0</v>
      </c>
      <c r="CJ349" s="42">
        <v>0</v>
      </c>
      <c r="CK349" s="43">
        <f t="shared" si="50"/>
        <v>0</v>
      </c>
      <c r="CL349" s="66"/>
      <c r="CM349" s="66">
        <v>0</v>
      </c>
      <c r="CN349" s="66">
        <v>0</v>
      </c>
      <c r="CO349" s="66">
        <v>0</v>
      </c>
      <c r="CP349" s="66">
        <v>0</v>
      </c>
      <c r="CQ349" s="66">
        <v>0</v>
      </c>
      <c r="CR349" s="66">
        <v>0</v>
      </c>
      <c r="CS349" s="66">
        <v>0</v>
      </c>
      <c r="CT349" s="66">
        <v>0</v>
      </c>
      <c r="CU349" s="66">
        <v>0</v>
      </c>
      <c r="CV349" s="66">
        <v>0</v>
      </c>
      <c r="CW349" s="66">
        <v>0</v>
      </c>
      <c r="CX349" s="66">
        <v>0</v>
      </c>
      <c r="CY349" s="66">
        <v>0</v>
      </c>
      <c r="CZ349" s="66">
        <v>0</v>
      </c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>
        <f>SUM(Table1[[#This Row],[01-03 Apr]:[Mar-26]])</f>
        <v>0</v>
      </c>
    </row>
    <row r="350" spans="1:115" x14ac:dyDescent="0.2">
      <c r="A350" s="28" t="s">
        <v>2255</v>
      </c>
      <c r="B350" s="29" t="s">
        <v>371</v>
      </c>
      <c r="C350" s="29" t="s">
        <v>2595</v>
      </c>
      <c r="D350" s="30" t="s">
        <v>2519</v>
      </c>
      <c r="E350" s="30" t="s">
        <v>101</v>
      </c>
      <c r="F350" s="30"/>
      <c r="G350" s="31">
        <v>45520</v>
      </c>
      <c r="H350" s="30">
        <v>310442</v>
      </c>
      <c r="I350" s="30" t="str">
        <f>IF(Table1[[#This Row],[Centre Status]]="Returned","NA",IF(Table1[[#This Row],[SD]]&gt;19000,"Full Payment",IF(Table1[[#This Row],[SD]]&lt;1,"No Payment","Partial Payment")))</f>
        <v>Partial Payment</v>
      </c>
      <c r="J350" s="30" t="s">
        <v>58</v>
      </c>
      <c r="K350" s="32">
        <v>110000</v>
      </c>
      <c r="L350" s="33">
        <f>Q350+R350+U350+Table1[[#This Row],[Farmer Payment]]</f>
        <v>32394.793073517827</v>
      </c>
      <c r="M350" s="30"/>
      <c r="N350" s="34"/>
      <c r="O350" s="34"/>
      <c r="P350" s="35">
        <f t="shared" si="47"/>
        <v>77605.206926482177</v>
      </c>
      <c r="Q350" s="33">
        <f>AI350+AV350+CK350+Table1[[#This Row],[FY 25-26]]</f>
        <v>22394.793073517827</v>
      </c>
      <c r="R350" s="36">
        <v>10000</v>
      </c>
      <c r="S350" s="37" t="s">
        <v>2523</v>
      </c>
      <c r="T350" s="38">
        <v>45472</v>
      </c>
      <c r="U350" s="39"/>
      <c r="V350" s="39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1">
        <f t="shared" si="48"/>
        <v>0</v>
      </c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>
        <f t="shared" si="49"/>
        <v>0</v>
      </c>
      <c r="AW350" s="42"/>
      <c r="AX350" s="42"/>
      <c r="AY350" s="42"/>
      <c r="AZ350" s="42">
        <v>0</v>
      </c>
      <c r="BA350" s="42">
        <v>188</v>
      </c>
      <c r="BB350" s="42">
        <v>500</v>
      </c>
      <c r="BC350" s="42">
        <v>861</v>
      </c>
      <c r="BD350" s="42">
        <v>500</v>
      </c>
      <c r="BE350" s="42">
        <v>0</v>
      </c>
      <c r="BF350" s="42">
        <v>0</v>
      </c>
      <c r="BG350" s="42">
        <v>0</v>
      </c>
      <c r="BH350" s="42">
        <v>0</v>
      </c>
      <c r="BI350" s="42">
        <v>1861</v>
      </c>
      <c r="BJ350" s="42">
        <v>0</v>
      </c>
      <c r="BK350" s="42">
        <v>0</v>
      </c>
      <c r="BL350" s="42">
        <v>0</v>
      </c>
      <c r="BM350" s="42">
        <v>0</v>
      </c>
      <c r="BN350" s="42">
        <v>1861</v>
      </c>
      <c r="BO350" s="42">
        <v>0</v>
      </c>
      <c r="BP350" s="42">
        <v>0</v>
      </c>
      <c r="BQ350" s="42">
        <v>0</v>
      </c>
      <c r="BR350" s="42">
        <v>0</v>
      </c>
      <c r="BS350" s="42">
        <v>1861</v>
      </c>
      <c r="BT350" s="42">
        <v>0</v>
      </c>
      <c r="BU350" s="42">
        <v>0</v>
      </c>
      <c r="BV350" s="42">
        <v>0</v>
      </c>
      <c r="BW350" s="42">
        <v>0</v>
      </c>
      <c r="BX350" s="42">
        <v>0</v>
      </c>
      <c r="BY350" s="42">
        <v>2506.9999850670638</v>
      </c>
      <c r="BZ350" s="42">
        <v>0</v>
      </c>
      <c r="CA350" s="42">
        <v>0</v>
      </c>
      <c r="CB350" s="42">
        <v>0</v>
      </c>
      <c r="CC350" s="42">
        <v>0</v>
      </c>
      <c r="CD350" s="42">
        <v>3938.5747647806397</v>
      </c>
      <c r="CE350" s="42">
        <v>0</v>
      </c>
      <c r="CF350" s="42">
        <v>0</v>
      </c>
      <c r="CG350" s="42">
        <v>0</v>
      </c>
      <c r="CH350" s="42">
        <v>0</v>
      </c>
      <c r="CI350" s="42">
        <v>0</v>
      </c>
      <c r="CJ350" s="42">
        <v>4145.8141171770012</v>
      </c>
      <c r="CK350" s="43">
        <f t="shared" si="50"/>
        <v>18223.388867024707</v>
      </c>
      <c r="CL350" s="66"/>
      <c r="CM350" s="66">
        <v>0</v>
      </c>
      <c r="CN350" s="66">
        <v>0</v>
      </c>
      <c r="CO350" s="66">
        <v>0</v>
      </c>
      <c r="CP350" s="66">
        <v>2310.4042064931205</v>
      </c>
      <c r="CQ350" s="66">
        <v>0</v>
      </c>
      <c r="CR350" s="66">
        <v>0</v>
      </c>
      <c r="CS350" s="66">
        <v>0</v>
      </c>
      <c r="CT350" s="66">
        <v>0</v>
      </c>
      <c r="CU350" s="66">
        <v>0</v>
      </c>
      <c r="CV350" s="66">
        <v>1861</v>
      </c>
      <c r="CW350" s="66">
        <v>0</v>
      </c>
      <c r="CX350" s="66">
        <v>0</v>
      </c>
      <c r="CY350" s="66">
        <v>0</v>
      </c>
      <c r="CZ350" s="66">
        <v>0</v>
      </c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>
        <f>SUM(Table1[[#This Row],[01-03 Apr]:[Mar-26]])</f>
        <v>4171.40420649312</v>
      </c>
    </row>
    <row r="351" spans="1:115" hidden="1" x14ac:dyDescent="0.2">
      <c r="A351" s="28" t="s">
        <v>2255</v>
      </c>
      <c r="B351" s="29" t="s">
        <v>371</v>
      </c>
      <c r="C351" s="29" t="s">
        <v>2596</v>
      </c>
      <c r="D351" s="30" t="s">
        <v>2520</v>
      </c>
      <c r="E351" s="30" t="s">
        <v>1630</v>
      </c>
      <c r="F351" s="30"/>
      <c r="G351" s="31">
        <v>45520</v>
      </c>
      <c r="H351" s="30">
        <v>309809</v>
      </c>
      <c r="I351" s="30" t="str">
        <f>IF(Table1[[#This Row],[Centre Status]]="Returned","NA",IF(Table1[[#This Row],[SD]]&gt;19000,"Full Payment",IF(Table1[[#This Row],[SD]]&lt;1,"No Payment","Partial Payment")))</f>
        <v>Full Payment</v>
      </c>
      <c r="J351" s="30" t="s">
        <v>58</v>
      </c>
      <c r="K351" s="32">
        <v>110000</v>
      </c>
      <c r="L351" s="33">
        <f>Q351+R351+U351+Table1[[#This Row],[Farmer Payment]]</f>
        <v>36356.859083714517</v>
      </c>
      <c r="M351" s="30"/>
      <c r="N351" s="34"/>
      <c r="O351" s="34"/>
      <c r="P351" s="35">
        <f t="shared" si="47"/>
        <v>73643.140916285483</v>
      </c>
      <c r="Q351" s="33">
        <f>AI351+AV351+CK351+Table1[[#This Row],[FY 25-26]]</f>
        <v>16356.85908371452</v>
      </c>
      <c r="R351" s="36">
        <v>20000</v>
      </c>
      <c r="S351" s="37" t="s">
        <v>2524</v>
      </c>
      <c r="T351" s="38">
        <v>45490</v>
      </c>
      <c r="U351" s="39"/>
      <c r="V351" s="39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1">
        <f t="shared" si="48"/>
        <v>0</v>
      </c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>
        <f t="shared" si="49"/>
        <v>0</v>
      </c>
      <c r="AW351" s="42"/>
      <c r="AX351" s="42"/>
      <c r="AY351" s="42"/>
      <c r="AZ351" s="42">
        <v>0</v>
      </c>
      <c r="BA351" s="42">
        <v>0</v>
      </c>
      <c r="BB351" s="42">
        <v>0</v>
      </c>
      <c r="BC351" s="42">
        <v>1160</v>
      </c>
      <c r="BD351" s="42">
        <v>0</v>
      </c>
      <c r="BE351" s="42">
        <v>0</v>
      </c>
      <c r="BF351" s="42">
        <v>0</v>
      </c>
      <c r="BG351" s="42">
        <v>0</v>
      </c>
      <c r="BH351" s="42">
        <v>0</v>
      </c>
      <c r="BI351" s="42">
        <v>1861</v>
      </c>
      <c r="BJ351" s="42">
        <v>0</v>
      </c>
      <c r="BK351" s="42">
        <v>0</v>
      </c>
      <c r="BL351" s="42">
        <v>0</v>
      </c>
      <c r="BM351" s="42">
        <v>0</v>
      </c>
      <c r="BN351" s="42">
        <v>1861</v>
      </c>
      <c r="BO351" s="42">
        <v>0</v>
      </c>
      <c r="BP351" s="42">
        <v>0</v>
      </c>
      <c r="BQ351" s="42">
        <v>0</v>
      </c>
      <c r="BR351" s="42">
        <v>0</v>
      </c>
      <c r="BS351" s="42">
        <v>2082.4454626713205</v>
      </c>
      <c r="BT351" s="42">
        <v>0</v>
      </c>
      <c r="BU351" s="42">
        <v>0</v>
      </c>
      <c r="BV351" s="42">
        <v>0</v>
      </c>
      <c r="BW351" s="42">
        <v>0</v>
      </c>
      <c r="BX351" s="42">
        <v>0</v>
      </c>
      <c r="BY351" s="42">
        <v>1861</v>
      </c>
      <c r="BZ351" s="42">
        <v>0</v>
      </c>
      <c r="CA351" s="42">
        <v>0</v>
      </c>
      <c r="CB351" s="42">
        <v>0</v>
      </c>
      <c r="CC351" s="42">
        <v>0</v>
      </c>
      <c r="CD351" s="42">
        <v>1948.4136210432002</v>
      </c>
      <c r="CE351" s="42">
        <v>0</v>
      </c>
      <c r="CF351" s="42">
        <v>0</v>
      </c>
      <c r="CG351" s="42">
        <v>0</v>
      </c>
      <c r="CH351" s="42">
        <v>0</v>
      </c>
      <c r="CI351" s="42">
        <v>0</v>
      </c>
      <c r="CJ351" s="42">
        <v>1861</v>
      </c>
      <c r="CK351" s="43">
        <f t="shared" si="50"/>
        <v>12634.85908371452</v>
      </c>
      <c r="CL351" s="66"/>
      <c r="CM351" s="66">
        <v>0</v>
      </c>
      <c r="CN351" s="66">
        <v>0</v>
      </c>
      <c r="CO351" s="66">
        <v>0</v>
      </c>
      <c r="CP351" s="66">
        <v>1861</v>
      </c>
      <c r="CQ351" s="66">
        <v>0</v>
      </c>
      <c r="CR351" s="66">
        <v>0</v>
      </c>
      <c r="CS351" s="66">
        <v>0</v>
      </c>
      <c r="CT351" s="66">
        <v>0</v>
      </c>
      <c r="CU351" s="66">
        <v>0</v>
      </c>
      <c r="CV351" s="66">
        <v>1861</v>
      </c>
      <c r="CW351" s="66">
        <v>0</v>
      </c>
      <c r="CX351" s="66">
        <v>0</v>
      </c>
      <c r="CY351" s="66">
        <v>0</v>
      </c>
      <c r="CZ351" s="66">
        <v>0</v>
      </c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>
        <f>SUM(Table1[[#This Row],[01-03 Apr]:[Mar-26]])</f>
        <v>3722</v>
      </c>
    </row>
    <row r="352" spans="1:115" hidden="1" x14ac:dyDescent="0.2">
      <c r="A352" s="28" t="s">
        <v>2255</v>
      </c>
      <c r="B352" s="29" t="s">
        <v>371</v>
      </c>
      <c r="C352" s="29" t="s">
        <v>2597</v>
      </c>
      <c r="D352" s="30" t="s">
        <v>2521</v>
      </c>
      <c r="E352" s="30" t="s">
        <v>101</v>
      </c>
      <c r="F352" s="30"/>
      <c r="G352" s="31">
        <v>45520</v>
      </c>
      <c r="H352" s="30">
        <v>387344</v>
      </c>
      <c r="I352" s="30" t="str">
        <f>IF(Table1[[#This Row],[Centre Status]]="Returned","NA",IF(Table1[[#This Row],[SD]]&gt;19000,"Full Payment",IF(Table1[[#This Row],[SD]]&lt;1,"No Payment","Partial Payment")))</f>
        <v>Full Payment</v>
      </c>
      <c r="J352" s="30" t="s">
        <v>58</v>
      </c>
      <c r="K352" s="32">
        <v>110000</v>
      </c>
      <c r="L352" s="33">
        <f>Q352+R352+U352+Table1[[#This Row],[Farmer Payment]]</f>
        <v>74552.803761061616</v>
      </c>
      <c r="M352" s="30"/>
      <c r="N352" s="34"/>
      <c r="O352" s="34"/>
      <c r="P352" s="35">
        <f t="shared" si="47"/>
        <v>35447.196238938384</v>
      </c>
      <c r="Q352" s="33">
        <f>AI352+AV352+CK352+Table1[[#This Row],[FY 25-26]]</f>
        <v>54552.803761061616</v>
      </c>
      <c r="R352" s="36">
        <v>20000</v>
      </c>
      <c r="S352" s="37" t="s">
        <v>2525</v>
      </c>
      <c r="T352" s="38">
        <v>45498</v>
      </c>
      <c r="U352" s="39"/>
      <c r="V352" s="39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1">
        <f t="shared" si="48"/>
        <v>0</v>
      </c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>
        <f t="shared" si="49"/>
        <v>0</v>
      </c>
      <c r="AW352" s="42"/>
      <c r="AX352" s="42"/>
      <c r="AY352" s="42"/>
      <c r="AZ352" s="42">
        <v>0</v>
      </c>
      <c r="BA352" s="42">
        <v>703</v>
      </c>
      <c r="BB352" s="42">
        <v>500</v>
      </c>
      <c r="BC352" s="42">
        <v>5512.7377813611729</v>
      </c>
      <c r="BD352" s="42">
        <v>500</v>
      </c>
      <c r="BE352" s="42">
        <v>0</v>
      </c>
      <c r="BF352" s="42">
        <v>0</v>
      </c>
      <c r="BG352" s="42">
        <v>0</v>
      </c>
      <c r="BH352" s="42">
        <v>0</v>
      </c>
      <c r="BI352" s="42">
        <v>9149.0080664874968</v>
      </c>
      <c r="BJ352" s="42">
        <v>0</v>
      </c>
      <c r="BK352" s="42">
        <v>0</v>
      </c>
      <c r="BL352" s="42">
        <v>0</v>
      </c>
      <c r="BM352" s="42">
        <v>0</v>
      </c>
      <c r="BN352" s="42">
        <v>7907.9953359132578</v>
      </c>
      <c r="BO352" s="42">
        <v>0</v>
      </c>
      <c r="BP352" s="42">
        <v>0</v>
      </c>
      <c r="BQ352" s="42">
        <v>0</v>
      </c>
      <c r="BR352" s="42">
        <v>0</v>
      </c>
      <c r="BS352" s="42">
        <v>11597.195013110086</v>
      </c>
      <c r="BT352" s="42">
        <v>0</v>
      </c>
      <c r="BU352" s="42">
        <v>0</v>
      </c>
      <c r="BV352" s="42">
        <v>0</v>
      </c>
      <c r="BW352" s="42">
        <v>0</v>
      </c>
      <c r="BX352" s="42">
        <v>0</v>
      </c>
      <c r="BY352" s="42">
        <v>9209.0931774883484</v>
      </c>
      <c r="BZ352" s="42">
        <v>0</v>
      </c>
      <c r="CA352" s="42">
        <v>0</v>
      </c>
      <c r="CB352" s="42">
        <v>0</v>
      </c>
      <c r="CC352" s="42">
        <v>0</v>
      </c>
      <c r="CD352" s="42">
        <v>2734.1744350624003</v>
      </c>
      <c r="CE352" s="42">
        <v>0</v>
      </c>
      <c r="CF352" s="42">
        <v>0</v>
      </c>
      <c r="CG352" s="42">
        <v>0</v>
      </c>
      <c r="CH352" s="42">
        <v>0</v>
      </c>
      <c r="CI352" s="42">
        <v>0</v>
      </c>
      <c r="CJ352" s="42">
        <v>2992.2608418587101</v>
      </c>
      <c r="CK352" s="43">
        <f t="shared" si="50"/>
        <v>50805.46465128148</v>
      </c>
      <c r="CL352" s="66"/>
      <c r="CM352" s="66">
        <v>0</v>
      </c>
      <c r="CN352" s="66">
        <v>0</v>
      </c>
      <c r="CO352" s="66">
        <v>0</v>
      </c>
      <c r="CP352" s="66">
        <v>1886.3391097801341</v>
      </c>
      <c r="CQ352" s="66">
        <v>0</v>
      </c>
      <c r="CR352" s="66">
        <v>0</v>
      </c>
      <c r="CS352" s="66">
        <v>0</v>
      </c>
      <c r="CT352" s="66">
        <v>0</v>
      </c>
      <c r="CU352" s="66">
        <v>0</v>
      </c>
      <c r="CV352" s="66">
        <v>1861</v>
      </c>
      <c r="CW352" s="66">
        <v>0</v>
      </c>
      <c r="CX352" s="66">
        <v>0</v>
      </c>
      <c r="CY352" s="66">
        <v>0</v>
      </c>
      <c r="CZ352" s="66">
        <v>0</v>
      </c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>
        <f>SUM(Table1[[#This Row],[01-03 Apr]:[Mar-26]])</f>
        <v>3747.3391097801341</v>
      </c>
    </row>
    <row r="353" spans="1:115" x14ac:dyDescent="0.2">
      <c r="A353" s="28" t="s">
        <v>2255</v>
      </c>
      <c r="B353" s="29" t="s">
        <v>371</v>
      </c>
      <c r="C353" s="29" t="s">
        <v>2598</v>
      </c>
      <c r="D353" s="30" t="s">
        <v>2522</v>
      </c>
      <c r="E353" s="30" t="s">
        <v>1630</v>
      </c>
      <c r="F353" s="30"/>
      <c r="G353" s="31">
        <v>45520</v>
      </c>
      <c r="H353" s="30">
        <v>275294</v>
      </c>
      <c r="I353" s="30" t="str">
        <f>IF(Table1[[#This Row],[Centre Status]]="Returned","NA",IF(Table1[[#This Row],[SD]]&gt;19000,"Full Payment",IF(Table1[[#This Row],[SD]]&lt;1,"No Payment","Partial Payment")))</f>
        <v>Partial Payment</v>
      </c>
      <c r="J353" s="30" t="s">
        <v>58</v>
      </c>
      <c r="K353" s="32">
        <v>110000</v>
      </c>
      <c r="L353" s="33">
        <f>Q353+R353+U353+Table1[[#This Row],[Farmer Payment]]</f>
        <v>43955.765454453162</v>
      </c>
      <c r="M353" s="30"/>
      <c r="N353" s="34"/>
      <c r="O353" s="34"/>
      <c r="P353" s="35">
        <f t="shared" si="47"/>
        <v>66044.234545546846</v>
      </c>
      <c r="Q353" s="33">
        <f>AI353+AV353+CK353+Table1[[#This Row],[FY 25-26]]</f>
        <v>33955.765454453162</v>
      </c>
      <c r="R353" s="36">
        <v>10000</v>
      </c>
      <c r="S353" s="37" t="s">
        <v>2526</v>
      </c>
      <c r="T353" s="38">
        <v>45514</v>
      </c>
      <c r="U353" s="39"/>
      <c r="V353" s="39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1">
        <f t="shared" si="48"/>
        <v>0</v>
      </c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>
        <f t="shared" si="49"/>
        <v>0</v>
      </c>
      <c r="AW353" s="42"/>
      <c r="AX353" s="42"/>
      <c r="AY353" s="42"/>
      <c r="AZ353" s="42">
        <v>0</v>
      </c>
      <c r="BA353" s="42">
        <v>0</v>
      </c>
      <c r="BB353" s="42">
        <v>0</v>
      </c>
      <c r="BC353" s="42">
        <v>4739.7556487258662</v>
      </c>
      <c r="BD353" s="42">
        <v>0</v>
      </c>
      <c r="BE353" s="42">
        <v>0</v>
      </c>
      <c r="BF353" s="42">
        <v>0</v>
      </c>
      <c r="BG353" s="42">
        <v>0</v>
      </c>
      <c r="BH353" s="42">
        <v>0</v>
      </c>
      <c r="BI353" s="42">
        <v>4077.3692583294442</v>
      </c>
      <c r="BJ353" s="42">
        <v>0</v>
      </c>
      <c r="BK353" s="42">
        <v>0</v>
      </c>
      <c r="BL353" s="42">
        <v>0</v>
      </c>
      <c r="BM353" s="42">
        <v>0</v>
      </c>
      <c r="BN353" s="42">
        <v>3524.5449372983321</v>
      </c>
      <c r="BO353" s="42">
        <v>0</v>
      </c>
      <c r="BP353" s="42">
        <v>0</v>
      </c>
      <c r="BQ353" s="42">
        <v>0</v>
      </c>
      <c r="BR353" s="42">
        <v>0</v>
      </c>
      <c r="BS353" s="42">
        <v>3844.9431439748605</v>
      </c>
      <c r="BT353" s="42">
        <v>0</v>
      </c>
      <c r="BU353" s="42">
        <v>0</v>
      </c>
      <c r="BV353" s="42">
        <v>0</v>
      </c>
      <c r="BW353" s="42">
        <v>0</v>
      </c>
      <c r="BX353" s="42">
        <v>0</v>
      </c>
      <c r="BY353" s="42">
        <v>3178.6983906016781</v>
      </c>
      <c r="BZ353" s="42">
        <v>0</v>
      </c>
      <c r="CA353" s="42">
        <v>0</v>
      </c>
      <c r="CB353" s="42">
        <v>0</v>
      </c>
      <c r="CC353" s="42">
        <v>0</v>
      </c>
      <c r="CD353" s="42">
        <v>3875.0281357093049</v>
      </c>
      <c r="CE353" s="42">
        <v>0</v>
      </c>
      <c r="CF353" s="42">
        <v>0</v>
      </c>
      <c r="CG353" s="42">
        <v>0</v>
      </c>
      <c r="CH353" s="42">
        <v>0</v>
      </c>
      <c r="CI353" s="42">
        <v>0</v>
      </c>
      <c r="CJ353" s="42">
        <v>4196.5805033522411</v>
      </c>
      <c r="CK353" s="43">
        <f t="shared" si="50"/>
        <v>27436.920017991724</v>
      </c>
      <c r="CL353" s="66"/>
      <c r="CM353" s="66">
        <v>0</v>
      </c>
      <c r="CN353" s="66">
        <v>0</v>
      </c>
      <c r="CO353" s="66">
        <v>0</v>
      </c>
      <c r="CP353" s="66">
        <v>3563.6131594331709</v>
      </c>
      <c r="CQ353" s="66">
        <v>0</v>
      </c>
      <c r="CR353" s="66">
        <v>0</v>
      </c>
      <c r="CS353" s="66">
        <v>0</v>
      </c>
      <c r="CT353" s="66">
        <v>0</v>
      </c>
      <c r="CU353" s="66">
        <v>0</v>
      </c>
      <c r="CV353" s="66">
        <v>2955.2322770282685</v>
      </c>
      <c r="CW353" s="66">
        <v>0</v>
      </c>
      <c r="CX353" s="66">
        <v>0</v>
      </c>
      <c r="CY353" s="66">
        <v>0</v>
      </c>
      <c r="CZ353" s="66">
        <v>0</v>
      </c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>
        <f>SUM(Table1[[#This Row],[01-03 Apr]:[Mar-26]])</f>
        <v>6518.845436461439</v>
      </c>
    </row>
    <row r="354" spans="1:115" hidden="1" x14ac:dyDescent="0.2">
      <c r="A354" s="28" t="s">
        <v>2255</v>
      </c>
      <c r="B354" s="29" t="s">
        <v>406</v>
      </c>
      <c r="C354" s="29" t="s">
        <v>407</v>
      </c>
      <c r="D354" s="30" t="s">
        <v>408</v>
      </c>
      <c r="E354" s="30" t="s">
        <v>217</v>
      </c>
      <c r="F354" s="30"/>
      <c r="G354" s="31" t="s">
        <v>395</v>
      </c>
      <c r="H354" s="30">
        <v>277005</v>
      </c>
      <c r="I354" s="30" t="str">
        <f>IF(Table1[[#This Row],[Centre Status]]="Returned","NA",IF(Table1[[#This Row],[SD]]&gt;19000,"Full Payment",IF(Table1[[#This Row],[SD]]&lt;1,"No Payment","Partial Payment")))</f>
        <v>Full Payment</v>
      </c>
      <c r="J354" s="30" t="s">
        <v>58</v>
      </c>
      <c r="K354" s="32">
        <v>64000</v>
      </c>
      <c r="L354" s="33">
        <f>Q354+R354+U354+Table1[[#This Row],[Farmer Payment]]</f>
        <v>65372.090406297597</v>
      </c>
      <c r="M354" s="30"/>
      <c r="N354" s="34"/>
      <c r="O354" s="34"/>
      <c r="P354" s="35">
        <f t="shared" si="47"/>
        <v>-1372.0904062975969</v>
      </c>
      <c r="Q354" s="33">
        <f>AI354+AV354+CK354+Table1[[#This Row],[FY 25-26]]</f>
        <v>45372.090406297597</v>
      </c>
      <c r="R354" s="36">
        <v>20000</v>
      </c>
      <c r="S354" s="37" t="s">
        <v>409</v>
      </c>
      <c r="T354" s="38">
        <v>44704</v>
      </c>
      <c r="U354" s="39"/>
      <c r="V354" s="39"/>
      <c r="W354" s="40">
        <v>0</v>
      </c>
      <c r="X354" s="40">
        <v>0</v>
      </c>
      <c r="Y354" s="40">
        <v>0</v>
      </c>
      <c r="Z354" s="40">
        <v>719</v>
      </c>
      <c r="AA354" s="40">
        <v>2017.8591999999999</v>
      </c>
      <c r="AB354" s="40">
        <v>1861</v>
      </c>
      <c r="AC354" s="40">
        <v>1287</v>
      </c>
      <c r="AD354" s="40">
        <v>974</v>
      </c>
      <c r="AE354" s="40">
        <v>1861</v>
      </c>
      <c r="AF354" s="40">
        <v>1861</v>
      </c>
      <c r="AG354" s="40">
        <v>1861</v>
      </c>
      <c r="AH354" s="40">
        <v>1861</v>
      </c>
      <c r="AI354" s="41">
        <f t="shared" si="48"/>
        <v>14302.859199999999</v>
      </c>
      <c r="AJ354" s="42">
        <v>1760</v>
      </c>
      <c r="AK354" s="42">
        <v>825</v>
      </c>
      <c r="AL354" s="42">
        <v>1186</v>
      </c>
      <c r="AM354" s="42">
        <v>1861</v>
      </c>
      <c r="AN354" s="42">
        <v>1861</v>
      </c>
      <c r="AO354" s="42">
        <v>1861</v>
      </c>
      <c r="AP354" s="42">
        <v>1861</v>
      </c>
      <c r="AQ354" s="42">
        <v>1321</v>
      </c>
      <c r="AR354" s="42">
        <v>1861</v>
      </c>
      <c r="AS354" s="42">
        <v>1861</v>
      </c>
      <c r="AT354" s="42">
        <v>1861</v>
      </c>
      <c r="AU354" s="42">
        <v>1861</v>
      </c>
      <c r="AV354" s="42">
        <f t="shared" si="49"/>
        <v>19980</v>
      </c>
      <c r="AW354" s="42">
        <v>1861</v>
      </c>
      <c r="AX354" s="42">
        <v>1861</v>
      </c>
      <c r="AY354" s="42">
        <v>1861</v>
      </c>
      <c r="AZ354" s="42">
        <v>1996.2312062976</v>
      </c>
      <c r="BA354" s="42">
        <v>1302</v>
      </c>
      <c r="BB354" s="42">
        <v>500</v>
      </c>
      <c r="BC354" s="42">
        <v>0</v>
      </c>
      <c r="BD354" s="42">
        <v>0</v>
      </c>
      <c r="BE354" s="42">
        <v>0</v>
      </c>
      <c r="BF354" s="42">
        <v>0</v>
      </c>
      <c r="BG354" s="42">
        <v>0</v>
      </c>
      <c r="BH354" s="42">
        <v>0</v>
      </c>
      <c r="BI354" s="42">
        <v>0</v>
      </c>
      <c r="BJ354" s="42">
        <v>0</v>
      </c>
      <c r="BK354" s="42">
        <v>0</v>
      </c>
      <c r="BL354" s="42">
        <v>0</v>
      </c>
      <c r="BM354" s="42">
        <v>0</v>
      </c>
      <c r="BN354" s="42">
        <v>0</v>
      </c>
      <c r="BO354" s="42">
        <v>0</v>
      </c>
      <c r="BP354" s="42">
        <v>0</v>
      </c>
      <c r="BQ354" s="42">
        <v>0</v>
      </c>
      <c r="BR354" s="42">
        <v>0</v>
      </c>
      <c r="BS354" s="42">
        <v>208</v>
      </c>
      <c r="BT354" s="42">
        <v>0</v>
      </c>
      <c r="BU354" s="42">
        <v>0</v>
      </c>
      <c r="BV354" s="42">
        <v>500</v>
      </c>
      <c r="BW354" s="42">
        <v>500</v>
      </c>
      <c r="BX354" s="42">
        <v>500</v>
      </c>
      <c r="BY354" s="42">
        <v>-1500</v>
      </c>
      <c r="BZ354" s="42">
        <v>500</v>
      </c>
      <c r="CA354" s="42">
        <v>0</v>
      </c>
      <c r="CB354" s="42">
        <v>500</v>
      </c>
      <c r="CC354" s="42">
        <v>500</v>
      </c>
      <c r="CD354" s="42">
        <v>0</v>
      </c>
      <c r="CE354" s="42">
        <v>0</v>
      </c>
      <c r="CF354" s="42">
        <v>0</v>
      </c>
      <c r="CG354" s="42">
        <v>0</v>
      </c>
      <c r="CH354" s="42">
        <v>0</v>
      </c>
      <c r="CI354" s="42">
        <v>0</v>
      </c>
      <c r="CJ354" s="42">
        <v>0</v>
      </c>
      <c r="CK354" s="43">
        <f t="shared" si="50"/>
        <v>11089.2312062976</v>
      </c>
      <c r="CL354" s="66"/>
      <c r="CM354" s="66">
        <v>0</v>
      </c>
      <c r="CN354" s="66">
        <v>0</v>
      </c>
      <c r="CO354" s="66">
        <v>0</v>
      </c>
      <c r="CP354" s="66">
        <v>0</v>
      </c>
      <c r="CQ354" s="66">
        <v>0</v>
      </c>
      <c r="CR354" s="66">
        <v>0</v>
      </c>
      <c r="CS354" s="66">
        <v>0</v>
      </c>
      <c r="CT354" s="66">
        <v>0</v>
      </c>
      <c r="CU354" s="66">
        <v>0</v>
      </c>
      <c r="CV354" s="66">
        <v>0</v>
      </c>
      <c r="CW354" s="66">
        <v>0</v>
      </c>
      <c r="CX354" s="66">
        <v>0</v>
      </c>
      <c r="CY354" s="66">
        <v>0</v>
      </c>
      <c r="CZ354" s="66">
        <v>0</v>
      </c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>
        <f>SUM(Table1[[#This Row],[01-03 Apr]:[Mar-26]])</f>
        <v>0</v>
      </c>
    </row>
    <row r="355" spans="1:115" x14ac:dyDescent="0.2">
      <c r="A355" s="28" t="s">
        <v>2363</v>
      </c>
      <c r="B355" s="29" t="s">
        <v>410</v>
      </c>
      <c r="C355" s="29" t="s">
        <v>3336</v>
      </c>
      <c r="D355" s="30" t="s">
        <v>411</v>
      </c>
      <c r="E355" s="30" t="s">
        <v>217</v>
      </c>
      <c r="F355" s="30"/>
      <c r="G355" s="31" t="s">
        <v>395</v>
      </c>
      <c r="H355" s="30"/>
      <c r="I355" s="30" t="str">
        <f>IF(Table1[[#This Row],[Centre Status]]="Returned","NA",IF(Table1[[#This Row],[SD]]&gt;19000,"Full Payment",IF(Table1[[#This Row],[SD]]&lt;1,"No Payment","Partial Payment")))</f>
        <v>Partial Payment</v>
      </c>
      <c r="J355" s="30" t="s">
        <v>58</v>
      </c>
      <c r="K355" s="32">
        <v>64000</v>
      </c>
      <c r="L355" s="33">
        <f>Q355+R355+U355+Table1[[#This Row],[Farmer Payment]]</f>
        <v>13023</v>
      </c>
      <c r="M355" s="30"/>
      <c r="N355" s="34"/>
      <c r="O355" s="34"/>
      <c r="P355" s="35">
        <f t="shared" si="47"/>
        <v>50977</v>
      </c>
      <c r="Q355" s="33">
        <f>AI355+AV355+CK355+Table1[[#This Row],[FY 25-26]]</f>
        <v>3023</v>
      </c>
      <c r="R355" s="36">
        <v>10000</v>
      </c>
      <c r="S355" s="37" t="s">
        <v>412</v>
      </c>
      <c r="T355" s="38">
        <v>44704</v>
      </c>
      <c r="U355" s="39"/>
      <c r="V355" s="39"/>
      <c r="W355" s="40">
        <v>0</v>
      </c>
      <c r="X355" s="40">
        <v>0</v>
      </c>
      <c r="Y355" s="40">
        <v>0</v>
      </c>
      <c r="Z355" s="40">
        <v>0</v>
      </c>
      <c r="AA355" s="40">
        <v>0</v>
      </c>
      <c r="AB355" s="40">
        <v>869</v>
      </c>
      <c r="AC355" s="40">
        <v>675</v>
      </c>
      <c r="AD355" s="40">
        <v>667</v>
      </c>
      <c r="AE355" s="40">
        <v>812</v>
      </c>
      <c r="AF355" s="40">
        <v>0</v>
      </c>
      <c r="AG355" s="40">
        <v>0</v>
      </c>
      <c r="AH355" s="40">
        <v>0</v>
      </c>
      <c r="AI355" s="41">
        <f t="shared" si="48"/>
        <v>3023</v>
      </c>
      <c r="AJ355" s="42">
        <v>0</v>
      </c>
      <c r="AK355" s="42">
        <v>0</v>
      </c>
      <c r="AL355" s="42">
        <v>0</v>
      </c>
      <c r="AM355" s="42">
        <v>0</v>
      </c>
      <c r="AN355" s="42">
        <v>0</v>
      </c>
      <c r="AO355" s="42">
        <v>0</v>
      </c>
      <c r="AP355" s="42">
        <v>0</v>
      </c>
      <c r="AQ355" s="42">
        <v>0</v>
      </c>
      <c r="AR355" s="42">
        <v>0</v>
      </c>
      <c r="AS355" s="42">
        <v>0</v>
      </c>
      <c r="AT355" s="42">
        <v>0</v>
      </c>
      <c r="AU355" s="42">
        <v>0</v>
      </c>
      <c r="AV355" s="42">
        <f t="shared" si="49"/>
        <v>0</v>
      </c>
      <c r="AW355" s="42">
        <v>0</v>
      </c>
      <c r="AX355" s="42">
        <v>0</v>
      </c>
      <c r="AY355" s="42">
        <v>0</v>
      </c>
      <c r="AZ355" s="42">
        <v>0</v>
      </c>
      <c r="BA355" s="42">
        <v>0</v>
      </c>
      <c r="BB355" s="42">
        <v>0</v>
      </c>
      <c r="BC355" s="42">
        <v>0</v>
      </c>
      <c r="BD355" s="42">
        <v>0</v>
      </c>
      <c r="BE355" s="42">
        <v>0</v>
      </c>
      <c r="BF355" s="42">
        <v>0</v>
      </c>
      <c r="BG355" s="42">
        <v>0</v>
      </c>
      <c r="BH355" s="42">
        <v>0</v>
      </c>
      <c r="BI355" s="42">
        <v>0</v>
      </c>
      <c r="BJ355" s="42">
        <v>0</v>
      </c>
      <c r="BK355" s="42">
        <v>0</v>
      </c>
      <c r="BL355" s="42">
        <v>0</v>
      </c>
      <c r="BM355" s="42">
        <v>0</v>
      </c>
      <c r="BN355" s="42">
        <v>0</v>
      </c>
      <c r="BO355" s="42">
        <v>0</v>
      </c>
      <c r="BP355" s="42">
        <v>0</v>
      </c>
      <c r="BQ355" s="42">
        <v>0</v>
      </c>
      <c r="BR355" s="42">
        <v>0</v>
      </c>
      <c r="BS355" s="42">
        <v>0</v>
      </c>
      <c r="BT355" s="42">
        <v>0</v>
      </c>
      <c r="BU355" s="42">
        <v>0</v>
      </c>
      <c r="BV355" s="42">
        <v>0</v>
      </c>
      <c r="BW355" s="42">
        <v>0</v>
      </c>
      <c r="BX355" s="42">
        <v>0</v>
      </c>
      <c r="BY355" s="42">
        <v>0</v>
      </c>
      <c r="BZ355" s="42">
        <v>0</v>
      </c>
      <c r="CA355" s="42">
        <v>0</v>
      </c>
      <c r="CB355" s="42">
        <v>0</v>
      </c>
      <c r="CC355" s="42">
        <v>0</v>
      </c>
      <c r="CD355" s="42">
        <v>0</v>
      </c>
      <c r="CE355" s="42">
        <v>0</v>
      </c>
      <c r="CF355" s="42">
        <v>0</v>
      </c>
      <c r="CG355" s="42">
        <v>0</v>
      </c>
      <c r="CH355" s="42">
        <v>0</v>
      </c>
      <c r="CI355" s="42">
        <v>0</v>
      </c>
      <c r="CJ355" s="42">
        <v>0</v>
      </c>
      <c r="CK355" s="43">
        <f t="shared" si="50"/>
        <v>0</v>
      </c>
      <c r="CL355" s="66"/>
      <c r="CM355" s="66">
        <v>0</v>
      </c>
      <c r="CN355" s="66">
        <v>0</v>
      </c>
      <c r="CO355" s="66">
        <v>0</v>
      </c>
      <c r="CP355" s="66">
        <v>0</v>
      </c>
      <c r="CQ355" s="66">
        <v>0</v>
      </c>
      <c r="CR355" s="66">
        <v>0</v>
      </c>
      <c r="CS355" s="66">
        <v>0</v>
      </c>
      <c r="CT355" s="66">
        <v>0</v>
      </c>
      <c r="CU355" s="66">
        <v>0</v>
      </c>
      <c r="CV355" s="66">
        <v>0</v>
      </c>
      <c r="CW355" s="66">
        <v>0</v>
      </c>
      <c r="CX355" s="66">
        <v>0</v>
      </c>
      <c r="CY355" s="66">
        <v>0</v>
      </c>
      <c r="CZ355" s="66">
        <v>0</v>
      </c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>
        <f>SUM(Table1[[#This Row],[01-03 Apr]:[Mar-26]])</f>
        <v>0</v>
      </c>
    </row>
    <row r="356" spans="1:115" hidden="1" x14ac:dyDescent="0.2">
      <c r="A356" s="28" t="s">
        <v>2629</v>
      </c>
      <c r="B356" s="29" t="s">
        <v>2329</v>
      </c>
      <c r="C356" s="29" t="s">
        <v>2329</v>
      </c>
      <c r="D356" s="30" t="s">
        <v>2327</v>
      </c>
      <c r="E356" s="30" t="s">
        <v>85</v>
      </c>
      <c r="F356" s="30"/>
      <c r="G356" s="31"/>
      <c r="H356" s="30"/>
      <c r="I356" s="30" t="str">
        <f>IF(Table1[[#This Row],[Centre Status]]="Returned","NA",IF(Table1[[#This Row],[SD]]&gt;19000,"Full Payment",IF(Table1[[#This Row],[SD]]&lt;1,"No Payment","Partial Payment")))</f>
        <v>Full Payment</v>
      </c>
      <c r="J356" s="30" t="s">
        <v>58</v>
      </c>
      <c r="K356" s="32">
        <v>110000</v>
      </c>
      <c r="L356" s="33">
        <f>Q356+R356+U356+Table1[[#This Row],[Farmer Payment]]</f>
        <v>20000</v>
      </c>
      <c r="M356" s="30"/>
      <c r="N356" s="34"/>
      <c r="O356" s="34"/>
      <c r="P356" s="35">
        <f t="shared" si="47"/>
        <v>90000</v>
      </c>
      <c r="Q356" s="33">
        <f>AI356+AV356+CK356+Table1[[#This Row],[FY 25-26]]</f>
        <v>0</v>
      </c>
      <c r="R356" s="36">
        <v>20000</v>
      </c>
      <c r="S356" s="37" t="s">
        <v>2328</v>
      </c>
      <c r="T356" s="38">
        <v>45398</v>
      </c>
      <c r="U356" s="39"/>
      <c r="V356" s="39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1">
        <f t="shared" si="48"/>
        <v>0</v>
      </c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>
        <f t="shared" si="49"/>
        <v>0</v>
      </c>
      <c r="AW356" s="42"/>
      <c r="AX356" s="42"/>
      <c r="AY356" s="42">
        <v>0</v>
      </c>
      <c r="AZ356" s="42">
        <v>0</v>
      </c>
      <c r="BA356" s="42">
        <v>0</v>
      </c>
      <c r="BB356" s="42">
        <v>0</v>
      </c>
      <c r="BC356" s="42">
        <v>0</v>
      </c>
      <c r="BD356" s="42">
        <v>0</v>
      </c>
      <c r="BE356" s="42">
        <v>0</v>
      </c>
      <c r="BF356" s="42">
        <v>0</v>
      </c>
      <c r="BG356" s="42">
        <v>0</v>
      </c>
      <c r="BH356" s="42">
        <v>0</v>
      </c>
      <c r="BI356" s="42">
        <v>0</v>
      </c>
      <c r="BJ356" s="42">
        <v>0</v>
      </c>
      <c r="BK356" s="42">
        <v>0</v>
      </c>
      <c r="BL356" s="42">
        <v>0</v>
      </c>
      <c r="BM356" s="42">
        <v>0</v>
      </c>
      <c r="BN356" s="42">
        <v>0</v>
      </c>
      <c r="BO356" s="42">
        <v>0</v>
      </c>
      <c r="BP356" s="42">
        <v>0</v>
      </c>
      <c r="BQ356" s="42">
        <v>0</v>
      </c>
      <c r="BR356" s="42">
        <v>0</v>
      </c>
      <c r="BS356" s="42">
        <v>0</v>
      </c>
      <c r="BT356" s="42">
        <v>0</v>
      </c>
      <c r="BU356" s="42">
        <v>0</v>
      </c>
      <c r="BV356" s="42">
        <v>0</v>
      </c>
      <c r="BW356" s="42">
        <v>0</v>
      </c>
      <c r="BX356" s="42">
        <v>0</v>
      </c>
      <c r="BY356" s="42">
        <v>0</v>
      </c>
      <c r="BZ356" s="42">
        <v>0</v>
      </c>
      <c r="CA356" s="42">
        <v>0</v>
      </c>
      <c r="CB356" s="42">
        <v>0</v>
      </c>
      <c r="CC356" s="42">
        <v>0</v>
      </c>
      <c r="CD356" s="42">
        <v>0</v>
      </c>
      <c r="CE356" s="42">
        <v>0</v>
      </c>
      <c r="CF356" s="42">
        <v>0</v>
      </c>
      <c r="CG356" s="42">
        <v>0</v>
      </c>
      <c r="CH356" s="42">
        <v>0</v>
      </c>
      <c r="CI356" s="42">
        <v>0</v>
      </c>
      <c r="CJ356" s="42">
        <v>0</v>
      </c>
      <c r="CK356" s="43">
        <f t="shared" si="50"/>
        <v>0</v>
      </c>
      <c r="CL356" s="66"/>
      <c r="CM356" s="66">
        <v>0</v>
      </c>
      <c r="CN356" s="66">
        <v>0</v>
      </c>
      <c r="CO356" s="66">
        <v>0</v>
      </c>
      <c r="CP356" s="66">
        <v>0</v>
      </c>
      <c r="CQ356" s="66">
        <v>0</v>
      </c>
      <c r="CR356" s="66">
        <v>0</v>
      </c>
      <c r="CS356" s="66">
        <v>0</v>
      </c>
      <c r="CT356" s="66">
        <v>0</v>
      </c>
      <c r="CU356" s="66">
        <v>0</v>
      </c>
      <c r="CV356" s="66">
        <v>0</v>
      </c>
      <c r="CW356" s="66">
        <v>0</v>
      </c>
      <c r="CX356" s="66">
        <v>0</v>
      </c>
      <c r="CY356" s="66">
        <v>0</v>
      </c>
      <c r="CZ356" s="66">
        <v>0</v>
      </c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>
        <f>SUM(Table1[[#This Row],[01-03 Apr]:[Mar-26]])</f>
        <v>0</v>
      </c>
    </row>
    <row r="357" spans="1:115" hidden="1" x14ac:dyDescent="0.2">
      <c r="A357" s="28" t="s">
        <v>2363</v>
      </c>
      <c r="B357" s="29" t="s">
        <v>417</v>
      </c>
      <c r="C357" s="29" t="s">
        <v>3007</v>
      </c>
      <c r="D357" s="30" t="s">
        <v>418</v>
      </c>
      <c r="E357" s="30" t="s">
        <v>217</v>
      </c>
      <c r="F357" s="30"/>
      <c r="G357" s="31" t="s">
        <v>395</v>
      </c>
      <c r="H357" s="30"/>
      <c r="I357" s="30" t="str">
        <f>IF(Table1[[#This Row],[Centre Status]]="Returned","NA",IF(Table1[[#This Row],[SD]]&gt;19000,"Full Payment",IF(Table1[[#This Row],[SD]]&lt;1,"No Payment","Partial Payment")))</f>
        <v>Full Payment</v>
      </c>
      <c r="J357" s="30" t="s">
        <v>58</v>
      </c>
      <c r="K357" s="32">
        <v>110000</v>
      </c>
      <c r="L357" s="33">
        <f>Q357+R357+U357+Table1[[#This Row],[Farmer Payment]]</f>
        <v>20000</v>
      </c>
      <c r="M357" s="30"/>
      <c r="N357" s="34"/>
      <c r="O357" s="34"/>
      <c r="P357" s="35">
        <f t="shared" si="47"/>
        <v>90000</v>
      </c>
      <c r="Q357" s="33">
        <f>AI357+AV357+CK357+Table1[[#This Row],[FY 25-26]]</f>
        <v>0</v>
      </c>
      <c r="R357" s="36">
        <v>20000</v>
      </c>
      <c r="S357" s="37" t="s">
        <v>419</v>
      </c>
      <c r="T357" s="38">
        <v>44716</v>
      </c>
      <c r="U357" s="39"/>
      <c r="V357" s="39"/>
      <c r="W357" s="40">
        <v>0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0</v>
      </c>
      <c r="AD357" s="40">
        <v>0</v>
      </c>
      <c r="AE357" s="40">
        <v>0</v>
      </c>
      <c r="AF357" s="40">
        <v>0</v>
      </c>
      <c r="AG357" s="40">
        <v>0</v>
      </c>
      <c r="AH357" s="40">
        <v>0</v>
      </c>
      <c r="AI357" s="41">
        <f t="shared" si="48"/>
        <v>0</v>
      </c>
      <c r="AJ357" s="42">
        <v>0</v>
      </c>
      <c r="AK357" s="42">
        <v>0</v>
      </c>
      <c r="AL357" s="42">
        <v>0</v>
      </c>
      <c r="AM357" s="42">
        <v>0</v>
      </c>
      <c r="AN357" s="42">
        <v>0</v>
      </c>
      <c r="AO357" s="42">
        <v>0</v>
      </c>
      <c r="AP357" s="42">
        <v>0</v>
      </c>
      <c r="AQ357" s="42">
        <v>0</v>
      </c>
      <c r="AR357" s="42">
        <v>0</v>
      </c>
      <c r="AS357" s="42">
        <v>0</v>
      </c>
      <c r="AT357" s="42">
        <v>0</v>
      </c>
      <c r="AU357" s="42">
        <v>0</v>
      </c>
      <c r="AV357" s="42">
        <f t="shared" si="49"/>
        <v>0</v>
      </c>
      <c r="AW357" s="42">
        <v>0</v>
      </c>
      <c r="AX357" s="42">
        <v>0</v>
      </c>
      <c r="AY357" s="42">
        <v>0</v>
      </c>
      <c r="AZ357" s="42">
        <v>0</v>
      </c>
      <c r="BA357" s="42">
        <v>0</v>
      </c>
      <c r="BB357" s="42">
        <v>0</v>
      </c>
      <c r="BC357" s="42">
        <v>0</v>
      </c>
      <c r="BD357" s="42">
        <v>0</v>
      </c>
      <c r="BE357" s="42">
        <v>0</v>
      </c>
      <c r="BF357" s="42">
        <v>0</v>
      </c>
      <c r="BG357" s="42">
        <v>0</v>
      </c>
      <c r="BH357" s="42">
        <v>0</v>
      </c>
      <c r="BI357" s="42">
        <v>0</v>
      </c>
      <c r="BJ357" s="42">
        <v>0</v>
      </c>
      <c r="BK357" s="42">
        <v>0</v>
      </c>
      <c r="BL357" s="42">
        <v>0</v>
      </c>
      <c r="BM357" s="42">
        <v>0</v>
      </c>
      <c r="BN357" s="42">
        <v>0</v>
      </c>
      <c r="BO357" s="42">
        <v>0</v>
      </c>
      <c r="BP357" s="42">
        <v>0</v>
      </c>
      <c r="BQ357" s="42">
        <v>0</v>
      </c>
      <c r="BR357" s="42">
        <v>0</v>
      </c>
      <c r="BS357" s="42">
        <v>0</v>
      </c>
      <c r="BT357" s="42">
        <v>0</v>
      </c>
      <c r="BU357" s="42">
        <v>0</v>
      </c>
      <c r="BV357" s="42">
        <v>0</v>
      </c>
      <c r="BW357" s="42">
        <v>0</v>
      </c>
      <c r="BX357" s="42">
        <v>0</v>
      </c>
      <c r="BY357" s="42">
        <v>0</v>
      </c>
      <c r="BZ357" s="42">
        <v>0</v>
      </c>
      <c r="CA357" s="42">
        <v>0</v>
      </c>
      <c r="CB357" s="42">
        <v>0</v>
      </c>
      <c r="CC357" s="42">
        <v>0</v>
      </c>
      <c r="CD357" s="42">
        <v>0</v>
      </c>
      <c r="CE357" s="42">
        <v>0</v>
      </c>
      <c r="CF357" s="42">
        <v>0</v>
      </c>
      <c r="CG357" s="42">
        <v>0</v>
      </c>
      <c r="CH357" s="42">
        <v>0</v>
      </c>
      <c r="CI357" s="42">
        <v>0</v>
      </c>
      <c r="CJ357" s="42">
        <v>0</v>
      </c>
      <c r="CK357" s="43">
        <f t="shared" si="50"/>
        <v>0</v>
      </c>
      <c r="CL357" s="66"/>
      <c r="CM357" s="66">
        <v>0</v>
      </c>
      <c r="CN357" s="66">
        <v>0</v>
      </c>
      <c r="CO357" s="66">
        <v>0</v>
      </c>
      <c r="CP357" s="66">
        <v>0</v>
      </c>
      <c r="CQ357" s="66">
        <v>0</v>
      </c>
      <c r="CR357" s="66">
        <v>0</v>
      </c>
      <c r="CS357" s="66">
        <v>0</v>
      </c>
      <c r="CT357" s="66">
        <v>0</v>
      </c>
      <c r="CU357" s="66">
        <v>0</v>
      </c>
      <c r="CV357" s="66">
        <v>0</v>
      </c>
      <c r="CW357" s="66">
        <v>0</v>
      </c>
      <c r="CX357" s="66">
        <v>0</v>
      </c>
      <c r="CY357" s="66">
        <v>0</v>
      </c>
      <c r="CZ357" s="66">
        <v>0</v>
      </c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>
        <f>SUM(Table1[[#This Row],[01-03 Apr]:[Mar-26]])</f>
        <v>0</v>
      </c>
    </row>
    <row r="358" spans="1:115" hidden="1" x14ac:dyDescent="0.2">
      <c r="A358" s="28" t="s">
        <v>2364</v>
      </c>
      <c r="B358" s="29" t="s">
        <v>420</v>
      </c>
      <c r="C358" s="29" t="s">
        <v>421</v>
      </c>
      <c r="D358" s="30" t="s">
        <v>422</v>
      </c>
      <c r="E358" s="30" t="s">
        <v>217</v>
      </c>
      <c r="F358" s="30"/>
      <c r="G358" s="31" t="s">
        <v>395</v>
      </c>
      <c r="H358" s="30">
        <v>387354</v>
      </c>
      <c r="I358" s="30" t="str">
        <f>IF(Table1[[#This Row],[Centre Status]]="Returned","NA",IF(Table1[[#This Row],[SD]]&gt;19000,"Full Payment",IF(Table1[[#This Row],[SD]]&lt;1,"No Payment","Partial Payment")))</f>
        <v>NA</v>
      </c>
      <c r="J358" s="30" t="s">
        <v>1903</v>
      </c>
      <c r="K358" s="32">
        <v>110000</v>
      </c>
      <c r="L358" s="33">
        <f>Q358+R358+U358+Table1[[#This Row],[Farmer Payment]]</f>
        <v>29779</v>
      </c>
      <c r="M358" s="30">
        <v>20000</v>
      </c>
      <c r="N358" s="34">
        <v>45666</v>
      </c>
      <c r="O358" s="34" t="s">
        <v>2889</v>
      </c>
      <c r="P358" s="35">
        <f t="shared" si="47"/>
        <v>100221</v>
      </c>
      <c r="Q358" s="33">
        <f>AI358+AV358+CK358+Table1[[#This Row],[FY 25-26]]</f>
        <v>9779</v>
      </c>
      <c r="R358" s="36">
        <v>20000</v>
      </c>
      <c r="S358" s="37" t="s">
        <v>423</v>
      </c>
      <c r="T358" s="38">
        <v>44708</v>
      </c>
      <c r="U358" s="39"/>
      <c r="V358" s="39"/>
      <c r="W358" s="40">
        <v>0</v>
      </c>
      <c r="X358" s="40">
        <v>0</v>
      </c>
      <c r="Y358" s="40">
        <v>0</v>
      </c>
      <c r="Z358" s="40">
        <v>0</v>
      </c>
      <c r="AA358" s="40">
        <v>1319</v>
      </c>
      <c r="AB358" s="40">
        <v>1207</v>
      </c>
      <c r="AC358" s="40">
        <v>0</v>
      </c>
      <c r="AD358" s="40">
        <v>78</v>
      </c>
      <c r="AE358" s="40">
        <v>0</v>
      </c>
      <c r="AF358" s="40">
        <v>275</v>
      </c>
      <c r="AG358" s="40">
        <v>536</v>
      </c>
      <c r="AH358" s="40">
        <v>1277</v>
      </c>
      <c r="AI358" s="41">
        <f t="shared" si="48"/>
        <v>4692</v>
      </c>
      <c r="AJ358" s="42">
        <v>1116</v>
      </c>
      <c r="AK358" s="42">
        <v>389</v>
      </c>
      <c r="AL358" s="42">
        <v>779</v>
      </c>
      <c r="AM358" s="42">
        <v>1145</v>
      </c>
      <c r="AN358" s="42">
        <v>386</v>
      </c>
      <c r="AO358" s="42">
        <v>148</v>
      </c>
      <c r="AP358" s="42">
        <v>0</v>
      </c>
      <c r="AQ358" s="42">
        <v>0</v>
      </c>
      <c r="AR358" s="42">
        <v>0</v>
      </c>
      <c r="AS358" s="42">
        <v>0</v>
      </c>
      <c r="AT358" s="42">
        <v>0</v>
      </c>
      <c r="AU358" s="42">
        <v>0</v>
      </c>
      <c r="AV358" s="42">
        <f t="shared" si="49"/>
        <v>3963</v>
      </c>
      <c r="AW358" s="42">
        <v>0</v>
      </c>
      <c r="AX358" s="42">
        <v>368</v>
      </c>
      <c r="AY358" s="42">
        <v>0</v>
      </c>
      <c r="AZ358" s="42">
        <v>0</v>
      </c>
      <c r="BA358" s="42">
        <v>0</v>
      </c>
      <c r="BB358" s="42">
        <v>500</v>
      </c>
      <c r="BC358" s="42">
        <v>0</v>
      </c>
      <c r="BD358" s="42">
        <v>256</v>
      </c>
      <c r="BE358" s="42">
        <v>0</v>
      </c>
      <c r="BF358" s="42">
        <v>0</v>
      </c>
      <c r="BG358" s="42">
        <v>0</v>
      </c>
      <c r="BH358" s="42">
        <v>0</v>
      </c>
      <c r="BI358" s="42">
        <v>0</v>
      </c>
      <c r="BJ358" s="42">
        <v>0</v>
      </c>
      <c r="BK358" s="42">
        <v>0</v>
      </c>
      <c r="BL358" s="42">
        <v>0</v>
      </c>
      <c r="BM358" s="42">
        <v>0</v>
      </c>
      <c r="BN358" s="42">
        <v>0</v>
      </c>
      <c r="BO358" s="42">
        <v>0</v>
      </c>
      <c r="BP358" s="42">
        <v>0</v>
      </c>
      <c r="BQ358" s="42">
        <v>0</v>
      </c>
      <c r="BR358" s="42">
        <v>0</v>
      </c>
      <c r="BS358" s="42">
        <v>0</v>
      </c>
      <c r="BT358" s="42">
        <v>0</v>
      </c>
      <c r="BU358" s="42">
        <v>0</v>
      </c>
      <c r="BV358" s="42">
        <v>0</v>
      </c>
      <c r="BW358" s="42">
        <v>0</v>
      </c>
      <c r="BX358" s="42">
        <v>0</v>
      </c>
      <c r="BY358" s="42">
        <v>0</v>
      </c>
      <c r="BZ358" s="42">
        <v>0</v>
      </c>
      <c r="CA358" s="42">
        <v>0</v>
      </c>
      <c r="CB358" s="42">
        <v>0</v>
      </c>
      <c r="CC358" s="42">
        <v>0</v>
      </c>
      <c r="CD358" s="42">
        <v>0</v>
      </c>
      <c r="CE358" s="42">
        <v>0</v>
      </c>
      <c r="CF358" s="42">
        <v>0</v>
      </c>
      <c r="CG358" s="42">
        <v>0</v>
      </c>
      <c r="CH358" s="42">
        <v>0</v>
      </c>
      <c r="CI358" s="42">
        <v>0</v>
      </c>
      <c r="CJ358" s="42">
        <v>0</v>
      </c>
      <c r="CK358" s="43">
        <f t="shared" si="50"/>
        <v>1124</v>
      </c>
      <c r="CL358" s="66"/>
      <c r="CM358" s="66">
        <v>0</v>
      </c>
      <c r="CN358" s="66">
        <v>0</v>
      </c>
      <c r="CO358" s="66">
        <v>0</v>
      </c>
      <c r="CP358" s="66">
        <v>0</v>
      </c>
      <c r="CQ358" s="66">
        <v>0</v>
      </c>
      <c r="CR358" s="66">
        <v>0</v>
      </c>
      <c r="CS358" s="66">
        <v>0</v>
      </c>
      <c r="CT358" s="66">
        <v>0</v>
      </c>
      <c r="CU358" s="66">
        <v>0</v>
      </c>
      <c r="CV358" s="66">
        <v>0</v>
      </c>
      <c r="CW358" s="66">
        <v>0</v>
      </c>
      <c r="CX358" s="66">
        <v>0</v>
      </c>
      <c r="CY358" s="66">
        <v>0</v>
      </c>
      <c r="CZ358" s="66">
        <v>0</v>
      </c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>
        <f>SUM(Table1[[#This Row],[01-03 Apr]:[Mar-26]])</f>
        <v>0</v>
      </c>
    </row>
    <row r="359" spans="1:115" hidden="1" x14ac:dyDescent="0.2">
      <c r="A359" s="28" t="s">
        <v>2255</v>
      </c>
      <c r="B359" s="29" t="s">
        <v>424</v>
      </c>
      <c r="C359" s="29" t="s">
        <v>425</v>
      </c>
      <c r="D359" s="30" t="s">
        <v>426</v>
      </c>
      <c r="E359" s="30" t="s">
        <v>63</v>
      </c>
      <c r="F359" s="30"/>
      <c r="G359" s="31" t="s">
        <v>427</v>
      </c>
      <c r="H359" s="30">
        <v>328968</v>
      </c>
      <c r="I359" s="30" t="str">
        <f>IF(Table1[[#This Row],[Centre Status]]="Returned","NA",IF(Table1[[#This Row],[SD]]&gt;19000,"Full Payment",IF(Table1[[#This Row],[SD]]&lt;1,"No Payment","Partial Payment")))</f>
        <v>Full Payment</v>
      </c>
      <c r="J359" s="30" t="s">
        <v>58</v>
      </c>
      <c r="K359" s="32">
        <v>64000</v>
      </c>
      <c r="L359" s="33">
        <f>Q359+R359+U359+Table1[[#This Row],[Farmer Payment]]</f>
        <v>64000</v>
      </c>
      <c r="M359" s="30"/>
      <c r="N359" s="34"/>
      <c r="O359" s="34"/>
      <c r="P359" s="35">
        <f t="shared" si="47"/>
        <v>0</v>
      </c>
      <c r="Q359" s="33">
        <f>AI359+AV359+CK359+Table1[[#This Row],[FY 25-26]]</f>
        <v>44000</v>
      </c>
      <c r="R359" s="36">
        <v>20000</v>
      </c>
      <c r="S359" s="37" t="s">
        <v>428</v>
      </c>
      <c r="T359" s="38">
        <v>44703</v>
      </c>
      <c r="U359" s="39"/>
      <c r="V359" s="39"/>
      <c r="W359" s="40">
        <v>0</v>
      </c>
      <c r="X359" s="40">
        <v>0</v>
      </c>
      <c r="Y359" s="40">
        <v>2463.5120000000006</v>
      </c>
      <c r="Z359" s="40">
        <v>1861</v>
      </c>
      <c r="AA359" s="40">
        <v>1998.0178000000001</v>
      </c>
      <c r="AB359" s="40">
        <v>1604</v>
      </c>
      <c r="AC359" s="40">
        <v>1861</v>
      </c>
      <c r="AD359" s="40">
        <v>2055.9376000000007</v>
      </c>
      <c r="AE359" s="40">
        <v>2286.5468000000001</v>
      </c>
      <c r="AF359" s="40">
        <v>3282.6620000000003</v>
      </c>
      <c r="AG359" s="40">
        <v>3203.0228000000002</v>
      </c>
      <c r="AH359" s="40">
        <v>2456.4652000000001</v>
      </c>
      <c r="AI359" s="41">
        <f t="shared" si="48"/>
        <v>23072.164199999999</v>
      </c>
      <c r="AJ359" s="42">
        <v>1939.2685999999999</v>
      </c>
      <c r="AK359" s="42">
        <v>1861</v>
      </c>
      <c r="AL359" s="42">
        <v>1861</v>
      </c>
      <c r="AM359" s="42">
        <v>838</v>
      </c>
      <c r="AN359" s="42">
        <v>0</v>
      </c>
      <c r="AO359" s="42">
        <v>0</v>
      </c>
      <c r="AP359" s="42">
        <v>0</v>
      </c>
      <c r="AQ359" s="42">
        <v>805</v>
      </c>
      <c r="AR359" s="42">
        <v>2282.31</v>
      </c>
      <c r="AS359" s="42">
        <v>2300.2784000000001</v>
      </c>
      <c r="AT359" s="42">
        <v>2327.7112000000002</v>
      </c>
      <c r="AU359" s="42">
        <v>2757.2842000000005</v>
      </c>
      <c r="AV359" s="42">
        <f t="shared" si="49"/>
        <v>16971.8524</v>
      </c>
      <c r="AW359" s="42">
        <v>1861</v>
      </c>
      <c r="AX359" s="42">
        <v>1441</v>
      </c>
      <c r="AY359" s="42">
        <v>614.98339999999735</v>
      </c>
      <c r="AZ359" s="42">
        <v>0</v>
      </c>
      <c r="BA359" s="42">
        <v>0</v>
      </c>
      <c r="BB359" s="42">
        <v>0</v>
      </c>
      <c r="BC359" s="42">
        <v>0</v>
      </c>
      <c r="BD359" s="42">
        <v>0</v>
      </c>
      <c r="BE359" s="42">
        <v>0</v>
      </c>
      <c r="BF359" s="42">
        <v>0</v>
      </c>
      <c r="BG359" s="42">
        <v>0</v>
      </c>
      <c r="BH359" s="42">
        <v>0</v>
      </c>
      <c r="BI359" s="42">
        <v>0</v>
      </c>
      <c r="BJ359" s="42">
        <v>0</v>
      </c>
      <c r="BK359" s="42">
        <v>0</v>
      </c>
      <c r="BL359" s="42">
        <v>0</v>
      </c>
      <c r="BM359" s="42">
        <v>0</v>
      </c>
      <c r="BN359" s="42">
        <v>0</v>
      </c>
      <c r="BO359" s="42">
        <v>0</v>
      </c>
      <c r="BP359" s="42">
        <v>0</v>
      </c>
      <c r="BQ359" s="42">
        <v>0</v>
      </c>
      <c r="BR359" s="42">
        <v>0</v>
      </c>
      <c r="BS359" s="42">
        <v>39</v>
      </c>
      <c r="BT359" s="42">
        <v>0</v>
      </c>
      <c r="BU359" s="42">
        <v>0</v>
      </c>
      <c r="BV359" s="42">
        <v>0</v>
      </c>
      <c r="BW359" s="42">
        <v>0</v>
      </c>
      <c r="BX359" s="42">
        <v>0</v>
      </c>
      <c r="BY359" s="42">
        <v>0</v>
      </c>
      <c r="BZ359" s="42">
        <v>0</v>
      </c>
      <c r="CA359" s="42">
        <v>0</v>
      </c>
      <c r="CB359" s="42">
        <v>0</v>
      </c>
      <c r="CC359" s="42">
        <v>0</v>
      </c>
      <c r="CD359" s="42">
        <v>0</v>
      </c>
      <c r="CE359" s="42">
        <v>0</v>
      </c>
      <c r="CF359" s="42">
        <v>0</v>
      </c>
      <c r="CG359" s="42">
        <v>0</v>
      </c>
      <c r="CH359" s="42">
        <v>0</v>
      </c>
      <c r="CI359" s="42">
        <v>0</v>
      </c>
      <c r="CJ359" s="42">
        <v>0</v>
      </c>
      <c r="CK359" s="43">
        <f t="shared" si="50"/>
        <v>3955.9833999999973</v>
      </c>
      <c r="CL359" s="66"/>
      <c r="CM359" s="66">
        <v>0</v>
      </c>
      <c r="CN359" s="66">
        <v>0</v>
      </c>
      <c r="CO359" s="66">
        <v>0</v>
      </c>
      <c r="CP359" s="66">
        <v>0</v>
      </c>
      <c r="CQ359" s="66">
        <v>0</v>
      </c>
      <c r="CR359" s="66">
        <v>0</v>
      </c>
      <c r="CS359" s="66">
        <v>0</v>
      </c>
      <c r="CT359" s="66">
        <v>0</v>
      </c>
      <c r="CU359" s="66">
        <v>0</v>
      </c>
      <c r="CV359" s="66">
        <v>0</v>
      </c>
      <c r="CW359" s="66">
        <v>0</v>
      </c>
      <c r="CX359" s="66">
        <v>0</v>
      </c>
      <c r="CY359" s="66">
        <v>0</v>
      </c>
      <c r="CZ359" s="66">
        <v>0</v>
      </c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>
        <f>SUM(Table1[[#This Row],[01-03 Apr]:[Mar-26]])</f>
        <v>0</v>
      </c>
    </row>
    <row r="360" spans="1:115" hidden="1" x14ac:dyDescent="0.2">
      <c r="A360" s="28" t="s">
        <v>2255</v>
      </c>
      <c r="B360" s="29" t="s">
        <v>429</v>
      </c>
      <c r="C360" s="29" t="s">
        <v>430</v>
      </c>
      <c r="D360" s="30" t="s">
        <v>431</v>
      </c>
      <c r="E360" s="30" t="s">
        <v>63</v>
      </c>
      <c r="F360" s="30"/>
      <c r="G360" s="31" t="s">
        <v>427</v>
      </c>
      <c r="H360" s="30">
        <v>328970</v>
      </c>
      <c r="I360" s="30" t="str">
        <f>IF(Table1[[#This Row],[Centre Status]]="Returned","NA",IF(Table1[[#This Row],[SD]]&gt;19000,"Full Payment",IF(Table1[[#This Row],[SD]]&lt;1,"No Payment","Partial Payment")))</f>
        <v>Full Payment</v>
      </c>
      <c r="J360" s="30" t="s">
        <v>58</v>
      </c>
      <c r="K360" s="32">
        <v>64000</v>
      </c>
      <c r="L360" s="33">
        <f>Q360+R360+U360+Table1[[#This Row],[Farmer Payment]]</f>
        <v>64000</v>
      </c>
      <c r="M360" s="30"/>
      <c r="N360" s="34"/>
      <c r="O360" s="34"/>
      <c r="P360" s="35">
        <f t="shared" si="47"/>
        <v>0</v>
      </c>
      <c r="Q360" s="33">
        <f>AI360+AV360+CK360+Table1[[#This Row],[FY 25-26]]</f>
        <v>44000</v>
      </c>
      <c r="R360" s="36">
        <v>20000</v>
      </c>
      <c r="S360" s="37" t="s">
        <v>432</v>
      </c>
      <c r="T360" s="38">
        <v>44703</v>
      </c>
      <c r="U360" s="39"/>
      <c r="V360" s="39"/>
      <c r="W360" s="40">
        <v>0</v>
      </c>
      <c r="X360" s="40">
        <v>0</v>
      </c>
      <c r="Y360" s="40">
        <v>7549.1762000000017</v>
      </c>
      <c r="Z360" s="40">
        <v>6275.8283999999994</v>
      </c>
      <c r="AA360" s="40">
        <v>8132.0658000000012</v>
      </c>
      <c r="AB360" s="40">
        <v>6064.1177999999991</v>
      </c>
      <c r="AC360" s="40">
        <v>6675.3061999999991</v>
      </c>
      <c r="AD360" s="40">
        <v>7653.8495999999996</v>
      </c>
      <c r="AE360" s="40">
        <v>1649.6560000000027</v>
      </c>
      <c r="AF360" s="40">
        <v>0</v>
      </c>
      <c r="AG360" s="40">
        <v>0</v>
      </c>
      <c r="AH360" s="40">
        <v>0</v>
      </c>
      <c r="AI360" s="41">
        <f t="shared" si="48"/>
        <v>44000</v>
      </c>
      <c r="AJ360" s="42">
        <v>0</v>
      </c>
      <c r="AK360" s="42">
        <v>0</v>
      </c>
      <c r="AL360" s="42">
        <v>0</v>
      </c>
      <c r="AM360" s="42">
        <v>0</v>
      </c>
      <c r="AN360" s="42">
        <v>0</v>
      </c>
      <c r="AO360" s="42">
        <v>0</v>
      </c>
      <c r="AP360" s="42">
        <v>0</v>
      </c>
      <c r="AQ360" s="42">
        <v>0</v>
      </c>
      <c r="AR360" s="42">
        <v>0</v>
      </c>
      <c r="AS360" s="42">
        <v>0</v>
      </c>
      <c r="AT360" s="42">
        <v>0</v>
      </c>
      <c r="AU360" s="42">
        <v>0</v>
      </c>
      <c r="AV360" s="42">
        <f t="shared" si="49"/>
        <v>0</v>
      </c>
      <c r="AW360" s="42">
        <v>0</v>
      </c>
      <c r="AX360" s="42">
        <v>0</v>
      </c>
      <c r="AY360" s="42">
        <v>0</v>
      </c>
      <c r="AZ360" s="42">
        <v>0</v>
      </c>
      <c r="BA360" s="42">
        <v>0</v>
      </c>
      <c r="BB360" s="42">
        <v>0</v>
      </c>
      <c r="BC360" s="42">
        <v>0</v>
      </c>
      <c r="BD360" s="42">
        <v>0</v>
      </c>
      <c r="BE360" s="42">
        <v>0</v>
      </c>
      <c r="BF360" s="42">
        <v>0</v>
      </c>
      <c r="BG360" s="42">
        <v>0</v>
      </c>
      <c r="BH360" s="42">
        <v>0</v>
      </c>
      <c r="BI360" s="42">
        <v>0</v>
      </c>
      <c r="BJ360" s="42">
        <v>0</v>
      </c>
      <c r="BK360" s="42">
        <v>0</v>
      </c>
      <c r="BL360" s="42">
        <v>0</v>
      </c>
      <c r="BM360" s="42">
        <v>0</v>
      </c>
      <c r="BN360" s="42">
        <v>0</v>
      </c>
      <c r="BO360" s="42">
        <v>0</v>
      </c>
      <c r="BP360" s="42">
        <v>0</v>
      </c>
      <c r="BQ360" s="42">
        <v>0</v>
      </c>
      <c r="BR360" s="42">
        <v>0</v>
      </c>
      <c r="BS360" s="42">
        <v>0</v>
      </c>
      <c r="BT360" s="42">
        <v>0</v>
      </c>
      <c r="BU360" s="42">
        <v>0</v>
      </c>
      <c r="BV360" s="42">
        <v>0</v>
      </c>
      <c r="BW360" s="42">
        <v>0</v>
      </c>
      <c r="BX360" s="42">
        <v>0</v>
      </c>
      <c r="BY360" s="42">
        <v>0</v>
      </c>
      <c r="BZ360" s="42">
        <v>0</v>
      </c>
      <c r="CA360" s="42">
        <v>0</v>
      </c>
      <c r="CB360" s="42">
        <v>0</v>
      </c>
      <c r="CC360" s="42">
        <v>0</v>
      </c>
      <c r="CD360" s="42">
        <v>0</v>
      </c>
      <c r="CE360" s="42">
        <v>0</v>
      </c>
      <c r="CF360" s="42">
        <v>0</v>
      </c>
      <c r="CG360" s="42">
        <v>0</v>
      </c>
      <c r="CH360" s="42">
        <v>0</v>
      </c>
      <c r="CI360" s="42">
        <v>0</v>
      </c>
      <c r="CJ360" s="42">
        <v>0</v>
      </c>
      <c r="CK360" s="43">
        <f t="shared" si="50"/>
        <v>0</v>
      </c>
      <c r="CL360" s="66"/>
      <c r="CM360" s="66">
        <v>0</v>
      </c>
      <c r="CN360" s="66">
        <v>0</v>
      </c>
      <c r="CO360" s="66">
        <v>0</v>
      </c>
      <c r="CP360" s="66">
        <v>0</v>
      </c>
      <c r="CQ360" s="66">
        <v>0</v>
      </c>
      <c r="CR360" s="66">
        <v>0</v>
      </c>
      <c r="CS360" s="66">
        <v>0</v>
      </c>
      <c r="CT360" s="66">
        <v>0</v>
      </c>
      <c r="CU360" s="66">
        <v>0</v>
      </c>
      <c r="CV360" s="66">
        <v>0</v>
      </c>
      <c r="CW360" s="66">
        <v>0</v>
      </c>
      <c r="CX360" s="66">
        <v>0</v>
      </c>
      <c r="CY360" s="66">
        <v>0</v>
      </c>
      <c r="CZ360" s="66">
        <v>0</v>
      </c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>
        <f>SUM(Table1[[#This Row],[01-03 Apr]:[Mar-26]])</f>
        <v>0</v>
      </c>
    </row>
    <row r="361" spans="1:115" hidden="1" x14ac:dyDescent="0.2">
      <c r="A361" s="28" t="s">
        <v>2255</v>
      </c>
      <c r="B361" s="29" t="s">
        <v>433</v>
      </c>
      <c r="C361" s="29" t="s">
        <v>434</v>
      </c>
      <c r="D361" s="30" t="s">
        <v>435</v>
      </c>
      <c r="E361" s="30" t="s">
        <v>57</v>
      </c>
      <c r="F361" s="30"/>
      <c r="G361" s="31" t="s">
        <v>427</v>
      </c>
      <c r="H361" s="30">
        <v>277383</v>
      </c>
      <c r="I361" s="30" t="str">
        <f>IF(Table1[[#This Row],[Centre Status]]="Returned","NA",IF(Table1[[#This Row],[SD]]&gt;19000,"Full Payment",IF(Table1[[#This Row],[SD]]&lt;1,"No Payment","Partial Payment")))</f>
        <v>Full Payment</v>
      </c>
      <c r="J361" s="30" t="s">
        <v>58</v>
      </c>
      <c r="K361" s="32">
        <v>64000</v>
      </c>
      <c r="L361" s="33">
        <f>Q361+R361+U361+Table1[[#This Row],[Farmer Payment]]</f>
        <v>44373</v>
      </c>
      <c r="M361" s="30">
        <v>20000</v>
      </c>
      <c r="N361" s="34">
        <v>45839</v>
      </c>
      <c r="O361" s="34" t="s">
        <v>3551</v>
      </c>
      <c r="P361" s="35">
        <f t="shared" si="47"/>
        <v>39627</v>
      </c>
      <c r="Q361" s="33">
        <f>AI361+AV361+CK361+Table1[[#This Row],[FY 25-26]]</f>
        <v>24373</v>
      </c>
      <c r="R361" s="36">
        <v>20000</v>
      </c>
      <c r="S361" s="37" t="s">
        <v>436</v>
      </c>
      <c r="T361" s="38">
        <v>44713</v>
      </c>
      <c r="U361" s="39"/>
      <c r="V361" s="39"/>
      <c r="W361" s="40">
        <v>0</v>
      </c>
      <c r="X361" s="40">
        <v>0</v>
      </c>
      <c r="Y361" s="40">
        <v>264</v>
      </c>
      <c r="Z361" s="40">
        <v>0</v>
      </c>
      <c r="AA361" s="40">
        <v>1861</v>
      </c>
      <c r="AB361" s="40">
        <v>1505</v>
      </c>
      <c r="AC361" s="40">
        <v>1128</v>
      </c>
      <c r="AD361" s="40">
        <v>1861</v>
      </c>
      <c r="AE361" s="40">
        <v>1861</v>
      </c>
      <c r="AF361" s="40">
        <v>1605</v>
      </c>
      <c r="AG361" s="40">
        <v>1580</v>
      </c>
      <c r="AH361" s="40">
        <v>613</v>
      </c>
      <c r="AI361" s="41">
        <f t="shared" si="48"/>
        <v>12278</v>
      </c>
      <c r="AJ361" s="42">
        <v>0</v>
      </c>
      <c r="AK361" s="42">
        <v>558</v>
      </c>
      <c r="AL361" s="42">
        <v>0</v>
      </c>
      <c r="AM361" s="42">
        <v>110</v>
      </c>
      <c r="AN361" s="42">
        <v>0</v>
      </c>
      <c r="AO361" s="42">
        <v>0</v>
      </c>
      <c r="AP361" s="42">
        <v>612</v>
      </c>
      <c r="AQ361" s="42">
        <v>478</v>
      </c>
      <c r="AR361" s="42">
        <v>226</v>
      </c>
      <c r="AS361" s="42">
        <v>213</v>
      </c>
      <c r="AT361" s="42">
        <v>105</v>
      </c>
      <c r="AU361" s="42">
        <v>651</v>
      </c>
      <c r="AV361" s="42">
        <f t="shared" si="49"/>
        <v>2953</v>
      </c>
      <c r="AW361" s="42">
        <v>764</v>
      </c>
      <c r="AX361" s="42">
        <v>378</v>
      </c>
      <c r="AY361" s="42">
        <v>0</v>
      </c>
      <c r="AZ361" s="42">
        <v>0</v>
      </c>
      <c r="BA361" s="42">
        <v>0</v>
      </c>
      <c r="BB361" s="42">
        <v>500</v>
      </c>
      <c r="BC361" s="42">
        <v>0</v>
      </c>
      <c r="BD361" s="42">
        <v>500</v>
      </c>
      <c r="BE361" s="42">
        <v>500</v>
      </c>
      <c r="BF361" s="42">
        <v>0</v>
      </c>
      <c r="BG361" s="42">
        <v>0</v>
      </c>
      <c r="BH361" s="42">
        <v>0</v>
      </c>
      <c r="BI361" s="42">
        <v>0</v>
      </c>
      <c r="BJ361" s="42">
        <v>0</v>
      </c>
      <c r="BK361" s="42">
        <v>0</v>
      </c>
      <c r="BL361" s="42">
        <v>0</v>
      </c>
      <c r="BM361" s="42">
        <v>0</v>
      </c>
      <c r="BN361" s="42">
        <v>0</v>
      </c>
      <c r="BO361" s="42">
        <v>0</v>
      </c>
      <c r="BP361" s="42">
        <v>0</v>
      </c>
      <c r="BQ361" s="42">
        <v>0</v>
      </c>
      <c r="BR361" s="42">
        <v>0</v>
      </c>
      <c r="BS361" s="42">
        <v>0</v>
      </c>
      <c r="BT361" s="42">
        <v>0</v>
      </c>
      <c r="BU361" s="42">
        <v>0</v>
      </c>
      <c r="BV361" s="42">
        <v>500</v>
      </c>
      <c r="BW361" s="42">
        <v>500</v>
      </c>
      <c r="BX361" s="42">
        <v>500</v>
      </c>
      <c r="BY361" s="42">
        <v>0</v>
      </c>
      <c r="BZ361" s="42">
        <v>500</v>
      </c>
      <c r="CA361" s="42">
        <v>500</v>
      </c>
      <c r="CB361" s="42">
        <v>500</v>
      </c>
      <c r="CC361" s="42">
        <v>500</v>
      </c>
      <c r="CD361" s="42">
        <v>0</v>
      </c>
      <c r="CE361" s="42">
        <v>500</v>
      </c>
      <c r="CF361" s="42">
        <v>500</v>
      </c>
      <c r="CG361" s="42">
        <v>500</v>
      </c>
      <c r="CH361" s="42">
        <v>500</v>
      </c>
      <c r="CI361" s="42">
        <v>500</v>
      </c>
      <c r="CJ361" s="42">
        <v>0</v>
      </c>
      <c r="CK361" s="43">
        <f t="shared" si="50"/>
        <v>8642</v>
      </c>
      <c r="CL361" s="66"/>
      <c r="CM361" s="66">
        <v>500</v>
      </c>
      <c r="CN361" s="66">
        <v>0</v>
      </c>
      <c r="CO361" s="66">
        <v>0</v>
      </c>
      <c r="CP361" s="66">
        <v>0</v>
      </c>
      <c r="CQ361" s="66">
        <v>0</v>
      </c>
      <c r="CR361" s="66">
        <v>0</v>
      </c>
      <c r="CS361" s="66">
        <v>0</v>
      </c>
      <c r="CT361" s="66">
        <v>0</v>
      </c>
      <c r="CU361" s="66">
        <v>0</v>
      </c>
      <c r="CV361" s="66">
        <v>0</v>
      </c>
      <c r="CW361" s="66">
        <v>0</v>
      </c>
      <c r="CX361" s="66">
        <v>0</v>
      </c>
      <c r="CY361" s="66">
        <v>0</v>
      </c>
      <c r="CZ361" s="66">
        <v>0</v>
      </c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>
        <f>SUM(Table1[[#This Row],[01-03 Apr]:[Mar-26]])</f>
        <v>500</v>
      </c>
    </row>
    <row r="362" spans="1:115" hidden="1" x14ac:dyDescent="0.2">
      <c r="A362" s="28" t="s">
        <v>2255</v>
      </c>
      <c r="B362" s="29" t="s">
        <v>441</v>
      </c>
      <c r="C362" s="29" t="s">
        <v>442</v>
      </c>
      <c r="D362" s="30" t="s">
        <v>443</v>
      </c>
      <c r="E362" s="30" t="s">
        <v>63</v>
      </c>
      <c r="F362" s="30"/>
      <c r="G362" s="31" t="s">
        <v>444</v>
      </c>
      <c r="H362" s="30">
        <v>277359</v>
      </c>
      <c r="I362" s="30" t="str">
        <f>IF(Table1[[#This Row],[Centre Status]]="Returned","NA",IF(Table1[[#This Row],[SD]]&gt;19000,"Full Payment",IF(Table1[[#This Row],[SD]]&lt;1,"No Payment","Partial Payment")))</f>
        <v>Full Payment</v>
      </c>
      <c r="J362" s="30" t="s">
        <v>58</v>
      </c>
      <c r="K362" s="32">
        <v>64000</v>
      </c>
      <c r="L362" s="33">
        <f>Q362+R362+U362+Table1[[#This Row],[Farmer Payment]]</f>
        <v>64000</v>
      </c>
      <c r="M362" s="30"/>
      <c r="N362" s="34"/>
      <c r="O362" s="34"/>
      <c r="P362" s="35">
        <f t="shared" si="47"/>
        <v>0</v>
      </c>
      <c r="Q362" s="33">
        <f>AI362+AV362+CK362+Table1[[#This Row],[FY 25-26]]</f>
        <v>44000</v>
      </c>
      <c r="R362" s="36">
        <v>20000</v>
      </c>
      <c r="S362" s="37" t="s">
        <v>445</v>
      </c>
      <c r="T362" s="38">
        <v>44753</v>
      </c>
      <c r="U362" s="39"/>
      <c r="V362" s="39"/>
      <c r="W362" s="40">
        <v>0</v>
      </c>
      <c r="X362" s="40">
        <v>0</v>
      </c>
      <c r="Y362" s="40">
        <v>0</v>
      </c>
      <c r="Z362" s="40">
        <v>0</v>
      </c>
      <c r="AA362" s="40">
        <v>0</v>
      </c>
      <c r="AB362" s="40">
        <v>1861</v>
      </c>
      <c r="AC362" s="40">
        <v>1861</v>
      </c>
      <c r="AD362" s="40">
        <v>2305.6165999999998</v>
      </c>
      <c r="AE362" s="40">
        <v>2933.5855999999999</v>
      </c>
      <c r="AF362" s="40">
        <v>3856.4965999999999</v>
      </c>
      <c r="AG362" s="40">
        <v>4222.8099999999995</v>
      </c>
      <c r="AH362" s="40">
        <v>4006.5750000000003</v>
      </c>
      <c r="AI362" s="41">
        <f t="shared" si="48"/>
        <v>21047.0838</v>
      </c>
      <c r="AJ362" s="42">
        <v>4067.4489714788001</v>
      </c>
      <c r="AK362" s="42">
        <v>5873.3644000000004</v>
      </c>
      <c r="AL362" s="42">
        <v>4365.0487999999996</v>
      </c>
      <c r="AM362" s="42">
        <v>5196.6220000000003</v>
      </c>
      <c r="AN362" s="42">
        <v>3002.585</v>
      </c>
      <c r="AO362" s="42">
        <v>447.84702852120245</v>
      </c>
      <c r="AP362" s="42">
        <v>0</v>
      </c>
      <c r="AQ362" s="42">
        <v>0</v>
      </c>
      <c r="AR362" s="42">
        <v>0</v>
      </c>
      <c r="AS362" s="42">
        <v>0</v>
      </c>
      <c r="AT362" s="42">
        <v>0</v>
      </c>
      <c r="AU362" s="42">
        <v>0</v>
      </c>
      <c r="AV362" s="42">
        <f t="shared" si="49"/>
        <v>22952.9162</v>
      </c>
      <c r="AW362" s="42">
        <v>0</v>
      </c>
      <c r="AX362" s="42">
        <v>0</v>
      </c>
      <c r="AY362" s="42">
        <v>0</v>
      </c>
      <c r="AZ362" s="42">
        <v>0</v>
      </c>
      <c r="BA362" s="42">
        <v>0</v>
      </c>
      <c r="BB362" s="42">
        <v>0</v>
      </c>
      <c r="BC362" s="42">
        <v>0</v>
      </c>
      <c r="BD362" s="42">
        <v>0</v>
      </c>
      <c r="BE362" s="42">
        <v>0</v>
      </c>
      <c r="BF362" s="42">
        <v>0</v>
      </c>
      <c r="BG362" s="42">
        <v>0</v>
      </c>
      <c r="BH362" s="42">
        <v>0</v>
      </c>
      <c r="BI362" s="42">
        <v>0</v>
      </c>
      <c r="BJ362" s="42">
        <v>0</v>
      </c>
      <c r="BK362" s="42">
        <v>0</v>
      </c>
      <c r="BL362" s="42">
        <v>0</v>
      </c>
      <c r="BM362" s="42">
        <v>0</v>
      </c>
      <c r="BN362" s="42">
        <v>0</v>
      </c>
      <c r="BO362" s="42">
        <v>0</v>
      </c>
      <c r="BP362" s="42">
        <v>0</v>
      </c>
      <c r="BQ362" s="42">
        <v>0</v>
      </c>
      <c r="BR362" s="42">
        <v>0</v>
      </c>
      <c r="BS362" s="42">
        <v>0</v>
      </c>
      <c r="BT362" s="42">
        <v>0</v>
      </c>
      <c r="BU362" s="42">
        <v>0</v>
      </c>
      <c r="BV362" s="42">
        <v>0</v>
      </c>
      <c r="BW362" s="42">
        <v>0</v>
      </c>
      <c r="BX362" s="42">
        <v>0</v>
      </c>
      <c r="BY362" s="42">
        <v>0</v>
      </c>
      <c r="BZ362" s="42">
        <v>0</v>
      </c>
      <c r="CA362" s="42">
        <v>0</v>
      </c>
      <c r="CB362" s="42">
        <v>0</v>
      </c>
      <c r="CC362" s="42">
        <v>0</v>
      </c>
      <c r="CD362" s="42">
        <v>0</v>
      </c>
      <c r="CE362" s="42">
        <v>0</v>
      </c>
      <c r="CF362" s="42">
        <v>0</v>
      </c>
      <c r="CG362" s="42">
        <v>0</v>
      </c>
      <c r="CH362" s="42">
        <v>0</v>
      </c>
      <c r="CI362" s="42">
        <v>0</v>
      </c>
      <c r="CJ362" s="42">
        <v>0</v>
      </c>
      <c r="CK362" s="43">
        <f t="shared" si="50"/>
        <v>0</v>
      </c>
      <c r="CL362" s="66"/>
      <c r="CM362" s="66">
        <v>0</v>
      </c>
      <c r="CN362" s="66">
        <v>0</v>
      </c>
      <c r="CO362" s="66">
        <v>0</v>
      </c>
      <c r="CP362" s="66">
        <v>0</v>
      </c>
      <c r="CQ362" s="66">
        <v>0</v>
      </c>
      <c r="CR362" s="66">
        <v>0</v>
      </c>
      <c r="CS362" s="66">
        <v>0</v>
      </c>
      <c r="CT362" s="66">
        <v>0</v>
      </c>
      <c r="CU362" s="66">
        <v>0</v>
      </c>
      <c r="CV362" s="66">
        <v>0</v>
      </c>
      <c r="CW362" s="66">
        <v>0</v>
      </c>
      <c r="CX362" s="66">
        <v>0</v>
      </c>
      <c r="CY362" s="66">
        <v>0</v>
      </c>
      <c r="CZ362" s="66">
        <v>0</v>
      </c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>
        <f>SUM(Table1[[#This Row],[01-03 Apr]:[Mar-26]])</f>
        <v>0</v>
      </c>
    </row>
    <row r="363" spans="1:115" hidden="1" x14ac:dyDescent="0.2">
      <c r="A363" s="28" t="s">
        <v>2256</v>
      </c>
      <c r="B363" s="29" t="s">
        <v>446</v>
      </c>
      <c r="C363" s="29" t="s">
        <v>447</v>
      </c>
      <c r="D363" s="30" t="s">
        <v>448</v>
      </c>
      <c r="E363" s="30" t="s">
        <v>297</v>
      </c>
      <c r="F363" s="30"/>
      <c r="G363" s="31">
        <v>44746</v>
      </c>
      <c r="H363" s="30">
        <v>184237</v>
      </c>
      <c r="I363" s="30" t="str">
        <f>IF(Table1[[#This Row],[Centre Status]]="Returned","NA",IF(Table1[[#This Row],[SD]]&gt;19000,"Full Payment",IF(Table1[[#This Row],[SD]]&lt;1,"No Payment","Partial Payment")))</f>
        <v>Full Payment</v>
      </c>
      <c r="J363" s="30" t="s">
        <v>58</v>
      </c>
      <c r="K363" s="32">
        <v>64000</v>
      </c>
      <c r="L363" s="33">
        <f>Q363+R363+U363+Table1[[#This Row],[Farmer Payment]]</f>
        <v>64000</v>
      </c>
      <c r="M363" s="30"/>
      <c r="N363" s="34"/>
      <c r="O363" s="34"/>
      <c r="P363" s="35">
        <f t="shared" si="47"/>
        <v>0</v>
      </c>
      <c r="Q363" s="33">
        <f>AI363+AV363+CK363+Table1[[#This Row],[FY 25-26]]</f>
        <v>44000</v>
      </c>
      <c r="R363" s="36">
        <v>20000</v>
      </c>
      <c r="S363" s="37" t="s">
        <v>449</v>
      </c>
      <c r="T363" s="38">
        <v>44729</v>
      </c>
      <c r="U363" s="39"/>
      <c r="V363" s="39"/>
      <c r="W363" s="40">
        <v>0</v>
      </c>
      <c r="X363" s="40">
        <v>0</v>
      </c>
      <c r="Y363" s="40">
        <v>0</v>
      </c>
      <c r="Z363" s="40">
        <v>0</v>
      </c>
      <c r="AA363" s="40">
        <v>1861</v>
      </c>
      <c r="AB363" s="40">
        <v>1390</v>
      </c>
      <c r="AC363" s="40">
        <v>704</v>
      </c>
      <c r="AD363" s="40">
        <v>1861</v>
      </c>
      <c r="AE363" s="40">
        <v>1861</v>
      </c>
      <c r="AF363" s="40">
        <v>1980.6724000000002</v>
      </c>
      <c r="AG363" s="40">
        <v>1861</v>
      </c>
      <c r="AH363" s="40">
        <v>1861</v>
      </c>
      <c r="AI363" s="41">
        <f t="shared" si="48"/>
        <v>13379.672399999999</v>
      </c>
      <c r="AJ363" s="42">
        <v>1690</v>
      </c>
      <c r="AK363" s="42">
        <v>1861</v>
      </c>
      <c r="AL363" s="42">
        <v>2594.8158000000003</v>
      </c>
      <c r="AM363" s="42">
        <v>2931.7488000000003</v>
      </c>
      <c r="AN363" s="42">
        <v>1618</v>
      </c>
      <c r="AO363" s="42">
        <v>1861</v>
      </c>
      <c r="AP363" s="42">
        <v>1422</v>
      </c>
      <c r="AQ363" s="42">
        <v>1181</v>
      </c>
      <c r="AR363" s="42">
        <v>1923.8876</v>
      </c>
      <c r="AS363" s="42">
        <v>3315.7618000000002</v>
      </c>
      <c r="AT363" s="42">
        <v>2721.0389999999998</v>
      </c>
      <c r="AU363" s="42">
        <v>2555.0932000000003</v>
      </c>
      <c r="AV363" s="42">
        <f t="shared" si="49"/>
        <v>25675.3462</v>
      </c>
      <c r="AW363" s="42">
        <v>2023.3835807308799</v>
      </c>
      <c r="AX363" s="42">
        <v>1861</v>
      </c>
      <c r="AY363" s="42">
        <v>1060.5978192691255</v>
      </c>
      <c r="AZ363" s="42">
        <v>0</v>
      </c>
      <c r="BA363" s="42">
        <v>0</v>
      </c>
      <c r="BB363" s="42">
        <v>0</v>
      </c>
      <c r="BC363" s="42">
        <v>0</v>
      </c>
      <c r="BD363" s="42">
        <v>0</v>
      </c>
      <c r="BE363" s="42">
        <v>0</v>
      </c>
      <c r="BF363" s="42">
        <v>0</v>
      </c>
      <c r="BG363" s="42">
        <v>0</v>
      </c>
      <c r="BH363" s="42">
        <v>0</v>
      </c>
      <c r="BI363" s="42">
        <v>0</v>
      </c>
      <c r="BJ363" s="42">
        <v>0</v>
      </c>
      <c r="BK363" s="42">
        <v>0</v>
      </c>
      <c r="BL363" s="42">
        <v>0</v>
      </c>
      <c r="BM363" s="42">
        <v>0</v>
      </c>
      <c r="BN363" s="42">
        <v>0</v>
      </c>
      <c r="BO363" s="42">
        <v>0</v>
      </c>
      <c r="BP363" s="42">
        <v>0</v>
      </c>
      <c r="BQ363" s="42">
        <v>0</v>
      </c>
      <c r="BR363" s="42">
        <v>0</v>
      </c>
      <c r="BS363" s="42">
        <v>0</v>
      </c>
      <c r="BT363" s="42">
        <v>0</v>
      </c>
      <c r="BU363" s="42">
        <v>0</v>
      </c>
      <c r="BV363" s="42">
        <v>0</v>
      </c>
      <c r="BW363" s="42">
        <v>0</v>
      </c>
      <c r="BX363" s="42">
        <v>0</v>
      </c>
      <c r="BY363" s="42">
        <v>0</v>
      </c>
      <c r="BZ363" s="42">
        <v>0</v>
      </c>
      <c r="CA363" s="42">
        <v>0</v>
      </c>
      <c r="CB363" s="42">
        <v>0</v>
      </c>
      <c r="CC363" s="42">
        <v>0</v>
      </c>
      <c r="CD363" s="42">
        <v>0</v>
      </c>
      <c r="CE363" s="42">
        <v>0</v>
      </c>
      <c r="CF363" s="42">
        <v>0</v>
      </c>
      <c r="CG363" s="42">
        <v>0</v>
      </c>
      <c r="CH363" s="42">
        <v>0</v>
      </c>
      <c r="CI363" s="42">
        <v>0</v>
      </c>
      <c r="CJ363" s="42">
        <v>0</v>
      </c>
      <c r="CK363" s="43">
        <f t="shared" si="50"/>
        <v>4944.9814000000051</v>
      </c>
      <c r="CL363" s="66"/>
      <c r="CM363" s="66">
        <v>0</v>
      </c>
      <c r="CN363" s="66">
        <v>0</v>
      </c>
      <c r="CO363" s="66">
        <v>0</v>
      </c>
      <c r="CP363" s="66">
        <v>0</v>
      </c>
      <c r="CQ363" s="66">
        <v>0</v>
      </c>
      <c r="CR363" s="66">
        <v>0</v>
      </c>
      <c r="CS363" s="66">
        <v>0</v>
      </c>
      <c r="CT363" s="66">
        <v>0</v>
      </c>
      <c r="CU363" s="66">
        <v>0</v>
      </c>
      <c r="CV363" s="66">
        <v>0</v>
      </c>
      <c r="CW363" s="66">
        <v>0</v>
      </c>
      <c r="CX363" s="66">
        <v>0</v>
      </c>
      <c r="CY363" s="66">
        <v>0</v>
      </c>
      <c r="CZ363" s="66">
        <v>0</v>
      </c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>
        <f>SUM(Table1[[#This Row],[01-03 Apr]:[Mar-26]])</f>
        <v>0</v>
      </c>
    </row>
    <row r="364" spans="1:115" x14ac:dyDescent="0.2">
      <c r="A364" s="28" t="s">
        <v>2365</v>
      </c>
      <c r="B364" s="29" t="s">
        <v>457</v>
      </c>
      <c r="C364" s="29" t="s">
        <v>458</v>
      </c>
      <c r="D364" s="30" t="s">
        <v>459</v>
      </c>
      <c r="E364" s="30" t="s">
        <v>217</v>
      </c>
      <c r="F364" s="30"/>
      <c r="G364" s="31" t="s">
        <v>452</v>
      </c>
      <c r="H364" s="30">
        <v>364732</v>
      </c>
      <c r="I364" s="30" t="str">
        <f>IF(Table1[[#This Row],[Centre Status]]="Returned","NA",IF(Table1[[#This Row],[SD]]&gt;19000,"Full Payment",IF(Table1[[#This Row],[SD]]&lt;1,"No Payment","Partial Payment")))</f>
        <v>Partial Payment</v>
      </c>
      <c r="J364" s="30" t="s">
        <v>58</v>
      </c>
      <c r="K364" s="32">
        <v>110000</v>
      </c>
      <c r="L364" s="33">
        <f>Q364+R364+U364+Table1[[#This Row],[Farmer Payment]]</f>
        <v>87555.572207406731</v>
      </c>
      <c r="M364" s="30"/>
      <c r="N364" s="34"/>
      <c r="O364" s="34"/>
      <c r="P364" s="35">
        <f t="shared" si="47"/>
        <v>22444.427792593269</v>
      </c>
      <c r="Q364" s="33">
        <f>AI364+AV364+CK364+Table1[[#This Row],[FY 25-26]]</f>
        <v>77555.572207406731</v>
      </c>
      <c r="R364" s="36">
        <v>10000</v>
      </c>
      <c r="S364" s="37" t="s">
        <v>460</v>
      </c>
      <c r="T364" s="38">
        <v>44763</v>
      </c>
      <c r="U364" s="39"/>
      <c r="V364" s="39"/>
      <c r="W364" s="40">
        <v>0</v>
      </c>
      <c r="X364" s="40">
        <v>0</v>
      </c>
      <c r="Y364" s="40">
        <v>0</v>
      </c>
      <c r="Z364" s="40">
        <v>1861</v>
      </c>
      <c r="AA364" s="40">
        <v>1861</v>
      </c>
      <c r="AB364" s="40">
        <v>1861</v>
      </c>
      <c r="AC364" s="40">
        <v>1861</v>
      </c>
      <c r="AD364" s="40">
        <v>2598.1897999999997</v>
      </c>
      <c r="AE364" s="40">
        <v>3559.2891999999997</v>
      </c>
      <c r="AF364" s="40">
        <v>4553.3541999999998</v>
      </c>
      <c r="AG364" s="40">
        <v>3445.1666</v>
      </c>
      <c r="AH364" s="40">
        <v>2359.1918000000001</v>
      </c>
      <c r="AI364" s="41">
        <f t="shared" si="48"/>
        <v>23959.191600000002</v>
      </c>
      <c r="AJ364" s="42">
        <v>1861</v>
      </c>
      <c r="AK364" s="42">
        <v>1861</v>
      </c>
      <c r="AL364" s="42">
        <v>1861</v>
      </c>
      <c r="AM364" s="42">
        <v>1926.9223999999999</v>
      </c>
      <c r="AN364" s="42">
        <v>1861</v>
      </c>
      <c r="AO364" s="42">
        <v>1861</v>
      </c>
      <c r="AP364" s="42">
        <v>791</v>
      </c>
      <c r="AQ364" s="42">
        <v>707</v>
      </c>
      <c r="AR364" s="42">
        <v>1861</v>
      </c>
      <c r="AS364" s="42">
        <v>2218.8029999999999</v>
      </c>
      <c r="AT364" s="42">
        <v>2272.16</v>
      </c>
      <c r="AU364" s="42">
        <v>3375.4120000000003</v>
      </c>
      <c r="AV364" s="42">
        <f t="shared" si="49"/>
        <v>22457.297399999999</v>
      </c>
      <c r="AW364" s="42">
        <v>1861</v>
      </c>
      <c r="AX364" s="42">
        <v>1861</v>
      </c>
      <c r="AY364" s="42">
        <v>1861</v>
      </c>
      <c r="AZ364" s="42">
        <v>1861</v>
      </c>
      <c r="BA364" s="42">
        <v>1861</v>
      </c>
      <c r="BB364" s="42">
        <v>0</v>
      </c>
      <c r="BC364" s="42">
        <v>1994.5962808934403</v>
      </c>
      <c r="BD364" s="42">
        <v>0</v>
      </c>
      <c r="BE364" s="42">
        <v>0</v>
      </c>
      <c r="BF364" s="42">
        <v>0</v>
      </c>
      <c r="BG364" s="42">
        <v>0</v>
      </c>
      <c r="BH364" s="42">
        <v>0</v>
      </c>
      <c r="BI364" s="42">
        <v>1861</v>
      </c>
      <c r="BJ364" s="42">
        <v>0</v>
      </c>
      <c r="BK364" s="42">
        <v>0</v>
      </c>
      <c r="BL364" s="42">
        <v>0</v>
      </c>
      <c r="BM364" s="42">
        <v>0</v>
      </c>
      <c r="BN364" s="42">
        <v>1861</v>
      </c>
      <c r="BO364" s="42">
        <v>0</v>
      </c>
      <c r="BP364" s="42">
        <v>0</v>
      </c>
      <c r="BQ364" s="42">
        <v>0</v>
      </c>
      <c r="BR364" s="42">
        <v>0</v>
      </c>
      <c r="BS364" s="42">
        <v>1861</v>
      </c>
      <c r="BT364" s="42">
        <v>0</v>
      </c>
      <c r="BU364" s="42">
        <v>0</v>
      </c>
      <c r="BV364" s="42">
        <v>0</v>
      </c>
      <c r="BW364" s="42">
        <v>0</v>
      </c>
      <c r="BX364" s="42">
        <v>0</v>
      </c>
      <c r="BY364" s="42">
        <v>2297.2317640627207</v>
      </c>
      <c r="BZ364" s="42">
        <v>0</v>
      </c>
      <c r="CA364" s="42">
        <v>0</v>
      </c>
      <c r="CB364" s="42">
        <v>0</v>
      </c>
      <c r="CC364" s="42">
        <v>0</v>
      </c>
      <c r="CD364" s="42">
        <v>2490.6857657241599</v>
      </c>
      <c r="CE364" s="42">
        <v>0</v>
      </c>
      <c r="CF364" s="42">
        <v>0</v>
      </c>
      <c r="CG364" s="42">
        <v>0</v>
      </c>
      <c r="CH364" s="42">
        <v>0</v>
      </c>
      <c r="CI364" s="42">
        <v>0</v>
      </c>
      <c r="CJ364" s="42">
        <v>4294.7762809190408</v>
      </c>
      <c r="CK364" s="43">
        <f t="shared" si="50"/>
        <v>25965.290091599367</v>
      </c>
      <c r="CL364" s="66"/>
      <c r="CM364" s="66">
        <v>0</v>
      </c>
      <c r="CN364" s="66">
        <v>0</v>
      </c>
      <c r="CO364" s="66">
        <v>0</v>
      </c>
      <c r="CP364" s="66">
        <v>3146.3085383020803</v>
      </c>
      <c r="CQ364" s="66">
        <v>0</v>
      </c>
      <c r="CR364" s="66">
        <v>0</v>
      </c>
      <c r="CS364" s="66">
        <v>0</v>
      </c>
      <c r="CT364" s="66">
        <v>0</v>
      </c>
      <c r="CU364" s="66">
        <v>0</v>
      </c>
      <c r="CV364" s="66">
        <v>2027.4845775052802</v>
      </c>
      <c r="CW364" s="66">
        <v>0</v>
      </c>
      <c r="CX364" s="66">
        <v>0</v>
      </c>
      <c r="CY364" s="66">
        <v>0</v>
      </c>
      <c r="CZ364" s="66">
        <v>0</v>
      </c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>
        <f>SUM(Table1[[#This Row],[01-03 Apr]:[Mar-26]])</f>
        <v>5173.7931158073607</v>
      </c>
    </row>
    <row r="365" spans="1:115" hidden="1" x14ac:dyDescent="0.2">
      <c r="A365" s="28" t="s">
        <v>2253</v>
      </c>
      <c r="B365" s="29" t="s">
        <v>461</v>
      </c>
      <c r="C365" s="29" t="s">
        <v>462</v>
      </c>
      <c r="D365" s="30" t="s">
        <v>463</v>
      </c>
      <c r="E365" s="30" t="s">
        <v>217</v>
      </c>
      <c r="F365" s="30"/>
      <c r="G365" s="31" t="s">
        <v>452</v>
      </c>
      <c r="H365" s="30">
        <v>362816</v>
      </c>
      <c r="I365" s="30" t="str">
        <f>IF(Table1[[#This Row],[Centre Status]]="Returned","NA",IF(Table1[[#This Row],[SD]]&gt;19000,"Full Payment",IF(Table1[[#This Row],[SD]]&lt;1,"No Payment","Partial Payment")))</f>
        <v>Full Payment</v>
      </c>
      <c r="J365" s="30" t="s">
        <v>58</v>
      </c>
      <c r="K365" s="32">
        <v>110000</v>
      </c>
      <c r="L365" s="33">
        <f>Q365+R365+U365+Table1[[#This Row],[Farmer Payment]]</f>
        <v>81900.850000000006</v>
      </c>
      <c r="M365" s="30"/>
      <c r="N365" s="34"/>
      <c r="O365" s="34"/>
      <c r="P365" s="35">
        <f t="shared" ref="P365:P411" si="51">K365-L365+M365</f>
        <v>28099.149999999994</v>
      </c>
      <c r="Q365" s="33">
        <f>AI365+AV365+CK365+Table1[[#This Row],[FY 25-26]]</f>
        <v>61900.85</v>
      </c>
      <c r="R365" s="36">
        <v>20000</v>
      </c>
      <c r="S365" s="37" t="s">
        <v>464</v>
      </c>
      <c r="T365" s="38">
        <v>44763</v>
      </c>
      <c r="U365" s="39"/>
      <c r="V365" s="39"/>
      <c r="W365" s="40">
        <v>0</v>
      </c>
      <c r="X365" s="40">
        <v>0</v>
      </c>
      <c r="Y365" s="40">
        <v>0</v>
      </c>
      <c r="Z365" s="40">
        <v>0</v>
      </c>
      <c r="AA365" s="40">
        <v>3141.2883999999999</v>
      </c>
      <c r="AB365" s="40">
        <v>2611.9621999999999</v>
      </c>
      <c r="AC365" s="40">
        <v>2821.1492000000003</v>
      </c>
      <c r="AD365" s="40">
        <v>3749.6803999999997</v>
      </c>
      <c r="AE365" s="40">
        <v>1861</v>
      </c>
      <c r="AF365" s="40">
        <v>2251.4826000000003</v>
      </c>
      <c r="AG365" s="40">
        <v>2192.5950000000003</v>
      </c>
      <c r="AH365" s="40">
        <v>2208.5237999999999</v>
      </c>
      <c r="AI365" s="41">
        <f t="shared" ref="AI365:AI411" si="52">SUM(W365:AH365)</f>
        <v>20837.6816</v>
      </c>
      <c r="AJ365" s="42">
        <v>1861</v>
      </c>
      <c r="AK365" s="42">
        <v>1861</v>
      </c>
      <c r="AL365" s="42">
        <v>580</v>
      </c>
      <c r="AM365" s="42">
        <v>1916.9655999999998</v>
      </c>
      <c r="AN365" s="42">
        <v>2541.0442000000003</v>
      </c>
      <c r="AO365" s="42">
        <v>3253.9338000000002</v>
      </c>
      <c r="AP365" s="42">
        <v>3073.8670000000002</v>
      </c>
      <c r="AQ365" s="42">
        <v>1861</v>
      </c>
      <c r="AR365" s="42">
        <v>1861</v>
      </c>
      <c r="AS365" s="42">
        <v>2048.4564</v>
      </c>
      <c r="AT365" s="42">
        <v>2003.2346000000007</v>
      </c>
      <c r="AU365" s="42">
        <v>2494.6668000000004</v>
      </c>
      <c r="AV365" s="42">
        <f t="shared" ref="AV365:AV411" si="53">SUM(AJ365:AU365)</f>
        <v>25356.168399999999</v>
      </c>
      <c r="AW365" s="42">
        <v>267</v>
      </c>
      <c r="AX365" s="42">
        <v>0</v>
      </c>
      <c r="AY365" s="42">
        <v>0</v>
      </c>
      <c r="AZ365" s="42">
        <v>0</v>
      </c>
      <c r="BA365" s="42">
        <v>0</v>
      </c>
      <c r="BB365" s="42">
        <v>0</v>
      </c>
      <c r="BC365" s="42">
        <v>0</v>
      </c>
      <c r="BD365" s="42">
        <v>0</v>
      </c>
      <c r="BE365" s="42">
        <v>0</v>
      </c>
      <c r="BF365" s="42">
        <v>0</v>
      </c>
      <c r="BG365" s="42">
        <v>0</v>
      </c>
      <c r="BH365" s="42">
        <v>0</v>
      </c>
      <c r="BI365" s="42">
        <v>0</v>
      </c>
      <c r="BJ365" s="42">
        <v>0</v>
      </c>
      <c r="BK365" s="42">
        <v>0</v>
      </c>
      <c r="BL365" s="42">
        <v>500</v>
      </c>
      <c r="BM365" s="42">
        <v>500</v>
      </c>
      <c r="BN365" s="42">
        <v>0</v>
      </c>
      <c r="BO365" s="42">
        <v>500</v>
      </c>
      <c r="BP365" s="42">
        <v>500</v>
      </c>
      <c r="BQ365" s="42">
        <v>500</v>
      </c>
      <c r="BR365" s="42">
        <v>500</v>
      </c>
      <c r="BS365" s="42">
        <v>0</v>
      </c>
      <c r="BT365" s="42">
        <v>440</v>
      </c>
      <c r="BU365" s="42">
        <v>500</v>
      </c>
      <c r="BV365" s="42">
        <v>500</v>
      </c>
      <c r="BW365" s="42">
        <v>500</v>
      </c>
      <c r="BX365" s="42">
        <v>500</v>
      </c>
      <c r="BY365" s="42">
        <v>0</v>
      </c>
      <c r="BZ365" s="42">
        <v>500</v>
      </c>
      <c r="CA365" s="42">
        <v>500</v>
      </c>
      <c r="CB365" s="42">
        <v>500</v>
      </c>
      <c r="CC365" s="42">
        <v>500</v>
      </c>
      <c r="CD365" s="42">
        <v>0</v>
      </c>
      <c r="CE365" s="42">
        <v>500</v>
      </c>
      <c r="CF365" s="42">
        <v>500</v>
      </c>
      <c r="CG365" s="42">
        <v>500</v>
      </c>
      <c r="CH365" s="42">
        <v>500</v>
      </c>
      <c r="CI365" s="42">
        <v>500</v>
      </c>
      <c r="CJ365" s="42">
        <v>0</v>
      </c>
      <c r="CK365" s="43">
        <f t="shared" ref="CK365:CK411" si="54">SUM(AW365:CJ365)</f>
        <v>10207</v>
      </c>
      <c r="CL365" s="66"/>
      <c r="CM365" s="66">
        <v>500</v>
      </c>
      <c r="CN365" s="66">
        <v>500</v>
      </c>
      <c r="CO365" s="66">
        <v>500</v>
      </c>
      <c r="CP365" s="66">
        <v>0</v>
      </c>
      <c r="CQ365" s="66">
        <v>500</v>
      </c>
      <c r="CR365" s="66">
        <v>500</v>
      </c>
      <c r="CS365" s="66">
        <v>0</v>
      </c>
      <c r="CT365" s="66">
        <v>500</v>
      </c>
      <c r="CU365" s="66">
        <v>500</v>
      </c>
      <c r="CV365" s="66">
        <v>0</v>
      </c>
      <c r="CW365" s="66">
        <v>500</v>
      </c>
      <c r="CX365" s="66">
        <v>500</v>
      </c>
      <c r="CY365" s="66">
        <v>500</v>
      </c>
      <c r="CZ365" s="66">
        <v>500</v>
      </c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>
        <f>SUM(Table1[[#This Row],[01-03 Apr]:[Mar-26]])</f>
        <v>5500</v>
      </c>
    </row>
    <row r="366" spans="1:115" hidden="1" x14ac:dyDescent="0.2">
      <c r="A366" s="28" t="s">
        <v>2253</v>
      </c>
      <c r="B366" s="29" t="s">
        <v>465</v>
      </c>
      <c r="C366" s="29" t="s">
        <v>466</v>
      </c>
      <c r="D366" s="30" t="s">
        <v>467</v>
      </c>
      <c r="E366" s="30" t="s">
        <v>217</v>
      </c>
      <c r="F366" s="30"/>
      <c r="G366" s="31" t="s">
        <v>452</v>
      </c>
      <c r="H366" s="30">
        <v>368608</v>
      </c>
      <c r="I366" s="30" t="str">
        <f>IF(Table1[[#This Row],[Centre Status]]="Returned","NA",IF(Table1[[#This Row],[SD]]&gt;19000,"Full Payment",IF(Table1[[#This Row],[SD]]&lt;1,"No Payment","Partial Payment")))</f>
        <v>Full Payment</v>
      </c>
      <c r="J366" s="30" t="s">
        <v>58</v>
      </c>
      <c r="K366" s="32">
        <v>110000</v>
      </c>
      <c r="L366" s="33">
        <f>Q366+R366+U366+Table1[[#This Row],[Farmer Payment]]</f>
        <v>53365.268400000001</v>
      </c>
      <c r="M366" s="30"/>
      <c r="N366" s="34"/>
      <c r="O366" s="34"/>
      <c r="P366" s="35">
        <f t="shared" si="51"/>
        <v>56634.731599999999</v>
      </c>
      <c r="Q366" s="33">
        <f>AI366+AV366+CK366+Table1[[#This Row],[FY 25-26]]</f>
        <v>33365.268400000001</v>
      </c>
      <c r="R366" s="36">
        <v>20000</v>
      </c>
      <c r="S366" s="37" t="s">
        <v>468</v>
      </c>
      <c r="T366" s="38">
        <v>44765</v>
      </c>
      <c r="U366" s="39"/>
      <c r="V366" s="39"/>
      <c r="W366" s="40">
        <v>0</v>
      </c>
      <c r="X366" s="40">
        <v>0</v>
      </c>
      <c r="Y366" s="40">
        <v>0</v>
      </c>
      <c r="Z366" s="40">
        <v>0</v>
      </c>
      <c r="AA366" s="40">
        <v>4082.5289999999995</v>
      </c>
      <c r="AB366" s="40">
        <v>4102.802999999999</v>
      </c>
      <c r="AC366" s="40">
        <v>3913.1810000000009</v>
      </c>
      <c r="AD366" s="40">
        <v>2416.7786000000001</v>
      </c>
      <c r="AE366" s="40">
        <v>1215</v>
      </c>
      <c r="AF366" s="40">
        <v>1547</v>
      </c>
      <c r="AG366" s="40">
        <v>1861</v>
      </c>
      <c r="AH366" s="40">
        <v>1861</v>
      </c>
      <c r="AI366" s="41">
        <f t="shared" si="52"/>
        <v>20999.291599999997</v>
      </c>
      <c r="AJ366" s="42">
        <v>1861</v>
      </c>
      <c r="AK366" s="42">
        <v>0</v>
      </c>
      <c r="AL366" s="42">
        <v>0</v>
      </c>
      <c r="AM366" s="42">
        <v>0</v>
      </c>
      <c r="AN366" s="42">
        <v>0</v>
      </c>
      <c r="AO366" s="42">
        <v>0</v>
      </c>
      <c r="AP366" s="42">
        <v>1861</v>
      </c>
      <c r="AQ366" s="42">
        <v>1861</v>
      </c>
      <c r="AR366" s="42">
        <v>442</v>
      </c>
      <c r="AS366" s="42">
        <v>1861</v>
      </c>
      <c r="AT366" s="42">
        <v>3945.9767999999999</v>
      </c>
      <c r="AU366" s="42">
        <v>34</v>
      </c>
      <c r="AV366" s="42">
        <f t="shared" si="53"/>
        <v>11865.9768</v>
      </c>
      <c r="AW366" s="42">
        <v>0</v>
      </c>
      <c r="AX366" s="42">
        <v>0</v>
      </c>
      <c r="AY366" s="42">
        <v>0</v>
      </c>
      <c r="AZ366" s="42">
        <v>0</v>
      </c>
      <c r="BA366" s="42">
        <v>0</v>
      </c>
      <c r="BB366" s="42">
        <v>500</v>
      </c>
      <c r="BC366" s="42">
        <v>0</v>
      </c>
      <c r="BD366" s="42">
        <v>0</v>
      </c>
      <c r="BE366" s="42">
        <v>0</v>
      </c>
      <c r="BF366" s="42">
        <v>0</v>
      </c>
      <c r="BG366" s="42">
        <v>0</v>
      </c>
      <c r="BH366" s="42">
        <v>0</v>
      </c>
      <c r="BI366" s="42">
        <v>0</v>
      </c>
      <c r="BJ366" s="42">
        <v>0</v>
      </c>
      <c r="BK366" s="42">
        <v>0</v>
      </c>
      <c r="BL366" s="42">
        <v>0</v>
      </c>
      <c r="BM366" s="42">
        <v>0</v>
      </c>
      <c r="BN366" s="42">
        <v>0</v>
      </c>
      <c r="BO366" s="42">
        <v>0</v>
      </c>
      <c r="BP366" s="42">
        <v>0</v>
      </c>
      <c r="BQ366" s="42">
        <v>0</v>
      </c>
      <c r="BR366" s="42">
        <v>0</v>
      </c>
      <c r="BS366" s="42">
        <v>0</v>
      </c>
      <c r="BT366" s="42">
        <v>0</v>
      </c>
      <c r="BU366" s="42">
        <v>0</v>
      </c>
      <c r="BV366" s="42">
        <v>0</v>
      </c>
      <c r="BW366" s="42">
        <v>0</v>
      </c>
      <c r="BX366" s="42">
        <v>0</v>
      </c>
      <c r="BY366" s="42">
        <v>0</v>
      </c>
      <c r="BZ366" s="42">
        <v>0</v>
      </c>
      <c r="CA366" s="42">
        <v>0</v>
      </c>
      <c r="CB366" s="42">
        <v>0</v>
      </c>
      <c r="CC366" s="42">
        <v>0</v>
      </c>
      <c r="CD366" s="42">
        <v>0</v>
      </c>
      <c r="CE366" s="42">
        <v>0</v>
      </c>
      <c r="CF366" s="42">
        <v>0</v>
      </c>
      <c r="CG366" s="42">
        <v>0</v>
      </c>
      <c r="CH366" s="42">
        <v>0</v>
      </c>
      <c r="CI366" s="42">
        <v>0</v>
      </c>
      <c r="CJ366" s="42">
        <v>0</v>
      </c>
      <c r="CK366" s="43">
        <f t="shared" si="54"/>
        <v>500</v>
      </c>
      <c r="CL366" s="66"/>
      <c r="CM366" s="66">
        <v>0</v>
      </c>
      <c r="CN366" s="66">
        <v>0</v>
      </c>
      <c r="CO366" s="66">
        <v>0</v>
      </c>
      <c r="CP366" s="66">
        <v>0</v>
      </c>
      <c r="CQ366" s="66">
        <v>0</v>
      </c>
      <c r="CR366" s="66">
        <v>0</v>
      </c>
      <c r="CS366" s="66">
        <v>0</v>
      </c>
      <c r="CT366" s="66">
        <v>0</v>
      </c>
      <c r="CU366" s="66">
        <v>0</v>
      </c>
      <c r="CV366" s="66">
        <v>0</v>
      </c>
      <c r="CW366" s="66">
        <v>0</v>
      </c>
      <c r="CX366" s="66">
        <v>0</v>
      </c>
      <c r="CY366" s="66">
        <v>0</v>
      </c>
      <c r="CZ366" s="66">
        <v>0</v>
      </c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>
        <f>SUM(Table1[[#This Row],[01-03 Apr]:[Mar-26]])</f>
        <v>0</v>
      </c>
    </row>
    <row r="367" spans="1:115" x14ac:dyDescent="0.2">
      <c r="A367" s="28" t="s">
        <v>2365</v>
      </c>
      <c r="B367" s="29" t="s">
        <v>469</v>
      </c>
      <c r="C367" s="29" t="s">
        <v>470</v>
      </c>
      <c r="D367" s="30" t="s">
        <v>326</v>
      </c>
      <c r="E367" s="30" t="s">
        <v>217</v>
      </c>
      <c r="F367" s="30"/>
      <c r="G367" s="31" t="s">
        <v>471</v>
      </c>
      <c r="H367" s="30">
        <v>362928</v>
      </c>
      <c r="I367" s="30" t="str">
        <f>IF(Table1[[#This Row],[Centre Status]]="Returned","NA",IF(Table1[[#This Row],[SD]]&gt;19000,"Full Payment",IF(Table1[[#This Row],[SD]]&lt;1,"No Payment","Partial Payment")))</f>
        <v>Partial Payment</v>
      </c>
      <c r="J367" s="30" t="s">
        <v>58</v>
      </c>
      <c r="K367" s="32">
        <v>110000</v>
      </c>
      <c r="L367" s="33">
        <f>Q367+R367+U367+Table1[[#This Row],[Farmer Payment]]</f>
        <v>48193.087281816799</v>
      </c>
      <c r="M367" s="30"/>
      <c r="N367" s="34"/>
      <c r="O367" s="34"/>
      <c r="P367" s="35">
        <f t="shared" si="51"/>
        <v>61806.912718183201</v>
      </c>
      <c r="Q367" s="33">
        <f>AI367+AV367+CK367+Table1[[#This Row],[FY 25-26]]</f>
        <v>38193.087281816799</v>
      </c>
      <c r="R367" s="36">
        <v>10000</v>
      </c>
      <c r="S367" s="37" t="s">
        <v>472</v>
      </c>
      <c r="T367" s="38">
        <v>44793</v>
      </c>
      <c r="U367" s="39"/>
      <c r="V367" s="39"/>
      <c r="W367" s="40">
        <v>0</v>
      </c>
      <c r="X367" s="40">
        <v>0</v>
      </c>
      <c r="Y367" s="40">
        <v>0</v>
      </c>
      <c r="Z367" s="40">
        <v>0</v>
      </c>
      <c r="AA367" s="40">
        <v>0</v>
      </c>
      <c r="AB367" s="40">
        <v>0</v>
      </c>
      <c r="AC367" s="40">
        <v>0</v>
      </c>
      <c r="AD367" s="40">
        <v>0</v>
      </c>
      <c r="AE367" s="40">
        <v>0</v>
      </c>
      <c r="AF367" s="40">
        <v>0</v>
      </c>
      <c r="AG367" s="40">
        <v>0</v>
      </c>
      <c r="AH367" s="40">
        <v>0</v>
      </c>
      <c r="AI367" s="41">
        <f t="shared" si="52"/>
        <v>0</v>
      </c>
      <c r="AJ367" s="42">
        <v>36</v>
      </c>
      <c r="AK367" s="42">
        <v>1393</v>
      </c>
      <c r="AL367" s="42">
        <v>1861</v>
      </c>
      <c r="AM367" s="42">
        <v>1861</v>
      </c>
      <c r="AN367" s="42">
        <v>1861</v>
      </c>
      <c r="AO367" s="42">
        <v>987</v>
      </c>
      <c r="AP367" s="42">
        <v>1861</v>
      </c>
      <c r="AQ367" s="42">
        <v>2053.3172</v>
      </c>
      <c r="AR367" s="42">
        <v>2824.1444000000001</v>
      </c>
      <c r="AS367" s="42">
        <v>3686.1318000000006</v>
      </c>
      <c r="AT367" s="42">
        <v>3164.6849999999999</v>
      </c>
      <c r="AU367" s="42">
        <v>4081.7725999999998</v>
      </c>
      <c r="AV367" s="42">
        <f t="shared" si="53"/>
        <v>25670.050999999999</v>
      </c>
      <c r="AW367" s="42">
        <v>3638.7211100715203</v>
      </c>
      <c r="AX367" s="42">
        <v>2143.3151717452806</v>
      </c>
      <c r="AY367" s="42">
        <v>1861</v>
      </c>
      <c r="AZ367" s="42">
        <v>0</v>
      </c>
      <c r="BA367" s="42">
        <v>1380</v>
      </c>
      <c r="BB367" s="42">
        <v>500</v>
      </c>
      <c r="BC367" s="42">
        <v>0</v>
      </c>
      <c r="BD367" s="42">
        <v>500</v>
      </c>
      <c r="BE367" s="42">
        <v>500</v>
      </c>
      <c r="BF367" s="42">
        <v>500</v>
      </c>
      <c r="BG367" s="42">
        <v>500</v>
      </c>
      <c r="BH367" s="42">
        <v>500</v>
      </c>
      <c r="BI367" s="42">
        <v>0</v>
      </c>
      <c r="BJ367" s="42">
        <v>500</v>
      </c>
      <c r="BK367" s="42">
        <v>0</v>
      </c>
      <c r="BL367" s="42">
        <v>0</v>
      </c>
      <c r="BM367" s="42">
        <v>0</v>
      </c>
      <c r="BN367" s="42">
        <v>0</v>
      </c>
      <c r="BO367" s="42">
        <v>0</v>
      </c>
      <c r="BP367" s="42">
        <v>0</v>
      </c>
      <c r="BQ367" s="42">
        <v>0</v>
      </c>
      <c r="BR367" s="42">
        <v>0</v>
      </c>
      <c r="BS367" s="42">
        <v>0</v>
      </c>
      <c r="BT367" s="42">
        <v>0</v>
      </c>
      <c r="BU367" s="42">
        <v>0</v>
      </c>
      <c r="BV367" s="42">
        <v>0</v>
      </c>
      <c r="BW367" s="42">
        <v>0</v>
      </c>
      <c r="BX367" s="42">
        <v>0</v>
      </c>
      <c r="BY367" s="42">
        <v>0</v>
      </c>
      <c r="BZ367" s="42">
        <v>0</v>
      </c>
      <c r="CA367" s="42">
        <v>0</v>
      </c>
      <c r="CB367" s="42">
        <v>0</v>
      </c>
      <c r="CC367" s="42">
        <v>0</v>
      </c>
      <c r="CD367" s="42">
        <v>0</v>
      </c>
      <c r="CE367" s="42">
        <v>0</v>
      </c>
      <c r="CF367" s="42">
        <v>0</v>
      </c>
      <c r="CG367" s="42">
        <v>0</v>
      </c>
      <c r="CH367" s="42">
        <v>0</v>
      </c>
      <c r="CI367" s="42">
        <v>0</v>
      </c>
      <c r="CJ367" s="42">
        <v>0</v>
      </c>
      <c r="CK367" s="43">
        <f t="shared" si="54"/>
        <v>12523.036281816801</v>
      </c>
      <c r="CL367" s="66"/>
      <c r="CM367" s="66">
        <v>0</v>
      </c>
      <c r="CN367" s="66">
        <v>0</v>
      </c>
      <c r="CO367" s="66">
        <v>0</v>
      </c>
      <c r="CP367" s="66">
        <v>0</v>
      </c>
      <c r="CQ367" s="66">
        <v>0</v>
      </c>
      <c r="CR367" s="66">
        <v>0</v>
      </c>
      <c r="CS367" s="66">
        <v>0</v>
      </c>
      <c r="CT367" s="66">
        <v>0</v>
      </c>
      <c r="CU367" s="66">
        <v>0</v>
      </c>
      <c r="CV367" s="66">
        <v>0</v>
      </c>
      <c r="CW367" s="66">
        <v>0</v>
      </c>
      <c r="CX367" s="66">
        <v>0</v>
      </c>
      <c r="CY367" s="66">
        <v>0</v>
      </c>
      <c r="CZ367" s="66">
        <v>0</v>
      </c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>
        <f>SUM(Table1[[#This Row],[01-03 Apr]:[Mar-26]])</f>
        <v>0</v>
      </c>
    </row>
    <row r="368" spans="1:115" hidden="1" x14ac:dyDescent="0.2">
      <c r="A368" s="28" t="s">
        <v>2366</v>
      </c>
      <c r="B368" s="29" t="s">
        <v>473</v>
      </c>
      <c r="C368" s="29" t="s">
        <v>474</v>
      </c>
      <c r="D368" s="30" t="s">
        <v>475</v>
      </c>
      <c r="E368" s="30" t="s">
        <v>217</v>
      </c>
      <c r="F368" s="30"/>
      <c r="G368" s="31" t="s">
        <v>371</v>
      </c>
      <c r="H368" s="30">
        <v>351151</v>
      </c>
      <c r="I368" s="30" t="str">
        <f>IF(Table1[[#This Row],[Centre Status]]="Returned","NA",IF(Table1[[#This Row],[SD]]&gt;19000,"Full Payment",IF(Table1[[#This Row],[SD]]&lt;1,"No Payment","Partial Payment")))</f>
        <v>Full Payment</v>
      </c>
      <c r="J368" s="30" t="s">
        <v>58</v>
      </c>
      <c r="K368" s="32">
        <v>110000</v>
      </c>
      <c r="L368" s="33">
        <f>Q368+R368+U368+Table1[[#This Row],[Farmer Payment]]</f>
        <v>45040.483548524557</v>
      </c>
      <c r="M368" s="30"/>
      <c r="N368" s="34"/>
      <c r="O368" s="34"/>
      <c r="P368" s="35">
        <f t="shared" si="51"/>
        <v>64959.516451475443</v>
      </c>
      <c r="Q368" s="33">
        <f>AI368+AV368+CK368+Table1[[#This Row],[FY 25-26]]</f>
        <v>25040.483548524557</v>
      </c>
      <c r="R368" s="36">
        <v>20000</v>
      </c>
      <c r="S368" s="37" t="s">
        <v>476</v>
      </c>
      <c r="T368" s="38">
        <v>44807</v>
      </c>
      <c r="U368" s="39"/>
      <c r="V368" s="39"/>
      <c r="W368" s="40">
        <v>0</v>
      </c>
      <c r="X368" s="40">
        <v>0</v>
      </c>
      <c r="Y368" s="40">
        <v>0</v>
      </c>
      <c r="Z368" s="40">
        <v>0</v>
      </c>
      <c r="AA368" s="40">
        <v>0</v>
      </c>
      <c r="AB368" s="40">
        <v>0</v>
      </c>
      <c r="AC368" s="40">
        <v>0</v>
      </c>
      <c r="AD368" s="40">
        <v>176</v>
      </c>
      <c r="AE368" s="40">
        <v>1464</v>
      </c>
      <c r="AF368" s="40">
        <v>0</v>
      </c>
      <c r="AG368" s="40">
        <v>612</v>
      </c>
      <c r="AH368" s="40">
        <v>504</v>
      </c>
      <c r="AI368" s="41">
        <f t="shared" si="52"/>
        <v>2756</v>
      </c>
      <c r="AJ368" s="42">
        <v>197</v>
      </c>
      <c r="AK368" s="42">
        <v>0</v>
      </c>
      <c r="AL368" s="42">
        <v>0</v>
      </c>
      <c r="AM368" s="42">
        <v>0</v>
      </c>
      <c r="AN368" s="42">
        <v>855</v>
      </c>
      <c r="AO368" s="42">
        <v>1708</v>
      </c>
      <c r="AP368" s="42">
        <v>900</v>
      </c>
      <c r="AQ368" s="42">
        <v>0</v>
      </c>
      <c r="AR368" s="42">
        <v>1861</v>
      </c>
      <c r="AS368" s="42">
        <v>0</v>
      </c>
      <c r="AT368" s="42">
        <v>549.48354852455441</v>
      </c>
      <c r="AU368" s="42">
        <v>0</v>
      </c>
      <c r="AV368" s="42">
        <f t="shared" si="53"/>
        <v>6070.4835485245549</v>
      </c>
      <c r="AW368" s="42">
        <v>0</v>
      </c>
      <c r="AX368" s="42">
        <v>0</v>
      </c>
      <c r="AY368" s="42">
        <v>0</v>
      </c>
      <c r="AZ368" s="42">
        <v>0</v>
      </c>
      <c r="BA368" s="42">
        <v>0</v>
      </c>
      <c r="BB368" s="42">
        <v>0</v>
      </c>
      <c r="BC368" s="42">
        <v>0</v>
      </c>
      <c r="BD368" s="42">
        <v>714</v>
      </c>
      <c r="BE368" s="42">
        <v>500</v>
      </c>
      <c r="BF368" s="42">
        <v>500</v>
      </c>
      <c r="BG368" s="42">
        <v>500</v>
      </c>
      <c r="BH368" s="42">
        <v>500</v>
      </c>
      <c r="BI368" s="42">
        <v>0</v>
      </c>
      <c r="BJ368" s="42">
        <v>500</v>
      </c>
      <c r="BK368" s="42">
        <v>500</v>
      </c>
      <c r="BL368" s="42">
        <v>500</v>
      </c>
      <c r="BM368" s="42">
        <v>500</v>
      </c>
      <c r="BN368" s="42">
        <v>0</v>
      </c>
      <c r="BO368" s="42">
        <v>500</v>
      </c>
      <c r="BP368" s="42">
        <v>500</v>
      </c>
      <c r="BQ368" s="42">
        <v>500</v>
      </c>
      <c r="BR368" s="42">
        <v>500</v>
      </c>
      <c r="BS368" s="42">
        <v>0</v>
      </c>
      <c r="BT368" s="42">
        <v>0</v>
      </c>
      <c r="BU368" s="42">
        <v>500</v>
      </c>
      <c r="BV368" s="42">
        <v>500</v>
      </c>
      <c r="BW368" s="42">
        <v>500</v>
      </c>
      <c r="BX368" s="42">
        <v>500</v>
      </c>
      <c r="BY368" s="42">
        <v>0</v>
      </c>
      <c r="BZ368" s="42">
        <v>500</v>
      </c>
      <c r="CA368" s="42">
        <v>500</v>
      </c>
      <c r="CB368" s="42">
        <v>500</v>
      </c>
      <c r="CC368" s="42">
        <v>500</v>
      </c>
      <c r="CD368" s="42">
        <v>0</v>
      </c>
      <c r="CE368" s="42">
        <v>500</v>
      </c>
      <c r="CF368" s="42">
        <v>500</v>
      </c>
      <c r="CG368" s="42">
        <v>500</v>
      </c>
      <c r="CH368" s="42">
        <v>500</v>
      </c>
      <c r="CI368" s="42">
        <v>500</v>
      </c>
      <c r="CJ368" s="42">
        <v>0</v>
      </c>
      <c r="CK368" s="43">
        <f t="shared" si="54"/>
        <v>13214</v>
      </c>
      <c r="CL368" s="66"/>
      <c r="CM368" s="66">
        <v>500</v>
      </c>
      <c r="CN368" s="66">
        <v>500</v>
      </c>
      <c r="CO368" s="66">
        <v>500</v>
      </c>
      <c r="CP368" s="66">
        <v>0</v>
      </c>
      <c r="CQ368" s="66">
        <v>0</v>
      </c>
      <c r="CR368" s="66">
        <v>500</v>
      </c>
      <c r="CS368" s="66">
        <v>0</v>
      </c>
      <c r="CT368" s="66">
        <v>500</v>
      </c>
      <c r="CU368" s="66">
        <v>0</v>
      </c>
      <c r="CV368" s="66">
        <v>0</v>
      </c>
      <c r="CW368" s="66">
        <v>500</v>
      </c>
      <c r="CX368" s="66">
        <v>0</v>
      </c>
      <c r="CY368" s="66">
        <v>0</v>
      </c>
      <c r="CZ368" s="66">
        <v>0</v>
      </c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>
        <f>SUM(Table1[[#This Row],[01-03 Apr]:[Mar-26]])</f>
        <v>3000</v>
      </c>
    </row>
    <row r="369" spans="1:115" x14ac:dyDescent="0.2">
      <c r="A369" s="28" t="s">
        <v>2254</v>
      </c>
      <c r="B369" s="29" t="s">
        <v>477</v>
      </c>
      <c r="C369" s="29" t="s">
        <v>478</v>
      </c>
      <c r="D369" s="30" t="s">
        <v>479</v>
      </c>
      <c r="E369" s="30" t="s">
        <v>217</v>
      </c>
      <c r="F369" s="30"/>
      <c r="G369" s="31" t="s">
        <v>371</v>
      </c>
      <c r="H369" s="30">
        <v>371188</v>
      </c>
      <c r="I369" s="30" t="str">
        <f>IF(Table1[[#This Row],[Centre Status]]="Returned","NA",IF(Table1[[#This Row],[SD]]&gt;19000,"Full Payment",IF(Table1[[#This Row],[SD]]&lt;1,"No Payment","Partial Payment")))</f>
        <v>Partial Payment</v>
      </c>
      <c r="J369" s="30" t="s">
        <v>58</v>
      </c>
      <c r="K369" s="32">
        <v>110000</v>
      </c>
      <c r="L369" s="33">
        <f>Q369+R369+U369+Table1[[#This Row],[Farmer Payment]]</f>
        <v>48961.935967015685</v>
      </c>
      <c r="M369" s="30"/>
      <c r="N369" s="34"/>
      <c r="O369" s="34"/>
      <c r="P369" s="35">
        <f t="shared" si="51"/>
        <v>61038.064032984315</v>
      </c>
      <c r="Q369" s="33">
        <f>AI369+AV369+CK369+Table1[[#This Row],[FY 25-26]]</f>
        <v>38961.935967015685</v>
      </c>
      <c r="R369" s="36">
        <v>10000</v>
      </c>
      <c r="S369" s="37" t="s">
        <v>480</v>
      </c>
      <c r="T369" s="38">
        <v>44770</v>
      </c>
      <c r="U369" s="39"/>
      <c r="V369" s="39"/>
      <c r="W369" s="40">
        <v>0</v>
      </c>
      <c r="X369" s="40">
        <v>0</v>
      </c>
      <c r="Y369" s="40">
        <v>0</v>
      </c>
      <c r="Z369" s="40">
        <v>0</v>
      </c>
      <c r="AA369" s="40">
        <v>0</v>
      </c>
      <c r="AB369" s="40">
        <v>0</v>
      </c>
      <c r="AC369" s="40">
        <v>808</v>
      </c>
      <c r="AD369" s="40">
        <v>54</v>
      </c>
      <c r="AE369" s="40">
        <v>0</v>
      </c>
      <c r="AF369" s="40">
        <v>1861</v>
      </c>
      <c r="AG369" s="40">
        <v>2000</v>
      </c>
      <c r="AH369" s="40">
        <v>2000</v>
      </c>
      <c r="AI369" s="41">
        <f t="shared" si="52"/>
        <v>6723</v>
      </c>
      <c r="AJ369" s="42">
        <v>1861</v>
      </c>
      <c r="AK369" s="42">
        <v>2000</v>
      </c>
      <c r="AL369" s="42">
        <v>2000</v>
      </c>
      <c r="AM369" s="42">
        <v>2000</v>
      </c>
      <c r="AN369" s="42">
        <v>1861</v>
      </c>
      <c r="AO369" s="42">
        <v>1916.2523999999999</v>
      </c>
      <c r="AP369" s="42">
        <v>2000</v>
      </c>
      <c r="AQ369" s="42">
        <v>2000</v>
      </c>
      <c r="AR369" s="42">
        <v>1864.0882000000004</v>
      </c>
      <c r="AS369" s="42">
        <v>1999.5530000000001</v>
      </c>
      <c r="AT369" s="42">
        <v>2000</v>
      </c>
      <c r="AU369" s="42">
        <v>2000</v>
      </c>
      <c r="AV369" s="42">
        <f t="shared" si="53"/>
        <v>23501.893599999999</v>
      </c>
      <c r="AW369" s="42">
        <v>1926.0423670156804</v>
      </c>
      <c r="AX369" s="42">
        <v>1861</v>
      </c>
      <c r="AY369" s="42">
        <v>1861</v>
      </c>
      <c r="AZ369" s="42">
        <v>1089</v>
      </c>
      <c r="BA369" s="42">
        <v>0</v>
      </c>
      <c r="BB369" s="42">
        <v>500</v>
      </c>
      <c r="BC369" s="42">
        <v>0</v>
      </c>
      <c r="BD369" s="42">
        <v>500</v>
      </c>
      <c r="BE369" s="42">
        <v>500</v>
      </c>
      <c r="BF369" s="42">
        <v>500</v>
      </c>
      <c r="BG369" s="42">
        <v>0</v>
      </c>
      <c r="BH369" s="42">
        <v>0</v>
      </c>
      <c r="BI369" s="42">
        <v>0</v>
      </c>
      <c r="BJ369" s="42">
        <v>0</v>
      </c>
      <c r="BK369" s="42">
        <v>0</v>
      </c>
      <c r="BL369" s="42">
        <v>0</v>
      </c>
      <c r="BM369" s="42">
        <v>0</v>
      </c>
      <c r="BN369" s="42">
        <v>0</v>
      </c>
      <c r="BO369" s="42">
        <v>0</v>
      </c>
      <c r="BP369" s="42">
        <v>0</v>
      </c>
      <c r="BQ369" s="42">
        <v>0</v>
      </c>
      <c r="BR369" s="42">
        <v>0</v>
      </c>
      <c r="BS369" s="42">
        <v>0</v>
      </c>
      <c r="BT369" s="42">
        <v>0</v>
      </c>
      <c r="BU369" s="42">
        <v>0</v>
      </c>
      <c r="BV369" s="42">
        <v>0</v>
      </c>
      <c r="BW369" s="42">
        <v>0</v>
      </c>
      <c r="BX369" s="42">
        <v>0</v>
      </c>
      <c r="BY369" s="42">
        <v>0</v>
      </c>
      <c r="BZ369" s="42">
        <v>0</v>
      </c>
      <c r="CA369" s="42">
        <v>0</v>
      </c>
      <c r="CB369" s="42">
        <v>0</v>
      </c>
      <c r="CC369" s="42">
        <v>0</v>
      </c>
      <c r="CD369" s="42">
        <v>0</v>
      </c>
      <c r="CE369" s="42">
        <v>0</v>
      </c>
      <c r="CF369" s="42">
        <v>0</v>
      </c>
      <c r="CG369" s="42">
        <v>0</v>
      </c>
      <c r="CH369" s="42">
        <v>0</v>
      </c>
      <c r="CI369" s="42">
        <v>0</v>
      </c>
      <c r="CJ369" s="42">
        <v>0</v>
      </c>
      <c r="CK369" s="43">
        <f t="shared" si="54"/>
        <v>8737.0423670156815</v>
      </c>
      <c r="CL369" s="66"/>
      <c r="CM369" s="66">
        <v>0</v>
      </c>
      <c r="CN369" s="66">
        <v>0</v>
      </c>
      <c r="CO369" s="66">
        <v>0</v>
      </c>
      <c r="CP369" s="66">
        <v>0</v>
      </c>
      <c r="CQ369" s="66">
        <v>0</v>
      </c>
      <c r="CR369" s="66">
        <v>0</v>
      </c>
      <c r="CS369" s="66">
        <v>0</v>
      </c>
      <c r="CT369" s="66">
        <v>0</v>
      </c>
      <c r="CU369" s="66">
        <v>0</v>
      </c>
      <c r="CV369" s="66">
        <v>0</v>
      </c>
      <c r="CW369" s="66">
        <v>0</v>
      </c>
      <c r="CX369" s="66">
        <v>0</v>
      </c>
      <c r="CY369" s="66">
        <v>0</v>
      </c>
      <c r="CZ369" s="66">
        <v>0</v>
      </c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>
        <f>SUM(Table1[[#This Row],[01-03 Apr]:[Mar-26]])</f>
        <v>0</v>
      </c>
    </row>
    <row r="370" spans="1:115" x14ac:dyDescent="0.2">
      <c r="A370" s="28" t="s">
        <v>2255</v>
      </c>
      <c r="B370" s="29" t="s">
        <v>481</v>
      </c>
      <c r="C370" s="29" t="s">
        <v>482</v>
      </c>
      <c r="D370" s="30" t="s">
        <v>483</v>
      </c>
      <c r="E370" s="30" t="s">
        <v>63</v>
      </c>
      <c r="F370" s="30"/>
      <c r="G370" s="31">
        <v>44631</v>
      </c>
      <c r="H370" s="30">
        <v>386948</v>
      </c>
      <c r="I370" s="30" t="str">
        <f>IF(Table1[[#This Row],[Centre Status]]="Returned","NA",IF(Table1[[#This Row],[SD]]&gt;19000,"Full Payment",IF(Table1[[#This Row],[SD]]&lt;1,"No Payment","Partial Payment")))</f>
        <v>Partial Payment</v>
      </c>
      <c r="J370" s="30" t="s">
        <v>58</v>
      </c>
      <c r="K370" s="32">
        <v>110000</v>
      </c>
      <c r="L370" s="33">
        <f>Q370+R370+U370+Table1[[#This Row],[Farmer Payment]]</f>
        <v>58520.673600000002</v>
      </c>
      <c r="M370" s="30"/>
      <c r="N370" s="34"/>
      <c r="O370" s="34"/>
      <c r="P370" s="35">
        <f t="shared" si="51"/>
        <v>51479.326399999998</v>
      </c>
      <c r="Q370" s="33">
        <f>AI370+AV370+CK370+Table1[[#This Row],[FY 25-26]]</f>
        <v>48520.673600000002</v>
      </c>
      <c r="R370" s="36">
        <v>10000</v>
      </c>
      <c r="S370" s="37" t="s">
        <v>484</v>
      </c>
      <c r="T370" s="38">
        <v>44871</v>
      </c>
      <c r="U370" s="39"/>
      <c r="V370" s="39"/>
      <c r="W370" s="40">
        <v>0</v>
      </c>
      <c r="X370" s="40">
        <v>0</v>
      </c>
      <c r="Y370" s="40">
        <v>0</v>
      </c>
      <c r="Z370" s="40">
        <v>0</v>
      </c>
      <c r="AA370" s="40">
        <v>0</v>
      </c>
      <c r="AB370" s="40">
        <v>0</v>
      </c>
      <c r="AC370" s="40">
        <v>0</v>
      </c>
      <c r="AD370" s="40">
        <v>331</v>
      </c>
      <c r="AE370" s="40">
        <v>1861</v>
      </c>
      <c r="AF370" s="40">
        <v>1861</v>
      </c>
      <c r="AG370" s="40">
        <v>1861</v>
      </c>
      <c r="AH370" s="40">
        <v>1898.6736000000001</v>
      </c>
      <c r="AI370" s="41">
        <f t="shared" si="52"/>
        <v>7812.6736000000001</v>
      </c>
      <c r="AJ370" s="42">
        <v>1861</v>
      </c>
      <c r="AK370" s="42">
        <v>2000</v>
      </c>
      <c r="AL370" s="42">
        <v>1861</v>
      </c>
      <c r="AM370" s="42">
        <v>2000</v>
      </c>
      <c r="AN370" s="42">
        <v>2000</v>
      </c>
      <c r="AO370" s="42">
        <v>1861</v>
      </c>
      <c r="AP370" s="42">
        <v>2000</v>
      </c>
      <c r="AQ370" s="42">
        <v>1861</v>
      </c>
      <c r="AR370" s="42">
        <v>1861</v>
      </c>
      <c r="AS370" s="42">
        <v>2000</v>
      </c>
      <c r="AT370" s="42">
        <v>2000</v>
      </c>
      <c r="AU370" s="42">
        <v>2000</v>
      </c>
      <c r="AV370" s="42">
        <f t="shared" si="53"/>
        <v>23305</v>
      </c>
      <c r="AW370" s="42">
        <v>1861</v>
      </c>
      <c r="AX370" s="42">
        <v>1861</v>
      </c>
      <c r="AY370" s="42">
        <v>1861</v>
      </c>
      <c r="AZ370" s="42">
        <v>1854</v>
      </c>
      <c r="BA370" s="42">
        <v>1861</v>
      </c>
      <c r="BB370" s="42">
        <v>0</v>
      </c>
      <c r="BC370" s="42">
        <v>1861</v>
      </c>
      <c r="BD370" s="42">
        <v>0</v>
      </c>
      <c r="BE370" s="42">
        <v>0</v>
      </c>
      <c r="BF370" s="42">
        <v>0</v>
      </c>
      <c r="BG370" s="42">
        <v>0</v>
      </c>
      <c r="BH370" s="42">
        <v>0</v>
      </c>
      <c r="BI370" s="42">
        <v>0</v>
      </c>
      <c r="BJ370" s="42">
        <v>0</v>
      </c>
      <c r="BK370" s="42">
        <v>0</v>
      </c>
      <c r="BL370" s="42">
        <v>500</v>
      </c>
      <c r="BM370" s="42">
        <v>500</v>
      </c>
      <c r="BN370" s="42">
        <v>0</v>
      </c>
      <c r="BO370" s="42">
        <v>500</v>
      </c>
      <c r="BP370" s="42">
        <v>500</v>
      </c>
      <c r="BQ370" s="42">
        <v>500</v>
      </c>
      <c r="BR370" s="42">
        <v>500</v>
      </c>
      <c r="BS370" s="42">
        <v>0</v>
      </c>
      <c r="BT370" s="42">
        <v>0</v>
      </c>
      <c r="BU370" s="42">
        <v>500</v>
      </c>
      <c r="BV370" s="42">
        <v>500</v>
      </c>
      <c r="BW370" s="42">
        <v>500</v>
      </c>
      <c r="BX370" s="42">
        <v>500</v>
      </c>
      <c r="BY370" s="42">
        <v>0</v>
      </c>
      <c r="BZ370" s="42">
        <v>500</v>
      </c>
      <c r="CA370" s="42">
        <v>500</v>
      </c>
      <c r="CB370" s="42">
        <v>0</v>
      </c>
      <c r="CC370" s="42">
        <v>0</v>
      </c>
      <c r="CD370" s="42">
        <v>244</v>
      </c>
      <c r="CE370" s="42">
        <v>0</v>
      </c>
      <c r="CF370" s="42">
        <v>0</v>
      </c>
      <c r="CG370" s="42">
        <v>0</v>
      </c>
      <c r="CH370" s="42">
        <v>0</v>
      </c>
      <c r="CI370" s="42">
        <v>0</v>
      </c>
      <c r="CJ370" s="42">
        <v>0</v>
      </c>
      <c r="CK370" s="43">
        <f t="shared" si="54"/>
        <v>17403</v>
      </c>
      <c r="CL370" s="66"/>
      <c r="CM370" s="66">
        <v>0</v>
      </c>
      <c r="CN370" s="66">
        <v>0</v>
      </c>
      <c r="CO370" s="66">
        <v>0</v>
      </c>
      <c r="CP370" s="66">
        <v>0</v>
      </c>
      <c r="CQ370" s="66">
        <v>0</v>
      </c>
      <c r="CR370" s="66">
        <v>0</v>
      </c>
      <c r="CS370" s="66">
        <v>0</v>
      </c>
      <c r="CT370" s="66">
        <v>0</v>
      </c>
      <c r="CU370" s="66">
        <v>0</v>
      </c>
      <c r="CV370" s="66">
        <v>0</v>
      </c>
      <c r="CW370" s="66">
        <v>0</v>
      </c>
      <c r="CX370" s="66">
        <v>0</v>
      </c>
      <c r="CY370" s="66">
        <v>0</v>
      </c>
      <c r="CZ370" s="66">
        <v>0</v>
      </c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>
        <f>SUM(Table1[[#This Row],[01-03 Apr]:[Mar-26]])</f>
        <v>0</v>
      </c>
    </row>
    <row r="371" spans="1:115" hidden="1" x14ac:dyDescent="0.2">
      <c r="A371" s="28" t="s">
        <v>2255</v>
      </c>
      <c r="B371" s="29" t="s">
        <v>485</v>
      </c>
      <c r="C371" s="29" t="s">
        <v>486</v>
      </c>
      <c r="D371" s="30" t="s">
        <v>487</v>
      </c>
      <c r="E371" s="30" t="s">
        <v>63</v>
      </c>
      <c r="F371" s="30"/>
      <c r="G371" s="31">
        <v>44631</v>
      </c>
      <c r="H371" s="30">
        <v>383993</v>
      </c>
      <c r="I371" s="30" t="str">
        <f>IF(Table1[[#This Row],[Centre Status]]="Returned","NA",IF(Table1[[#This Row],[SD]]&gt;19000,"Full Payment",IF(Table1[[#This Row],[SD]]&lt;1,"No Payment","Partial Payment")))</f>
        <v>NA</v>
      </c>
      <c r="J371" s="30" t="s">
        <v>1903</v>
      </c>
      <c r="K371" s="32">
        <v>110000</v>
      </c>
      <c r="L371" s="33">
        <f>Q371+R371+U371+Table1[[#This Row],[Farmer Payment]]</f>
        <v>47610</v>
      </c>
      <c r="M371" s="30">
        <v>20000</v>
      </c>
      <c r="N371" s="34">
        <v>45652</v>
      </c>
      <c r="O371" s="34" t="s">
        <v>2864</v>
      </c>
      <c r="P371" s="35">
        <f t="shared" si="51"/>
        <v>82390</v>
      </c>
      <c r="Q371" s="33">
        <f>AI371+AV371+CK371+Table1[[#This Row],[FY 25-26]]</f>
        <v>27610</v>
      </c>
      <c r="R371" s="36">
        <v>20000</v>
      </c>
      <c r="S371" s="37" t="s">
        <v>488</v>
      </c>
      <c r="T371" s="38">
        <v>44855</v>
      </c>
      <c r="U371" s="39"/>
      <c r="V371" s="39"/>
      <c r="W371" s="40">
        <v>0</v>
      </c>
      <c r="X371" s="40">
        <v>0</v>
      </c>
      <c r="Y371" s="40">
        <v>0</v>
      </c>
      <c r="Z371" s="40">
        <v>0</v>
      </c>
      <c r="AA371" s="40">
        <v>0</v>
      </c>
      <c r="AB371" s="40">
        <v>0</v>
      </c>
      <c r="AC371" s="40">
        <v>0</v>
      </c>
      <c r="AD371" s="40">
        <v>0</v>
      </c>
      <c r="AE371" s="40">
        <v>225</v>
      </c>
      <c r="AF371" s="40">
        <v>101</v>
      </c>
      <c r="AG371" s="40">
        <v>1861</v>
      </c>
      <c r="AH371" s="40">
        <v>1039</v>
      </c>
      <c r="AI371" s="41">
        <f t="shared" si="52"/>
        <v>3226</v>
      </c>
      <c r="AJ371" s="42">
        <v>1420</v>
      </c>
      <c r="AK371" s="42">
        <v>484</v>
      </c>
      <c r="AL371" s="42">
        <v>247</v>
      </c>
      <c r="AM371" s="42">
        <v>1808</v>
      </c>
      <c r="AN371" s="42">
        <v>1665</v>
      </c>
      <c r="AO371" s="42">
        <v>1861</v>
      </c>
      <c r="AP371" s="42">
        <v>1861</v>
      </c>
      <c r="AQ371" s="42">
        <v>1861</v>
      </c>
      <c r="AR371" s="42">
        <v>1861</v>
      </c>
      <c r="AS371" s="42">
        <v>1861</v>
      </c>
      <c r="AT371" s="42">
        <v>1861</v>
      </c>
      <c r="AU371" s="42">
        <v>1861</v>
      </c>
      <c r="AV371" s="42">
        <f t="shared" si="53"/>
        <v>18651</v>
      </c>
      <c r="AW371" s="42">
        <v>1458</v>
      </c>
      <c r="AX371" s="42">
        <v>1861</v>
      </c>
      <c r="AY371" s="42">
        <v>505</v>
      </c>
      <c r="AZ371" s="42">
        <v>1610</v>
      </c>
      <c r="BA371" s="42">
        <v>0</v>
      </c>
      <c r="BB371" s="42">
        <v>0</v>
      </c>
      <c r="BC371" s="42">
        <v>299</v>
      </c>
      <c r="BD371" s="42">
        <v>0</v>
      </c>
      <c r="BE371" s="42">
        <v>0</v>
      </c>
      <c r="BF371" s="42">
        <v>0</v>
      </c>
      <c r="BG371" s="42">
        <v>0</v>
      </c>
      <c r="BH371" s="42">
        <v>0</v>
      </c>
      <c r="BI371" s="42">
        <v>0</v>
      </c>
      <c r="BJ371" s="42">
        <v>0</v>
      </c>
      <c r="BK371" s="42">
        <v>0</v>
      </c>
      <c r="BL371" s="42">
        <v>0</v>
      </c>
      <c r="BM371" s="42">
        <v>0</v>
      </c>
      <c r="BN371" s="42">
        <v>0</v>
      </c>
      <c r="BO371" s="42">
        <v>0</v>
      </c>
      <c r="BP371" s="42">
        <v>0</v>
      </c>
      <c r="BQ371" s="42">
        <v>0</v>
      </c>
      <c r="BR371" s="42">
        <v>0</v>
      </c>
      <c r="BS371" s="42">
        <v>0</v>
      </c>
      <c r="BT371" s="42">
        <v>0</v>
      </c>
      <c r="BU371" s="42">
        <v>0</v>
      </c>
      <c r="BV371" s="42">
        <v>0</v>
      </c>
      <c r="BW371" s="42">
        <v>0</v>
      </c>
      <c r="BX371" s="42">
        <v>0</v>
      </c>
      <c r="BY371" s="42">
        <v>0</v>
      </c>
      <c r="BZ371" s="42">
        <v>0</v>
      </c>
      <c r="CA371" s="42">
        <v>0</v>
      </c>
      <c r="CB371" s="42">
        <v>0</v>
      </c>
      <c r="CC371" s="42">
        <v>0</v>
      </c>
      <c r="CD371" s="42">
        <v>0</v>
      </c>
      <c r="CE371" s="42">
        <v>0</v>
      </c>
      <c r="CF371" s="42">
        <v>0</v>
      </c>
      <c r="CG371" s="42">
        <v>0</v>
      </c>
      <c r="CH371" s="42">
        <v>0</v>
      </c>
      <c r="CI371" s="42">
        <v>0</v>
      </c>
      <c r="CJ371" s="42">
        <v>0</v>
      </c>
      <c r="CK371" s="43">
        <f t="shared" si="54"/>
        <v>5733</v>
      </c>
      <c r="CL371" s="66"/>
      <c r="CM371" s="66">
        <v>0</v>
      </c>
      <c r="CN371" s="66">
        <v>0</v>
      </c>
      <c r="CO371" s="66">
        <v>0</v>
      </c>
      <c r="CP371" s="66">
        <v>0</v>
      </c>
      <c r="CQ371" s="66">
        <v>0</v>
      </c>
      <c r="CR371" s="66">
        <v>0</v>
      </c>
      <c r="CS371" s="66">
        <v>0</v>
      </c>
      <c r="CT371" s="66">
        <v>0</v>
      </c>
      <c r="CU371" s="66">
        <v>0</v>
      </c>
      <c r="CV371" s="66">
        <v>0</v>
      </c>
      <c r="CW371" s="66">
        <v>0</v>
      </c>
      <c r="CX371" s="66">
        <v>0</v>
      </c>
      <c r="CY371" s="66">
        <v>0</v>
      </c>
      <c r="CZ371" s="66">
        <v>0</v>
      </c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>
        <f>SUM(Table1[[#This Row],[01-03 Apr]:[Mar-26]])</f>
        <v>0</v>
      </c>
    </row>
    <row r="372" spans="1:115" x14ac:dyDescent="0.2">
      <c r="A372" s="28" t="s">
        <v>2256</v>
      </c>
      <c r="B372" s="29" t="s">
        <v>489</v>
      </c>
      <c r="C372" s="29" t="s">
        <v>490</v>
      </c>
      <c r="D372" s="30" t="s">
        <v>491</v>
      </c>
      <c r="E372" s="30" t="s">
        <v>63</v>
      </c>
      <c r="F372" s="30"/>
      <c r="G372" s="31">
        <v>44631</v>
      </c>
      <c r="H372" s="30">
        <v>193585</v>
      </c>
      <c r="I372" s="30" t="str">
        <f>IF(Table1[[#This Row],[Centre Status]]="Returned","NA",IF(Table1[[#This Row],[SD]]&gt;19000,"Full Payment",IF(Table1[[#This Row],[SD]]&lt;1,"No Payment","Partial Payment")))</f>
        <v>Partial Payment</v>
      </c>
      <c r="J372" s="30" t="s">
        <v>58</v>
      </c>
      <c r="K372" s="32">
        <v>64000</v>
      </c>
      <c r="L372" s="33">
        <f>Q372+R372+U372+Table1[[#This Row],[Farmer Payment]]</f>
        <v>64500</v>
      </c>
      <c r="M372" s="30"/>
      <c r="N372" s="34"/>
      <c r="O372" s="34"/>
      <c r="P372" s="35">
        <f t="shared" si="51"/>
        <v>-500</v>
      </c>
      <c r="Q372" s="33">
        <f>AI372+AV372+CK372+Table1[[#This Row],[FY 25-26]]</f>
        <v>54500</v>
      </c>
      <c r="R372" s="36">
        <v>10000</v>
      </c>
      <c r="S372" s="37" t="s">
        <v>492</v>
      </c>
      <c r="T372" s="38">
        <v>44871</v>
      </c>
      <c r="U372" s="39"/>
      <c r="V372" s="39"/>
      <c r="W372" s="40">
        <v>0</v>
      </c>
      <c r="X372" s="40">
        <v>0</v>
      </c>
      <c r="Y372" s="40">
        <v>0</v>
      </c>
      <c r="Z372" s="40">
        <v>0</v>
      </c>
      <c r="AA372" s="40">
        <v>0</v>
      </c>
      <c r="AB372" s="40">
        <v>0</v>
      </c>
      <c r="AC372" s="40">
        <v>0</v>
      </c>
      <c r="AD372" s="40">
        <v>1861</v>
      </c>
      <c r="AE372" s="40">
        <v>3026.1196000000004</v>
      </c>
      <c r="AF372" s="40">
        <v>3353.7402000000002</v>
      </c>
      <c r="AG372" s="40">
        <v>2000</v>
      </c>
      <c r="AH372" s="40">
        <v>2800.7589999999996</v>
      </c>
      <c r="AI372" s="41">
        <f t="shared" si="52"/>
        <v>13041.6188</v>
      </c>
      <c r="AJ372" s="42">
        <v>2547.4102600072001</v>
      </c>
      <c r="AK372" s="42">
        <v>2733.8847999999998</v>
      </c>
      <c r="AL372" s="42">
        <v>2012.5074</v>
      </c>
      <c r="AM372" s="42">
        <v>3195.7042000000001</v>
      </c>
      <c r="AN372" s="42">
        <v>1861</v>
      </c>
      <c r="AO372" s="42">
        <v>1861</v>
      </c>
      <c r="AP372" s="42">
        <v>2522.9759999999997</v>
      </c>
      <c r="AQ372" s="42">
        <v>1927.6378</v>
      </c>
      <c r="AR372" s="42">
        <v>2387.3701999999998</v>
      </c>
      <c r="AS372" s="42">
        <v>2864.0204000000003</v>
      </c>
      <c r="AT372" s="42">
        <v>2790.6731999999997</v>
      </c>
      <c r="AU372" s="42">
        <v>3343.8390000000004</v>
      </c>
      <c r="AV372" s="42">
        <f t="shared" si="53"/>
        <v>30048.023260007205</v>
      </c>
      <c r="AW372" s="42">
        <v>3217.5548999968801</v>
      </c>
      <c r="AX372" s="42">
        <v>2299.5904055687201</v>
      </c>
      <c r="AY372" s="42">
        <v>1954.3283202048001</v>
      </c>
      <c r="AZ372" s="42">
        <v>2461.7502356787904</v>
      </c>
      <c r="BA372" s="42">
        <v>977.13407854360412</v>
      </c>
      <c r="BB372" s="42">
        <v>500</v>
      </c>
      <c r="BC372" s="42">
        <v>0</v>
      </c>
      <c r="BD372" s="42">
        <v>0</v>
      </c>
      <c r="BE372" s="42">
        <v>0</v>
      </c>
      <c r="BF372" s="42">
        <v>0</v>
      </c>
      <c r="BG372" s="42">
        <v>0</v>
      </c>
      <c r="BH372" s="42">
        <v>0</v>
      </c>
      <c r="BI372" s="42">
        <v>0</v>
      </c>
      <c r="BJ372" s="42">
        <v>0</v>
      </c>
      <c r="BK372" s="42">
        <v>0</v>
      </c>
      <c r="BL372" s="42">
        <v>0</v>
      </c>
      <c r="BM372" s="42">
        <v>0</v>
      </c>
      <c r="BN372" s="42">
        <v>0</v>
      </c>
      <c r="BO372" s="42">
        <v>0</v>
      </c>
      <c r="BP372" s="42">
        <v>0</v>
      </c>
      <c r="BQ372" s="42">
        <v>0</v>
      </c>
      <c r="BR372" s="42">
        <v>0</v>
      </c>
      <c r="BS372" s="42">
        <v>0</v>
      </c>
      <c r="BT372" s="42">
        <v>0</v>
      </c>
      <c r="BU372" s="42">
        <v>0</v>
      </c>
      <c r="BV372" s="42">
        <v>0</v>
      </c>
      <c r="BW372" s="42">
        <v>0</v>
      </c>
      <c r="BX372" s="42">
        <v>0</v>
      </c>
      <c r="BY372" s="42">
        <v>0</v>
      </c>
      <c r="BZ372" s="42">
        <v>0</v>
      </c>
      <c r="CA372" s="42">
        <v>0</v>
      </c>
      <c r="CB372" s="42">
        <v>0</v>
      </c>
      <c r="CC372" s="42">
        <v>0</v>
      </c>
      <c r="CD372" s="42">
        <v>0</v>
      </c>
      <c r="CE372" s="42">
        <v>0</v>
      </c>
      <c r="CF372" s="42">
        <v>0</v>
      </c>
      <c r="CG372" s="42">
        <v>0</v>
      </c>
      <c r="CH372" s="42">
        <v>0</v>
      </c>
      <c r="CI372" s="42">
        <v>0</v>
      </c>
      <c r="CJ372" s="42">
        <v>0</v>
      </c>
      <c r="CK372" s="43">
        <f t="shared" si="54"/>
        <v>11410.357939992795</v>
      </c>
      <c r="CL372" s="66"/>
      <c r="CM372" s="66">
        <v>0</v>
      </c>
      <c r="CN372" s="66">
        <v>0</v>
      </c>
      <c r="CO372" s="66">
        <v>0</v>
      </c>
      <c r="CP372" s="66">
        <v>0</v>
      </c>
      <c r="CQ372" s="66">
        <v>0</v>
      </c>
      <c r="CR372" s="66">
        <v>0</v>
      </c>
      <c r="CS372" s="66">
        <v>0</v>
      </c>
      <c r="CT372" s="66">
        <v>0</v>
      </c>
      <c r="CU372" s="66">
        <v>0</v>
      </c>
      <c r="CV372" s="66">
        <v>0</v>
      </c>
      <c r="CW372" s="66">
        <v>0</v>
      </c>
      <c r="CX372" s="66">
        <v>0</v>
      </c>
      <c r="CY372" s="66">
        <v>0</v>
      </c>
      <c r="CZ372" s="66">
        <v>0</v>
      </c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>
        <f>SUM(Table1[[#This Row],[01-03 Apr]:[Mar-26]])</f>
        <v>0</v>
      </c>
    </row>
    <row r="373" spans="1:115" x14ac:dyDescent="0.2">
      <c r="A373" s="28" t="s">
        <v>2255</v>
      </c>
      <c r="B373" s="29" t="s">
        <v>493</v>
      </c>
      <c r="C373" s="29" t="s">
        <v>494</v>
      </c>
      <c r="D373" s="30" t="s">
        <v>495</v>
      </c>
      <c r="E373" s="30" t="s">
        <v>63</v>
      </c>
      <c r="F373" s="30"/>
      <c r="G373" s="31">
        <v>44631</v>
      </c>
      <c r="H373" s="30">
        <v>328963</v>
      </c>
      <c r="I373" s="30" t="str">
        <f>IF(Table1[[#This Row],[Centre Status]]="Returned","NA",IF(Table1[[#This Row],[SD]]&gt;19000,"Full Payment",IF(Table1[[#This Row],[SD]]&lt;1,"No Payment","Partial Payment")))</f>
        <v>Partial Payment</v>
      </c>
      <c r="J373" s="30" t="s">
        <v>58</v>
      </c>
      <c r="K373" s="32">
        <v>64000</v>
      </c>
      <c r="L373" s="33">
        <f>Q373+R373+U373+Table1[[#This Row],[Farmer Payment]]</f>
        <v>64000</v>
      </c>
      <c r="M373" s="30"/>
      <c r="N373" s="34"/>
      <c r="O373" s="34"/>
      <c r="P373" s="35">
        <f t="shared" si="51"/>
        <v>0</v>
      </c>
      <c r="Q373" s="33">
        <f>AI373+AV373+CK373+Table1[[#This Row],[FY 25-26]]</f>
        <v>54000</v>
      </c>
      <c r="R373" s="36">
        <v>10000</v>
      </c>
      <c r="S373" s="37" t="s">
        <v>496</v>
      </c>
      <c r="T373" s="38">
        <v>44871</v>
      </c>
      <c r="U373" s="39"/>
      <c r="V373" s="39"/>
      <c r="W373" s="40">
        <v>0</v>
      </c>
      <c r="X373" s="40">
        <v>0</v>
      </c>
      <c r="Y373" s="40">
        <v>0</v>
      </c>
      <c r="Z373" s="40">
        <v>0</v>
      </c>
      <c r="AA373" s="40">
        <v>0</v>
      </c>
      <c r="AB373" s="40">
        <v>0</v>
      </c>
      <c r="AC373" s="40">
        <v>0</v>
      </c>
      <c r="AD373" s="40">
        <v>0</v>
      </c>
      <c r="AE373" s="40">
        <v>687</v>
      </c>
      <c r="AF373" s="40">
        <v>240</v>
      </c>
      <c r="AG373" s="40">
        <v>1861</v>
      </c>
      <c r="AH373" s="40">
        <v>1861</v>
      </c>
      <c r="AI373" s="41">
        <f t="shared" si="52"/>
        <v>4649</v>
      </c>
      <c r="AJ373" s="42">
        <v>1861</v>
      </c>
      <c r="AK373" s="42">
        <v>2459.5437999999999</v>
      </c>
      <c r="AL373" s="42">
        <v>2123.6174000000001</v>
      </c>
      <c r="AM373" s="42">
        <v>2532.3544000000002</v>
      </c>
      <c r="AN373" s="42">
        <v>1861</v>
      </c>
      <c r="AO373" s="42">
        <v>1861</v>
      </c>
      <c r="AP373" s="42">
        <v>2107.0106000000001</v>
      </c>
      <c r="AQ373" s="42">
        <v>1861</v>
      </c>
      <c r="AR373" s="42">
        <v>2782.3335999999999</v>
      </c>
      <c r="AS373" s="42">
        <v>3411.5074000000004</v>
      </c>
      <c r="AT373" s="42">
        <v>3221.1003999999998</v>
      </c>
      <c r="AU373" s="42">
        <v>2898.6985999999997</v>
      </c>
      <c r="AV373" s="42">
        <f t="shared" si="53"/>
        <v>28980.1662</v>
      </c>
      <c r="AW373" s="42">
        <v>2218.0851406848005</v>
      </c>
      <c r="AX373" s="42">
        <v>2137.5407776155598</v>
      </c>
      <c r="AY373" s="42">
        <v>2330.5538968320002</v>
      </c>
      <c r="AZ373" s="42">
        <v>3116.4504605952006</v>
      </c>
      <c r="BA373" s="42">
        <v>1976.0739591936001</v>
      </c>
      <c r="BB373" s="42">
        <v>0</v>
      </c>
      <c r="BC373" s="42">
        <v>2120.0844473856</v>
      </c>
      <c r="BD373" s="42">
        <v>0</v>
      </c>
      <c r="BE373" s="42">
        <v>0</v>
      </c>
      <c r="BF373" s="42">
        <v>0</v>
      </c>
      <c r="BG373" s="42">
        <v>0</v>
      </c>
      <c r="BH373" s="42">
        <v>0</v>
      </c>
      <c r="BI373" s="42">
        <v>1861</v>
      </c>
      <c r="BJ373" s="42">
        <v>0</v>
      </c>
      <c r="BK373" s="42">
        <v>0</v>
      </c>
      <c r="BL373" s="42">
        <v>0</v>
      </c>
      <c r="BM373" s="42">
        <v>0</v>
      </c>
      <c r="BN373" s="42">
        <v>1861</v>
      </c>
      <c r="BO373" s="42">
        <v>0</v>
      </c>
      <c r="BP373" s="42">
        <v>0</v>
      </c>
      <c r="BQ373" s="42">
        <v>0</v>
      </c>
      <c r="BR373" s="42">
        <v>0</v>
      </c>
      <c r="BS373" s="42">
        <v>1861</v>
      </c>
      <c r="BT373" s="42">
        <v>0</v>
      </c>
      <c r="BU373" s="42">
        <v>0</v>
      </c>
      <c r="BV373" s="42">
        <v>0</v>
      </c>
      <c r="BW373" s="42">
        <v>0</v>
      </c>
      <c r="BX373" s="42">
        <v>0</v>
      </c>
      <c r="BY373" s="42">
        <v>889.04511769324017</v>
      </c>
      <c r="BZ373" s="42">
        <v>0</v>
      </c>
      <c r="CA373" s="42">
        <v>0</v>
      </c>
      <c r="CB373" s="42">
        <v>0</v>
      </c>
      <c r="CC373" s="42">
        <v>0</v>
      </c>
      <c r="CD373" s="42">
        <v>0</v>
      </c>
      <c r="CE373" s="42">
        <v>0</v>
      </c>
      <c r="CF373" s="42">
        <v>0</v>
      </c>
      <c r="CG373" s="42">
        <v>0</v>
      </c>
      <c r="CH373" s="42">
        <v>0</v>
      </c>
      <c r="CI373" s="42">
        <v>0</v>
      </c>
      <c r="CJ373" s="42">
        <v>0</v>
      </c>
      <c r="CK373" s="43">
        <f t="shared" si="54"/>
        <v>20370.8338</v>
      </c>
      <c r="CL373" s="66"/>
      <c r="CM373" s="66">
        <v>0</v>
      </c>
      <c r="CN373" s="66">
        <v>0</v>
      </c>
      <c r="CO373" s="66">
        <v>0</v>
      </c>
      <c r="CP373" s="66">
        <v>0</v>
      </c>
      <c r="CQ373" s="66">
        <v>0</v>
      </c>
      <c r="CR373" s="66">
        <v>0</v>
      </c>
      <c r="CS373" s="66">
        <v>0</v>
      </c>
      <c r="CT373" s="66">
        <v>0</v>
      </c>
      <c r="CU373" s="66">
        <v>0</v>
      </c>
      <c r="CV373" s="66">
        <v>0</v>
      </c>
      <c r="CW373" s="66">
        <v>0</v>
      </c>
      <c r="CX373" s="66">
        <v>0</v>
      </c>
      <c r="CY373" s="66">
        <v>0</v>
      </c>
      <c r="CZ373" s="66">
        <v>0</v>
      </c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>
        <f>SUM(Table1[[#This Row],[01-03 Apr]:[Mar-26]])</f>
        <v>0</v>
      </c>
    </row>
    <row r="374" spans="1:115" x14ac:dyDescent="0.2">
      <c r="A374" s="28" t="s">
        <v>2255</v>
      </c>
      <c r="B374" s="29" t="s">
        <v>497</v>
      </c>
      <c r="C374" s="29" t="s">
        <v>498</v>
      </c>
      <c r="D374" s="30" t="s">
        <v>499</v>
      </c>
      <c r="E374" s="30" t="s">
        <v>1321</v>
      </c>
      <c r="F374" s="30"/>
      <c r="G374" s="31">
        <v>44631</v>
      </c>
      <c r="H374" s="30">
        <v>310438</v>
      </c>
      <c r="I374" s="30" t="str">
        <f>IF(Table1[[#This Row],[Centre Status]]="Returned","NA",IF(Table1[[#This Row],[SD]]&gt;19000,"Full Payment",IF(Table1[[#This Row],[SD]]&lt;1,"No Payment","Partial Payment")))</f>
        <v>Partial Payment</v>
      </c>
      <c r="J374" s="30" t="s">
        <v>58</v>
      </c>
      <c r="K374" s="32">
        <v>64000</v>
      </c>
      <c r="L374" s="33">
        <f>Q374+R374+U374+Table1[[#This Row],[Farmer Payment]]</f>
        <v>66568</v>
      </c>
      <c r="M374" s="30"/>
      <c r="N374" s="34"/>
      <c r="O374" s="34"/>
      <c r="P374" s="35">
        <f t="shared" si="51"/>
        <v>-2568</v>
      </c>
      <c r="Q374" s="33">
        <f>AI374+AV374+CK374+Table1[[#This Row],[FY 25-26]]</f>
        <v>56568</v>
      </c>
      <c r="R374" s="36">
        <v>10000</v>
      </c>
      <c r="S374" s="37" t="s">
        <v>500</v>
      </c>
      <c r="T374" s="38">
        <v>44847</v>
      </c>
      <c r="U374" s="39"/>
      <c r="V374" s="39"/>
      <c r="W374" s="40">
        <v>0</v>
      </c>
      <c r="X374" s="40">
        <v>0</v>
      </c>
      <c r="Y374" s="40">
        <v>0</v>
      </c>
      <c r="Z374" s="40">
        <v>0</v>
      </c>
      <c r="AA374" s="40">
        <v>0</v>
      </c>
      <c r="AB374" s="40">
        <v>0</v>
      </c>
      <c r="AC374" s="40">
        <v>0</v>
      </c>
      <c r="AD374" s="40">
        <v>342</v>
      </c>
      <c r="AE374" s="40">
        <v>1861</v>
      </c>
      <c r="AF374" s="40">
        <v>1900.1612000000002</v>
      </c>
      <c r="AG374" s="40">
        <v>2280.09</v>
      </c>
      <c r="AH374" s="40">
        <v>1959.7078000000001</v>
      </c>
      <c r="AI374" s="41">
        <f t="shared" si="52"/>
        <v>8342.9590000000007</v>
      </c>
      <c r="AJ374" s="42">
        <v>1861</v>
      </c>
      <c r="AK374" s="42">
        <v>2621.9812000000002</v>
      </c>
      <c r="AL374" s="42">
        <v>3233.6369999999997</v>
      </c>
      <c r="AM374" s="42">
        <v>4336.3971999999994</v>
      </c>
      <c r="AN374" s="42">
        <v>3349.3120000000008</v>
      </c>
      <c r="AO374" s="42">
        <v>3054.9832000000001</v>
      </c>
      <c r="AP374" s="42">
        <v>2815.1164000000003</v>
      </c>
      <c r="AQ374" s="42">
        <v>1861</v>
      </c>
      <c r="AR374" s="42">
        <v>1861</v>
      </c>
      <c r="AS374" s="42">
        <v>3362.3876</v>
      </c>
      <c r="AT374" s="42">
        <v>4575.2054000000007</v>
      </c>
      <c r="AU374" s="42">
        <v>4884.6596</v>
      </c>
      <c r="AV374" s="42">
        <f t="shared" si="53"/>
        <v>37816.679599999996</v>
      </c>
      <c r="AW374" s="42">
        <v>3669.9283229184007</v>
      </c>
      <c r="AX374" s="42">
        <v>3175.9613704704007</v>
      </c>
      <c r="AY374" s="42">
        <v>994.4717066111989</v>
      </c>
      <c r="AZ374" s="42">
        <v>0</v>
      </c>
      <c r="BA374" s="42">
        <v>0</v>
      </c>
      <c r="BB374" s="42">
        <v>0</v>
      </c>
      <c r="BC374" s="42">
        <v>0</v>
      </c>
      <c r="BD374" s="42">
        <v>0</v>
      </c>
      <c r="BE374" s="42">
        <v>0</v>
      </c>
      <c r="BF374" s="42">
        <v>0</v>
      </c>
      <c r="BG374" s="42">
        <v>0</v>
      </c>
      <c r="BH374" s="42">
        <v>0</v>
      </c>
      <c r="BI374" s="42">
        <v>0</v>
      </c>
      <c r="BJ374" s="42">
        <v>0</v>
      </c>
      <c r="BK374" s="42">
        <v>0</v>
      </c>
      <c r="BL374" s="42">
        <v>0</v>
      </c>
      <c r="BM374" s="42">
        <v>0</v>
      </c>
      <c r="BN374" s="42">
        <v>-432</v>
      </c>
      <c r="BO374" s="42">
        <v>0</v>
      </c>
      <c r="BP374" s="42">
        <v>0</v>
      </c>
      <c r="BQ374" s="42">
        <v>0</v>
      </c>
      <c r="BR374" s="42">
        <v>0</v>
      </c>
      <c r="BS374" s="42">
        <v>0</v>
      </c>
      <c r="BT374" s="42">
        <v>0</v>
      </c>
      <c r="BU374" s="42">
        <v>0</v>
      </c>
      <c r="BV374" s="42">
        <v>500</v>
      </c>
      <c r="BW374" s="42">
        <v>500</v>
      </c>
      <c r="BX374" s="42">
        <v>500</v>
      </c>
      <c r="BY374" s="42">
        <v>0</v>
      </c>
      <c r="BZ374" s="42">
        <v>500</v>
      </c>
      <c r="CA374" s="42">
        <v>0</v>
      </c>
      <c r="CB374" s="42">
        <v>500</v>
      </c>
      <c r="CC374" s="42">
        <v>500</v>
      </c>
      <c r="CD374" s="42">
        <v>0</v>
      </c>
      <c r="CE374" s="42">
        <v>0</v>
      </c>
      <c r="CF374" s="42">
        <v>0</v>
      </c>
      <c r="CG374" s="42">
        <v>0</v>
      </c>
      <c r="CH374" s="42">
        <v>0</v>
      </c>
      <c r="CI374" s="42">
        <v>0</v>
      </c>
      <c r="CJ374" s="42">
        <v>0</v>
      </c>
      <c r="CK374" s="43">
        <f t="shared" si="54"/>
        <v>10408.3614</v>
      </c>
      <c r="CL374" s="66"/>
      <c r="CM374" s="66">
        <v>0</v>
      </c>
      <c r="CN374" s="66">
        <v>0</v>
      </c>
      <c r="CO374" s="66">
        <v>0</v>
      </c>
      <c r="CP374" s="66">
        <v>0</v>
      </c>
      <c r="CQ374" s="66">
        <v>0</v>
      </c>
      <c r="CR374" s="66">
        <v>0</v>
      </c>
      <c r="CS374" s="66">
        <v>0</v>
      </c>
      <c r="CT374" s="66">
        <v>0</v>
      </c>
      <c r="CU374" s="66">
        <v>0</v>
      </c>
      <c r="CV374" s="66">
        <v>0</v>
      </c>
      <c r="CW374" s="66">
        <v>0</v>
      </c>
      <c r="CX374" s="66">
        <v>0</v>
      </c>
      <c r="CY374" s="66">
        <v>0</v>
      </c>
      <c r="CZ374" s="66">
        <v>0</v>
      </c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>
        <f>SUM(Table1[[#This Row],[01-03 Apr]:[Mar-26]])</f>
        <v>0</v>
      </c>
    </row>
    <row r="375" spans="1:115" hidden="1" x14ac:dyDescent="0.2">
      <c r="A375" s="28" t="s">
        <v>2254</v>
      </c>
      <c r="B375" s="29" t="s">
        <v>501</v>
      </c>
      <c r="C375" s="29" t="s">
        <v>502</v>
      </c>
      <c r="D375" s="30" t="s">
        <v>503</v>
      </c>
      <c r="E375" s="30" t="s">
        <v>85</v>
      </c>
      <c r="F375" s="30"/>
      <c r="G375" s="31" t="s">
        <v>371</v>
      </c>
      <c r="H375" s="30">
        <v>373996</v>
      </c>
      <c r="I375" s="30" t="str">
        <f>IF(Table1[[#This Row],[Centre Status]]="Returned","NA",IF(Table1[[#This Row],[SD]]&gt;19000,"Full Payment",IF(Table1[[#This Row],[SD]]&lt;1,"No Payment","Partial Payment")))</f>
        <v>Full Payment</v>
      </c>
      <c r="J375" s="30" t="s">
        <v>58</v>
      </c>
      <c r="K375" s="32">
        <v>110000</v>
      </c>
      <c r="L375" s="33">
        <f>Q375+R375+U375+Table1[[#This Row],[Farmer Payment]]</f>
        <v>79207.111483083194</v>
      </c>
      <c r="M375" s="30"/>
      <c r="N375" s="34"/>
      <c r="O375" s="34"/>
      <c r="P375" s="35">
        <f t="shared" si="51"/>
        <v>30792.888516916806</v>
      </c>
      <c r="Q375" s="33">
        <f>AI375+AV375+CK375+Table1[[#This Row],[FY 25-26]]</f>
        <v>59492.111483083201</v>
      </c>
      <c r="R375" s="36">
        <v>19715</v>
      </c>
      <c r="S375" s="37" t="s">
        <v>504</v>
      </c>
      <c r="T375" s="38">
        <v>44869</v>
      </c>
      <c r="U375" s="39"/>
      <c r="V375" s="39"/>
      <c r="W375" s="40">
        <v>0</v>
      </c>
      <c r="X375" s="40">
        <v>0</v>
      </c>
      <c r="Y375" s="40">
        <v>0</v>
      </c>
      <c r="Z375" s="40">
        <v>0</v>
      </c>
      <c r="AA375" s="40">
        <v>0</v>
      </c>
      <c r="AB375" s="40">
        <v>0</v>
      </c>
      <c r="AC375" s="40">
        <v>0</v>
      </c>
      <c r="AD375" s="40">
        <v>404</v>
      </c>
      <c r="AE375" s="40">
        <v>1861</v>
      </c>
      <c r="AF375" s="40">
        <v>2000</v>
      </c>
      <c r="AG375" s="40">
        <v>3071.2272000000003</v>
      </c>
      <c r="AH375" s="40">
        <v>2000</v>
      </c>
      <c r="AI375" s="41">
        <f t="shared" si="52"/>
        <v>9336.2272000000012</v>
      </c>
      <c r="AJ375" s="42">
        <v>2000</v>
      </c>
      <c r="AK375" s="42">
        <v>2000</v>
      </c>
      <c r="AL375" s="42">
        <v>2000</v>
      </c>
      <c r="AM375" s="42">
        <v>2000</v>
      </c>
      <c r="AN375" s="42">
        <v>2000</v>
      </c>
      <c r="AO375" s="42">
        <v>2000</v>
      </c>
      <c r="AP375" s="42">
        <v>2000</v>
      </c>
      <c r="AQ375" s="42">
        <v>2000</v>
      </c>
      <c r="AR375" s="42">
        <v>2000</v>
      </c>
      <c r="AS375" s="42">
        <v>2000</v>
      </c>
      <c r="AT375" s="42">
        <v>2000</v>
      </c>
      <c r="AU375" s="42">
        <v>2000</v>
      </c>
      <c r="AV375" s="42">
        <f t="shared" si="53"/>
        <v>24000</v>
      </c>
      <c r="AW375" s="42">
        <v>2000</v>
      </c>
      <c r="AX375" s="42">
        <v>1861</v>
      </c>
      <c r="AY375" s="42">
        <v>1861</v>
      </c>
      <c r="AZ375" s="42">
        <v>1084</v>
      </c>
      <c r="BA375" s="42">
        <v>852</v>
      </c>
      <c r="BB375" s="42">
        <v>500</v>
      </c>
      <c r="BC375" s="42">
        <v>1361</v>
      </c>
      <c r="BD375" s="42">
        <v>500</v>
      </c>
      <c r="BE375" s="42">
        <v>0</v>
      </c>
      <c r="BF375" s="42">
        <v>0</v>
      </c>
      <c r="BG375" s="42">
        <v>0</v>
      </c>
      <c r="BH375" s="42">
        <v>0</v>
      </c>
      <c r="BI375" s="42">
        <v>1404</v>
      </c>
      <c r="BJ375" s="42">
        <v>0</v>
      </c>
      <c r="BK375" s="42">
        <v>0</v>
      </c>
      <c r="BL375" s="42">
        <v>500</v>
      </c>
      <c r="BM375" s="42">
        <v>500</v>
      </c>
      <c r="BN375" s="42">
        <v>861</v>
      </c>
      <c r="BO375" s="42">
        <v>500</v>
      </c>
      <c r="BP375" s="42">
        <v>500</v>
      </c>
      <c r="BQ375" s="42">
        <v>500</v>
      </c>
      <c r="BR375" s="42">
        <v>500</v>
      </c>
      <c r="BS375" s="42">
        <v>0</v>
      </c>
      <c r="BT375" s="42">
        <v>500</v>
      </c>
      <c r="BU375" s="42">
        <v>500</v>
      </c>
      <c r="BV375" s="42">
        <v>0</v>
      </c>
      <c r="BW375" s="42">
        <v>0</v>
      </c>
      <c r="BX375" s="42">
        <v>0</v>
      </c>
      <c r="BY375" s="42">
        <v>1678.4336855853257</v>
      </c>
      <c r="BZ375" s="42">
        <v>0</v>
      </c>
      <c r="CA375" s="42">
        <v>0</v>
      </c>
      <c r="CB375" s="42">
        <v>0</v>
      </c>
      <c r="CC375" s="42">
        <v>0</v>
      </c>
      <c r="CD375" s="42">
        <v>2338.9738283194197</v>
      </c>
      <c r="CE375" s="42">
        <v>0</v>
      </c>
      <c r="CF375" s="42">
        <v>0</v>
      </c>
      <c r="CG375" s="42">
        <v>0</v>
      </c>
      <c r="CH375" s="42">
        <v>0</v>
      </c>
      <c r="CI375" s="42">
        <v>0</v>
      </c>
      <c r="CJ375" s="42">
        <v>2668.2154992331443</v>
      </c>
      <c r="CK375" s="43">
        <f t="shared" si="54"/>
        <v>22969.623013137891</v>
      </c>
      <c r="CL375" s="66"/>
      <c r="CM375" s="66">
        <v>0</v>
      </c>
      <c r="CN375" s="66">
        <v>0</v>
      </c>
      <c r="CO375" s="66">
        <v>0</v>
      </c>
      <c r="CP375" s="66">
        <v>1889.2612699453064</v>
      </c>
      <c r="CQ375" s="66">
        <v>0</v>
      </c>
      <c r="CR375" s="66">
        <v>0</v>
      </c>
      <c r="CS375" s="66">
        <v>0</v>
      </c>
      <c r="CT375" s="66">
        <v>0</v>
      </c>
      <c r="CU375" s="66">
        <v>0</v>
      </c>
      <c r="CV375" s="66">
        <v>1297</v>
      </c>
      <c r="CW375" s="66">
        <v>0</v>
      </c>
      <c r="CX375" s="66">
        <v>0</v>
      </c>
      <c r="CY375" s="66">
        <v>0</v>
      </c>
      <c r="CZ375" s="66">
        <v>0</v>
      </c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>
        <f>SUM(Table1[[#This Row],[01-03 Apr]:[Mar-26]])</f>
        <v>3186.2612699453066</v>
      </c>
    </row>
    <row r="376" spans="1:115" hidden="1" x14ac:dyDescent="0.2">
      <c r="A376" s="28" t="s">
        <v>2255</v>
      </c>
      <c r="B376" s="29" t="s">
        <v>505</v>
      </c>
      <c r="C376" s="29" t="s">
        <v>506</v>
      </c>
      <c r="D376" s="30" t="s">
        <v>507</v>
      </c>
      <c r="E376" s="30" t="s">
        <v>63</v>
      </c>
      <c r="F376" s="30"/>
      <c r="G376" s="31">
        <v>44631</v>
      </c>
      <c r="H376" s="30">
        <v>386944</v>
      </c>
      <c r="I376" s="30" t="str">
        <f>IF(Table1[[#This Row],[Centre Status]]="Returned","NA",IF(Table1[[#This Row],[SD]]&gt;19000,"Full Payment",IF(Table1[[#This Row],[SD]]&lt;1,"No Payment","Partial Payment")))</f>
        <v>Full Payment</v>
      </c>
      <c r="J376" s="30" t="s">
        <v>58</v>
      </c>
      <c r="K376" s="32">
        <v>110000</v>
      </c>
      <c r="L376" s="33">
        <f>Q376+R376+U376+Table1[[#This Row],[Farmer Payment]]</f>
        <v>107806.0228185344</v>
      </c>
      <c r="M376" s="30"/>
      <c r="N376" s="34"/>
      <c r="O376" s="34"/>
      <c r="P376" s="35">
        <f t="shared" si="51"/>
        <v>2193.9771814655978</v>
      </c>
      <c r="Q376" s="33">
        <f>AI376+AV376+CK376+Table1[[#This Row],[FY 25-26]]</f>
        <v>87806.022818534402</v>
      </c>
      <c r="R376" s="36">
        <v>20000</v>
      </c>
      <c r="S376" s="37" t="s">
        <v>508</v>
      </c>
      <c r="T376" s="38">
        <v>44851</v>
      </c>
      <c r="U376" s="39"/>
      <c r="V376" s="39"/>
      <c r="W376" s="40">
        <v>0</v>
      </c>
      <c r="X376" s="40">
        <v>0</v>
      </c>
      <c r="Y376" s="40">
        <v>0</v>
      </c>
      <c r="Z376" s="40">
        <v>0</v>
      </c>
      <c r="AA376" s="40">
        <v>0</v>
      </c>
      <c r="AB376" s="40">
        <v>0</v>
      </c>
      <c r="AC376" s="40">
        <v>0</v>
      </c>
      <c r="AD376" s="40">
        <v>1368</v>
      </c>
      <c r="AE376" s="40">
        <v>1861</v>
      </c>
      <c r="AF376" s="40">
        <v>2000</v>
      </c>
      <c r="AG376" s="40">
        <v>1861</v>
      </c>
      <c r="AH376" s="40">
        <v>2000</v>
      </c>
      <c r="AI376" s="41">
        <f t="shared" si="52"/>
        <v>9090</v>
      </c>
      <c r="AJ376" s="42">
        <v>1933.4902000000002</v>
      </c>
      <c r="AK376" s="42">
        <v>2000</v>
      </c>
      <c r="AL376" s="42">
        <v>2000</v>
      </c>
      <c r="AM376" s="42">
        <v>2000</v>
      </c>
      <c r="AN376" s="42">
        <v>2000</v>
      </c>
      <c r="AO376" s="42">
        <v>2000</v>
      </c>
      <c r="AP376" s="42">
        <v>2000</v>
      </c>
      <c r="AQ376" s="42">
        <v>1861</v>
      </c>
      <c r="AR376" s="42">
        <v>2000</v>
      </c>
      <c r="AS376" s="42">
        <v>2000</v>
      </c>
      <c r="AT376" s="42">
        <v>2000</v>
      </c>
      <c r="AU376" s="42">
        <v>2000</v>
      </c>
      <c r="AV376" s="42">
        <f t="shared" si="53"/>
        <v>23794.4902</v>
      </c>
      <c r="AW376" s="42">
        <v>2000</v>
      </c>
      <c r="AX376" s="42">
        <v>2000</v>
      </c>
      <c r="AY376" s="42">
        <v>2646.3079484160007</v>
      </c>
      <c r="AZ376" s="42">
        <v>3209.6490315264004</v>
      </c>
      <c r="BA376" s="42">
        <v>2598.3358245120007</v>
      </c>
      <c r="BB376" s="42">
        <v>0</v>
      </c>
      <c r="BC376" s="42">
        <v>2325.2150004479995</v>
      </c>
      <c r="BD376" s="42">
        <v>0</v>
      </c>
      <c r="BE376" s="42">
        <v>0</v>
      </c>
      <c r="BF376" s="42">
        <v>0</v>
      </c>
      <c r="BG376" s="42">
        <v>0</v>
      </c>
      <c r="BH376" s="42">
        <v>0</v>
      </c>
      <c r="BI376" s="42">
        <v>1861</v>
      </c>
      <c r="BJ376" s="42">
        <v>0</v>
      </c>
      <c r="BK376" s="42">
        <v>0</v>
      </c>
      <c r="BL376" s="42">
        <v>0</v>
      </c>
      <c r="BM376" s="42">
        <v>0</v>
      </c>
      <c r="BN376" s="42">
        <v>3357.8266151424004</v>
      </c>
      <c r="BO376" s="42">
        <v>0</v>
      </c>
      <c r="BP376" s="42">
        <v>0</v>
      </c>
      <c r="BQ376" s="42">
        <v>0</v>
      </c>
      <c r="BR376" s="42">
        <v>0</v>
      </c>
      <c r="BS376" s="42">
        <v>5640.0869409792012</v>
      </c>
      <c r="BT376" s="42">
        <v>0</v>
      </c>
      <c r="BU376" s="42">
        <v>0</v>
      </c>
      <c r="BV376" s="42">
        <v>0</v>
      </c>
      <c r="BW376" s="42">
        <v>0</v>
      </c>
      <c r="BX376" s="42">
        <v>0</v>
      </c>
      <c r="BY376" s="42">
        <v>5442.1451736960016</v>
      </c>
      <c r="BZ376" s="42">
        <v>0</v>
      </c>
      <c r="CA376" s="42">
        <v>0</v>
      </c>
      <c r="CB376" s="42">
        <v>0</v>
      </c>
      <c r="CC376" s="42">
        <v>0</v>
      </c>
      <c r="CD376" s="42">
        <v>7249.6757210112</v>
      </c>
      <c r="CE376" s="42">
        <v>0</v>
      </c>
      <c r="CF376" s="42">
        <v>0</v>
      </c>
      <c r="CG376" s="42">
        <v>0</v>
      </c>
      <c r="CH376" s="42">
        <v>0</v>
      </c>
      <c r="CI376" s="42">
        <v>0</v>
      </c>
      <c r="CJ376" s="42">
        <v>6935.6173552128002</v>
      </c>
      <c r="CK376" s="43">
        <f t="shared" si="54"/>
        <v>45265.859610944004</v>
      </c>
      <c r="CL376" s="66"/>
      <c r="CM376" s="66">
        <v>0</v>
      </c>
      <c r="CN376" s="66">
        <v>0</v>
      </c>
      <c r="CO376" s="66">
        <v>0</v>
      </c>
      <c r="CP376" s="66">
        <v>5850.5117986560008</v>
      </c>
      <c r="CQ376" s="66">
        <v>0</v>
      </c>
      <c r="CR376" s="66">
        <v>0</v>
      </c>
      <c r="CS376" s="66">
        <v>0</v>
      </c>
      <c r="CT376" s="66">
        <v>0</v>
      </c>
      <c r="CU376" s="66">
        <v>0</v>
      </c>
      <c r="CV376" s="66">
        <v>3805.1612089344012</v>
      </c>
      <c r="CW376" s="66">
        <v>0</v>
      </c>
      <c r="CX376" s="66">
        <v>0</v>
      </c>
      <c r="CY376" s="66">
        <v>0</v>
      </c>
      <c r="CZ376" s="66">
        <v>0</v>
      </c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>
        <f>SUM(Table1[[#This Row],[01-03 Apr]:[Mar-26]])</f>
        <v>9655.6730075904015</v>
      </c>
    </row>
    <row r="377" spans="1:115" hidden="1" x14ac:dyDescent="0.2">
      <c r="A377" s="28" t="s">
        <v>2254</v>
      </c>
      <c r="B377" s="29" t="s">
        <v>509</v>
      </c>
      <c r="C377" s="29" t="s">
        <v>510</v>
      </c>
      <c r="D377" s="30" t="s">
        <v>511</v>
      </c>
      <c r="E377" s="30" t="s">
        <v>1321</v>
      </c>
      <c r="F377" s="30"/>
      <c r="G377" s="31" t="s">
        <v>371</v>
      </c>
      <c r="H377" s="30">
        <v>379679</v>
      </c>
      <c r="I377" s="30" t="str">
        <f>IF(Table1[[#This Row],[Centre Status]]="Returned","NA",IF(Table1[[#This Row],[SD]]&gt;19000,"Full Payment",IF(Table1[[#This Row],[SD]]&lt;1,"No Payment","Partial Payment")))</f>
        <v>Full Payment</v>
      </c>
      <c r="J377" s="30" t="s">
        <v>58</v>
      </c>
      <c r="K377" s="32">
        <v>110000</v>
      </c>
      <c r="L377" s="33">
        <f>Q377+R377+U377+Table1[[#This Row],[Farmer Payment]]</f>
        <v>90782.586769994887</v>
      </c>
      <c r="M377" s="30"/>
      <c r="N377" s="34"/>
      <c r="O377" s="34"/>
      <c r="P377" s="35">
        <f t="shared" si="51"/>
        <v>19217.413230005113</v>
      </c>
      <c r="Q377" s="33">
        <f>AI377+AV377+CK377+Table1[[#This Row],[FY 25-26]]</f>
        <v>70782.586769994887</v>
      </c>
      <c r="R377" s="36">
        <v>20000</v>
      </c>
      <c r="S377" s="37" t="s">
        <v>512</v>
      </c>
      <c r="T377" s="38">
        <v>44830</v>
      </c>
      <c r="U377" s="39"/>
      <c r="V377" s="39"/>
      <c r="W377" s="40">
        <v>0</v>
      </c>
      <c r="X377" s="40">
        <v>0</v>
      </c>
      <c r="Y377" s="40">
        <v>0</v>
      </c>
      <c r="Z377" s="40">
        <v>0</v>
      </c>
      <c r="AA377" s="40">
        <v>0</v>
      </c>
      <c r="AB377" s="40">
        <v>0</v>
      </c>
      <c r="AC377" s="40">
        <v>0</v>
      </c>
      <c r="AD377" s="40">
        <v>87</v>
      </c>
      <c r="AE377" s="40">
        <v>2011.2822000000003</v>
      </c>
      <c r="AF377" s="40">
        <v>2000</v>
      </c>
      <c r="AG377" s="40">
        <v>4675.8281999999999</v>
      </c>
      <c r="AH377" s="40">
        <v>2000</v>
      </c>
      <c r="AI377" s="41">
        <f t="shared" si="52"/>
        <v>10774.110400000001</v>
      </c>
      <c r="AJ377" s="42">
        <v>2000</v>
      </c>
      <c r="AK377" s="42">
        <v>2000</v>
      </c>
      <c r="AL377" s="42">
        <v>2000</v>
      </c>
      <c r="AM377" s="42">
        <v>2000</v>
      </c>
      <c r="AN377" s="42">
        <v>2000</v>
      </c>
      <c r="AO377" s="42">
        <v>2000</v>
      </c>
      <c r="AP377" s="42">
        <v>2000</v>
      </c>
      <c r="AQ377" s="42">
        <v>2000</v>
      </c>
      <c r="AR377" s="42">
        <v>2000</v>
      </c>
      <c r="AS377" s="42">
        <v>2000</v>
      </c>
      <c r="AT377" s="42">
        <v>2000</v>
      </c>
      <c r="AU377" s="42">
        <v>2000</v>
      </c>
      <c r="AV377" s="42">
        <f t="shared" si="53"/>
        <v>24000</v>
      </c>
      <c r="AW377" s="42">
        <v>2000</v>
      </c>
      <c r="AX377" s="42">
        <v>2000</v>
      </c>
      <c r="AY377" s="42">
        <v>2000</v>
      </c>
      <c r="AZ377" s="42">
        <v>2000</v>
      </c>
      <c r="BA377" s="42">
        <v>2000</v>
      </c>
      <c r="BB377" s="42">
        <v>0</v>
      </c>
      <c r="BC377" s="42">
        <v>3490.1830560130225</v>
      </c>
      <c r="BD377" s="42">
        <v>0</v>
      </c>
      <c r="BE377" s="42">
        <v>0</v>
      </c>
      <c r="BF377" s="42">
        <v>0</v>
      </c>
      <c r="BG377" s="42">
        <v>0</v>
      </c>
      <c r="BH377" s="42">
        <v>0</v>
      </c>
      <c r="BI377" s="42">
        <v>2664.0455029615064</v>
      </c>
      <c r="BJ377" s="42">
        <v>0</v>
      </c>
      <c r="BK377" s="42">
        <v>0</v>
      </c>
      <c r="BL377" s="42">
        <v>0</v>
      </c>
      <c r="BM377" s="42">
        <v>0</v>
      </c>
      <c r="BN377" s="42">
        <v>2022.7770114868463</v>
      </c>
      <c r="BO377" s="42">
        <v>0</v>
      </c>
      <c r="BP377" s="42">
        <v>0</v>
      </c>
      <c r="BQ377" s="42">
        <v>0</v>
      </c>
      <c r="BR377" s="42">
        <v>0</v>
      </c>
      <c r="BS377" s="42">
        <v>2105.2828475613001</v>
      </c>
      <c r="BT377" s="42">
        <v>0</v>
      </c>
      <c r="BU377" s="42">
        <v>0</v>
      </c>
      <c r="BV377" s="42">
        <v>0</v>
      </c>
      <c r="BW377" s="42">
        <v>0</v>
      </c>
      <c r="BX377" s="42">
        <v>0</v>
      </c>
      <c r="BY377" s="42">
        <v>2348.276078882302</v>
      </c>
      <c r="BZ377" s="42">
        <v>0</v>
      </c>
      <c r="CA377" s="42">
        <v>0</v>
      </c>
      <c r="CB377" s="42">
        <v>0</v>
      </c>
      <c r="CC377" s="42">
        <v>0</v>
      </c>
      <c r="CD377" s="42">
        <v>2898.0044956650545</v>
      </c>
      <c r="CE377" s="42">
        <v>0</v>
      </c>
      <c r="CF377" s="42">
        <v>0</v>
      </c>
      <c r="CG377" s="42">
        <v>0</v>
      </c>
      <c r="CH377" s="42">
        <v>0</v>
      </c>
      <c r="CI377" s="42">
        <v>0</v>
      </c>
      <c r="CJ377" s="42">
        <v>3477.7904393833119</v>
      </c>
      <c r="CK377" s="43">
        <f t="shared" si="54"/>
        <v>29006.35943195334</v>
      </c>
      <c r="CL377" s="66"/>
      <c r="CM377" s="66">
        <v>0</v>
      </c>
      <c r="CN377" s="66">
        <v>0</v>
      </c>
      <c r="CO377" s="66">
        <v>0</v>
      </c>
      <c r="CP377" s="66">
        <v>3240.9928422796606</v>
      </c>
      <c r="CQ377" s="66">
        <v>0</v>
      </c>
      <c r="CR377" s="66">
        <v>0</v>
      </c>
      <c r="CS377" s="66">
        <v>0</v>
      </c>
      <c r="CT377" s="66">
        <v>0</v>
      </c>
      <c r="CU377" s="66">
        <v>0</v>
      </c>
      <c r="CV377" s="66">
        <v>3761.1240957618761</v>
      </c>
      <c r="CW377" s="66">
        <v>0</v>
      </c>
      <c r="CX377" s="66">
        <v>0</v>
      </c>
      <c r="CY377" s="66">
        <v>0</v>
      </c>
      <c r="CZ377" s="66">
        <v>0</v>
      </c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>
        <f>SUM(Table1[[#This Row],[01-03 Apr]:[Mar-26]])</f>
        <v>7002.1169380415367</v>
      </c>
    </row>
    <row r="378" spans="1:115" hidden="1" x14ac:dyDescent="0.2">
      <c r="A378" s="28" t="s">
        <v>2254</v>
      </c>
      <c r="B378" s="29" t="s">
        <v>513</v>
      </c>
      <c r="C378" s="29" t="s">
        <v>514</v>
      </c>
      <c r="D378" s="30" t="s">
        <v>515</v>
      </c>
      <c r="E378" s="30" t="s">
        <v>63</v>
      </c>
      <c r="F378" s="30"/>
      <c r="G378" s="31" t="s">
        <v>371</v>
      </c>
      <c r="H378" s="30">
        <v>371223</v>
      </c>
      <c r="I378" s="30" t="str">
        <f>IF(Table1[[#This Row],[Centre Status]]="Returned","NA",IF(Table1[[#This Row],[SD]]&gt;19000,"Full Payment",IF(Table1[[#This Row],[SD]]&lt;1,"No Payment","Partial Payment")))</f>
        <v>NA</v>
      </c>
      <c r="J378" s="30" t="s">
        <v>1903</v>
      </c>
      <c r="K378" s="32">
        <v>110000</v>
      </c>
      <c r="L378" s="33">
        <f>Q378+R378+U378+Table1[[#This Row],[Farmer Payment]]</f>
        <v>39769</v>
      </c>
      <c r="M378" s="30">
        <v>39769</v>
      </c>
      <c r="N378" s="34">
        <v>45610</v>
      </c>
      <c r="O378" s="34"/>
      <c r="P378" s="35">
        <f t="shared" si="51"/>
        <v>110000</v>
      </c>
      <c r="Q378" s="33">
        <f>AI378+AV378+CK378+Table1[[#This Row],[FY 25-26]]</f>
        <v>19769</v>
      </c>
      <c r="R378" s="36">
        <v>20000</v>
      </c>
      <c r="S378" s="37" t="s">
        <v>516</v>
      </c>
      <c r="T378" s="38">
        <v>44831</v>
      </c>
      <c r="U378" s="39"/>
      <c r="V378" s="39"/>
      <c r="W378" s="40">
        <v>0</v>
      </c>
      <c r="X378" s="40">
        <v>0</v>
      </c>
      <c r="Y378" s="40">
        <v>0</v>
      </c>
      <c r="Z378" s="40">
        <v>0</v>
      </c>
      <c r="AA378" s="40">
        <v>0</v>
      </c>
      <c r="AB378" s="40">
        <v>0</v>
      </c>
      <c r="AC378" s="40">
        <v>0</v>
      </c>
      <c r="AD378" s="40">
        <v>0</v>
      </c>
      <c r="AE378" s="40">
        <v>1861</v>
      </c>
      <c r="AF378" s="40">
        <v>1861</v>
      </c>
      <c r="AG378" s="40">
        <v>1861</v>
      </c>
      <c r="AH378" s="40">
        <v>1861</v>
      </c>
      <c r="AI378" s="41">
        <f t="shared" si="52"/>
        <v>7444</v>
      </c>
      <c r="AJ378" s="42">
        <v>1861</v>
      </c>
      <c r="AK378" s="42">
        <v>2000</v>
      </c>
      <c r="AL378" s="42">
        <v>1861</v>
      </c>
      <c r="AM378" s="42">
        <v>1861</v>
      </c>
      <c r="AN378" s="42">
        <v>1861</v>
      </c>
      <c r="AO378" s="42">
        <v>1861</v>
      </c>
      <c r="AP378" s="42">
        <v>808</v>
      </c>
      <c r="AQ378" s="42">
        <v>63</v>
      </c>
      <c r="AR378" s="42">
        <v>0</v>
      </c>
      <c r="AS378" s="42">
        <v>0</v>
      </c>
      <c r="AT378" s="42">
        <v>149</v>
      </c>
      <c r="AU378" s="42">
        <v>0</v>
      </c>
      <c r="AV378" s="42">
        <f t="shared" si="53"/>
        <v>12325</v>
      </c>
      <c r="AW378" s="42">
        <v>0</v>
      </c>
      <c r="AX378" s="42">
        <v>0</v>
      </c>
      <c r="AY378" s="42">
        <v>0</v>
      </c>
      <c r="AZ378" s="42">
        <v>0</v>
      </c>
      <c r="BA378" s="42">
        <v>0</v>
      </c>
      <c r="BB378" s="42">
        <v>0</v>
      </c>
      <c r="BC378" s="42">
        <v>0</v>
      </c>
      <c r="BD378" s="42">
        <v>0</v>
      </c>
      <c r="BE378" s="42">
        <v>0</v>
      </c>
      <c r="BF378" s="42">
        <v>0</v>
      </c>
      <c r="BG378" s="42">
        <v>0</v>
      </c>
      <c r="BH378" s="42">
        <v>0</v>
      </c>
      <c r="BI378" s="42">
        <v>0</v>
      </c>
      <c r="BJ378" s="42">
        <v>0</v>
      </c>
      <c r="BK378" s="42">
        <v>0</v>
      </c>
      <c r="BL378" s="42">
        <v>0</v>
      </c>
      <c r="BM378" s="42">
        <v>0</v>
      </c>
      <c r="BN378" s="42">
        <v>0</v>
      </c>
      <c r="BO378" s="42">
        <v>0</v>
      </c>
      <c r="BP378" s="42">
        <v>0</v>
      </c>
      <c r="BQ378" s="42">
        <v>0</v>
      </c>
      <c r="BR378" s="42">
        <v>0</v>
      </c>
      <c r="BS378" s="42">
        <v>0</v>
      </c>
      <c r="BT378" s="42">
        <v>0</v>
      </c>
      <c r="BU378" s="42">
        <v>0</v>
      </c>
      <c r="BV378" s="42">
        <v>0</v>
      </c>
      <c r="BW378" s="42">
        <v>0</v>
      </c>
      <c r="BX378" s="42">
        <v>0</v>
      </c>
      <c r="BY378" s="42">
        <v>0</v>
      </c>
      <c r="BZ378" s="42">
        <v>0</v>
      </c>
      <c r="CA378" s="42">
        <v>0</v>
      </c>
      <c r="CB378" s="42">
        <v>0</v>
      </c>
      <c r="CC378" s="42">
        <v>0</v>
      </c>
      <c r="CD378" s="42">
        <v>0</v>
      </c>
      <c r="CE378" s="42">
        <v>0</v>
      </c>
      <c r="CF378" s="42">
        <v>0</v>
      </c>
      <c r="CG378" s="42">
        <v>0</v>
      </c>
      <c r="CH378" s="42">
        <v>0</v>
      </c>
      <c r="CI378" s="42">
        <v>0</v>
      </c>
      <c r="CJ378" s="42">
        <v>0</v>
      </c>
      <c r="CK378" s="43">
        <f t="shared" si="54"/>
        <v>0</v>
      </c>
      <c r="CL378" s="66"/>
      <c r="CM378" s="66">
        <v>0</v>
      </c>
      <c r="CN378" s="66">
        <v>0</v>
      </c>
      <c r="CO378" s="66">
        <v>0</v>
      </c>
      <c r="CP378" s="66">
        <v>0</v>
      </c>
      <c r="CQ378" s="66">
        <v>0</v>
      </c>
      <c r="CR378" s="66">
        <v>0</v>
      </c>
      <c r="CS378" s="66">
        <v>0</v>
      </c>
      <c r="CT378" s="66">
        <v>0</v>
      </c>
      <c r="CU378" s="66">
        <v>0</v>
      </c>
      <c r="CV378" s="66">
        <v>0</v>
      </c>
      <c r="CW378" s="66">
        <v>0</v>
      </c>
      <c r="CX378" s="66">
        <v>0</v>
      </c>
      <c r="CY378" s="66">
        <v>0</v>
      </c>
      <c r="CZ378" s="66">
        <v>0</v>
      </c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>
        <f>SUM(Table1[[#This Row],[01-03 Apr]:[Mar-26]])</f>
        <v>0</v>
      </c>
    </row>
    <row r="379" spans="1:115" hidden="1" x14ac:dyDescent="0.2">
      <c r="A379" s="28" t="s">
        <v>2254</v>
      </c>
      <c r="B379" s="29" t="s">
        <v>517</v>
      </c>
      <c r="C379" s="29" t="s">
        <v>518</v>
      </c>
      <c r="D379" s="30" t="s">
        <v>519</v>
      </c>
      <c r="E379" s="30" t="s">
        <v>57</v>
      </c>
      <c r="F379" s="30"/>
      <c r="G379" s="31" t="s">
        <v>371</v>
      </c>
      <c r="H379" s="30">
        <v>383180</v>
      </c>
      <c r="I379" s="30" t="str">
        <f>IF(Table1[[#This Row],[Centre Status]]="Returned","NA",IF(Table1[[#This Row],[SD]]&gt;19000,"Full Payment",IF(Table1[[#This Row],[SD]]&lt;1,"No Payment","Partial Payment")))</f>
        <v>Full Payment</v>
      </c>
      <c r="J379" s="30" t="s">
        <v>58</v>
      </c>
      <c r="K379" s="32">
        <v>110000</v>
      </c>
      <c r="L379" s="33">
        <f>Q379+R379+U379+Table1[[#This Row],[Farmer Payment]]</f>
        <v>77389.78178689898</v>
      </c>
      <c r="M379" s="30"/>
      <c r="N379" s="34"/>
      <c r="O379" s="34"/>
      <c r="P379" s="35">
        <f t="shared" si="51"/>
        <v>32610.21821310102</v>
      </c>
      <c r="Q379" s="33">
        <f>AI379+AV379+CK379+Table1[[#This Row],[FY 25-26]]</f>
        <v>57389.78178689898</v>
      </c>
      <c r="R379" s="36">
        <v>20000</v>
      </c>
      <c r="S379" s="37" t="s">
        <v>520</v>
      </c>
      <c r="T379" s="38">
        <v>44770</v>
      </c>
      <c r="U379" s="39"/>
      <c r="V379" s="39"/>
      <c r="W379" s="40">
        <v>0</v>
      </c>
      <c r="X379" s="40">
        <v>0</v>
      </c>
      <c r="Y379" s="40">
        <v>0</v>
      </c>
      <c r="Z379" s="40">
        <v>0</v>
      </c>
      <c r="AA379" s="40">
        <v>0</v>
      </c>
      <c r="AB379" s="40">
        <v>0</v>
      </c>
      <c r="AC379" s="40">
        <v>0</v>
      </c>
      <c r="AD379" s="40">
        <v>1610</v>
      </c>
      <c r="AE379" s="40">
        <v>1861</v>
      </c>
      <c r="AF379" s="40">
        <v>584</v>
      </c>
      <c r="AG379" s="40">
        <v>173</v>
      </c>
      <c r="AH379" s="40">
        <v>1861</v>
      </c>
      <c r="AI379" s="41">
        <f t="shared" si="52"/>
        <v>6089</v>
      </c>
      <c r="AJ379" s="42">
        <v>0</v>
      </c>
      <c r="AK379" s="42">
        <v>0</v>
      </c>
      <c r="AL379" s="42">
        <v>0</v>
      </c>
      <c r="AM379" s="42">
        <v>2000</v>
      </c>
      <c r="AN379" s="42">
        <v>2000</v>
      </c>
      <c r="AO379" s="42">
        <v>2000</v>
      </c>
      <c r="AP379" s="42">
        <v>2000</v>
      </c>
      <c r="AQ379" s="42">
        <v>2000</v>
      </c>
      <c r="AR379" s="42">
        <v>2000</v>
      </c>
      <c r="AS379" s="42">
        <v>2000</v>
      </c>
      <c r="AT379" s="42">
        <v>2000</v>
      </c>
      <c r="AU379" s="42">
        <v>2000</v>
      </c>
      <c r="AV379" s="42">
        <f t="shared" si="53"/>
        <v>18000</v>
      </c>
      <c r="AW379" s="42">
        <v>2000</v>
      </c>
      <c r="AX379" s="42">
        <v>2000</v>
      </c>
      <c r="AY379" s="42">
        <v>2000</v>
      </c>
      <c r="AZ379" s="42">
        <v>2000</v>
      </c>
      <c r="BA379" s="42">
        <v>2000</v>
      </c>
      <c r="BB379" s="42">
        <v>0</v>
      </c>
      <c r="BC379" s="42">
        <v>2943.8714793338122</v>
      </c>
      <c r="BD379" s="42">
        <v>0</v>
      </c>
      <c r="BE379" s="42">
        <v>0</v>
      </c>
      <c r="BF379" s="42">
        <v>0</v>
      </c>
      <c r="BG379" s="42">
        <v>0</v>
      </c>
      <c r="BH379" s="42">
        <v>0</v>
      </c>
      <c r="BI379" s="42">
        <v>2286.855636602952</v>
      </c>
      <c r="BJ379" s="42">
        <v>0</v>
      </c>
      <c r="BK379" s="42">
        <v>0</v>
      </c>
      <c r="BL379" s="42">
        <v>0</v>
      </c>
      <c r="BM379" s="42">
        <v>0</v>
      </c>
      <c r="BN379" s="42">
        <v>1870.8985802810241</v>
      </c>
      <c r="BO379" s="42">
        <v>0</v>
      </c>
      <c r="BP379" s="42">
        <v>0</v>
      </c>
      <c r="BQ379" s="42">
        <v>0</v>
      </c>
      <c r="BR379" s="42">
        <v>0</v>
      </c>
      <c r="BS379" s="42">
        <v>2740.3319236776983</v>
      </c>
      <c r="BT379" s="42">
        <v>0</v>
      </c>
      <c r="BU379" s="42">
        <v>0</v>
      </c>
      <c r="BV379" s="42">
        <v>0</v>
      </c>
      <c r="BW379" s="42">
        <v>0</v>
      </c>
      <c r="BX379" s="42">
        <v>0</v>
      </c>
      <c r="BY379" s="42">
        <v>2101.5146329213103</v>
      </c>
      <c r="BZ379" s="42">
        <v>0</v>
      </c>
      <c r="CA379" s="42">
        <v>0</v>
      </c>
      <c r="CB379" s="42">
        <v>0</v>
      </c>
      <c r="CC379" s="42">
        <v>0</v>
      </c>
      <c r="CD379" s="42">
        <v>2481.352293693144</v>
      </c>
      <c r="CE379" s="42">
        <v>0</v>
      </c>
      <c r="CF379" s="42">
        <v>0</v>
      </c>
      <c r="CG379" s="42">
        <v>0</v>
      </c>
      <c r="CH379" s="42">
        <v>0</v>
      </c>
      <c r="CI379" s="42">
        <v>0</v>
      </c>
      <c r="CJ379" s="42">
        <v>3242.5429373108882</v>
      </c>
      <c r="CK379" s="43">
        <f t="shared" si="54"/>
        <v>27667.367483820828</v>
      </c>
      <c r="CL379" s="66"/>
      <c r="CM379" s="66">
        <v>0</v>
      </c>
      <c r="CN379" s="66">
        <v>0</v>
      </c>
      <c r="CO379" s="66">
        <v>0</v>
      </c>
      <c r="CP379" s="66">
        <v>2906.6668969651196</v>
      </c>
      <c r="CQ379" s="66">
        <v>0</v>
      </c>
      <c r="CR379" s="66">
        <v>0</v>
      </c>
      <c r="CS379" s="66">
        <v>0</v>
      </c>
      <c r="CT379" s="66">
        <v>0</v>
      </c>
      <c r="CU379" s="66">
        <v>0</v>
      </c>
      <c r="CV379" s="66">
        <v>2726.7474061130401</v>
      </c>
      <c r="CW379" s="66">
        <v>0</v>
      </c>
      <c r="CX379" s="66">
        <v>0</v>
      </c>
      <c r="CY379" s="66">
        <v>0</v>
      </c>
      <c r="CZ379" s="66">
        <v>0</v>
      </c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>
        <f>SUM(Table1[[#This Row],[01-03 Apr]:[Mar-26]])</f>
        <v>5633.4143030781597</v>
      </c>
    </row>
    <row r="380" spans="1:115" hidden="1" x14ac:dyDescent="0.2">
      <c r="A380" s="28" t="s">
        <v>2254</v>
      </c>
      <c r="B380" s="29" t="s">
        <v>521</v>
      </c>
      <c r="C380" s="29" t="s">
        <v>522</v>
      </c>
      <c r="D380" s="30" t="s">
        <v>523</v>
      </c>
      <c r="E380" s="30" t="s">
        <v>1321</v>
      </c>
      <c r="F380" s="30"/>
      <c r="G380" s="31" t="s">
        <v>371</v>
      </c>
      <c r="H380" s="30">
        <v>383179</v>
      </c>
      <c r="I380" s="30" t="str">
        <f>IF(Table1[[#This Row],[Centre Status]]="Returned","NA",IF(Table1[[#This Row],[SD]]&gt;19000,"Full Payment",IF(Table1[[#This Row],[SD]]&lt;1,"No Payment","Partial Payment")))</f>
        <v>Full Payment</v>
      </c>
      <c r="J380" s="30" t="s">
        <v>58</v>
      </c>
      <c r="K380" s="32">
        <v>110000</v>
      </c>
      <c r="L380" s="33">
        <f>Q380+R380+U380+Table1[[#This Row],[Farmer Payment]]</f>
        <v>110000</v>
      </c>
      <c r="M380" s="30"/>
      <c r="N380" s="34"/>
      <c r="O380" s="34"/>
      <c r="P380" s="35">
        <f t="shared" si="51"/>
        <v>0</v>
      </c>
      <c r="Q380" s="33">
        <f>AI380+AV380+CK380+Table1[[#This Row],[FY 25-26]]</f>
        <v>90000</v>
      </c>
      <c r="R380" s="36">
        <v>20000</v>
      </c>
      <c r="S380" s="37" t="s">
        <v>524</v>
      </c>
      <c r="T380" s="38">
        <v>44874</v>
      </c>
      <c r="U380" s="39"/>
      <c r="V380" s="39"/>
      <c r="W380" s="40">
        <v>0</v>
      </c>
      <c r="X380" s="40">
        <v>0</v>
      </c>
      <c r="Y380" s="40">
        <v>0</v>
      </c>
      <c r="Z380" s="40">
        <v>0</v>
      </c>
      <c r="AA380" s="40">
        <v>0</v>
      </c>
      <c r="AB380" s="40">
        <v>0</v>
      </c>
      <c r="AC380" s="40">
        <v>0</v>
      </c>
      <c r="AD380" s="40">
        <v>1861</v>
      </c>
      <c r="AE380" s="40">
        <v>2423.3280000000004</v>
      </c>
      <c r="AF380" s="40">
        <v>2000</v>
      </c>
      <c r="AG380" s="40">
        <v>2000</v>
      </c>
      <c r="AH380" s="40">
        <v>2000</v>
      </c>
      <c r="AI380" s="41">
        <f t="shared" si="52"/>
        <v>10284.328000000001</v>
      </c>
      <c r="AJ380" s="42">
        <v>2000</v>
      </c>
      <c r="AK380" s="42">
        <v>2000</v>
      </c>
      <c r="AL380" s="42">
        <v>2000</v>
      </c>
      <c r="AM380" s="42">
        <v>2000</v>
      </c>
      <c r="AN380" s="42">
        <v>2000</v>
      </c>
      <c r="AO380" s="42">
        <v>2000</v>
      </c>
      <c r="AP380" s="42">
        <v>2000</v>
      </c>
      <c r="AQ380" s="42">
        <v>2000</v>
      </c>
      <c r="AR380" s="42">
        <v>2000</v>
      </c>
      <c r="AS380" s="42">
        <v>2000</v>
      </c>
      <c r="AT380" s="42">
        <v>2000</v>
      </c>
      <c r="AU380" s="42">
        <v>2000</v>
      </c>
      <c r="AV380" s="42">
        <f t="shared" si="53"/>
        <v>24000</v>
      </c>
      <c r="AW380" s="42">
        <v>2000</v>
      </c>
      <c r="AX380" s="42">
        <v>2000</v>
      </c>
      <c r="AY380" s="42">
        <v>2000</v>
      </c>
      <c r="AZ380" s="42">
        <v>2000</v>
      </c>
      <c r="BA380" s="42">
        <v>2000</v>
      </c>
      <c r="BB380" s="42">
        <v>0</v>
      </c>
      <c r="BC380" s="42">
        <v>9231.8964538699456</v>
      </c>
      <c r="BD380" s="42">
        <v>0</v>
      </c>
      <c r="BE380" s="42">
        <v>0</v>
      </c>
      <c r="BF380" s="42">
        <v>0</v>
      </c>
      <c r="BG380" s="42">
        <v>0</v>
      </c>
      <c r="BH380" s="42">
        <v>0</v>
      </c>
      <c r="BI380" s="42">
        <v>8111.0853397468309</v>
      </c>
      <c r="BJ380" s="42">
        <v>0</v>
      </c>
      <c r="BK380" s="42">
        <v>0</v>
      </c>
      <c r="BL380" s="42">
        <v>0</v>
      </c>
      <c r="BM380" s="42">
        <v>0</v>
      </c>
      <c r="BN380" s="42">
        <v>7780.3400522061775</v>
      </c>
      <c r="BO380" s="42">
        <v>0</v>
      </c>
      <c r="BP380" s="42">
        <v>0</v>
      </c>
      <c r="BQ380" s="42">
        <v>0</v>
      </c>
      <c r="BR380" s="42">
        <v>0</v>
      </c>
      <c r="BS380" s="42">
        <v>9810.2476541042324</v>
      </c>
      <c r="BT380" s="42">
        <v>0</v>
      </c>
      <c r="BU380" s="42">
        <v>0</v>
      </c>
      <c r="BV380" s="42">
        <v>0</v>
      </c>
      <c r="BW380" s="42">
        <v>0</v>
      </c>
      <c r="BX380" s="42">
        <v>0</v>
      </c>
      <c r="BY380" s="42">
        <v>7573.3362154910601</v>
      </c>
      <c r="BZ380" s="42">
        <v>0</v>
      </c>
      <c r="CA380" s="42">
        <v>0</v>
      </c>
      <c r="CB380" s="42">
        <v>0</v>
      </c>
      <c r="CC380" s="42">
        <v>0</v>
      </c>
      <c r="CD380" s="42">
        <v>3208.766284581754</v>
      </c>
      <c r="CE380" s="42">
        <v>0</v>
      </c>
      <c r="CF380" s="42">
        <v>0</v>
      </c>
      <c r="CG380" s="42">
        <v>0</v>
      </c>
      <c r="CH380" s="42">
        <v>0</v>
      </c>
      <c r="CI380" s="42">
        <v>0</v>
      </c>
      <c r="CJ380" s="42">
        <v>0</v>
      </c>
      <c r="CK380" s="43">
        <f t="shared" si="54"/>
        <v>55715.671999999999</v>
      </c>
      <c r="CL380" s="66"/>
      <c r="CM380" s="66">
        <v>0</v>
      </c>
      <c r="CN380" s="66">
        <v>0</v>
      </c>
      <c r="CO380" s="66">
        <v>0</v>
      </c>
      <c r="CP380" s="66">
        <v>0</v>
      </c>
      <c r="CQ380" s="66">
        <v>0</v>
      </c>
      <c r="CR380" s="66">
        <v>0</v>
      </c>
      <c r="CS380" s="66">
        <v>0</v>
      </c>
      <c r="CT380" s="66">
        <v>0</v>
      </c>
      <c r="CU380" s="66">
        <v>0</v>
      </c>
      <c r="CV380" s="66">
        <v>0</v>
      </c>
      <c r="CW380" s="66">
        <v>0</v>
      </c>
      <c r="CX380" s="66">
        <v>0</v>
      </c>
      <c r="CY380" s="66">
        <v>0</v>
      </c>
      <c r="CZ380" s="66">
        <v>0</v>
      </c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>
        <f>SUM(Table1[[#This Row],[01-03 Apr]:[Mar-26]])</f>
        <v>0</v>
      </c>
    </row>
    <row r="381" spans="1:115" hidden="1" x14ac:dyDescent="0.2">
      <c r="A381" s="28" t="s">
        <v>2254</v>
      </c>
      <c r="B381" s="29" t="s">
        <v>525</v>
      </c>
      <c r="C381" s="29" t="s">
        <v>526</v>
      </c>
      <c r="D381" s="30" t="s">
        <v>527</v>
      </c>
      <c r="E381" s="30" t="s">
        <v>63</v>
      </c>
      <c r="F381" s="30"/>
      <c r="G381" s="31" t="s">
        <v>371</v>
      </c>
      <c r="H381" s="30">
        <v>381346</v>
      </c>
      <c r="I381" s="30" t="str">
        <f>IF(Table1[[#This Row],[Centre Status]]="Returned","NA",IF(Table1[[#This Row],[SD]]&gt;19000,"Full Payment",IF(Table1[[#This Row],[SD]]&lt;1,"No Payment","Partial Payment")))</f>
        <v>Full Payment</v>
      </c>
      <c r="J381" s="30" t="s">
        <v>58</v>
      </c>
      <c r="K381" s="32">
        <v>110000</v>
      </c>
      <c r="L381" s="33">
        <f>Q381+R381+U381+Table1[[#This Row],[Farmer Payment]]</f>
        <v>98380.514075564148</v>
      </c>
      <c r="M381" s="30"/>
      <c r="N381" s="34"/>
      <c r="O381" s="34"/>
      <c r="P381" s="35">
        <f t="shared" si="51"/>
        <v>11619.485924435852</v>
      </c>
      <c r="Q381" s="33">
        <f>AI381+AV381+CK381+Table1[[#This Row],[FY 25-26]]</f>
        <v>78380.514075564148</v>
      </c>
      <c r="R381" s="36">
        <v>20000</v>
      </c>
      <c r="S381" s="37" t="s">
        <v>528</v>
      </c>
      <c r="T381" s="38">
        <v>44848</v>
      </c>
      <c r="U381" s="39"/>
      <c r="V381" s="39"/>
      <c r="W381" s="40">
        <v>0</v>
      </c>
      <c r="X381" s="40">
        <v>0</v>
      </c>
      <c r="Y381" s="40">
        <v>0</v>
      </c>
      <c r="Z381" s="40">
        <v>0</v>
      </c>
      <c r="AA381" s="40">
        <v>0</v>
      </c>
      <c r="AB381" s="40">
        <v>0</v>
      </c>
      <c r="AC381" s="40">
        <v>0</v>
      </c>
      <c r="AD381" s="40">
        <v>0</v>
      </c>
      <c r="AE381" s="40">
        <v>1861</v>
      </c>
      <c r="AF381" s="40">
        <v>2000</v>
      </c>
      <c r="AG381" s="40">
        <v>2000</v>
      </c>
      <c r="AH381" s="40">
        <v>2000</v>
      </c>
      <c r="AI381" s="41">
        <f t="shared" si="52"/>
        <v>7861</v>
      </c>
      <c r="AJ381" s="42">
        <v>2000</v>
      </c>
      <c r="AK381" s="42">
        <v>2000</v>
      </c>
      <c r="AL381" s="42">
        <v>2000</v>
      </c>
      <c r="AM381" s="42">
        <v>2000</v>
      </c>
      <c r="AN381" s="42">
        <v>2000</v>
      </c>
      <c r="AO381" s="42">
        <v>2000</v>
      </c>
      <c r="AP381" s="42">
        <v>2000</v>
      </c>
      <c r="AQ381" s="42">
        <v>2000</v>
      </c>
      <c r="AR381" s="42">
        <v>2000</v>
      </c>
      <c r="AS381" s="42">
        <v>2000</v>
      </c>
      <c r="AT381" s="42">
        <v>2000</v>
      </c>
      <c r="AU381" s="42">
        <v>2000</v>
      </c>
      <c r="AV381" s="42">
        <f t="shared" si="53"/>
        <v>24000</v>
      </c>
      <c r="AW381" s="42">
        <v>2000</v>
      </c>
      <c r="AX381" s="42">
        <v>2000</v>
      </c>
      <c r="AY381" s="42">
        <v>2000</v>
      </c>
      <c r="AZ381" s="42">
        <v>2000</v>
      </c>
      <c r="BA381" s="42">
        <v>2000</v>
      </c>
      <c r="BB381" s="42">
        <v>0</v>
      </c>
      <c r="BC381" s="42">
        <v>3865.4039502457786</v>
      </c>
      <c r="BD381" s="42">
        <v>0</v>
      </c>
      <c r="BE381" s="42">
        <v>0</v>
      </c>
      <c r="BF381" s="42">
        <v>0</v>
      </c>
      <c r="BG381" s="42">
        <v>0</v>
      </c>
      <c r="BH381" s="42">
        <v>0</v>
      </c>
      <c r="BI381" s="42">
        <v>3369.9730965334975</v>
      </c>
      <c r="BJ381" s="42">
        <v>0</v>
      </c>
      <c r="BK381" s="42">
        <v>0</v>
      </c>
      <c r="BL381" s="42">
        <v>0</v>
      </c>
      <c r="BM381" s="42">
        <v>0</v>
      </c>
      <c r="BN381" s="42">
        <v>2676.8817721653963</v>
      </c>
      <c r="BO381" s="42">
        <v>0</v>
      </c>
      <c r="BP381" s="42">
        <v>0</v>
      </c>
      <c r="BQ381" s="42">
        <v>0</v>
      </c>
      <c r="BR381" s="42">
        <v>0</v>
      </c>
      <c r="BS381" s="42">
        <v>4257.9631305753292</v>
      </c>
      <c r="BT381" s="42">
        <v>0</v>
      </c>
      <c r="BU381" s="42">
        <v>0</v>
      </c>
      <c r="BV381" s="42">
        <v>0</v>
      </c>
      <c r="BW381" s="42">
        <v>0</v>
      </c>
      <c r="BX381" s="42">
        <v>0</v>
      </c>
      <c r="BY381" s="42">
        <v>4282.4199631173678</v>
      </c>
      <c r="BZ381" s="42">
        <v>0</v>
      </c>
      <c r="CA381" s="42">
        <v>0</v>
      </c>
      <c r="CB381" s="42">
        <v>0</v>
      </c>
      <c r="CC381" s="42">
        <v>0</v>
      </c>
      <c r="CD381" s="42">
        <v>4957.795335346611</v>
      </c>
      <c r="CE381" s="42">
        <v>0</v>
      </c>
      <c r="CF381" s="42">
        <v>0</v>
      </c>
      <c r="CG381" s="42">
        <v>0</v>
      </c>
      <c r="CH381" s="42">
        <v>0</v>
      </c>
      <c r="CI381" s="42">
        <v>0</v>
      </c>
      <c r="CJ381" s="42">
        <v>5766.5621360912419</v>
      </c>
      <c r="CK381" s="43">
        <f t="shared" si="54"/>
        <v>39176.999384075221</v>
      </c>
      <c r="CL381" s="66"/>
      <c r="CM381" s="66">
        <v>0</v>
      </c>
      <c r="CN381" s="66">
        <v>0</v>
      </c>
      <c r="CO381" s="66">
        <v>0</v>
      </c>
      <c r="CP381" s="66">
        <v>4043.4452637758782</v>
      </c>
      <c r="CQ381" s="66">
        <v>0</v>
      </c>
      <c r="CR381" s="66">
        <v>0</v>
      </c>
      <c r="CS381" s="66">
        <v>0</v>
      </c>
      <c r="CT381" s="66">
        <v>0</v>
      </c>
      <c r="CU381" s="66">
        <v>0</v>
      </c>
      <c r="CV381" s="66">
        <v>3299.0694277130447</v>
      </c>
      <c r="CW381" s="66">
        <v>0</v>
      </c>
      <c r="CX381" s="66">
        <v>0</v>
      </c>
      <c r="CY381" s="66">
        <v>0</v>
      </c>
      <c r="CZ381" s="66">
        <v>0</v>
      </c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>
        <f>SUM(Table1[[#This Row],[01-03 Apr]:[Mar-26]])</f>
        <v>7342.5146914889228</v>
      </c>
    </row>
    <row r="382" spans="1:115" hidden="1" x14ac:dyDescent="0.2">
      <c r="A382" s="28" t="s">
        <v>2254</v>
      </c>
      <c r="B382" s="29" t="s">
        <v>529</v>
      </c>
      <c r="C382" s="29" t="s">
        <v>3336</v>
      </c>
      <c r="D382" s="30" t="s">
        <v>530</v>
      </c>
      <c r="E382" s="30" t="s">
        <v>85</v>
      </c>
      <c r="F382" s="30"/>
      <c r="G382" s="31" t="s">
        <v>371</v>
      </c>
      <c r="H382" s="30">
        <v>386054</v>
      </c>
      <c r="I382" s="30" t="str">
        <f>IF(Table1[[#This Row],[Centre Status]]="Returned","NA",IF(Table1[[#This Row],[SD]]&gt;19000,"Full Payment",IF(Table1[[#This Row],[SD]]&lt;1,"No Payment","Partial Payment")))</f>
        <v>Full Payment</v>
      </c>
      <c r="J382" s="30" t="s">
        <v>58</v>
      </c>
      <c r="K382" s="32">
        <v>110000</v>
      </c>
      <c r="L382" s="33">
        <f>Q382+R382+U382+Table1[[#This Row],[Farmer Payment]]</f>
        <v>22791</v>
      </c>
      <c r="M382" s="30"/>
      <c r="N382" s="34"/>
      <c r="O382" s="34"/>
      <c r="P382" s="35">
        <f t="shared" si="51"/>
        <v>87209</v>
      </c>
      <c r="Q382" s="33">
        <f>AI382+AV382+CK382+Table1[[#This Row],[FY 25-26]]</f>
        <v>2791</v>
      </c>
      <c r="R382" s="36">
        <v>20000</v>
      </c>
      <c r="S382" s="37" t="s">
        <v>531</v>
      </c>
      <c r="T382" s="38">
        <v>44798</v>
      </c>
      <c r="U382" s="39"/>
      <c r="V382" s="39"/>
      <c r="W382" s="40">
        <v>0</v>
      </c>
      <c r="X382" s="40">
        <v>0</v>
      </c>
      <c r="Y382" s="40">
        <v>0</v>
      </c>
      <c r="Z382" s="40">
        <v>0</v>
      </c>
      <c r="AA382" s="40">
        <v>0</v>
      </c>
      <c r="AB382" s="40">
        <v>0</v>
      </c>
      <c r="AC382" s="40">
        <v>0</v>
      </c>
      <c r="AD382" s="40">
        <v>2</v>
      </c>
      <c r="AE382" s="40">
        <v>30</v>
      </c>
      <c r="AF382" s="40">
        <v>0</v>
      </c>
      <c r="AG382" s="40">
        <v>0</v>
      </c>
      <c r="AH382" s="40">
        <v>1707</v>
      </c>
      <c r="AI382" s="41">
        <f t="shared" si="52"/>
        <v>1739</v>
      </c>
      <c r="AJ382" s="42">
        <v>918</v>
      </c>
      <c r="AK382" s="42">
        <v>134</v>
      </c>
      <c r="AL382" s="42">
        <v>0</v>
      </c>
      <c r="AM382" s="42">
        <v>0</v>
      </c>
      <c r="AN382" s="42">
        <v>0</v>
      </c>
      <c r="AO382" s="42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42">
        <v>0</v>
      </c>
      <c r="AV382" s="42">
        <f t="shared" si="53"/>
        <v>1052</v>
      </c>
      <c r="AW382" s="42">
        <v>0</v>
      </c>
      <c r="AX382" s="42">
        <v>0</v>
      </c>
      <c r="AY382" s="42">
        <v>0</v>
      </c>
      <c r="AZ382" s="42">
        <v>0</v>
      </c>
      <c r="BA382" s="42">
        <v>0</v>
      </c>
      <c r="BB382" s="42">
        <v>0</v>
      </c>
      <c r="BC382" s="42">
        <v>0</v>
      </c>
      <c r="BD382" s="42">
        <v>0</v>
      </c>
      <c r="BE382" s="42">
        <v>0</v>
      </c>
      <c r="BF382" s="42">
        <v>0</v>
      </c>
      <c r="BG382" s="42">
        <v>0</v>
      </c>
      <c r="BH382" s="42">
        <v>0</v>
      </c>
      <c r="BI382" s="42">
        <v>0</v>
      </c>
      <c r="BJ382" s="42">
        <v>0</v>
      </c>
      <c r="BK382" s="42">
        <v>0</v>
      </c>
      <c r="BL382" s="42">
        <v>0</v>
      </c>
      <c r="BM382" s="42">
        <v>0</v>
      </c>
      <c r="BN382" s="42">
        <v>0</v>
      </c>
      <c r="BO382" s="42">
        <v>0</v>
      </c>
      <c r="BP382" s="42">
        <v>0</v>
      </c>
      <c r="BQ382" s="42">
        <v>0</v>
      </c>
      <c r="BR382" s="42">
        <v>0</v>
      </c>
      <c r="BS382" s="42">
        <v>0</v>
      </c>
      <c r="BT382" s="42">
        <v>0</v>
      </c>
      <c r="BU382" s="42">
        <v>0</v>
      </c>
      <c r="BV382" s="42">
        <v>0</v>
      </c>
      <c r="BW382" s="42">
        <v>0</v>
      </c>
      <c r="BX382" s="42">
        <v>0</v>
      </c>
      <c r="BY382" s="42">
        <v>0</v>
      </c>
      <c r="BZ382" s="42">
        <v>0</v>
      </c>
      <c r="CA382" s="42">
        <v>0</v>
      </c>
      <c r="CB382" s="42">
        <v>0</v>
      </c>
      <c r="CC382" s="42">
        <v>0</v>
      </c>
      <c r="CD382" s="42">
        <v>0</v>
      </c>
      <c r="CE382" s="42">
        <v>0</v>
      </c>
      <c r="CF382" s="42">
        <v>0</v>
      </c>
      <c r="CG382" s="42">
        <v>0</v>
      </c>
      <c r="CH382" s="42">
        <v>0</v>
      </c>
      <c r="CI382" s="42">
        <v>0</v>
      </c>
      <c r="CJ382" s="42">
        <v>0</v>
      </c>
      <c r="CK382" s="43">
        <f t="shared" si="54"/>
        <v>0</v>
      </c>
      <c r="CL382" s="66"/>
      <c r="CM382" s="66">
        <v>0</v>
      </c>
      <c r="CN382" s="66">
        <v>0</v>
      </c>
      <c r="CO382" s="66">
        <v>0</v>
      </c>
      <c r="CP382" s="66">
        <v>0</v>
      </c>
      <c r="CQ382" s="66">
        <v>0</v>
      </c>
      <c r="CR382" s="66">
        <v>0</v>
      </c>
      <c r="CS382" s="66">
        <v>0</v>
      </c>
      <c r="CT382" s="66">
        <v>0</v>
      </c>
      <c r="CU382" s="66">
        <v>0</v>
      </c>
      <c r="CV382" s="66">
        <v>0</v>
      </c>
      <c r="CW382" s="66">
        <v>0</v>
      </c>
      <c r="CX382" s="66">
        <v>0</v>
      </c>
      <c r="CY382" s="66">
        <v>0</v>
      </c>
      <c r="CZ382" s="66">
        <v>0</v>
      </c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>
        <f>SUM(Table1[[#This Row],[01-03 Apr]:[Mar-26]])</f>
        <v>0</v>
      </c>
    </row>
    <row r="383" spans="1:115" hidden="1" x14ac:dyDescent="0.2">
      <c r="A383" s="28" t="s">
        <v>2254</v>
      </c>
      <c r="B383" s="29" t="s">
        <v>535</v>
      </c>
      <c r="C383" s="29" t="s">
        <v>536</v>
      </c>
      <c r="D383" s="30" t="s">
        <v>537</v>
      </c>
      <c r="E383" s="30" t="s">
        <v>943</v>
      </c>
      <c r="F383" s="30"/>
      <c r="G383" s="31" t="s">
        <v>371</v>
      </c>
      <c r="H383" s="30">
        <v>382869</v>
      </c>
      <c r="I383" s="30" t="str">
        <f>IF(Table1[[#This Row],[Centre Status]]="Returned","NA",IF(Table1[[#This Row],[SD]]&gt;19000,"Full Payment",IF(Table1[[#This Row],[SD]]&lt;1,"No Payment","Partial Payment")))</f>
        <v>Full Payment</v>
      </c>
      <c r="J383" s="30" t="s">
        <v>58</v>
      </c>
      <c r="K383" s="32">
        <v>110000</v>
      </c>
      <c r="L383" s="33">
        <f>Q383+R383+U383+Table1[[#This Row],[Farmer Payment]]</f>
        <v>74236.918894649411</v>
      </c>
      <c r="M383" s="30"/>
      <c r="N383" s="34"/>
      <c r="O383" s="34"/>
      <c r="P383" s="35">
        <f t="shared" si="51"/>
        <v>35763.081105350589</v>
      </c>
      <c r="Q383" s="33">
        <f>AI383+AV383+CK383+Table1[[#This Row],[FY 25-26]]</f>
        <v>54521.918894649411</v>
      </c>
      <c r="R383" s="36">
        <v>19715</v>
      </c>
      <c r="S383" s="37" t="s">
        <v>538</v>
      </c>
      <c r="T383" s="38">
        <v>44846</v>
      </c>
      <c r="U383" s="39"/>
      <c r="V383" s="39"/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>
        <v>1772</v>
      </c>
      <c r="AH383" s="40">
        <v>2000</v>
      </c>
      <c r="AI383" s="41">
        <f t="shared" si="52"/>
        <v>3772</v>
      </c>
      <c r="AJ383" s="42">
        <v>2000</v>
      </c>
      <c r="AK383" s="42">
        <v>2000</v>
      </c>
      <c r="AL383" s="42">
        <v>2000</v>
      </c>
      <c r="AM383" s="42">
        <v>2000</v>
      </c>
      <c r="AN383" s="42">
        <v>1801</v>
      </c>
      <c r="AO383" s="42">
        <v>1861</v>
      </c>
      <c r="AP383" s="42">
        <v>2000</v>
      </c>
      <c r="AQ383" s="42">
        <v>1980.1566</v>
      </c>
      <c r="AR383" s="42">
        <v>2000</v>
      </c>
      <c r="AS383" s="42">
        <v>1861</v>
      </c>
      <c r="AT383" s="42">
        <v>2000</v>
      </c>
      <c r="AU383" s="42">
        <v>2000</v>
      </c>
      <c r="AV383" s="42">
        <f t="shared" si="53"/>
        <v>23503.156600000002</v>
      </c>
      <c r="AW383" s="42">
        <v>2000</v>
      </c>
      <c r="AX383" s="42">
        <v>1861</v>
      </c>
      <c r="AY383" s="42">
        <v>1861</v>
      </c>
      <c r="AZ383" s="42">
        <v>2000</v>
      </c>
      <c r="BA383" s="42">
        <v>1921.2335730508803</v>
      </c>
      <c r="BB383" s="42">
        <v>0</v>
      </c>
      <c r="BC383" s="42">
        <v>1994.3670015742084</v>
      </c>
      <c r="BD383" s="42">
        <v>0</v>
      </c>
      <c r="BE383" s="42">
        <v>0</v>
      </c>
      <c r="BF383" s="42">
        <v>0</v>
      </c>
      <c r="BG383" s="42">
        <v>0</v>
      </c>
      <c r="BH383" s="42">
        <v>0</v>
      </c>
      <c r="BI383" s="42">
        <v>1759</v>
      </c>
      <c r="BJ383" s="42">
        <v>0</v>
      </c>
      <c r="BK383" s="42">
        <v>0</v>
      </c>
      <c r="BL383" s="42">
        <v>500</v>
      </c>
      <c r="BM383" s="42">
        <v>500</v>
      </c>
      <c r="BN383" s="42">
        <v>861</v>
      </c>
      <c r="BO383" s="42">
        <v>500</v>
      </c>
      <c r="BP383" s="42">
        <v>500</v>
      </c>
      <c r="BQ383" s="42">
        <v>500</v>
      </c>
      <c r="BR383" s="42">
        <v>500</v>
      </c>
      <c r="BS383" s="42">
        <v>0</v>
      </c>
      <c r="BT383" s="42">
        <v>500</v>
      </c>
      <c r="BU383" s="42">
        <v>500</v>
      </c>
      <c r="BV383" s="42">
        <v>0</v>
      </c>
      <c r="BW383" s="42">
        <v>0</v>
      </c>
      <c r="BX383" s="42">
        <v>0</v>
      </c>
      <c r="BY383" s="42">
        <v>1361</v>
      </c>
      <c r="BZ383" s="42">
        <v>0</v>
      </c>
      <c r="CA383" s="42">
        <v>0</v>
      </c>
      <c r="CB383" s="42">
        <v>0</v>
      </c>
      <c r="CC383" s="42">
        <v>0</v>
      </c>
      <c r="CD383" s="42">
        <v>1956.5039098867198</v>
      </c>
      <c r="CE383" s="42">
        <v>0</v>
      </c>
      <c r="CF383" s="42">
        <v>0</v>
      </c>
      <c r="CG383" s="42">
        <v>0</v>
      </c>
      <c r="CH383" s="42">
        <v>0</v>
      </c>
      <c r="CI383" s="42">
        <v>0</v>
      </c>
      <c r="CJ383" s="42">
        <v>2041.6578101375999</v>
      </c>
      <c r="CK383" s="43">
        <f t="shared" si="54"/>
        <v>23616.762294649408</v>
      </c>
      <c r="CL383" s="66"/>
      <c r="CM383" s="66">
        <v>0</v>
      </c>
      <c r="CN383" s="66">
        <v>0</v>
      </c>
      <c r="CO383" s="66">
        <v>0</v>
      </c>
      <c r="CP383" s="66">
        <v>1769</v>
      </c>
      <c r="CQ383" s="66">
        <v>0</v>
      </c>
      <c r="CR383" s="66">
        <v>0</v>
      </c>
      <c r="CS383" s="66">
        <v>0</v>
      </c>
      <c r="CT383" s="66">
        <v>0</v>
      </c>
      <c r="CU383" s="66">
        <v>0</v>
      </c>
      <c r="CV383" s="66">
        <v>1861</v>
      </c>
      <c r="CW383" s="66">
        <v>0</v>
      </c>
      <c r="CX383" s="66">
        <v>0</v>
      </c>
      <c r="CY383" s="66">
        <v>0</v>
      </c>
      <c r="CZ383" s="66">
        <v>0</v>
      </c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>
        <f>SUM(Table1[[#This Row],[01-03 Apr]:[Mar-26]])</f>
        <v>3630</v>
      </c>
    </row>
    <row r="384" spans="1:115" hidden="1" x14ac:dyDescent="0.2">
      <c r="A384" s="28" t="s">
        <v>2366</v>
      </c>
      <c r="B384" s="29" t="s">
        <v>539</v>
      </c>
      <c r="C384" s="29" t="s">
        <v>540</v>
      </c>
      <c r="D384" s="30" t="s">
        <v>541</v>
      </c>
      <c r="E384" s="30" t="s">
        <v>906</v>
      </c>
      <c r="F384" s="30"/>
      <c r="G384" s="31" t="s">
        <v>371</v>
      </c>
      <c r="H384" s="30">
        <v>322426</v>
      </c>
      <c r="I384" s="30" t="str">
        <f>IF(Table1[[#This Row],[Centre Status]]="Returned","NA",IF(Table1[[#This Row],[SD]]&gt;19000,"Full Payment",IF(Table1[[#This Row],[SD]]&lt;1,"No Payment","Partial Payment")))</f>
        <v>Full Payment</v>
      </c>
      <c r="J384" s="30" t="s">
        <v>58</v>
      </c>
      <c r="K384" s="32">
        <v>110000</v>
      </c>
      <c r="L384" s="33">
        <f>Q384+R384+U384+Table1[[#This Row],[Farmer Payment]]</f>
        <v>112000</v>
      </c>
      <c r="M384" s="30"/>
      <c r="N384" s="34"/>
      <c r="O384" s="34"/>
      <c r="P384" s="35">
        <f t="shared" si="51"/>
        <v>-2000</v>
      </c>
      <c r="Q384" s="33">
        <f>AI384+AV384+CK384+Table1[[#This Row],[FY 25-26]]</f>
        <v>34000</v>
      </c>
      <c r="R384" s="36">
        <f>19715</f>
        <v>19715</v>
      </c>
      <c r="S384" s="37" t="s">
        <v>542</v>
      </c>
      <c r="T384" s="38">
        <v>44846</v>
      </c>
      <c r="U384" s="39"/>
      <c r="V384" s="39">
        <f>42802+15483</f>
        <v>58285</v>
      </c>
      <c r="W384" s="40">
        <v>0</v>
      </c>
      <c r="X384" s="40">
        <v>0</v>
      </c>
      <c r="Y384" s="40">
        <v>0</v>
      </c>
      <c r="Z384" s="40">
        <v>0</v>
      </c>
      <c r="AA384" s="40">
        <v>0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>
        <v>2000</v>
      </c>
      <c r="AH384" s="40">
        <v>2000</v>
      </c>
      <c r="AI384" s="41">
        <f t="shared" si="52"/>
        <v>4000</v>
      </c>
      <c r="AJ384" s="42">
        <v>2000</v>
      </c>
      <c r="AK384" s="42">
        <v>2000</v>
      </c>
      <c r="AL384" s="42">
        <v>2000</v>
      </c>
      <c r="AM384" s="42">
        <v>2000</v>
      </c>
      <c r="AN384" s="42">
        <v>2000</v>
      </c>
      <c r="AO384" s="42">
        <v>2000</v>
      </c>
      <c r="AP384" s="42">
        <v>2000</v>
      </c>
      <c r="AQ384" s="42">
        <v>2000</v>
      </c>
      <c r="AR384" s="42">
        <v>2000</v>
      </c>
      <c r="AS384" s="42">
        <v>2000</v>
      </c>
      <c r="AT384" s="42">
        <v>2000</v>
      </c>
      <c r="AU384" s="42">
        <v>2000</v>
      </c>
      <c r="AV384" s="42">
        <f t="shared" si="53"/>
        <v>24000</v>
      </c>
      <c r="AW384" s="42">
        <v>2000</v>
      </c>
      <c r="AX384" s="42">
        <v>2000</v>
      </c>
      <c r="AY384" s="42">
        <v>2000</v>
      </c>
      <c r="AZ384" s="42">
        <v>0</v>
      </c>
      <c r="BA384" s="42">
        <v>0</v>
      </c>
      <c r="BB384" s="42">
        <v>0</v>
      </c>
      <c r="BC384" s="42">
        <v>0</v>
      </c>
      <c r="BD384" s="42">
        <v>0</v>
      </c>
      <c r="BE384" s="42">
        <v>0</v>
      </c>
      <c r="BF384" s="42">
        <v>0</v>
      </c>
      <c r="BG384" s="42">
        <v>0</v>
      </c>
      <c r="BH384" s="42">
        <v>0</v>
      </c>
      <c r="BI384" s="42">
        <v>0</v>
      </c>
      <c r="BJ384" s="42">
        <v>0</v>
      </c>
      <c r="BK384" s="42">
        <v>0</v>
      </c>
      <c r="BL384" s="42">
        <v>0</v>
      </c>
      <c r="BM384" s="42">
        <v>0</v>
      </c>
      <c r="BN384" s="42">
        <v>0</v>
      </c>
      <c r="BO384" s="42">
        <v>0</v>
      </c>
      <c r="BP384" s="42">
        <v>0</v>
      </c>
      <c r="BQ384" s="42">
        <v>0</v>
      </c>
      <c r="BR384" s="42">
        <v>0</v>
      </c>
      <c r="BS384" s="42">
        <v>0</v>
      </c>
      <c r="BT384" s="42">
        <v>0</v>
      </c>
      <c r="BU384" s="42">
        <v>0</v>
      </c>
      <c r="BV384" s="42">
        <v>0</v>
      </c>
      <c r="BW384" s="42">
        <v>0</v>
      </c>
      <c r="BX384" s="42">
        <v>0</v>
      </c>
      <c r="BY384" s="42">
        <v>0</v>
      </c>
      <c r="BZ384" s="42">
        <v>0</v>
      </c>
      <c r="CA384" s="42">
        <v>0</v>
      </c>
      <c r="CB384" s="42">
        <v>0</v>
      </c>
      <c r="CC384" s="42">
        <v>0</v>
      </c>
      <c r="CD384" s="42">
        <v>0</v>
      </c>
      <c r="CE384" s="42">
        <v>0</v>
      </c>
      <c r="CF384" s="42">
        <v>0</v>
      </c>
      <c r="CG384" s="42">
        <v>0</v>
      </c>
      <c r="CH384" s="42">
        <v>0</v>
      </c>
      <c r="CI384" s="42">
        <v>0</v>
      </c>
      <c r="CJ384" s="42">
        <v>0</v>
      </c>
      <c r="CK384" s="43">
        <f t="shared" si="54"/>
        <v>6000</v>
      </c>
      <c r="CL384" s="66"/>
      <c r="CM384" s="66">
        <v>0</v>
      </c>
      <c r="CN384" s="66">
        <v>0</v>
      </c>
      <c r="CO384" s="66">
        <v>0</v>
      </c>
      <c r="CP384" s="66">
        <v>0</v>
      </c>
      <c r="CQ384" s="66">
        <v>0</v>
      </c>
      <c r="CR384" s="66">
        <v>0</v>
      </c>
      <c r="CS384" s="66">
        <v>0</v>
      </c>
      <c r="CT384" s="66">
        <v>0</v>
      </c>
      <c r="CU384" s="66">
        <v>0</v>
      </c>
      <c r="CV384" s="66">
        <v>0</v>
      </c>
      <c r="CW384" s="66">
        <v>0</v>
      </c>
      <c r="CX384" s="66">
        <v>0</v>
      </c>
      <c r="CY384" s="66">
        <v>0</v>
      </c>
      <c r="CZ384" s="66">
        <v>0</v>
      </c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>
        <f>SUM(Table1[[#This Row],[01-03 Apr]:[Mar-26]])</f>
        <v>0</v>
      </c>
    </row>
    <row r="385" spans="1:115" x14ac:dyDescent="0.2">
      <c r="A385" s="28"/>
      <c r="B385" s="29" t="s">
        <v>2639</v>
      </c>
      <c r="C385" s="29" t="s">
        <v>2704</v>
      </c>
      <c r="D385" s="30" t="s">
        <v>2642</v>
      </c>
      <c r="E385" s="30" t="s">
        <v>57</v>
      </c>
      <c r="F385" s="30"/>
      <c r="G385" s="31"/>
      <c r="H385" s="30">
        <v>388154</v>
      </c>
      <c r="I385" s="30" t="str">
        <f>IF(Table1[[#This Row],[Centre Status]]="Returned","NA",IF(Table1[[#This Row],[SD]]&gt;19000,"Full Payment",IF(Table1[[#This Row],[SD]]&lt;1,"No Payment","Partial Payment")))</f>
        <v>No Payment</v>
      </c>
      <c r="J385" s="30" t="s">
        <v>58</v>
      </c>
      <c r="K385" s="32">
        <v>110000</v>
      </c>
      <c r="L385" s="33">
        <f>Q385+R385+U385+Table1[[#This Row],[Farmer Payment]]</f>
        <v>59472.98698197247</v>
      </c>
      <c r="M385" s="30"/>
      <c r="N385" s="34"/>
      <c r="O385" s="34"/>
      <c r="P385" s="35">
        <f t="shared" si="51"/>
        <v>50527.01301802753</v>
      </c>
      <c r="Q385" s="33">
        <f>AI385+AV385+CK385+Table1[[#This Row],[FY 25-26]]</f>
        <v>59472.98698197247</v>
      </c>
      <c r="R385" s="36"/>
      <c r="S385" s="37"/>
      <c r="T385" s="38"/>
      <c r="U385" s="39"/>
      <c r="V385" s="39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1">
        <f t="shared" si="52"/>
        <v>0</v>
      </c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>
        <f t="shared" si="53"/>
        <v>0</v>
      </c>
      <c r="AW385" s="42"/>
      <c r="AX385" s="42"/>
      <c r="AY385" s="42"/>
      <c r="AZ385" s="42"/>
      <c r="BA385" s="42"/>
      <c r="BB385" s="42">
        <v>0</v>
      </c>
      <c r="BC385" s="42">
        <v>8400.2413424998413</v>
      </c>
      <c r="BD385" s="42">
        <v>0</v>
      </c>
      <c r="BE385" s="42">
        <v>0</v>
      </c>
      <c r="BF385" s="42">
        <v>0</v>
      </c>
      <c r="BG385" s="42">
        <v>0</v>
      </c>
      <c r="BH385" s="42">
        <v>0</v>
      </c>
      <c r="BI385" s="42">
        <v>5750.7562673740813</v>
      </c>
      <c r="BJ385" s="42">
        <v>0</v>
      </c>
      <c r="BK385" s="42">
        <v>0</v>
      </c>
      <c r="BL385" s="42">
        <v>0</v>
      </c>
      <c r="BM385" s="42">
        <v>0</v>
      </c>
      <c r="BN385" s="42">
        <v>3804.1738460928004</v>
      </c>
      <c r="BO385" s="42">
        <v>0</v>
      </c>
      <c r="BP385" s="42">
        <v>0</v>
      </c>
      <c r="BQ385" s="42">
        <v>0</v>
      </c>
      <c r="BR385" s="42">
        <v>0</v>
      </c>
      <c r="BS385" s="42">
        <v>6670.2939083681276</v>
      </c>
      <c r="BT385" s="42">
        <v>0</v>
      </c>
      <c r="BU385" s="42">
        <v>0</v>
      </c>
      <c r="BV385" s="42">
        <v>0</v>
      </c>
      <c r="BW385" s="42">
        <v>0</v>
      </c>
      <c r="BX385" s="42">
        <v>0</v>
      </c>
      <c r="BY385" s="42">
        <v>6666.6585850214396</v>
      </c>
      <c r="BZ385" s="42">
        <v>0</v>
      </c>
      <c r="CA385" s="42">
        <v>0</v>
      </c>
      <c r="CB385" s="42">
        <v>0</v>
      </c>
      <c r="CC385" s="42">
        <v>0</v>
      </c>
      <c r="CD385" s="42">
        <v>8760.6255467045594</v>
      </c>
      <c r="CE385" s="42">
        <v>0</v>
      </c>
      <c r="CF385" s="42">
        <v>0</v>
      </c>
      <c r="CG385" s="42">
        <v>0</v>
      </c>
      <c r="CH385" s="42">
        <v>0</v>
      </c>
      <c r="CI385" s="42">
        <v>0</v>
      </c>
      <c r="CJ385" s="42">
        <v>9531.5045103465218</v>
      </c>
      <c r="CK385" s="43">
        <f t="shared" si="54"/>
        <v>49584.254006407369</v>
      </c>
      <c r="CL385" s="66"/>
      <c r="CM385" s="66">
        <v>0</v>
      </c>
      <c r="CN385" s="66">
        <v>0</v>
      </c>
      <c r="CO385" s="66">
        <v>0</v>
      </c>
      <c r="CP385" s="66">
        <v>5559.8493258985436</v>
      </c>
      <c r="CQ385" s="66">
        <v>0</v>
      </c>
      <c r="CR385" s="66">
        <v>0</v>
      </c>
      <c r="CS385" s="66">
        <v>0</v>
      </c>
      <c r="CT385" s="66">
        <v>0</v>
      </c>
      <c r="CU385" s="66">
        <v>0</v>
      </c>
      <c r="CV385" s="66">
        <v>4328.8836496665608</v>
      </c>
      <c r="CW385" s="66">
        <v>0</v>
      </c>
      <c r="CX385" s="66">
        <v>0</v>
      </c>
      <c r="CY385" s="66">
        <v>0</v>
      </c>
      <c r="CZ385" s="66">
        <v>0</v>
      </c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>
        <f>SUM(Table1[[#This Row],[01-03 Apr]:[Mar-26]])</f>
        <v>9888.7329755651044</v>
      </c>
    </row>
    <row r="386" spans="1:115" hidden="1" x14ac:dyDescent="0.2">
      <c r="A386" s="28" t="s">
        <v>2254</v>
      </c>
      <c r="B386" s="29" t="s">
        <v>543</v>
      </c>
      <c r="C386" s="29" t="s">
        <v>544</v>
      </c>
      <c r="D386" s="30" t="s">
        <v>545</v>
      </c>
      <c r="E386" s="30" t="s">
        <v>943</v>
      </c>
      <c r="F386" s="30"/>
      <c r="G386" s="31" t="s">
        <v>371</v>
      </c>
      <c r="H386" s="30">
        <v>386064</v>
      </c>
      <c r="I386" s="30" t="str">
        <f>IF(Table1[[#This Row],[Centre Status]]="Returned","NA",IF(Table1[[#This Row],[SD]]&gt;19000,"Full Payment",IF(Table1[[#This Row],[SD]]&lt;1,"No Payment","Partial Payment")))</f>
        <v>Full Payment</v>
      </c>
      <c r="J386" s="30" t="s">
        <v>58</v>
      </c>
      <c r="K386" s="32">
        <v>110000</v>
      </c>
      <c r="L386" s="33">
        <f>Q386+R386+U386+Table1[[#This Row],[Farmer Payment]]</f>
        <v>49090.409808104072</v>
      </c>
      <c r="M386" s="30"/>
      <c r="N386" s="34"/>
      <c r="O386" s="34"/>
      <c r="P386" s="35">
        <f t="shared" si="51"/>
        <v>60909.590191895928</v>
      </c>
      <c r="Q386" s="33">
        <f>AI386+AV386+CK386+Table1[[#This Row],[FY 25-26]]</f>
        <v>29375.409808104068</v>
      </c>
      <c r="R386" s="36">
        <v>19715</v>
      </c>
      <c r="S386" s="37" t="s">
        <v>546</v>
      </c>
      <c r="T386" s="38">
        <v>44846</v>
      </c>
      <c r="U386" s="39"/>
      <c r="V386" s="39"/>
      <c r="W386" s="40">
        <v>0</v>
      </c>
      <c r="X386" s="40">
        <v>0</v>
      </c>
      <c r="Y386" s="40">
        <v>0</v>
      </c>
      <c r="Z386" s="40">
        <v>0</v>
      </c>
      <c r="AA386" s="40">
        <v>0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>
        <v>510</v>
      </c>
      <c r="AH386" s="40">
        <v>1861</v>
      </c>
      <c r="AI386" s="41">
        <f t="shared" si="52"/>
        <v>2371</v>
      </c>
      <c r="AJ386" s="42">
        <v>1861</v>
      </c>
      <c r="AK386" s="42">
        <v>1861</v>
      </c>
      <c r="AL386" s="42">
        <v>1861</v>
      </c>
      <c r="AM386" s="42">
        <v>1861</v>
      </c>
      <c r="AN386" s="42">
        <v>1069</v>
      </c>
      <c r="AO386" s="42">
        <v>952</v>
      </c>
      <c r="AP386" s="42">
        <v>1861</v>
      </c>
      <c r="AQ386" s="42">
        <v>9</v>
      </c>
      <c r="AR386" s="42">
        <v>0</v>
      </c>
      <c r="AS386" s="42">
        <v>175</v>
      </c>
      <c r="AT386" s="42">
        <v>91.297539588227437</v>
      </c>
      <c r="AU386" s="42">
        <v>0</v>
      </c>
      <c r="AV386" s="42">
        <f t="shared" si="53"/>
        <v>11601.297539588228</v>
      </c>
      <c r="AW386" s="42">
        <v>425</v>
      </c>
      <c r="AX386" s="42">
        <v>0</v>
      </c>
      <c r="AY386" s="42">
        <v>515</v>
      </c>
      <c r="AZ386" s="42">
        <v>1861</v>
      </c>
      <c r="BA386" s="42">
        <v>1976.1122685158402</v>
      </c>
      <c r="BB386" s="42">
        <v>0</v>
      </c>
      <c r="BC386" s="42">
        <v>1861</v>
      </c>
      <c r="BD386" s="42">
        <v>0</v>
      </c>
      <c r="BE386" s="42">
        <v>0</v>
      </c>
      <c r="BF386" s="42">
        <v>0</v>
      </c>
      <c r="BG386" s="42">
        <v>0</v>
      </c>
      <c r="BH386" s="42">
        <v>0</v>
      </c>
      <c r="BI386" s="42">
        <v>1861</v>
      </c>
      <c r="BJ386" s="42">
        <v>0</v>
      </c>
      <c r="BK386" s="42">
        <v>0</v>
      </c>
      <c r="BL386" s="42">
        <v>0</v>
      </c>
      <c r="BM386" s="42">
        <v>0</v>
      </c>
      <c r="BN386" s="42">
        <v>1861</v>
      </c>
      <c r="BO386" s="42">
        <v>0</v>
      </c>
      <c r="BP386" s="42">
        <v>0</v>
      </c>
      <c r="BQ386" s="42">
        <v>0</v>
      </c>
      <c r="BR386" s="42">
        <v>0</v>
      </c>
      <c r="BS386" s="42">
        <v>1564</v>
      </c>
      <c r="BT386" s="42">
        <v>0</v>
      </c>
      <c r="BU386" s="42">
        <v>0</v>
      </c>
      <c r="BV386" s="42">
        <v>0</v>
      </c>
      <c r="BW386" s="42">
        <v>0</v>
      </c>
      <c r="BX386" s="42">
        <v>0</v>
      </c>
      <c r="BY386" s="42">
        <v>0</v>
      </c>
      <c r="BZ386" s="42">
        <v>0</v>
      </c>
      <c r="CA386" s="42">
        <v>500</v>
      </c>
      <c r="CB386" s="42">
        <v>0</v>
      </c>
      <c r="CC386" s="42">
        <v>0</v>
      </c>
      <c r="CD386" s="42">
        <v>1155</v>
      </c>
      <c r="CE386" s="42">
        <v>0</v>
      </c>
      <c r="CF386" s="42">
        <v>0</v>
      </c>
      <c r="CG386" s="42">
        <v>0</v>
      </c>
      <c r="CH386" s="42">
        <v>0</v>
      </c>
      <c r="CI386" s="42">
        <v>0</v>
      </c>
      <c r="CJ386" s="42">
        <v>314</v>
      </c>
      <c r="CK386" s="43">
        <f t="shared" si="54"/>
        <v>13893.112268515841</v>
      </c>
      <c r="CL386" s="66"/>
      <c r="CM386" s="66">
        <v>0</v>
      </c>
      <c r="CN386" s="66">
        <v>0</v>
      </c>
      <c r="CO386" s="66">
        <v>0</v>
      </c>
      <c r="CP386" s="66">
        <v>1510</v>
      </c>
      <c r="CQ386" s="66">
        <v>0</v>
      </c>
      <c r="CR386" s="66">
        <v>0</v>
      </c>
      <c r="CS386" s="66">
        <v>0</v>
      </c>
      <c r="CT386" s="66">
        <v>0</v>
      </c>
      <c r="CU386" s="66">
        <v>0</v>
      </c>
      <c r="CV386" s="66">
        <v>0</v>
      </c>
      <c r="CW386" s="66">
        <v>0</v>
      </c>
      <c r="CX386" s="66">
        <v>0</v>
      </c>
      <c r="CY386" s="66">
        <v>0</v>
      </c>
      <c r="CZ386" s="66">
        <v>0</v>
      </c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>
        <f>SUM(Table1[[#This Row],[01-03 Apr]:[Mar-26]])</f>
        <v>1510</v>
      </c>
    </row>
    <row r="387" spans="1:115" x14ac:dyDescent="0.2">
      <c r="A387" s="28" t="s">
        <v>2254</v>
      </c>
      <c r="B387" s="29" t="s">
        <v>547</v>
      </c>
      <c r="C387" s="29" t="s">
        <v>548</v>
      </c>
      <c r="D387" s="30" t="s">
        <v>549</v>
      </c>
      <c r="E387" s="30" t="s">
        <v>85</v>
      </c>
      <c r="F387" s="30"/>
      <c r="G387" s="31" t="s">
        <v>371</v>
      </c>
      <c r="H387" s="30">
        <v>365104</v>
      </c>
      <c r="I387" s="30" t="str">
        <f>IF(Table1[[#This Row],[Centre Status]]="Returned","NA",IF(Table1[[#This Row],[SD]]&gt;19000,"Full Payment",IF(Table1[[#This Row],[SD]]&lt;1,"No Payment","Partial Payment")))</f>
        <v>Partial Payment</v>
      </c>
      <c r="J387" s="30" t="s">
        <v>58</v>
      </c>
      <c r="K387" s="32">
        <v>110000</v>
      </c>
      <c r="L387" s="33">
        <f>Q387+R387+U387+Table1[[#This Row],[Farmer Payment]]</f>
        <v>51298.227800000001</v>
      </c>
      <c r="M387" s="30"/>
      <c r="N387" s="34"/>
      <c r="O387" s="34"/>
      <c r="P387" s="35">
        <f t="shared" si="51"/>
        <v>58701.772199999999</v>
      </c>
      <c r="Q387" s="33">
        <f>AI387+AV387+CK387+Table1[[#This Row],[FY 25-26]]</f>
        <v>41298.227800000001</v>
      </c>
      <c r="R387" s="36">
        <v>10000</v>
      </c>
      <c r="S387" s="37" t="s">
        <v>550</v>
      </c>
      <c r="T387" s="38">
        <v>44722</v>
      </c>
      <c r="U387" s="39"/>
      <c r="V387" s="39"/>
      <c r="W387" s="40">
        <v>0</v>
      </c>
      <c r="X387" s="40">
        <v>0</v>
      </c>
      <c r="Y387" s="40">
        <v>1219</v>
      </c>
      <c r="Z387" s="40">
        <v>1861</v>
      </c>
      <c r="AA387" s="40">
        <v>2117.8843999999999</v>
      </c>
      <c r="AB387" s="40">
        <v>2074.9124000000002</v>
      </c>
      <c r="AC387" s="40">
        <v>2110.6550000000002</v>
      </c>
      <c r="AD387" s="40">
        <v>2147.8474000000001</v>
      </c>
      <c r="AE387" s="40">
        <v>1861</v>
      </c>
      <c r="AF387" s="40">
        <v>2000</v>
      </c>
      <c r="AG387" s="40">
        <v>1861</v>
      </c>
      <c r="AH387" s="40">
        <v>1861</v>
      </c>
      <c r="AI387" s="41">
        <f t="shared" si="52"/>
        <v>19114.299200000001</v>
      </c>
      <c r="AJ387" s="42">
        <v>1530</v>
      </c>
      <c r="AK387" s="42">
        <v>799</v>
      </c>
      <c r="AL387" s="42">
        <v>722</v>
      </c>
      <c r="AM387" s="42">
        <v>1861</v>
      </c>
      <c r="AN387" s="42">
        <v>1320</v>
      </c>
      <c r="AO387" s="42">
        <v>1878.5238000000002</v>
      </c>
      <c r="AP387" s="42">
        <v>2000</v>
      </c>
      <c r="AQ387" s="42">
        <v>1861</v>
      </c>
      <c r="AR387" s="42">
        <v>1861</v>
      </c>
      <c r="AS387" s="42">
        <v>1861</v>
      </c>
      <c r="AT387" s="42">
        <v>1523.4047999999998</v>
      </c>
      <c r="AU387" s="42">
        <v>2000</v>
      </c>
      <c r="AV387" s="42">
        <f t="shared" si="53"/>
        <v>19216.928599999999</v>
      </c>
      <c r="AW387" s="42">
        <v>1861</v>
      </c>
      <c r="AX387" s="42">
        <v>1005</v>
      </c>
      <c r="AY387" s="42">
        <v>101</v>
      </c>
      <c r="AZ387" s="42">
        <v>0</v>
      </c>
      <c r="BA387" s="42">
        <v>0</v>
      </c>
      <c r="BB387" s="42">
        <v>0</v>
      </c>
      <c r="BC387" s="42">
        <v>0</v>
      </c>
      <c r="BD387" s="42">
        <v>0</v>
      </c>
      <c r="BE387" s="42">
        <v>0</v>
      </c>
      <c r="BF387" s="42">
        <v>0</v>
      </c>
      <c r="BG387" s="42">
        <v>0</v>
      </c>
      <c r="BH387" s="42">
        <v>0</v>
      </c>
      <c r="BI387" s="42">
        <v>0</v>
      </c>
      <c r="BJ387" s="42">
        <v>0</v>
      </c>
      <c r="BK387" s="42">
        <v>0</v>
      </c>
      <c r="BL387" s="42">
        <v>0</v>
      </c>
      <c r="BM387" s="42">
        <v>0</v>
      </c>
      <c r="BN387" s="42">
        <v>0</v>
      </c>
      <c r="BO387" s="42">
        <v>0</v>
      </c>
      <c r="BP387" s="42">
        <v>0</v>
      </c>
      <c r="BQ387" s="42">
        <v>0</v>
      </c>
      <c r="BR387" s="42">
        <v>0</v>
      </c>
      <c r="BS387" s="42">
        <v>0</v>
      </c>
      <c r="BT387" s="42">
        <v>0</v>
      </c>
      <c r="BU387" s="42">
        <v>0</v>
      </c>
      <c r="BV387" s="42">
        <v>0</v>
      </c>
      <c r="BW387" s="42">
        <v>0</v>
      </c>
      <c r="BX387" s="42">
        <v>0</v>
      </c>
      <c r="BY387" s="42">
        <v>0</v>
      </c>
      <c r="BZ387" s="42">
        <v>0</v>
      </c>
      <c r="CA387" s="42">
        <v>0</v>
      </c>
      <c r="CB387" s="42">
        <v>0</v>
      </c>
      <c r="CC387" s="42">
        <v>0</v>
      </c>
      <c r="CD387" s="42">
        <v>0</v>
      </c>
      <c r="CE387" s="42">
        <v>0</v>
      </c>
      <c r="CF387" s="42">
        <v>0</v>
      </c>
      <c r="CG387" s="42">
        <v>0</v>
      </c>
      <c r="CH387" s="42">
        <v>0</v>
      </c>
      <c r="CI387" s="42">
        <v>0</v>
      </c>
      <c r="CJ387" s="42">
        <v>0</v>
      </c>
      <c r="CK387" s="43">
        <f t="shared" si="54"/>
        <v>2967</v>
      </c>
      <c r="CL387" s="66"/>
      <c r="CM387" s="66">
        <v>0</v>
      </c>
      <c r="CN387" s="66">
        <v>0</v>
      </c>
      <c r="CO387" s="66">
        <v>0</v>
      </c>
      <c r="CP387" s="66">
        <v>0</v>
      </c>
      <c r="CQ387" s="66">
        <v>0</v>
      </c>
      <c r="CR387" s="66">
        <v>0</v>
      </c>
      <c r="CS387" s="66">
        <v>0</v>
      </c>
      <c r="CT387" s="66">
        <v>0</v>
      </c>
      <c r="CU387" s="66">
        <v>0</v>
      </c>
      <c r="CV387" s="66">
        <v>0</v>
      </c>
      <c r="CW387" s="66">
        <v>0</v>
      </c>
      <c r="CX387" s="66">
        <v>0</v>
      </c>
      <c r="CY387" s="66">
        <v>0</v>
      </c>
      <c r="CZ387" s="66">
        <v>0</v>
      </c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>
        <f>SUM(Table1[[#This Row],[01-03 Apr]:[Mar-26]])</f>
        <v>0</v>
      </c>
    </row>
    <row r="388" spans="1:115" hidden="1" x14ac:dyDescent="0.2">
      <c r="A388" s="28" t="s">
        <v>2253</v>
      </c>
      <c r="B388" s="29" t="s">
        <v>551</v>
      </c>
      <c r="C388" s="29" t="s">
        <v>552</v>
      </c>
      <c r="D388" s="30" t="s">
        <v>553</v>
      </c>
      <c r="E388" s="30" t="s">
        <v>85</v>
      </c>
      <c r="F388" s="30"/>
      <c r="G388" s="31" t="s">
        <v>371</v>
      </c>
      <c r="H388" s="30">
        <v>358577</v>
      </c>
      <c r="I388" s="30" t="str">
        <f>IF(Table1[[#This Row],[Centre Status]]="Returned","NA",IF(Table1[[#This Row],[SD]]&gt;19000,"Full Payment",IF(Table1[[#This Row],[SD]]&lt;1,"No Payment","Partial Payment")))</f>
        <v>NA</v>
      </c>
      <c r="J388" s="30" t="s">
        <v>1903</v>
      </c>
      <c r="K388" s="32">
        <v>110000</v>
      </c>
      <c r="L388" s="33">
        <f>Q388+R388+U388+Table1[[#This Row],[Farmer Payment]]</f>
        <v>41933.254199999996</v>
      </c>
      <c r="M388" s="30">
        <v>20000</v>
      </c>
      <c r="N388" s="34">
        <v>45565</v>
      </c>
      <c r="O388" s="34" t="s">
        <v>2425</v>
      </c>
      <c r="P388" s="35">
        <f t="shared" si="51"/>
        <v>88066.745800000004</v>
      </c>
      <c r="Q388" s="33">
        <f>AI388+AV388+CK388+Table1[[#This Row],[FY 25-26]]</f>
        <v>31933.254199999999</v>
      </c>
      <c r="R388" s="36">
        <v>10000</v>
      </c>
      <c r="S388" s="37" t="s">
        <v>554</v>
      </c>
      <c r="T388" s="38">
        <v>44799</v>
      </c>
      <c r="U388" s="39"/>
      <c r="V388" s="39"/>
      <c r="W388" s="40">
        <v>0</v>
      </c>
      <c r="X388" s="40">
        <v>0</v>
      </c>
      <c r="Y388" s="40">
        <v>0</v>
      </c>
      <c r="Z388" s="40">
        <v>0</v>
      </c>
      <c r="AA388" s="40">
        <v>0</v>
      </c>
      <c r="AB388" s="40">
        <v>0</v>
      </c>
      <c r="AC388" s="40">
        <v>0</v>
      </c>
      <c r="AD388" s="40">
        <v>2238.7298000000001</v>
      </c>
      <c r="AE388" s="40">
        <v>1861</v>
      </c>
      <c r="AF388" s="40">
        <v>2000</v>
      </c>
      <c r="AG388" s="40">
        <v>1953.1288000000004</v>
      </c>
      <c r="AH388" s="40">
        <v>1861</v>
      </c>
      <c r="AI388" s="41">
        <f t="shared" si="52"/>
        <v>9913.8585999999996</v>
      </c>
      <c r="AJ388" s="42">
        <v>1861</v>
      </c>
      <c r="AK388" s="42">
        <v>1861</v>
      </c>
      <c r="AL388" s="42">
        <v>1631</v>
      </c>
      <c r="AM388" s="42">
        <v>1364</v>
      </c>
      <c r="AN388" s="42">
        <v>0</v>
      </c>
      <c r="AO388" s="42">
        <v>1861</v>
      </c>
      <c r="AP388" s="42">
        <v>2000</v>
      </c>
      <c r="AQ388" s="42">
        <v>1863.2254</v>
      </c>
      <c r="AR388" s="42">
        <v>1995.1702</v>
      </c>
      <c r="AS388" s="42">
        <v>2000</v>
      </c>
      <c r="AT388" s="42">
        <v>1861</v>
      </c>
      <c r="AU388" s="42">
        <v>1861</v>
      </c>
      <c r="AV388" s="42">
        <f t="shared" si="53"/>
        <v>20158.3956</v>
      </c>
      <c r="AW388" s="42">
        <v>1861</v>
      </c>
      <c r="AX388" s="42">
        <v>0</v>
      </c>
      <c r="AY388" s="42">
        <v>0</v>
      </c>
      <c r="AZ388" s="42">
        <v>0</v>
      </c>
      <c r="BA388" s="42">
        <v>0</v>
      </c>
      <c r="BB388" s="42">
        <v>0</v>
      </c>
      <c r="BC388" s="42">
        <v>0</v>
      </c>
      <c r="BD388" s="42">
        <v>0</v>
      </c>
      <c r="BE388" s="42">
        <v>0</v>
      </c>
      <c r="BF388" s="42">
        <v>0</v>
      </c>
      <c r="BG388" s="42">
        <v>0</v>
      </c>
      <c r="BH388" s="42">
        <v>0</v>
      </c>
      <c r="BI388" s="42">
        <v>0</v>
      </c>
      <c r="BJ388" s="42">
        <v>0</v>
      </c>
      <c r="BK388" s="42">
        <v>0</v>
      </c>
      <c r="BL388" s="42">
        <v>0</v>
      </c>
      <c r="BM388" s="42">
        <v>0</v>
      </c>
      <c r="BN388" s="42">
        <v>0</v>
      </c>
      <c r="BO388" s="42">
        <v>0</v>
      </c>
      <c r="BP388" s="42">
        <v>0</v>
      </c>
      <c r="BQ388" s="42">
        <v>0</v>
      </c>
      <c r="BR388" s="42">
        <v>0</v>
      </c>
      <c r="BS388" s="42">
        <v>0</v>
      </c>
      <c r="BT388" s="42">
        <v>0</v>
      </c>
      <c r="BU388" s="42">
        <v>0</v>
      </c>
      <c r="BV388" s="42">
        <v>0</v>
      </c>
      <c r="BW388" s="42">
        <v>0</v>
      </c>
      <c r="BX388" s="42">
        <v>0</v>
      </c>
      <c r="BY388" s="42">
        <v>0</v>
      </c>
      <c r="BZ388" s="42">
        <v>0</v>
      </c>
      <c r="CA388" s="42">
        <v>0</v>
      </c>
      <c r="CB388" s="42">
        <v>0</v>
      </c>
      <c r="CC388" s="42">
        <v>0</v>
      </c>
      <c r="CD388" s="42">
        <v>0</v>
      </c>
      <c r="CE388" s="42">
        <v>0</v>
      </c>
      <c r="CF388" s="42">
        <v>0</v>
      </c>
      <c r="CG388" s="42">
        <v>0</v>
      </c>
      <c r="CH388" s="42">
        <v>0</v>
      </c>
      <c r="CI388" s="42">
        <v>0</v>
      </c>
      <c r="CJ388" s="42">
        <v>0</v>
      </c>
      <c r="CK388" s="43">
        <f t="shared" si="54"/>
        <v>1861</v>
      </c>
      <c r="CL388" s="66"/>
      <c r="CM388" s="66">
        <v>0</v>
      </c>
      <c r="CN388" s="66">
        <v>0</v>
      </c>
      <c r="CO388" s="66">
        <v>0</v>
      </c>
      <c r="CP388" s="66">
        <v>0</v>
      </c>
      <c r="CQ388" s="66">
        <v>0</v>
      </c>
      <c r="CR388" s="66">
        <v>0</v>
      </c>
      <c r="CS388" s="66">
        <v>0</v>
      </c>
      <c r="CT388" s="66">
        <v>0</v>
      </c>
      <c r="CU388" s="66">
        <v>0</v>
      </c>
      <c r="CV388" s="66">
        <v>0</v>
      </c>
      <c r="CW388" s="66">
        <v>0</v>
      </c>
      <c r="CX388" s="66">
        <v>0</v>
      </c>
      <c r="CY388" s="66">
        <v>0</v>
      </c>
      <c r="CZ388" s="66">
        <v>0</v>
      </c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>
        <f>SUM(Table1[[#This Row],[01-03 Apr]:[Mar-26]])</f>
        <v>0</v>
      </c>
    </row>
    <row r="389" spans="1:115" hidden="1" x14ac:dyDescent="0.2">
      <c r="A389" s="28" t="s">
        <v>2254</v>
      </c>
      <c r="B389" s="29" t="s">
        <v>555</v>
      </c>
      <c r="C389" s="29" t="s">
        <v>556</v>
      </c>
      <c r="D389" s="30" t="s">
        <v>557</v>
      </c>
      <c r="E389" s="30" t="s">
        <v>85</v>
      </c>
      <c r="F389" s="30"/>
      <c r="G389" s="31" t="s">
        <v>371</v>
      </c>
      <c r="H389" s="30">
        <v>373748</v>
      </c>
      <c r="I389" s="30" t="str">
        <f>IF(Table1[[#This Row],[Centre Status]]="Returned","NA",IF(Table1[[#This Row],[SD]]&gt;19000,"Full Payment",IF(Table1[[#This Row],[SD]]&lt;1,"No Payment","Partial Payment")))</f>
        <v>Full Payment</v>
      </c>
      <c r="J389" s="30" t="s">
        <v>58</v>
      </c>
      <c r="K389" s="32">
        <v>110000</v>
      </c>
      <c r="L389" s="33">
        <f>Q389+R389+U389+Table1[[#This Row],[Farmer Payment]]</f>
        <v>71961.844479559775</v>
      </c>
      <c r="M389" s="30"/>
      <c r="N389" s="34"/>
      <c r="O389" s="34"/>
      <c r="P389" s="35">
        <f t="shared" si="51"/>
        <v>38038.155520440225</v>
      </c>
      <c r="Q389" s="33">
        <f>AI389+AV389+CK389+Table1[[#This Row],[FY 25-26]]</f>
        <v>51961.844479559782</v>
      </c>
      <c r="R389" s="36">
        <v>20000</v>
      </c>
      <c r="S389" s="37" t="s">
        <v>558</v>
      </c>
      <c r="T389" s="38">
        <v>44816</v>
      </c>
      <c r="U389" s="39"/>
      <c r="V389" s="39"/>
      <c r="W389" s="40">
        <v>0</v>
      </c>
      <c r="X389" s="40">
        <v>0</v>
      </c>
      <c r="Y389" s="40">
        <v>0</v>
      </c>
      <c r="Z389" s="40">
        <v>0</v>
      </c>
      <c r="AA389" s="40">
        <v>0</v>
      </c>
      <c r="AB389" s="40">
        <v>0</v>
      </c>
      <c r="AC389" s="40">
        <v>0</v>
      </c>
      <c r="AD389" s="40">
        <v>954</v>
      </c>
      <c r="AE389" s="40">
        <v>1861</v>
      </c>
      <c r="AF389" s="40">
        <v>2000</v>
      </c>
      <c r="AG389" s="40">
        <v>2000</v>
      </c>
      <c r="AH389" s="40">
        <v>2000</v>
      </c>
      <c r="AI389" s="41">
        <f t="shared" si="52"/>
        <v>8815</v>
      </c>
      <c r="AJ389" s="42">
        <v>172</v>
      </c>
      <c r="AK389" s="42">
        <v>1028</v>
      </c>
      <c r="AL389" s="42">
        <v>1861</v>
      </c>
      <c r="AM389" s="42">
        <v>1861</v>
      </c>
      <c r="AN389" s="42">
        <v>162</v>
      </c>
      <c r="AO389" s="42">
        <v>1861</v>
      </c>
      <c r="AP389" s="42">
        <v>2000</v>
      </c>
      <c r="AQ389" s="42">
        <v>2000</v>
      </c>
      <c r="AR389" s="42">
        <v>2000</v>
      </c>
      <c r="AS389" s="42">
        <v>2000</v>
      </c>
      <c r="AT389" s="42">
        <v>2000</v>
      </c>
      <c r="AU389" s="42">
        <v>2000</v>
      </c>
      <c r="AV389" s="42">
        <f t="shared" si="53"/>
        <v>18945</v>
      </c>
      <c r="AW389" s="42">
        <v>2000</v>
      </c>
      <c r="AX389" s="42">
        <v>2000</v>
      </c>
      <c r="AY389" s="42">
        <v>950</v>
      </c>
      <c r="AZ389" s="42">
        <v>0</v>
      </c>
      <c r="BA389" s="42">
        <v>1861</v>
      </c>
      <c r="BB389" s="42">
        <v>0</v>
      </c>
      <c r="BC389" s="42">
        <v>538</v>
      </c>
      <c r="BD389" s="42">
        <v>0</v>
      </c>
      <c r="BE389" s="42">
        <v>0</v>
      </c>
      <c r="BF389" s="42">
        <v>0</v>
      </c>
      <c r="BG389" s="42">
        <v>0</v>
      </c>
      <c r="BH389" s="42">
        <v>0</v>
      </c>
      <c r="BI389" s="42">
        <v>1861</v>
      </c>
      <c r="BJ389" s="42">
        <v>0</v>
      </c>
      <c r="BK389" s="42">
        <v>0</v>
      </c>
      <c r="BL389" s="42">
        <v>0</v>
      </c>
      <c r="BM389" s="42">
        <v>0</v>
      </c>
      <c r="BN389" s="42">
        <v>0</v>
      </c>
      <c r="BO389" s="42">
        <v>0</v>
      </c>
      <c r="BP389" s="42">
        <v>0</v>
      </c>
      <c r="BQ389" s="42">
        <v>0</v>
      </c>
      <c r="BR389" s="42">
        <v>0</v>
      </c>
      <c r="BS389" s="42">
        <v>4909.4670084090685</v>
      </c>
      <c r="BT389" s="42">
        <v>0</v>
      </c>
      <c r="BU389" s="42">
        <v>0</v>
      </c>
      <c r="BV389" s="42">
        <v>0</v>
      </c>
      <c r="BW389" s="42">
        <v>0</v>
      </c>
      <c r="BX389" s="42">
        <v>0</v>
      </c>
      <c r="BY389" s="42">
        <v>5166.0275416983523</v>
      </c>
      <c r="BZ389" s="42">
        <v>0</v>
      </c>
      <c r="CA389" s="42">
        <v>0</v>
      </c>
      <c r="CB389" s="42">
        <v>0</v>
      </c>
      <c r="CC389" s="42">
        <v>0</v>
      </c>
      <c r="CD389" s="42">
        <v>4916.3499294523608</v>
      </c>
      <c r="CE389" s="42">
        <v>0</v>
      </c>
      <c r="CF389" s="42">
        <v>0</v>
      </c>
      <c r="CG389" s="42">
        <v>0</v>
      </c>
      <c r="CH389" s="42">
        <v>0</v>
      </c>
      <c r="CI389" s="42">
        <v>0</v>
      </c>
      <c r="CJ389" s="42">
        <v>0</v>
      </c>
      <c r="CK389" s="43">
        <f t="shared" si="54"/>
        <v>24201.844479559782</v>
      </c>
      <c r="CL389" s="66"/>
      <c r="CM389" s="66">
        <v>0</v>
      </c>
      <c r="CN389" s="66">
        <v>0</v>
      </c>
      <c r="CO389" s="66">
        <v>0</v>
      </c>
      <c r="CP389" s="66">
        <v>0</v>
      </c>
      <c r="CQ389" s="66">
        <v>0</v>
      </c>
      <c r="CR389" s="66">
        <v>0</v>
      </c>
      <c r="CS389" s="66">
        <v>0</v>
      </c>
      <c r="CT389" s="66">
        <v>0</v>
      </c>
      <c r="CU389" s="66">
        <v>0</v>
      </c>
      <c r="CV389" s="66">
        <v>0</v>
      </c>
      <c r="CW389" s="66">
        <v>0</v>
      </c>
      <c r="CX389" s="66">
        <v>0</v>
      </c>
      <c r="CY389" s="66">
        <v>0</v>
      </c>
      <c r="CZ389" s="66">
        <v>0</v>
      </c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>
        <f>SUM(Table1[[#This Row],[01-03 Apr]:[Mar-26]])</f>
        <v>0</v>
      </c>
    </row>
    <row r="390" spans="1:115" hidden="1" x14ac:dyDescent="0.2">
      <c r="A390" s="28" t="s">
        <v>2254</v>
      </c>
      <c r="B390" s="29" t="s">
        <v>563</v>
      </c>
      <c r="C390" s="29" t="s">
        <v>564</v>
      </c>
      <c r="D390" s="30" t="s">
        <v>565</v>
      </c>
      <c r="E390" s="30" t="s">
        <v>85</v>
      </c>
      <c r="F390" s="30"/>
      <c r="G390" s="31" t="s">
        <v>371</v>
      </c>
      <c r="H390" s="30">
        <v>383537</v>
      </c>
      <c r="I390" s="30" t="str">
        <f>IF(Table1[[#This Row],[Centre Status]]="Returned","NA",IF(Table1[[#This Row],[SD]]&gt;19000,"Full Payment",IF(Table1[[#This Row],[SD]]&lt;1,"No Payment","Partial Payment")))</f>
        <v>NA</v>
      </c>
      <c r="J390" s="30" t="s">
        <v>1903</v>
      </c>
      <c r="K390" s="32">
        <v>110000</v>
      </c>
      <c r="L390" s="33">
        <f>Q390+R390+U390+Table1[[#This Row],[Farmer Payment]]</f>
        <v>87554.256538955044</v>
      </c>
      <c r="M390" s="30">
        <v>20000</v>
      </c>
      <c r="N390" s="34">
        <v>45755</v>
      </c>
      <c r="O390" s="34" t="s">
        <v>3207</v>
      </c>
      <c r="P390" s="35">
        <f t="shared" si="51"/>
        <v>42445.743461044956</v>
      </c>
      <c r="Q390" s="33">
        <f>AI390+AV390+CK390+Table1[[#This Row],[FY 25-26]]</f>
        <v>67554.256538955044</v>
      </c>
      <c r="R390" s="36">
        <v>20000</v>
      </c>
      <c r="S390" s="37"/>
      <c r="T390" s="38">
        <v>44771</v>
      </c>
      <c r="U390" s="39"/>
      <c r="V390" s="39"/>
      <c r="W390" s="40">
        <v>0</v>
      </c>
      <c r="X390" s="40">
        <v>0</v>
      </c>
      <c r="Y390" s="40">
        <v>0</v>
      </c>
      <c r="Z390" s="40">
        <v>0</v>
      </c>
      <c r="AA390" s="40">
        <v>0</v>
      </c>
      <c r="AB390" s="40">
        <v>3203.6068</v>
      </c>
      <c r="AC390" s="40">
        <v>4778.0860000000002</v>
      </c>
      <c r="AD390" s="40">
        <v>5715.5272000000014</v>
      </c>
      <c r="AE390" s="40">
        <v>0</v>
      </c>
      <c r="AF390" s="40">
        <v>2000</v>
      </c>
      <c r="AG390" s="40">
        <v>2000</v>
      </c>
      <c r="AH390" s="40">
        <v>2000</v>
      </c>
      <c r="AI390" s="41">
        <f t="shared" si="52"/>
        <v>19697.22</v>
      </c>
      <c r="AJ390" s="42">
        <v>2000</v>
      </c>
      <c r="AK390" s="42">
        <v>2000</v>
      </c>
      <c r="AL390" s="42">
        <v>2000</v>
      </c>
      <c r="AM390" s="42">
        <v>2000</v>
      </c>
      <c r="AN390" s="42">
        <v>2000</v>
      </c>
      <c r="AO390" s="42">
        <v>2000</v>
      </c>
      <c r="AP390" s="42">
        <v>2000</v>
      </c>
      <c r="AQ390" s="42">
        <v>2000</v>
      </c>
      <c r="AR390" s="42">
        <v>2000</v>
      </c>
      <c r="AS390" s="42">
        <v>2000</v>
      </c>
      <c r="AT390" s="42">
        <v>2000</v>
      </c>
      <c r="AU390" s="42">
        <v>2000</v>
      </c>
      <c r="AV390" s="42">
        <f t="shared" si="53"/>
        <v>24000</v>
      </c>
      <c r="AW390" s="42">
        <v>2000</v>
      </c>
      <c r="AX390" s="42">
        <v>2000</v>
      </c>
      <c r="AY390" s="42">
        <v>2000</v>
      </c>
      <c r="AZ390" s="42">
        <v>2000</v>
      </c>
      <c r="BA390" s="42">
        <v>1861</v>
      </c>
      <c r="BB390" s="42">
        <v>0</v>
      </c>
      <c r="BC390" s="42">
        <v>578</v>
      </c>
      <c r="BD390" s="42">
        <v>0</v>
      </c>
      <c r="BE390" s="42">
        <v>0</v>
      </c>
      <c r="BF390" s="42">
        <v>0</v>
      </c>
      <c r="BG390" s="42">
        <v>0</v>
      </c>
      <c r="BH390" s="42">
        <v>0</v>
      </c>
      <c r="BI390" s="42">
        <v>1861</v>
      </c>
      <c r="BJ390" s="42">
        <v>0</v>
      </c>
      <c r="BK390" s="42">
        <v>0</v>
      </c>
      <c r="BL390" s="42">
        <v>0</v>
      </c>
      <c r="BM390" s="42">
        <v>0</v>
      </c>
      <c r="BN390" s="42">
        <v>2403.9475081863902</v>
      </c>
      <c r="BO390" s="42">
        <v>0</v>
      </c>
      <c r="BP390" s="42">
        <v>0</v>
      </c>
      <c r="BQ390" s="42">
        <v>0</v>
      </c>
      <c r="BR390" s="42">
        <v>0</v>
      </c>
      <c r="BS390" s="42">
        <v>2989.1260989506641</v>
      </c>
      <c r="BT390" s="42">
        <v>0</v>
      </c>
      <c r="BU390" s="42">
        <v>0</v>
      </c>
      <c r="BV390" s="42">
        <v>0</v>
      </c>
      <c r="BW390" s="42">
        <v>0</v>
      </c>
      <c r="BX390" s="42">
        <v>0</v>
      </c>
      <c r="BY390" s="42">
        <v>1861</v>
      </c>
      <c r="BZ390" s="42">
        <v>0</v>
      </c>
      <c r="CA390" s="42">
        <v>0</v>
      </c>
      <c r="CB390" s="42">
        <v>0</v>
      </c>
      <c r="CC390" s="42">
        <v>0</v>
      </c>
      <c r="CD390" s="42">
        <v>2048.9629318179882</v>
      </c>
      <c r="CE390" s="42">
        <v>0</v>
      </c>
      <c r="CF390" s="42">
        <v>0</v>
      </c>
      <c r="CG390" s="42">
        <v>0</v>
      </c>
      <c r="CH390" s="42">
        <v>0</v>
      </c>
      <c r="CI390" s="42">
        <v>0</v>
      </c>
      <c r="CJ390" s="42">
        <v>1861</v>
      </c>
      <c r="CK390" s="43">
        <f t="shared" si="54"/>
        <v>23464.036538955039</v>
      </c>
      <c r="CL390" s="66"/>
      <c r="CM390" s="66">
        <v>0</v>
      </c>
      <c r="CN390" s="66">
        <v>0</v>
      </c>
      <c r="CO390" s="66">
        <v>0</v>
      </c>
      <c r="CP390" s="66">
        <v>393</v>
      </c>
      <c r="CQ390" s="66">
        <v>0</v>
      </c>
      <c r="CR390" s="66">
        <v>0</v>
      </c>
      <c r="CS390" s="66">
        <v>0</v>
      </c>
      <c r="CT390" s="66">
        <v>0</v>
      </c>
      <c r="CU390" s="66">
        <v>0</v>
      </c>
      <c r="CV390" s="66">
        <v>0</v>
      </c>
      <c r="CW390" s="66">
        <v>0</v>
      </c>
      <c r="CX390" s="66">
        <v>0</v>
      </c>
      <c r="CY390" s="66">
        <v>0</v>
      </c>
      <c r="CZ390" s="66">
        <v>0</v>
      </c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>
        <f>SUM(Table1[[#This Row],[01-03 Apr]:[Mar-26]])</f>
        <v>393</v>
      </c>
    </row>
    <row r="391" spans="1:115" x14ac:dyDescent="0.2">
      <c r="A391" s="28" t="s">
        <v>2254</v>
      </c>
      <c r="B391" s="29" t="s">
        <v>566</v>
      </c>
      <c r="C391" s="29" t="s">
        <v>567</v>
      </c>
      <c r="D391" s="30" t="s">
        <v>568</v>
      </c>
      <c r="E391" s="30" t="s">
        <v>85</v>
      </c>
      <c r="F391" s="30"/>
      <c r="G391" s="31" t="s">
        <v>371</v>
      </c>
      <c r="H391" s="30">
        <v>371217</v>
      </c>
      <c r="I391" s="30" t="str">
        <f>IF(Table1[[#This Row],[Centre Status]]="Returned","NA",IF(Table1[[#This Row],[SD]]&gt;19000,"Full Payment",IF(Table1[[#This Row],[SD]]&lt;1,"No Payment","Partial Payment")))</f>
        <v>Partial Payment</v>
      </c>
      <c r="J391" s="30" t="s">
        <v>58</v>
      </c>
      <c r="K391" s="32">
        <v>110000</v>
      </c>
      <c r="L391" s="33">
        <f>Q391+R391+U391+Table1[[#This Row],[Farmer Payment]]</f>
        <v>37917.762199999997</v>
      </c>
      <c r="M391" s="30"/>
      <c r="N391" s="34"/>
      <c r="O391" s="34"/>
      <c r="P391" s="35">
        <f t="shared" si="51"/>
        <v>72082.237800000003</v>
      </c>
      <c r="Q391" s="33">
        <f>AI391+AV391+CK391+Table1[[#This Row],[FY 25-26]]</f>
        <v>27917.762199999997</v>
      </c>
      <c r="R391" s="36">
        <v>10000</v>
      </c>
      <c r="S391" s="37" t="s">
        <v>569</v>
      </c>
      <c r="T391" s="38">
        <v>44773</v>
      </c>
      <c r="U391" s="39"/>
      <c r="V391" s="39"/>
      <c r="W391" s="40">
        <v>0</v>
      </c>
      <c r="X391" s="40">
        <v>0</v>
      </c>
      <c r="Y391" s="40">
        <v>0</v>
      </c>
      <c r="Z391" s="40">
        <v>0</v>
      </c>
      <c r="AA391" s="40">
        <v>1639</v>
      </c>
      <c r="AB391" s="40">
        <v>1861</v>
      </c>
      <c r="AC391" s="40">
        <v>1861</v>
      </c>
      <c r="AD391" s="40">
        <v>1861</v>
      </c>
      <c r="AE391" s="40">
        <v>1861</v>
      </c>
      <c r="AF391" s="40">
        <v>2000</v>
      </c>
      <c r="AG391" s="40">
        <v>1982.7621999999997</v>
      </c>
      <c r="AH391" s="40">
        <v>2000</v>
      </c>
      <c r="AI391" s="41">
        <f t="shared" si="52"/>
        <v>15065.762199999999</v>
      </c>
      <c r="AJ391" s="42">
        <v>2000</v>
      </c>
      <c r="AK391" s="42">
        <v>2000</v>
      </c>
      <c r="AL391" s="42">
        <v>0</v>
      </c>
      <c r="AM391" s="42">
        <v>0</v>
      </c>
      <c r="AN391" s="42">
        <v>0</v>
      </c>
      <c r="AO391" s="42">
        <v>0</v>
      </c>
      <c r="AP391" s="42">
        <v>0</v>
      </c>
      <c r="AQ391" s="42">
        <v>0</v>
      </c>
      <c r="AR391" s="42">
        <v>0</v>
      </c>
      <c r="AS391" s="42">
        <v>0</v>
      </c>
      <c r="AT391" s="42">
        <v>207</v>
      </c>
      <c r="AU391" s="42">
        <v>2000</v>
      </c>
      <c r="AV391" s="42">
        <f t="shared" si="53"/>
        <v>6207</v>
      </c>
      <c r="AW391" s="42">
        <v>2000</v>
      </c>
      <c r="AX391" s="42">
        <v>1861</v>
      </c>
      <c r="AY391" s="42">
        <v>1174</v>
      </c>
      <c r="AZ391" s="42">
        <v>1610</v>
      </c>
      <c r="BA391" s="42">
        <v>0</v>
      </c>
      <c r="BB391" s="42">
        <v>0</v>
      </c>
      <c r="BC391" s="42">
        <v>0</v>
      </c>
      <c r="BD391" s="42">
        <v>0</v>
      </c>
      <c r="BE391" s="42">
        <v>0</v>
      </c>
      <c r="BF391" s="42">
        <v>0</v>
      </c>
      <c r="BG391" s="42">
        <v>0</v>
      </c>
      <c r="BH391" s="42">
        <v>0</v>
      </c>
      <c r="BI391" s="42">
        <v>0</v>
      </c>
      <c r="BJ391" s="42">
        <v>0</v>
      </c>
      <c r="BK391" s="42">
        <v>0</v>
      </c>
      <c r="BL391" s="42">
        <v>0</v>
      </c>
      <c r="BM391" s="42">
        <v>0</v>
      </c>
      <c r="BN391" s="42">
        <v>0</v>
      </c>
      <c r="BO391" s="42">
        <v>0</v>
      </c>
      <c r="BP391" s="42">
        <v>0</v>
      </c>
      <c r="BQ391" s="42">
        <v>0</v>
      </c>
      <c r="BR391" s="42">
        <v>0</v>
      </c>
      <c r="BS391" s="42">
        <v>0</v>
      </c>
      <c r="BT391" s="42">
        <v>0</v>
      </c>
      <c r="BU391" s="42">
        <v>0</v>
      </c>
      <c r="BV391" s="42">
        <v>0</v>
      </c>
      <c r="BW391" s="42">
        <v>0</v>
      </c>
      <c r="BX391" s="42">
        <v>0</v>
      </c>
      <c r="BY391" s="42">
        <v>0</v>
      </c>
      <c r="BZ391" s="42">
        <v>0</v>
      </c>
      <c r="CA391" s="42">
        <v>0</v>
      </c>
      <c r="CB391" s="42">
        <v>0</v>
      </c>
      <c r="CC391" s="42">
        <v>0</v>
      </c>
      <c r="CD391" s="42">
        <v>0</v>
      </c>
      <c r="CE391" s="42">
        <v>0</v>
      </c>
      <c r="CF391" s="42">
        <v>0</v>
      </c>
      <c r="CG391" s="42">
        <v>0</v>
      </c>
      <c r="CH391" s="42">
        <v>0</v>
      </c>
      <c r="CI391" s="42">
        <v>0</v>
      </c>
      <c r="CJ391" s="42">
        <v>0</v>
      </c>
      <c r="CK391" s="43">
        <f t="shared" si="54"/>
        <v>6645</v>
      </c>
      <c r="CL391" s="66"/>
      <c r="CM391" s="66">
        <v>0</v>
      </c>
      <c r="CN391" s="66">
        <v>0</v>
      </c>
      <c r="CO391" s="66">
        <v>0</v>
      </c>
      <c r="CP391" s="66">
        <v>0</v>
      </c>
      <c r="CQ391" s="66">
        <v>0</v>
      </c>
      <c r="CR391" s="66">
        <v>0</v>
      </c>
      <c r="CS391" s="66">
        <v>0</v>
      </c>
      <c r="CT391" s="66">
        <v>0</v>
      </c>
      <c r="CU391" s="66">
        <v>0</v>
      </c>
      <c r="CV391" s="66">
        <v>0</v>
      </c>
      <c r="CW391" s="66">
        <v>0</v>
      </c>
      <c r="CX391" s="66">
        <v>0</v>
      </c>
      <c r="CY391" s="66">
        <v>0</v>
      </c>
      <c r="CZ391" s="66">
        <v>0</v>
      </c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>
        <f>SUM(Table1[[#This Row],[01-03 Apr]:[Mar-26]])</f>
        <v>0</v>
      </c>
    </row>
    <row r="392" spans="1:115" hidden="1" x14ac:dyDescent="0.2">
      <c r="A392" s="28" t="s">
        <v>2254</v>
      </c>
      <c r="B392" s="29" t="s">
        <v>570</v>
      </c>
      <c r="C392" s="29" t="s">
        <v>571</v>
      </c>
      <c r="D392" s="30" t="s">
        <v>572</v>
      </c>
      <c r="E392" s="30" t="s">
        <v>85</v>
      </c>
      <c r="F392" s="30"/>
      <c r="G392" s="31" t="s">
        <v>371</v>
      </c>
      <c r="H392" s="30">
        <v>373742</v>
      </c>
      <c r="I392" s="30" t="str">
        <f>IF(Table1[[#This Row],[Centre Status]]="Returned","NA",IF(Table1[[#This Row],[SD]]&gt;19000,"Full Payment",IF(Table1[[#This Row],[SD]]&lt;1,"No Payment","Partial Payment")))</f>
        <v>Full Payment</v>
      </c>
      <c r="J392" s="30" t="s">
        <v>58</v>
      </c>
      <c r="K392" s="32">
        <v>110000</v>
      </c>
      <c r="L392" s="33">
        <f>Q392+R392+U392+Table1[[#This Row],[Farmer Payment]]</f>
        <v>73508.64420000001</v>
      </c>
      <c r="M392" s="30"/>
      <c r="N392" s="34"/>
      <c r="O392" s="34"/>
      <c r="P392" s="35">
        <f t="shared" si="51"/>
        <v>36491.35579999999</v>
      </c>
      <c r="Q392" s="33">
        <f>AI392+AV392+CK392+Table1[[#This Row],[FY 25-26]]</f>
        <v>53508.644200000002</v>
      </c>
      <c r="R392" s="36">
        <v>20000</v>
      </c>
      <c r="S392" s="37" t="s">
        <v>573</v>
      </c>
      <c r="T392" s="38">
        <v>44830</v>
      </c>
      <c r="U392" s="39"/>
      <c r="V392" s="39"/>
      <c r="W392" s="40">
        <v>0</v>
      </c>
      <c r="X392" s="40">
        <v>0</v>
      </c>
      <c r="Y392" s="40">
        <v>0</v>
      </c>
      <c r="Z392" s="40">
        <v>0</v>
      </c>
      <c r="AA392" s="40">
        <v>0</v>
      </c>
      <c r="AB392" s="40">
        <v>0</v>
      </c>
      <c r="AC392" s="40">
        <v>0</v>
      </c>
      <c r="AD392" s="40">
        <v>1973.5668000000003</v>
      </c>
      <c r="AE392" s="40">
        <v>2384.1543999999999</v>
      </c>
      <c r="AF392" s="40">
        <v>2000</v>
      </c>
      <c r="AG392" s="40">
        <v>2000</v>
      </c>
      <c r="AH392" s="40">
        <v>2000</v>
      </c>
      <c r="AI392" s="41">
        <f t="shared" si="52"/>
        <v>10357.7212</v>
      </c>
      <c r="AJ392" s="42">
        <v>1861</v>
      </c>
      <c r="AK392" s="42">
        <v>1919.5229999999997</v>
      </c>
      <c r="AL392" s="42">
        <v>2000</v>
      </c>
      <c r="AM392" s="42">
        <v>2000</v>
      </c>
      <c r="AN392" s="42">
        <v>2000</v>
      </c>
      <c r="AO392" s="42">
        <v>2000</v>
      </c>
      <c r="AP392" s="42">
        <v>2000</v>
      </c>
      <c r="AQ392" s="42">
        <v>2000</v>
      </c>
      <c r="AR392" s="42">
        <v>2000</v>
      </c>
      <c r="AS392" s="42">
        <v>2000</v>
      </c>
      <c r="AT392" s="42">
        <v>2000</v>
      </c>
      <c r="AU392" s="42">
        <v>2000</v>
      </c>
      <c r="AV392" s="42">
        <f t="shared" si="53"/>
        <v>23780.523000000001</v>
      </c>
      <c r="AW392" s="42">
        <v>2000</v>
      </c>
      <c r="AX392" s="42">
        <v>445</v>
      </c>
      <c r="AY392" s="42">
        <v>0</v>
      </c>
      <c r="AZ392" s="42">
        <v>0</v>
      </c>
      <c r="BA392" s="42">
        <v>0</v>
      </c>
      <c r="BB392" s="42">
        <v>500</v>
      </c>
      <c r="BC392" s="42">
        <v>0</v>
      </c>
      <c r="BD392" s="42">
        <v>500</v>
      </c>
      <c r="BE392" s="42">
        <v>500</v>
      </c>
      <c r="BF392" s="42">
        <v>500</v>
      </c>
      <c r="BG392" s="42">
        <v>500</v>
      </c>
      <c r="BH392" s="42">
        <v>500</v>
      </c>
      <c r="BI392" s="42">
        <v>0</v>
      </c>
      <c r="BJ392" s="42">
        <v>500</v>
      </c>
      <c r="BK392" s="42">
        <v>500</v>
      </c>
      <c r="BL392" s="42">
        <v>0</v>
      </c>
      <c r="BM392" s="42">
        <v>0</v>
      </c>
      <c r="BN392" s="42">
        <v>0</v>
      </c>
      <c r="BO392" s="42">
        <v>500</v>
      </c>
      <c r="BP392" s="42">
        <v>94</v>
      </c>
      <c r="BQ392" s="42">
        <v>500</v>
      </c>
      <c r="BR392" s="42">
        <v>500</v>
      </c>
      <c r="BS392" s="42">
        <v>0</v>
      </c>
      <c r="BT392" s="42">
        <v>500</v>
      </c>
      <c r="BU392" s="42">
        <v>500</v>
      </c>
      <c r="BV392" s="42">
        <v>500</v>
      </c>
      <c r="BW392" s="42">
        <v>500</v>
      </c>
      <c r="BX392" s="42">
        <v>500</v>
      </c>
      <c r="BY392" s="42">
        <v>0</v>
      </c>
      <c r="BZ392" s="42">
        <v>500</v>
      </c>
      <c r="CA392" s="42">
        <v>500</v>
      </c>
      <c r="CB392" s="42">
        <v>500</v>
      </c>
      <c r="CC392" s="42">
        <v>500</v>
      </c>
      <c r="CD392" s="42">
        <v>0</v>
      </c>
      <c r="CE392" s="42">
        <v>500</v>
      </c>
      <c r="CF392" s="42">
        <v>500</v>
      </c>
      <c r="CG392" s="42">
        <v>500</v>
      </c>
      <c r="CH392" s="42">
        <v>500</v>
      </c>
      <c r="CI392" s="42">
        <v>500</v>
      </c>
      <c r="CJ392" s="42">
        <v>0</v>
      </c>
      <c r="CK392" s="43">
        <f t="shared" si="54"/>
        <v>15039</v>
      </c>
      <c r="CL392" s="66"/>
      <c r="CM392" s="66">
        <v>500</v>
      </c>
      <c r="CN392" s="66">
        <v>500.06</v>
      </c>
      <c r="CO392" s="66">
        <v>500.34</v>
      </c>
      <c r="CP392" s="66">
        <v>0</v>
      </c>
      <c r="CQ392" s="66">
        <v>500</v>
      </c>
      <c r="CR392" s="66">
        <v>0</v>
      </c>
      <c r="CS392" s="66">
        <v>0</v>
      </c>
      <c r="CT392" s="66">
        <v>500</v>
      </c>
      <c r="CU392" s="66">
        <v>0</v>
      </c>
      <c r="CV392" s="66">
        <v>0</v>
      </c>
      <c r="CW392" s="66">
        <v>331</v>
      </c>
      <c r="CX392" s="66">
        <v>500</v>
      </c>
      <c r="CY392" s="66">
        <v>500</v>
      </c>
      <c r="CZ392" s="66">
        <v>500</v>
      </c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>
        <f>SUM(Table1[[#This Row],[01-03 Apr]:[Mar-26]])</f>
        <v>4331.3999999999996</v>
      </c>
    </row>
    <row r="393" spans="1:115" hidden="1" x14ac:dyDescent="0.2">
      <c r="A393" s="28" t="s">
        <v>2254</v>
      </c>
      <c r="B393" s="29" t="s">
        <v>574</v>
      </c>
      <c r="C393" s="29" t="s">
        <v>575</v>
      </c>
      <c r="D393" s="30" t="s">
        <v>576</v>
      </c>
      <c r="E393" s="30" t="s">
        <v>63</v>
      </c>
      <c r="F393" s="30"/>
      <c r="G393" s="31" t="s">
        <v>371</v>
      </c>
      <c r="H393" s="30">
        <v>351141</v>
      </c>
      <c r="I393" s="30" t="str">
        <f>IF(Table1[[#This Row],[Centre Status]]="Returned","NA",IF(Table1[[#This Row],[SD]]&gt;19000,"Full Payment",IF(Table1[[#This Row],[SD]]&lt;1,"No Payment","Partial Payment")))</f>
        <v>Full Payment</v>
      </c>
      <c r="J393" s="30" t="s">
        <v>58</v>
      </c>
      <c r="K393" s="32">
        <v>110000</v>
      </c>
      <c r="L393" s="33">
        <f>Q393+R393+U393+Table1[[#This Row],[Farmer Payment]]</f>
        <v>79440.237091646763</v>
      </c>
      <c r="M393" s="30"/>
      <c r="N393" s="34"/>
      <c r="O393" s="34"/>
      <c r="P393" s="35">
        <f t="shared" si="51"/>
        <v>30559.762908353237</v>
      </c>
      <c r="Q393" s="33">
        <f>AI393+AV393+CK393+Table1[[#This Row],[FY 25-26]]</f>
        <v>59440.237091646763</v>
      </c>
      <c r="R393" s="36">
        <v>20000</v>
      </c>
      <c r="S393" s="37" t="s">
        <v>577</v>
      </c>
      <c r="T393" s="38">
        <v>44848</v>
      </c>
      <c r="U393" s="39"/>
      <c r="V393" s="39"/>
      <c r="W393" s="40">
        <v>0</v>
      </c>
      <c r="X393" s="40">
        <v>0</v>
      </c>
      <c r="Y393" s="40">
        <v>0</v>
      </c>
      <c r="Z393" s="40">
        <v>0</v>
      </c>
      <c r="AA393" s="40">
        <v>0</v>
      </c>
      <c r="AB393" s="40">
        <v>0</v>
      </c>
      <c r="AC393" s="40">
        <v>0</v>
      </c>
      <c r="AD393" s="40">
        <v>58</v>
      </c>
      <c r="AE393" s="40">
        <v>1861</v>
      </c>
      <c r="AF393" s="40">
        <v>1861</v>
      </c>
      <c r="AG393" s="40">
        <v>2073.3056000000001</v>
      </c>
      <c r="AH393" s="40">
        <v>2000</v>
      </c>
      <c r="AI393" s="41">
        <f t="shared" si="52"/>
        <v>7853.3055999999997</v>
      </c>
      <c r="AJ393" s="42">
        <v>2000</v>
      </c>
      <c r="AK393" s="42">
        <v>2000</v>
      </c>
      <c r="AL393" s="42">
        <v>2000</v>
      </c>
      <c r="AM393" s="42">
        <v>2000</v>
      </c>
      <c r="AN393" s="42">
        <v>1979.4730000000002</v>
      </c>
      <c r="AO393" s="42">
        <v>1940.4141999999999</v>
      </c>
      <c r="AP393" s="42">
        <v>2000</v>
      </c>
      <c r="AQ393" s="42">
        <v>1861</v>
      </c>
      <c r="AR393" s="42">
        <v>1861</v>
      </c>
      <c r="AS393" s="42">
        <v>1861</v>
      </c>
      <c r="AT393" s="42">
        <v>2000</v>
      </c>
      <c r="AU393" s="42">
        <v>2000</v>
      </c>
      <c r="AV393" s="42">
        <f t="shared" si="53"/>
        <v>23502.887199999997</v>
      </c>
      <c r="AW393" s="42">
        <v>1983.2283900672001</v>
      </c>
      <c r="AX393" s="42">
        <v>1861</v>
      </c>
      <c r="AY393" s="42">
        <v>1959.9782445312001</v>
      </c>
      <c r="AZ393" s="42">
        <v>2000</v>
      </c>
      <c r="BA393" s="42">
        <v>1861</v>
      </c>
      <c r="BB393" s="42">
        <v>0</v>
      </c>
      <c r="BC393" s="42">
        <v>1921.837657048364</v>
      </c>
      <c r="BD393" s="42">
        <v>0</v>
      </c>
      <c r="BE393" s="42">
        <v>0</v>
      </c>
      <c r="BF393" s="42">
        <v>0</v>
      </c>
      <c r="BG393" s="42">
        <v>0</v>
      </c>
      <c r="BH393" s="42">
        <v>0</v>
      </c>
      <c r="BI393" s="42">
        <v>1768</v>
      </c>
      <c r="BJ393" s="42">
        <v>0</v>
      </c>
      <c r="BK393" s="42">
        <v>0</v>
      </c>
      <c r="BL393" s="42">
        <v>500</v>
      </c>
      <c r="BM393" s="42">
        <v>500</v>
      </c>
      <c r="BN393" s="42">
        <v>72</v>
      </c>
      <c r="BO393" s="42">
        <v>500</v>
      </c>
      <c r="BP393" s="42">
        <v>500</v>
      </c>
      <c r="BQ393" s="42">
        <v>500</v>
      </c>
      <c r="BR393" s="42">
        <v>500</v>
      </c>
      <c r="BS393" s="42">
        <v>0</v>
      </c>
      <c r="BT393" s="42">
        <v>0</v>
      </c>
      <c r="BU393" s="42">
        <v>500</v>
      </c>
      <c r="BV393" s="42">
        <v>500</v>
      </c>
      <c r="BW393" s="42">
        <v>500</v>
      </c>
      <c r="BX393" s="42">
        <v>500</v>
      </c>
      <c r="BY393" s="42">
        <v>0</v>
      </c>
      <c r="BZ393" s="42">
        <v>500</v>
      </c>
      <c r="CA393" s="42">
        <v>500</v>
      </c>
      <c r="CB393" s="42">
        <v>0</v>
      </c>
      <c r="CC393" s="42">
        <v>500</v>
      </c>
      <c r="CD393" s="42">
        <v>0</v>
      </c>
      <c r="CE393" s="42">
        <v>500</v>
      </c>
      <c r="CF393" s="42">
        <v>500</v>
      </c>
      <c r="CG393" s="42">
        <v>500</v>
      </c>
      <c r="CH393" s="42">
        <v>500</v>
      </c>
      <c r="CI393" s="42">
        <v>500</v>
      </c>
      <c r="CJ393" s="42">
        <v>0</v>
      </c>
      <c r="CK393" s="43">
        <f t="shared" si="54"/>
        <v>22427.044291646765</v>
      </c>
      <c r="CL393" s="66"/>
      <c r="CM393" s="66">
        <v>500</v>
      </c>
      <c r="CN393" s="66">
        <v>500</v>
      </c>
      <c r="CO393" s="66">
        <v>500</v>
      </c>
      <c r="CP393" s="66">
        <v>0</v>
      </c>
      <c r="CQ393" s="66">
        <v>500</v>
      </c>
      <c r="CR393" s="66">
        <v>500</v>
      </c>
      <c r="CS393" s="66">
        <v>500</v>
      </c>
      <c r="CT393" s="66">
        <v>500</v>
      </c>
      <c r="CU393" s="66">
        <v>157</v>
      </c>
      <c r="CV393" s="66">
        <v>0</v>
      </c>
      <c r="CW393" s="66">
        <v>500</v>
      </c>
      <c r="CX393" s="66">
        <v>500</v>
      </c>
      <c r="CY393" s="66">
        <v>500</v>
      </c>
      <c r="CZ393" s="66">
        <v>500</v>
      </c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>
        <f>SUM(Table1[[#This Row],[01-03 Apr]:[Mar-26]])</f>
        <v>5657</v>
      </c>
    </row>
    <row r="394" spans="1:115" hidden="1" x14ac:dyDescent="0.2">
      <c r="A394" s="28" t="s">
        <v>2255</v>
      </c>
      <c r="B394" s="29" t="s">
        <v>578</v>
      </c>
      <c r="C394" s="29" t="s">
        <v>2252</v>
      </c>
      <c r="D394" s="30" t="s">
        <v>579</v>
      </c>
      <c r="E394" s="30" t="s">
        <v>57</v>
      </c>
      <c r="F394" s="30"/>
      <c r="G394" s="31" t="s">
        <v>371</v>
      </c>
      <c r="H394" s="30">
        <v>378759</v>
      </c>
      <c r="I394" s="30" t="str">
        <f>IF(Table1[[#This Row],[Centre Status]]="Returned","NA",IF(Table1[[#This Row],[SD]]&gt;19000,"Full Payment",IF(Table1[[#This Row],[SD]]&lt;1,"No Payment","Partial Payment")))</f>
        <v>Full Payment</v>
      </c>
      <c r="J394" s="30" t="s">
        <v>58</v>
      </c>
      <c r="K394" s="32">
        <v>110000</v>
      </c>
      <c r="L394" s="33">
        <f>Q394+R394+U394+Table1[[#This Row],[Farmer Payment]]</f>
        <v>70510.587320857449</v>
      </c>
      <c r="M394" s="30"/>
      <c r="N394" s="34"/>
      <c r="O394" s="34"/>
      <c r="P394" s="35">
        <f t="shared" si="51"/>
        <v>39489.412679142551</v>
      </c>
      <c r="Q394" s="33">
        <f>AI394+AV394+CK394+Table1[[#This Row],[FY 25-26]]</f>
        <v>50510.587320857449</v>
      </c>
      <c r="R394" s="36">
        <v>20000</v>
      </c>
      <c r="S394" s="37" t="s">
        <v>580</v>
      </c>
      <c r="T394" s="38">
        <v>44887</v>
      </c>
      <c r="U394" s="39"/>
      <c r="V394" s="39"/>
      <c r="W394" s="40">
        <v>0</v>
      </c>
      <c r="X394" s="40">
        <v>0</v>
      </c>
      <c r="Y394" s="40">
        <v>0</v>
      </c>
      <c r="Z394" s="40">
        <v>0</v>
      </c>
      <c r="AA394" s="40">
        <v>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326</v>
      </c>
      <c r="AH394" s="40">
        <v>1320</v>
      </c>
      <c r="AI394" s="41">
        <f t="shared" si="52"/>
        <v>1646</v>
      </c>
      <c r="AJ394" s="42">
        <v>1502</v>
      </c>
      <c r="AK394" s="42">
        <v>1673</v>
      </c>
      <c r="AL394" s="42">
        <v>0</v>
      </c>
      <c r="AM394" s="42">
        <v>0</v>
      </c>
      <c r="AN394" s="42">
        <v>1861</v>
      </c>
      <c r="AO394" s="42">
        <v>1861</v>
      </c>
      <c r="AP394" s="42">
        <v>1861</v>
      </c>
      <c r="AQ394" s="42">
        <v>336</v>
      </c>
      <c r="AR394" s="42">
        <v>0</v>
      </c>
      <c r="AS394" s="42">
        <v>0</v>
      </c>
      <c r="AT394" s="42">
        <v>0</v>
      </c>
      <c r="AU394" s="42">
        <v>0</v>
      </c>
      <c r="AV394" s="42">
        <f t="shared" si="53"/>
        <v>9094</v>
      </c>
      <c r="AW394" s="42">
        <v>0</v>
      </c>
      <c r="AX394" s="42">
        <v>0</v>
      </c>
      <c r="AY394" s="42">
        <v>2379.7109798516171</v>
      </c>
      <c r="AZ394" s="42">
        <v>4919.2857664276662</v>
      </c>
      <c r="BA394" s="42">
        <v>2560.7701041517025</v>
      </c>
      <c r="BB394" s="42">
        <v>0</v>
      </c>
      <c r="BC394" s="42">
        <v>4216.3448682523876</v>
      </c>
      <c r="BD394" s="42">
        <v>0</v>
      </c>
      <c r="BE394" s="42">
        <v>0</v>
      </c>
      <c r="BF394" s="42">
        <v>0</v>
      </c>
      <c r="BG394" s="42">
        <v>0</v>
      </c>
      <c r="BH394" s="42">
        <v>0</v>
      </c>
      <c r="BI394" s="42">
        <v>3746.0868893177949</v>
      </c>
      <c r="BJ394" s="42">
        <v>0</v>
      </c>
      <c r="BK394" s="42">
        <v>0</v>
      </c>
      <c r="BL394" s="42">
        <v>0</v>
      </c>
      <c r="BM394" s="42">
        <v>0</v>
      </c>
      <c r="BN394" s="42">
        <v>3770.5201646365044</v>
      </c>
      <c r="BO394" s="42">
        <v>0</v>
      </c>
      <c r="BP394" s="42">
        <v>0</v>
      </c>
      <c r="BQ394" s="42">
        <v>0</v>
      </c>
      <c r="BR394" s="42">
        <v>0</v>
      </c>
      <c r="BS394" s="42">
        <v>4800.8109347070886</v>
      </c>
      <c r="BT394" s="42">
        <v>0</v>
      </c>
      <c r="BU394" s="42">
        <v>0</v>
      </c>
      <c r="BV394" s="42">
        <v>0</v>
      </c>
      <c r="BW394" s="42">
        <v>0</v>
      </c>
      <c r="BX394" s="42">
        <v>0</v>
      </c>
      <c r="BY394" s="42">
        <v>3385.7936968904996</v>
      </c>
      <c r="BZ394" s="42">
        <v>0</v>
      </c>
      <c r="CA394" s="42">
        <v>0</v>
      </c>
      <c r="CB394" s="42">
        <v>0</v>
      </c>
      <c r="CC394" s="42">
        <v>0</v>
      </c>
      <c r="CD394" s="42">
        <v>3331.7747726866965</v>
      </c>
      <c r="CE394" s="42">
        <v>0</v>
      </c>
      <c r="CF394" s="42">
        <v>0</v>
      </c>
      <c r="CG394" s="42">
        <v>0</v>
      </c>
      <c r="CH394" s="42">
        <v>0</v>
      </c>
      <c r="CI394" s="42">
        <v>0</v>
      </c>
      <c r="CJ394" s="42">
        <v>2747.9181844587119</v>
      </c>
      <c r="CK394" s="43">
        <f t="shared" si="54"/>
        <v>35859.016361380673</v>
      </c>
      <c r="CL394" s="66"/>
      <c r="CM394" s="66">
        <v>0</v>
      </c>
      <c r="CN394" s="66">
        <v>0</v>
      </c>
      <c r="CO394" s="66">
        <v>0</v>
      </c>
      <c r="CP394" s="66">
        <v>2050.5709594767723</v>
      </c>
      <c r="CQ394" s="66">
        <v>0</v>
      </c>
      <c r="CR394" s="66">
        <v>0</v>
      </c>
      <c r="CS394" s="66">
        <v>0</v>
      </c>
      <c r="CT394" s="66">
        <v>0</v>
      </c>
      <c r="CU394" s="66">
        <v>0</v>
      </c>
      <c r="CV394" s="66">
        <v>1861</v>
      </c>
      <c r="CW394" s="66">
        <v>0</v>
      </c>
      <c r="CX394" s="66">
        <v>0</v>
      </c>
      <c r="CY394" s="66">
        <v>0</v>
      </c>
      <c r="CZ394" s="66">
        <v>0</v>
      </c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>
        <f>SUM(Table1[[#This Row],[01-03 Apr]:[Mar-26]])</f>
        <v>3911.5709594767723</v>
      </c>
    </row>
    <row r="395" spans="1:115" hidden="1" x14ac:dyDescent="0.2">
      <c r="A395" s="28" t="s">
        <v>2253</v>
      </c>
      <c r="B395" s="29" t="s">
        <v>581</v>
      </c>
      <c r="C395" s="29" t="s">
        <v>582</v>
      </c>
      <c r="D395" s="30" t="s">
        <v>583</v>
      </c>
      <c r="E395" s="30" t="s">
        <v>584</v>
      </c>
      <c r="F395" s="30"/>
      <c r="G395" s="31" t="s">
        <v>585</v>
      </c>
      <c r="H395" s="30">
        <v>361584</v>
      </c>
      <c r="I395" s="30" t="str">
        <f>IF(Table1[[#This Row],[Centre Status]]="Returned","NA",IF(Table1[[#This Row],[SD]]&gt;19000,"Full Payment",IF(Table1[[#This Row],[SD]]&lt;1,"No Payment","Partial Payment")))</f>
        <v>NA</v>
      </c>
      <c r="J395" s="30" t="s">
        <v>1903</v>
      </c>
      <c r="K395" s="32">
        <v>110000</v>
      </c>
      <c r="L395" s="33">
        <f>Q395+R395+U395+Table1[[#This Row],[Farmer Payment]]</f>
        <v>40619.910000000003</v>
      </c>
      <c r="M395" s="30">
        <v>20000</v>
      </c>
      <c r="N395" s="34">
        <v>45622</v>
      </c>
      <c r="O395" s="34"/>
      <c r="P395" s="35">
        <f t="shared" si="51"/>
        <v>89380.09</v>
      </c>
      <c r="Q395" s="33">
        <f>AI395+AV395+CK395+Table1[[#This Row],[FY 25-26]]</f>
        <v>20619.91</v>
      </c>
      <c r="R395" s="36">
        <v>20000</v>
      </c>
      <c r="S395" s="37" t="s">
        <v>586</v>
      </c>
      <c r="T395" s="38">
        <v>44889</v>
      </c>
      <c r="U395" s="39"/>
      <c r="V395" s="39"/>
      <c r="W395" s="40">
        <v>0</v>
      </c>
      <c r="X395" s="40">
        <v>0</v>
      </c>
      <c r="Y395" s="40">
        <v>0</v>
      </c>
      <c r="Z395" s="40">
        <v>0</v>
      </c>
      <c r="AA395" s="40">
        <v>0</v>
      </c>
      <c r="AB395" s="40">
        <v>0</v>
      </c>
      <c r="AC395" s="40">
        <v>0</v>
      </c>
      <c r="AD395" s="40">
        <v>0</v>
      </c>
      <c r="AE395" s="40">
        <v>0</v>
      </c>
      <c r="AF395" s="40">
        <v>0</v>
      </c>
      <c r="AG395" s="40">
        <v>0</v>
      </c>
      <c r="AH395" s="40">
        <v>1131</v>
      </c>
      <c r="AI395" s="41">
        <f t="shared" si="52"/>
        <v>1131</v>
      </c>
      <c r="AJ395" s="42">
        <v>1861</v>
      </c>
      <c r="AK395" s="42">
        <v>1861</v>
      </c>
      <c r="AL395" s="42">
        <v>1914.91</v>
      </c>
      <c r="AM395" s="42">
        <v>1861</v>
      </c>
      <c r="AN395" s="42">
        <v>1861</v>
      </c>
      <c r="AO395" s="42">
        <v>1861</v>
      </c>
      <c r="AP395" s="42">
        <v>1321</v>
      </c>
      <c r="AQ395" s="42">
        <v>529</v>
      </c>
      <c r="AR395" s="42">
        <v>1861</v>
      </c>
      <c r="AS395" s="42">
        <v>1116</v>
      </c>
      <c r="AT395" s="42">
        <v>1861</v>
      </c>
      <c r="AU395" s="42">
        <v>432</v>
      </c>
      <c r="AV395" s="42">
        <f t="shared" si="53"/>
        <v>18339.91</v>
      </c>
      <c r="AW395" s="42">
        <v>0</v>
      </c>
      <c r="AX395" s="42">
        <v>372</v>
      </c>
      <c r="AY395" s="42">
        <v>142</v>
      </c>
      <c r="AZ395" s="42">
        <v>0</v>
      </c>
      <c r="BA395" s="42">
        <v>0</v>
      </c>
      <c r="BB395" s="42">
        <v>500</v>
      </c>
      <c r="BC395" s="42">
        <v>0</v>
      </c>
      <c r="BD395" s="42">
        <v>135</v>
      </c>
      <c r="BE395" s="42">
        <v>0</v>
      </c>
      <c r="BF395" s="42">
        <v>0</v>
      </c>
      <c r="BG395" s="42">
        <v>0</v>
      </c>
      <c r="BH395" s="42">
        <v>0</v>
      </c>
      <c r="BI395" s="42">
        <v>0</v>
      </c>
      <c r="BJ395" s="42">
        <v>0</v>
      </c>
      <c r="BK395" s="42">
        <v>0</v>
      </c>
      <c r="BL395" s="42">
        <v>0</v>
      </c>
      <c r="BM395" s="42">
        <v>0</v>
      </c>
      <c r="BN395" s="42">
        <v>0</v>
      </c>
      <c r="BO395" s="42">
        <v>0</v>
      </c>
      <c r="BP395" s="42">
        <v>0</v>
      </c>
      <c r="BQ395" s="42">
        <v>0</v>
      </c>
      <c r="BR395" s="42">
        <v>0</v>
      </c>
      <c r="BS395" s="42">
        <v>0</v>
      </c>
      <c r="BT395" s="42">
        <v>0</v>
      </c>
      <c r="BU395" s="42">
        <v>0</v>
      </c>
      <c r="BV395" s="42">
        <v>0</v>
      </c>
      <c r="BW395" s="42">
        <v>0</v>
      </c>
      <c r="BX395" s="42">
        <v>0</v>
      </c>
      <c r="BY395" s="42">
        <v>0</v>
      </c>
      <c r="BZ395" s="42">
        <v>0</v>
      </c>
      <c r="CA395" s="42">
        <v>0</v>
      </c>
      <c r="CB395" s="42">
        <v>0</v>
      </c>
      <c r="CC395" s="42">
        <v>0</v>
      </c>
      <c r="CD395" s="42">
        <v>0</v>
      </c>
      <c r="CE395" s="42">
        <v>0</v>
      </c>
      <c r="CF395" s="42">
        <v>0</v>
      </c>
      <c r="CG395" s="42">
        <v>0</v>
      </c>
      <c r="CH395" s="42">
        <v>0</v>
      </c>
      <c r="CI395" s="42">
        <v>0</v>
      </c>
      <c r="CJ395" s="42">
        <v>0</v>
      </c>
      <c r="CK395" s="43">
        <f t="shared" si="54"/>
        <v>1149</v>
      </c>
      <c r="CL395" s="66"/>
      <c r="CM395" s="66">
        <v>0</v>
      </c>
      <c r="CN395" s="66">
        <v>0</v>
      </c>
      <c r="CO395" s="66">
        <v>0</v>
      </c>
      <c r="CP395" s="66">
        <v>0</v>
      </c>
      <c r="CQ395" s="66">
        <v>0</v>
      </c>
      <c r="CR395" s="66">
        <v>0</v>
      </c>
      <c r="CS395" s="66">
        <v>0</v>
      </c>
      <c r="CT395" s="66">
        <v>0</v>
      </c>
      <c r="CU395" s="66">
        <v>0</v>
      </c>
      <c r="CV395" s="66">
        <v>0</v>
      </c>
      <c r="CW395" s="66">
        <v>0</v>
      </c>
      <c r="CX395" s="66">
        <v>0</v>
      </c>
      <c r="CY395" s="66">
        <v>0</v>
      </c>
      <c r="CZ395" s="66">
        <v>0</v>
      </c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>
        <f>SUM(Table1[[#This Row],[01-03 Apr]:[Mar-26]])</f>
        <v>0</v>
      </c>
    </row>
    <row r="396" spans="1:115" hidden="1" x14ac:dyDescent="0.2">
      <c r="A396" s="28" t="s">
        <v>2364</v>
      </c>
      <c r="B396" s="29" t="s">
        <v>587</v>
      </c>
      <c r="C396" s="29" t="s">
        <v>588</v>
      </c>
      <c r="D396" s="30" t="s">
        <v>589</v>
      </c>
      <c r="E396" s="30" t="s">
        <v>584</v>
      </c>
      <c r="F396" s="30"/>
      <c r="G396" s="31" t="s">
        <v>371</v>
      </c>
      <c r="H396" s="30">
        <v>388015</v>
      </c>
      <c r="I396" s="30" t="str">
        <f>IF(Table1[[#This Row],[Centre Status]]="Returned","NA",IF(Table1[[#This Row],[SD]]&gt;19000,"Full Payment",IF(Table1[[#This Row],[SD]]&lt;1,"No Payment","Partial Payment")))</f>
        <v>Full Payment</v>
      </c>
      <c r="J396" s="30" t="s">
        <v>58</v>
      </c>
      <c r="K396" s="32">
        <v>110000</v>
      </c>
      <c r="L396" s="33">
        <f>Q396+R396+U396+Table1[[#This Row],[Farmer Payment]]</f>
        <v>69777.784760804469</v>
      </c>
      <c r="M396" s="30"/>
      <c r="N396" s="34"/>
      <c r="O396" s="34"/>
      <c r="P396" s="35">
        <f t="shared" si="51"/>
        <v>40222.215239195531</v>
      </c>
      <c r="Q396" s="33">
        <f>AI396+AV396+CK396+Table1[[#This Row],[FY 25-26]]</f>
        <v>49777.784760804476</v>
      </c>
      <c r="R396" s="36">
        <v>20000</v>
      </c>
      <c r="S396" s="37" t="s">
        <v>590</v>
      </c>
      <c r="T396" s="38">
        <v>44889</v>
      </c>
      <c r="U396" s="39"/>
      <c r="V396" s="39"/>
      <c r="W396" s="40">
        <v>0</v>
      </c>
      <c r="X396" s="40">
        <v>0</v>
      </c>
      <c r="Y396" s="40">
        <v>0</v>
      </c>
      <c r="Z396" s="40">
        <v>0</v>
      </c>
      <c r="AA396" s="40">
        <v>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1861</v>
      </c>
      <c r="AI396" s="41">
        <f t="shared" si="52"/>
        <v>1861</v>
      </c>
      <c r="AJ396" s="42">
        <v>1861</v>
      </c>
      <c r="AK396" s="42">
        <v>1861</v>
      </c>
      <c r="AL396" s="42">
        <v>1861</v>
      </c>
      <c r="AM396" s="42">
        <v>2000</v>
      </c>
      <c r="AN396" s="42">
        <v>2000</v>
      </c>
      <c r="AO396" s="42">
        <v>2000</v>
      </c>
      <c r="AP396" s="42">
        <v>2000</v>
      </c>
      <c r="AQ396" s="42">
        <v>679</v>
      </c>
      <c r="AR396" s="42">
        <v>1870.3002000000001</v>
      </c>
      <c r="AS396" s="42">
        <v>2000</v>
      </c>
      <c r="AT396" s="42">
        <v>2000</v>
      </c>
      <c r="AU396" s="42">
        <v>2000</v>
      </c>
      <c r="AV396" s="42">
        <f t="shared" si="53"/>
        <v>22132.300199999998</v>
      </c>
      <c r="AW396" s="42">
        <v>1861</v>
      </c>
      <c r="AX396" s="42">
        <v>1861</v>
      </c>
      <c r="AY396" s="42">
        <v>1861</v>
      </c>
      <c r="AZ396" s="42">
        <v>1122</v>
      </c>
      <c r="BA396" s="42">
        <v>200</v>
      </c>
      <c r="BB396" s="42">
        <v>500</v>
      </c>
      <c r="BC396" s="42">
        <v>0</v>
      </c>
      <c r="BD396" s="42">
        <v>500</v>
      </c>
      <c r="BE396" s="42">
        <v>500</v>
      </c>
      <c r="BF396" s="42">
        <v>500</v>
      </c>
      <c r="BG396" s="42">
        <v>500</v>
      </c>
      <c r="BH396" s="42">
        <v>500</v>
      </c>
      <c r="BI396" s="42">
        <v>0</v>
      </c>
      <c r="BJ396" s="42">
        <v>500</v>
      </c>
      <c r="BK396" s="42">
        <v>500</v>
      </c>
      <c r="BL396" s="42">
        <v>500</v>
      </c>
      <c r="BM396" s="42">
        <v>500</v>
      </c>
      <c r="BN396" s="42">
        <v>0</v>
      </c>
      <c r="BO396" s="42">
        <v>500</v>
      </c>
      <c r="BP396" s="42">
        <v>500</v>
      </c>
      <c r="BQ396" s="42">
        <v>500</v>
      </c>
      <c r="BR396" s="42">
        <v>500</v>
      </c>
      <c r="BS396" s="42">
        <v>0</v>
      </c>
      <c r="BT396" s="42">
        <v>500</v>
      </c>
      <c r="BU396" s="42">
        <v>500</v>
      </c>
      <c r="BV396" s="42">
        <v>500</v>
      </c>
      <c r="BW396" s="42">
        <v>500</v>
      </c>
      <c r="BX396" s="42">
        <v>500</v>
      </c>
      <c r="BY396" s="42">
        <v>0</v>
      </c>
      <c r="BZ396" s="42">
        <v>500</v>
      </c>
      <c r="CA396" s="42">
        <v>500</v>
      </c>
      <c r="CB396" s="42">
        <v>500</v>
      </c>
      <c r="CC396" s="42">
        <v>500</v>
      </c>
      <c r="CD396" s="42">
        <v>0</v>
      </c>
      <c r="CE396" s="42">
        <v>500</v>
      </c>
      <c r="CF396" s="42">
        <v>500</v>
      </c>
      <c r="CG396" s="42">
        <v>500</v>
      </c>
      <c r="CH396" s="42">
        <v>500</v>
      </c>
      <c r="CI396" s="42">
        <v>500</v>
      </c>
      <c r="CJ396" s="42">
        <v>0</v>
      </c>
      <c r="CK396" s="43">
        <f t="shared" si="54"/>
        <v>20905</v>
      </c>
      <c r="CL396" s="66"/>
      <c r="CM396" s="66">
        <v>500</v>
      </c>
      <c r="CN396" s="66">
        <v>500</v>
      </c>
      <c r="CO396" s="66">
        <v>500</v>
      </c>
      <c r="CP396" s="66">
        <v>379.48456080448022</v>
      </c>
      <c r="CQ396" s="66">
        <v>500</v>
      </c>
      <c r="CR396" s="66">
        <v>500</v>
      </c>
      <c r="CS396" s="66">
        <v>500</v>
      </c>
      <c r="CT396" s="66">
        <v>500</v>
      </c>
      <c r="CU396" s="66">
        <v>500</v>
      </c>
      <c r="CV396" s="66">
        <v>0</v>
      </c>
      <c r="CW396" s="66">
        <v>0</v>
      </c>
      <c r="CX396" s="66">
        <v>0</v>
      </c>
      <c r="CY396" s="66">
        <v>0</v>
      </c>
      <c r="CZ396" s="66">
        <v>500</v>
      </c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>
        <f>SUM(Table1[[#This Row],[01-03 Apr]:[Mar-26]])</f>
        <v>4879.4845608044798</v>
      </c>
    </row>
    <row r="397" spans="1:115" x14ac:dyDescent="0.2">
      <c r="A397" s="28" t="s">
        <v>2255</v>
      </c>
      <c r="B397" s="29" t="s">
        <v>591</v>
      </c>
      <c r="C397" s="29" t="s">
        <v>592</v>
      </c>
      <c r="D397" s="30" t="s">
        <v>593</v>
      </c>
      <c r="E397" s="30" t="s">
        <v>177</v>
      </c>
      <c r="F397" s="30"/>
      <c r="G397" s="31" t="s">
        <v>371</v>
      </c>
      <c r="H397" s="30">
        <v>387353</v>
      </c>
      <c r="I397" s="30" t="str">
        <f>IF(Table1[[#This Row],[Centre Status]]="Returned","NA",IF(Table1[[#This Row],[SD]]&gt;19000,"Full Payment",IF(Table1[[#This Row],[SD]]&lt;1,"No Payment","Partial Payment")))</f>
        <v>No Payment</v>
      </c>
      <c r="J397" s="30" t="s">
        <v>58</v>
      </c>
      <c r="K397" s="32">
        <v>110000</v>
      </c>
      <c r="L397" s="33">
        <f>Q397+R397+U397+Table1[[#This Row],[Farmer Payment]]</f>
        <v>79460.976497996802</v>
      </c>
      <c r="M397" s="30"/>
      <c r="N397" s="34"/>
      <c r="O397" s="34"/>
      <c r="P397" s="35">
        <f t="shared" si="51"/>
        <v>30539.023502003198</v>
      </c>
      <c r="Q397" s="33">
        <f>AI397+AV397+CK397+Table1[[#This Row],[FY 25-26]]</f>
        <v>54460.976497996802</v>
      </c>
      <c r="R397" s="36">
        <v>0</v>
      </c>
      <c r="S397" s="37"/>
      <c r="T397" s="38"/>
      <c r="U397" s="39">
        <v>25000</v>
      </c>
      <c r="V397" s="39"/>
      <c r="W397" s="40">
        <v>0</v>
      </c>
      <c r="X397" s="40">
        <v>0</v>
      </c>
      <c r="Y397" s="40">
        <v>0</v>
      </c>
      <c r="Z397" s="40">
        <v>0</v>
      </c>
      <c r="AA397" s="40">
        <v>0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>
        <v>1861</v>
      </c>
      <c r="AH397" s="40">
        <v>1861</v>
      </c>
      <c r="AI397" s="41">
        <f t="shared" si="52"/>
        <v>3722</v>
      </c>
      <c r="AJ397" s="42">
        <v>1861</v>
      </c>
      <c r="AK397" s="42">
        <v>1861</v>
      </c>
      <c r="AL397" s="42">
        <v>1861</v>
      </c>
      <c r="AM397" s="42">
        <v>2000</v>
      </c>
      <c r="AN397" s="42">
        <v>2000</v>
      </c>
      <c r="AO397" s="42">
        <v>2000</v>
      </c>
      <c r="AP397" s="42">
        <v>2000</v>
      </c>
      <c r="AQ397" s="42">
        <v>2000</v>
      </c>
      <c r="AR397" s="42">
        <v>2000</v>
      </c>
      <c r="AS397" s="42">
        <v>2000</v>
      </c>
      <c r="AT397" s="42">
        <v>2000</v>
      </c>
      <c r="AU397" s="42">
        <v>2000</v>
      </c>
      <c r="AV397" s="42">
        <f t="shared" si="53"/>
        <v>23583</v>
      </c>
      <c r="AW397" s="42">
        <v>2000</v>
      </c>
      <c r="AX397" s="42">
        <v>2000</v>
      </c>
      <c r="AY397" s="42">
        <v>1861</v>
      </c>
      <c r="AZ397" s="42">
        <v>2382.2735536896002</v>
      </c>
      <c r="BA397" s="42">
        <v>1930.4919594240002</v>
      </c>
      <c r="BB397" s="42">
        <v>0</v>
      </c>
      <c r="BC397" s="42">
        <v>2094.2109848832001</v>
      </c>
      <c r="BD397" s="42">
        <v>0</v>
      </c>
      <c r="BE397" s="42">
        <v>0</v>
      </c>
      <c r="BF397" s="42">
        <v>0</v>
      </c>
      <c r="BG397" s="42">
        <v>0</v>
      </c>
      <c r="BH397" s="42">
        <v>0</v>
      </c>
      <c r="BI397" s="42">
        <v>1861</v>
      </c>
      <c r="BJ397" s="42">
        <v>0</v>
      </c>
      <c r="BK397" s="42">
        <v>0</v>
      </c>
      <c r="BL397" s="42">
        <v>0</v>
      </c>
      <c r="BM397" s="42">
        <v>0</v>
      </c>
      <c r="BN397" s="42">
        <v>1861</v>
      </c>
      <c r="BO397" s="42">
        <v>0</v>
      </c>
      <c r="BP397" s="42">
        <v>0</v>
      </c>
      <c r="BQ397" s="42">
        <v>0</v>
      </c>
      <c r="BR397" s="42">
        <v>0</v>
      </c>
      <c r="BS397" s="42">
        <v>1861</v>
      </c>
      <c r="BT397" s="42">
        <v>0</v>
      </c>
      <c r="BU397" s="42">
        <v>0</v>
      </c>
      <c r="BV397" s="42">
        <v>0</v>
      </c>
      <c r="BW397" s="42">
        <v>0</v>
      </c>
      <c r="BX397" s="42">
        <v>0</v>
      </c>
      <c r="BY397" s="42">
        <v>1861</v>
      </c>
      <c r="BZ397" s="42">
        <v>0</v>
      </c>
      <c r="CA397" s="42">
        <v>0</v>
      </c>
      <c r="CB397" s="42">
        <v>0</v>
      </c>
      <c r="CC397" s="42">
        <v>0</v>
      </c>
      <c r="CD397" s="42">
        <v>1861</v>
      </c>
      <c r="CE397" s="42">
        <v>0</v>
      </c>
      <c r="CF397" s="42">
        <v>0</v>
      </c>
      <c r="CG397" s="42">
        <v>0</v>
      </c>
      <c r="CH397" s="42">
        <v>0</v>
      </c>
      <c r="CI397" s="42">
        <v>0</v>
      </c>
      <c r="CJ397" s="42">
        <v>1861</v>
      </c>
      <c r="CK397" s="43">
        <f t="shared" si="54"/>
        <v>23433.976497996802</v>
      </c>
      <c r="CL397" s="66"/>
      <c r="CM397" s="66">
        <v>0</v>
      </c>
      <c r="CN397" s="66">
        <v>0</v>
      </c>
      <c r="CO397" s="66">
        <v>0</v>
      </c>
      <c r="CP397" s="66">
        <v>1861</v>
      </c>
      <c r="CQ397" s="66">
        <v>0</v>
      </c>
      <c r="CR397" s="66">
        <v>0</v>
      </c>
      <c r="CS397" s="66">
        <v>0</v>
      </c>
      <c r="CT397" s="66">
        <v>0</v>
      </c>
      <c r="CU397" s="66">
        <v>0</v>
      </c>
      <c r="CV397" s="66">
        <v>1861</v>
      </c>
      <c r="CW397" s="66">
        <v>0</v>
      </c>
      <c r="CX397" s="66">
        <v>0</v>
      </c>
      <c r="CY397" s="66">
        <v>0</v>
      </c>
      <c r="CZ397" s="66">
        <v>0</v>
      </c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>
        <f>SUM(Table1[[#This Row],[01-03 Apr]:[Mar-26]])</f>
        <v>3722</v>
      </c>
    </row>
    <row r="398" spans="1:115" hidden="1" x14ac:dyDescent="0.2">
      <c r="A398" s="28" t="s">
        <v>2255</v>
      </c>
      <c r="B398" s="29" t="s">
        <v>594</v>
      </c>
      <c r="C398" s="29" t="s">
        <v>595</v>
      </c>
      <c r="D398" s="30" t="s">
        <v>596</v>
      </c>
      <c r="E398" s="30" t="s">
        <v>177</v>
      </c>
      <c r="F398" s="30"/>
      <c r="G398" s="31" t="s">
        <v>371</v>
      </c>
      <c r="H398" s="30">
        <v>277019</v>
      </c>
      <c r="I398" s="30" t="str">
        <f>IF(Table1[[#This Row],[Centre Status]]="Returned","NA",IF(Table1[[#This Row],[SD]]&gt;19000,"Full Payment",IF(Table1[[#This Row],[SD]]&lt;1,"No Payment","Partial Payment")))</f>
        <v>NA</v>
      </c>
      <c r="J398" s="30" t="s">
        <v>1903</v>
      </c>
      <c r="K398" s="32">
        <v>64000</v>
      </c>
      <c r="L398" s="33">
        <f>Q398+R398+U398+Table1[[#This Row],[Farmer Payment]]</f>
        <v>36684</v>
      </c>
      <c r="M398" s="30">
        <v>10000</v>
      </c>
      <c r="N398" s="34">
        <v>45688</v>
      </c>
      <c r="O398" s="34" t="s">
        <v>3157</v>
      </c>
      <c r="P398" s="35">
        <f t="shared" si="51"/>
        <v>37316</v>
      </c>
      <c r="Q398" s="33">
        <f>AI398+AV398+CK398+Table1[[#This Row],[FY 25-26]]</f>
        <v>26684</v>
      </c>
      <c r="R398" s="36">
        <v>10000</v>
      </c>
      <c r="S398" s="37" t="s">
        <v>597</v>
      </c>
      <c r="T398" s="38">
        <v>44889</v>
      </c>
      <c r="U398" s="39"/>
      <c r="V398" s="39"/>
      <c r="W398" s="40">
        <v>0</v>
      </c>
      <c r="X398" s="40">
        <v>0</v>
      </c>
      <c r="Y398" s="40">
        <v>0</v>
      </c>
      <c r="Z398" s="40">
        <v>0</v>
      </c>
      <c r="AA398" s="40">
        <v>0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1170</v>
      </c>
      <c r="AH398" s="40">
        <v>1861</v>
      </c>
      <c r="AI398" s="41">
        <f t="shared" si="52"/>
        <v>3031</v>
      </c>
      <c r="AJ398" s="42">
        <v>1861</v>
      </c>
      <c r="AK398" s="42">
        <v>1861</v>
      </c>
      <c r="AL398" s="42">
        <v>1561</v>
      </c>
      <c r="AM398" s="42">
        <v>1510</v>
      </c>
      <c r="AN398" s="42">
        <v>1861</v>
      </c>
      <c r="AO398" s="42">
        <v>1183</v>
      </c>
      <c r="AP398" s="42">
        <v>1861</v>
      </c>
      <c r="AQ398" s="42">
        <v>774</v>
      </c>
      <c r="AR398" s="42">
        <v>0</v>
      </c>
      <c r="AS398" s="42">
        <v>553</v>
      </c>
      <c r="AT398" s="42">
        <v>386</v>
      </c>
      <c r="AU398" s="42">
        <v>307</v>
      </c>
      <c r="AV398" s="42">
        <f t="shared" si="53"/>
        <v>13718</v>
      </c>
      <c r="AW398" s="42">
        <v>1183</v>
      </c>
      <c r="AX398" s="42">
        <v>322</v>
      </c>
      <c r="AY398" s="42">
        <v>430</v>
      </c>
      <c r="AZ398" s="42">
        <v>0</v>
      </c>
      <c r="BA398" s="42">
        <v>0</v>
      </c>
      <c r="BB398" s="42">
        <v>500</v>
      </c>
      <c r="BC398" s="42">
        <v>0</v>
      </c>
      <c r="BD398" s="42">
        <v>500</v>
      </c>
      <c r="BE398" s="42">
        <v>500</v>
      </c>
      <c r="BF398" s="42">
        <v>500</v>
      </c>
      <c r="BG398" s="42">
        <v>500</v>
      </c>
      <c r="BH398" s="42">
        <v>500</v>
      </c>
      <c r="BI398" s="42">
        <v>0</v>
      </c>
      <c r="BJ398" s="42">
        <v>500</v>
      </c>
      <c r="BK398" s="42">
        <v>500</v>
      </c>
      <c r="BL398" s="42">
        <v>500</v>
      </c>
      <c r="BM398" s="42">
        <v>500</v>
      </c>
      <c r="BN398" s="42">
        <v>0</v>
      </c>
      <c r="BO398" s="42">
        <v>500</v>
      </c>
      <c r="BP398" s="42">
        <v>500</v>
      </c>
      <c r="BQ398" s="42">
        <v>500</v>
      </c>
      <c r="BR398" s="42">
        <v>500</v>
      </c>
      <c r="BS398" s="42">
        <v>0</v>
      </c>
      <c r="BT398" s="42">
        <v>500</v>
      </c>
      <c r="BU398" s="42">
        <v>500</v>
      </c>
      <c r="BV398" s="42">
        <v>0</v>
      </c>
      <c r="BW398" s="42">
        <v>0</v>
      </c>
      <c r="BX398" s="42">
        <v>0</v>
      </c>
      <c r="BY398" s="42">
        <v>0</v>
      </c>
      <c r="BZ398" s="42">
        <v>0</v>
      </c>
      <c r="CA398" s="42">
        <v>0</v>
      </c>
      <c r="CB398" s="42">
        <v>0</v>
      </c>
      <c r="CC398" s="42">
        <v>0</v>
      </c>
      <c r="CD398" s="42">
        <v>0</v>
      </c>
      <c r="CE398" s="42">
        <v>0</v>
      </c>
      <c r="CF398" s="42">
        <v>0</v>
      </c>
      <c r="CG398" s="42">
        <v>0</v>
      </c>
      <c r="CH398" s="42">
        <v>0</v>
      </c>
      <c r="CI398" s="42">
        <v>0</v>
      </c>
      <c r="CJ398" s="42">
        <v>0</v>
      </c>
      <c r="CK398" s="43">
        <f t="shared" si="54"/>
        <v>9935</v>
      </c>
      <c r="CL398" s="66"/>
      <c r="CM398" s="66">
        <v>0</v>
      </c>
      <c r="CN398" s="66">
        <v>0</v>
      </c>
      <c r="CO398" s="66">
        <v>0</v>
      </c>
      <c r="CP398" s="66">
        <v>0</v>
      </c>
      <c r="CQ398" s="66">
        <v>0</v>
      </c>
      <c r="CR398" s="66">
        <v>0</v>
      </c>
      <c r="CS398" s="66">
        <v>0</v>
      </c>
      <c r="CT398" s="66">
        <v>0</v>
      </c>
      <c r="CU398" s="66">
        <v>0</v>
      </c>
      <c r="CV398" s="66">
        <v>0</v>
      </c>
      <c r="CW398" s="66">
        <v>0</v>
      </c>
      <c r="CX398" s="66">
        <v>0</v>
      </c>
      <c r="CY398" s="66">
        <v>0</v>
      </c>
      <c r="CZ398" s="66">
        <v>0</v>
      </c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>
        <f>SUM(Table1[[#This Row],[01-03 Apr]:[Mar-26]])</f>
        <v>0</v>
      </c>
    </row>
    <row r="399" spans="1:115" x14ac:dyDescent="0.2">
      <c r="A399" s="28" t="s">
        <v>2253</v>
      </c>
      <c r="B399" s="29" t="s">
        <v>598</v>
      </c>
      <c r="C399" s="29" t="s">
        <v>599</v>
      </c>
      <c r="D399" s="30" t="s">
        <v>600</v>
      </c>
      <c r="E399" s="30" t="s">
        <v>85</v>
      </c>
      <c r="F399" s="30"/>
      <c r="G399" s="31">
        <v>44810</v>
      </c>
      <c r="H399" s="30">
        <v>360142</v>
      </c>
      <c r="I399" s="30" t="str">
        <f>IF(Table1[[#This Row],[Centre Status]]="Returned","NA",IF(Table1[[#This Row],[SD]]&gt;19000,"Full Payment",IF(Table1[[#This Row],[SD]]&lt;1,"No Payment","Partial Payment")))</f>
        <v>Partial Payment</v>
      </c>
      <c r="J399" s="30" t="s">
        <v>58</v>
      </c>
      <c r="K399" s="32">
        <v>110000</v>
      </c>
      <c r="L399" s="33">
        <f>Q399+R399+U399+Table1[[#This Row],[Farmer Payment]]</f>
        <v>75482.336791268739</v>
      </c>
      <c r="M399" s="30"/>
      <c r="N399" s="34"/>
      <c r="O399" s="34"/>
      <c r="P399" s="35">
        <f t="shared" si="51"/>
        <v>34517.663208731261</v>
      </c>
      <c r="Q399" s="33">
        <f>AI399+AV399+CK399+Table1[[#This Row],[FY 25-26]]</f>
        <v>65482.336791268739</v>
      </c>
      <c r="R399" s="36">
        <v>10000</v>
      </c>
      <c r="S399" s="37" t="s">
        <v>601</v>
      </c>
      <c r="T399" s="38">
        <v>44892</v>
      </c>
      <c r="U399" s="39"/>
      <c r="V399" s="39"/>
      <c r="W399" s="40">
        <v>0</v>
      </c>
      <c r="X399" s="40">
        <v>0</v>
      </c>
      <c r="Y399" s="40">
        <v>0</v>
      </c>
      <c r="Z399" s="40">
        <v>0</v>
      </c>
      <c r="AA399" s="40">
        <v>0</v>
      </c>
      <c r="AB399" s="40">
        <v>0</v>
      </c>
      <c r="AC399" s="40">
        <v>0</v>
      </c>
      <c r="AD399" s="40">
        <v>0</v>
      </c>
      <c r="AE399" s="40">
        <v>0</v>
      </c>
      <c r="AF399" s="40">
        <v>1861</v>
      </c>
      <c r="AG399" s="40">
        <v>2114.6621999999998</v>
      </c>
      <c r="AH399" s="40">
        <v>1889.1870000000001</v>
      </c>
      <c r="AI399" s="41">
        <f t="shared" si="52"/>
        <v>5864.8491999999997</v>
      </c>
      <c r="AJ399" s="42">
        <v>1861</v>
      </c>
      <c r="AK399" s="42">
        <v>2150.4133999999999</v>
      </c>
      <c r="AL399" s="42">
        <v>1861</v>
      </c>
      <c r="AM399" s="42">
        <v>2418.5956000000001</v>
      </c>
      <c r="AN399" s="42">
        <v>1861</v>
      </c>
      <c r="AO399" s="42">
        <v>2008.5208</v>
      </c>
      <c r="AP399" s="42">
        <v>2424.1927999999998</v>
      </c>
      <c r="AQ399" s="42">
        <v>1861</v>
      </c>
      <c r="AR399" s="42">
        <v>2581.5720000000001</v>
      </c>
      <c r="AS399" s="42">
        <v>3129.6217999999999</v>
      </c>
      <c r="AT399" s="42">
        <v>3528.2635999999998</v>
      </c>
      <c r="AU399" s="42">
        <v>3907.4333999999999</v>
      </c>
      <c r="AV399" s="42">
        <f t="shared" si="53"/>
        <v>29592.613400000002</v>
      </c>
      <c r="AW399" s="42">
        <v>2613.4150099016983</v>
      </c>
      <c r="AX399" s="42">
        <v>1863.8044170065041</v>
      </c>
      <c r="AY399" s="42">
        <v>1861</v>
      </c>
      <c r="AZ399" s="42">
        <v>2786.2528288985823</v>
      </c>
      <c r="BA399" s="42">
        <v>1861</v>
      </c>
      <c r="BB399" s="42">
        <v>0</v>
      </c>
      <c r="BC399" s="42">
        <v>2875.3344995744988</v>
      </c>
      <c r="BD399" s="42">
        <v>0</v>
      </c>
      <c r="BE399" s="42">
        <v>0</v>
      </c>
      <c r="BF399" s="42">
        <v>0</v>
      </c>
      <c r="BG399" s="42">
        <v>0</v>
      </c>
      <c r="BH399" s="42">
        <v>0</v>
      </c>
      <c r="BI399" s="42">
        <v>1953.431680682216</v>
      </c>
      <c r="BJ399" s="42">
        <v>0</v>
      </c>
      <c r="BK399" s="42">
        <v>0</v>
      </c>
      <c r="BL399" s="42">
        <v>0</v>
      </c>
      <c r="BM399" s="42">
        <v>0</v>
      </c>
      <c r="BN399" s="42">
        <v>0</v>
      </c>
      <c r="BO399" s="42">
        <v>0</v>
      </c>
      <c r="BP399" s="42">
        <v>0</v>
      </c>
      <c r="BQ399" s="42">
        <v>0</v>
      </c>
      <c r="BR399" s="42">
        <v>0</v>
      </c>
      <c r="BS399" s="42">
        <v>2725.7523614303286</v>
      </c>
      <c r="BT399" s="42">
        <v>0</v>
      </c>
      <c r="BU399" s="42">
        <v>0</v>
      </c>
      <c r="BV399" s="42">
        <v>0</v>
      </c>
      <c r="BW399" s="42">
        <v>0</v>
      </c>
      <c r="BX399" s="42">
        <v>0</v>
      </c>
      <c r="BY399" s="42">
        <v>2582.8878187238402</v>
      </c>
      <c r="BZ399" s="42">
        <v>0</v>
      </c>
      <c r="CA399" s="42">
        <v>0</v>
      </c>
      <c r="CB399" s="42">
        <v>0</v>
      </c>
      <c r="CC399" s="42">
        <v>0</v>
      </c>
      <c r="CD399" s="42">
        <v>2655.7231389645303</v>
      </c>
      <c r="CE399" s="42">
        <v>0</v>
      </c>
      <c r="CF399" s="42">
        <v>0</v>
      </c>
      <c r="CG399" s="42">
        <v>0</v>
      </c>
      <c r="CH399" s="42">
        <v>0</v>
      </c>
      <c r="CI399" s="42">
        <v>0</v>
      </c>
      <c r="CJ399" s="42">
        <v>2524.2724360865377</v>
      </c>
      <c r="CK399" s="43">
        <f t="shared" si="54"/>
        <v>26302.87419126874</v>
      </c>
      <c r="CL399" s="66"/>
      <c r="CM399" s="66">
        <v>0</v>
      </c>
      <c r="CN399" s="66">
        <v>0</v>
      </c>
      <c r="CO399" s="66">
        <v>0</v>
      </c>
      <c r="CP399" s="66">
        <v>1861</v>
      </c>
      <c r="CQ399" s="66">
        <v>0</v>
      </c>
      <c r="CR399" s="66">
        <v>0</v>
      </c>
      <c r="CS399" s="66">
        <v>0</v>
      </c>
      <c r="CT399" s="66">
        <v>0</v>
      </c>
      <c r="CU399" s="66">
        <v>0</v>
      </c>
      <c r="CV399" s="66">
        <v>1861</v>
      </c>
      <c r="CW399" s="66">
        <v>0</v>
      </c>
      <c r="CX399" s="66">
        <v>0</v>
      </c>
      <c r="CY399" s="66">
        <v>0</v>
      </c>
      <c r="CZ399" s="66">
        <v>0</v>
      </c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>
        <f>SUM(Table1[[#This Row],[01-03 Apr]:[Mar-26]])</f>
        <v>3722</v>
      </c>
    </row>
    <row r="400" spans="1:115" x14ac:dyDescent="0.2">
      <c r="A400" s="28" t="s">
        <v>2364</v>
      </c>
      <c r="B400" s="29" t="s">
        <v>602</v>
      </c>
      <c r="C400" s="29" t="s">
        <v>603</v>
      </c>
      <c r="D400" s="30" t="s">
        <v>604</v>
      </c>
      <c r="E400" s="30" t="s">
        <v>584</v>
      </c>
      <c r="F400" s="30"/>
      <c r="G400" s="31" t="s">
        <v>371</v>
      </c>
      <c r="H400" s="30">
        <v>380038</v>
      </c>
      <c r="I400" s="30" t="str">
        <f>IF(Table1[[#This Row],[Centre Status]]="Returned","NA",IF(Table1[[#This Row],[SD]]&gt;19000,"Full Payment",IF(Table1[[#This Row],[SD]]&lt;1,"No Payment","Partial Payment")))</f>
        <v>Partial Payment</v>
      </c>
      <c r="J400" s="30" t="s">
        <v>58</v>
      </c>
      <c r="K400" s="32">
        <v>110000</v>
      </c>
      <c r="L400" s="33">
        <f>Q400+R400+U400+Table1[[#This Row],[Farmer Payment]]</f>
        <v>48084.845638791303</v>
      </c>
      <c r="M400" s="30"/>
      <c r="N400" s="34"/>
      <c r="O400" s="34"/>
      <c r="P400" s="35">
        <f t="shared" si="51"/>
        <v>61915.154361208697</v>
      </c>
      <c r="Q400" s="33">
        <f>AI400+AV400+CK400+Table1[[#This Row],[FY 25-26]]</f>
        <v>38084.845638791303</v>
      </c>
      <c r="R400" s="36">
        <v>10000</v>
      </c>
      <c r="S400" s="37" t="s">
        <v>605</v>
      </c>
      <c r="T400" s="38">
        <v>44894</v>
      </c>
      <c r="U400" s="39"/>
      <c r="V400" s="39"/>
      <c r="W400" s="40">
        <v>0</v>
      </c>
      <c r="X400" s="40">
        <v>0</v>
      </c>
      <c r="Y400" s="40">
        <v>0</v>
      </c>
      <c r="Z400" s="40">
        <v>0</v>
      </c>
      <c r="AA400" s="40">
        <v>0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>
        <v>1861</v>
      </c>
      <c r="AH400" s="40">
        <v>0</v>
      </c>
      <c r="AI400" s="41">
        <f t="shared" si="52"/>
        <v>1861</v>
      </c>
      <c r="AJ400" s="42">
        <v>0</v>
      </c>
      <c r="AK400" s="42">
        <v>0</v>
      </c>
      <c r="AL400" s="42">
        <v>0</v>
      </c>
      <c r="AM400" s="42">
        <v>0</v>
      </c>
      <c r="AN400" s="42">
        <v>0</v>
      </c>
      <c r="AO400" s="42">
        <v>0</v>
      </c>
      <c r="AP400" s="42">
        <v>0</v>
      </c>
      <c r="AQ400" s="42">
        <v>0</v>
      </c>
      <c r="AR400" s="42">
        <v>1861</v>
      </c>
      <c r="AS400" s="42">
        <v>2000</v>
      </c>
      <c r="AT400" s="42">
        <v>1895.0011999999999</v>
      </c>
      <c r="AU400" s="42">
        <v>2000</v>
      </c>
      <c r="AV400" s="42">
        <f t="shared" si="53"/>
        <v>7756.0011999999997</v>
      </c>
      <c r="AW400" s="42">
        <v>2000</v>
      </c>
      <c r="AX400" s="42">
        <v>2000</v>
      </c>
      <c r="AY400" s="42">
        <v>2000</v>
      </c>
      <c r="AZ400" s="42">
        <v>1861</v>
      </c>
      <c r="BA400" s="42">
        <v>674</v>
      </c>
      <c r="BB400" s="42">
        <v>500</v>
      </c>
      <c r="BC400" s="42">
        <v>861</v>
      </c>
      <c r="BD400" s="42">
        <v>500</v>
      </c>
      <c r="BE400" s="42">
        <v>500</v>
      </c>
      <c r="BF400" s="42">
        <v>500</v>
      </c>
      <c r="BG400" s="42">
        <v>500</v>
      </c>
      <c r="BH400" s="42">
        <v>500</v>
      </c>
      <c r="BI400" s="42">
        <v>0</v>
      </c>
      <c r="BJ400" s="42">
        <v>500</v>
      </c>
      <c r="BK400" s="42">
        <v>500</v>
      </c>
      <c r="BL400" s="42">
        <v>500</v>
      </c>
      <c r="BM400" s="42">
        <v>500</v>
      </c>
      <c r="BN400" s="42">
        <v>0</v>
      </c>
      <c r="BO400" s="42">
        <v>500</v>
      </c>
      <c r="BP400" s="42">
        <v>500</v>
      </c>
      <c r="BQ400" s="42">
        <v>500</v>
      </c>
      <c r="BR400" s="42">
        <v>500</v>
      </c>
      <c r="BS400" s="42">
        <v>0</v>
      </c>
      <c r="BT400" s="42">
        <v>500</v>
      </c>
      <c r="BU400" s="42">
        <v>500</v>
      </c>
      <c r="BV400" s="42">
        <v>0</v>
      </c>
      <c r="BW400" s="42">
        <v>0</v>
      </c>
      <c r="BX400" s="42">
        <v>0</v>
      </c>
      <c r="BY400" s="42">
        <v>1361</v>
      </c>
      <c r="BZ400" s="42">
        <v>0</v>
      </c>
      <c r="CA400" s="42">
        <v>0</v>
      </c>
      <c r="CB400" s="42">
        <v>0</v>
      </c>
      <c r="CC400" s="42">
        <v>0</v>
      </c>
      <c r="CD400" s="42">
        <v>2133.8181320832</v>
      </c>
      <c r="CE400" s="42">
        <v>0</v>
      </c>
      <c r="CF400" s="42">
        <v>0</v>
      </c>
      <c r="CG400" s="42">
        <v>0</v>
      </c>
      <c r="CH400" s="42">
        <v>0</v>
      </c>
      <c r="CI400" s="42">
        <v>0</v>
      </c>
      <c r="CJ400" s="42">
        <v>3855.0263067081005</v>
      </c>
      <c r="CK400" s="43">
        <f t="shared" si="54"/>
        <v>24745.8444387913</v>
      </c>
      <c r="CL400" s="66"/>
      <c r="CM400" s="66">
        <v>0</v>
      </c>
      <c r="CN400" s="66">
        <v>0</v>
      </c>
      <c r="CO400" s="66">
        <v>0</v>
      </c>
      <c r="CP400" s="66">
        <v>1861</v>
      </c>
      <c r="CQ400" s="66">
        <v>0</v>
      </c>
      <c r="CR400" s="66">
        <v>0</v>
      </c>
      <c r="CS400" s="66">
        <v>0</v>
      </c>
      <c r="CT400" s="66">
        <v>0</v>
      </c>
      <c r="CU400" s="66">
        <v>0</v>
      </c>
      <c r="CV400" s="66">
        <v>1861</v>
      </c>
      <c r="CW400" s="66">
        <v>0</v>
      </c>
      <c r="CX400" s="66">
        <v>0</v>
      </c>
      <c r="CY400" s="66">
        <v>0</v>
      </c>
      <c r="CZ400" s="66">
        <v>0</v>
      </c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>
        <f>SUM(Table1[[#This Row],[01-03 Apr]:[Mar-26]])</f>
        <v>3722</v>
      </c>
    </row>
    <row r="401" spans="1:115" hidden="1" x14ac:dyDescent="0.2">
      <c r="A401" s="28" t="s">
        <v>2253</v>
      </c>
      <c r="B401" s="29" t="s">
        <v>607</v>
      </c>
      <c r="C401" s="29" t="s">
        <v>608</v>
      </c>
      <c r="D401" s="30" t="s">
        <v>609</v>
      </c>
      <c r="E401" s="30" t="s">
        <v>57</v>
      </c>
      <c r="F401" s="30"/>
      <c r="G401" s="31">
        <v>45108</v>
      </c>
      <c r="H401" s="30">
        <v>361575</v>
      </c>
      <c r="I401" s="30" t="str">
        <f>IF(Table1[[#This Row],[Centre Status]]="Returned","NA",IF(Table1[[#This Row],[SD]]&gt;19000,"Full Payment",IF(Table1[[#This Row],[SD]]&lt;1,"No Payment","Partial Payment")))</f>
        <v>Full Payment</v>
      </c>
      <c r="J401" s="30" t="s">
        <v>58</v>
      </c>
      <c r="K401" s="32">
        <v>110000</v>
      </c>
      <c r="L401" s="33">
        <f>Q401+R401+U401+Table1[[#This Row],[Farmer Payment]]</f>
        <v>73339.911207211713</v>
      </c>
      <c r="M401" s="30"/>
      <c r="N401" s="34"/>
      <c r="O401" s="34"/>
      <c r="P401" s="35">
        <f t="shared" si="51"/>
        <v>36660.088792788287</v>
      </c>
      <c r="Q401" s="33">
        <f>AI401+AV401+CK401+Table1[[#This Row],[FY 25-26]]</f>
        <v>53339.911207211713</v>
      </c>
      <c r="R401" s="36">
        <v>20000</v>
      </c>
      <c r="S401" s="37" t="s">
        <v>610</v>
      </c>
      <c r="T401" s="38">
        <v>44894</v>
      </c>
      <c r="U401" s="39"/>
      <c r="V401" s="39"/>
      <c r="W401" s="40">
        <v>0</v>
      </c>
      <c r="X401" s="40">
        <v>0</v>
      </c>
      <c r="Y401" s="40">
        <v>0</v>
      </c>
      <c r="Z401" s="40">
        <v>0</v>
      </c>
      <c r="AA401" s="40">
        <v>0</v>
      </c>
      <c r="AB401" s="40">
        <v>0</v>
      </c>
      <c r="AC401" s="40">
        <v>0</v>
      </c>
      <c r="AD401" s="40">
        <v>0</v>
      </c>
      <c r="AE401" s="40">
        <v>0</v>
      </c>
      <c r="AF401" s="40">
        <v>0</v>
      </c>
      <c r="AG401" s="40">
        <v>0</v>
      </c>
      <c r="AH401" s="40">
        <v>1861</v>
      </c>
      <c r="AI401" s="41">
        <f t="shared" si="52"/>
        <v>1861</v>
      </c>
      <c r="AJ401" s="42">
        <v>1861</v>
      </c>
      <c r="AK401" s="42">
        <v>1861</v>
      </c>
      <c r="AL401" s="42">
        <v>1297</v>
      </c>
      <c r="AM401" s="42">
        <v>2687.7767999999992</v>
      </c>
      <c r="AN401" s="42">
        <v>2991.0441999999998</v>
      </c>
      <c r="AO401" s="42">
        <v>4541.5968000000003</v>
      </c>
      <c r="AP401" s="42">
        <v>6360.7956000000004</v>
      </c>
      <c r="AQ401" s="42">
        <v>4503.3456000000006</v>
      </c>
      <c r="AR401" s="42">
        <v>5649.322000000001</v>
      </c>
      <c r="AS401" s="42">
        <v>5890.8624</v>
      </c>
      <c r="AT401" s="42">
        <v>5001.8599999999997</v>
      </c>
      <c r="AU401" s="42">
        <v>4428.4856000000009</v>
      </c>
      <c r="AV401" s="42">
        <f t="shared" si="53"/>
        <v>47074.089</v>
      </c>
      <c r="AW401" s="42">
        <v>3001.8222072117123</v>
      </c>
      <c r="AX401" s="42">
        <v>1403</v>
      </c>
      <c r="AY401" s="42">
        <v>0</v>
      </c>
      <c r="AZ401" s="42">
        <v>0</v>
      </c>
      <c r="BA401" s="42">
        <v>0</v>
      </c>
      <c r="BB401" s="42">
        <v>0</v>
      </c>
      <c r="BC401" s="42">
        <v>0</v>
      </c>
      <c r="BD401" s="42">
        <v>0</v>
      </c>
      <c r="BE401" s="42">
        <v>0</v>
      </c>
      <c r="BF401" s="42">
        <v>0</v>
      </c>
      <c r="BG401" s="42">
        <v>0</v>
      </c>
      <c r="BH401" s="42">
        <v>0</v>
      </c>
      <c r="BI401" s="42">
        <v>0</v>
      </c>
      <c r="BJ401" s="42">
        <v>0</v>
      </c>
      <c r="BK401" s="42">
        <v>0</v>
      </c>
      <c r="BL401" s="42">
        <v>0</v>
      </c>
      <c r="BM401" s="42">
        <v>0</v>
      </c>
      <c r="BN401" s="42">
        <v>0</v>
      </c>
      <c r="BO401" s="42">
        <v>0</v>
      </c>
      <c r="BP401" s="42">
        <v>0</v>
      </c>
      <c r="BQ401" s="42">
        <v>0</v>
      </c>
      <c r="BR401" s="42">
        <v>0</v>
      </c>
      <c r="BS401" s="42">
        <v>0</v>
      </c>
      <c r="BT401" s="42">
        <v>0</v>
      </c>
      <c r="BU401" s="42">
        <v>0</v>
      </c>
      <c r="BV401" s="42">
        <v>0</v>
      </c>
      <c r="BW401" s="42">
        <v>0</v>
      </c>
      <c r="BX401" s="42">
        <v>0</v>
      </c>
      <c r="BY401" s="42">
        <v>0</v>
      </c>
      <c r="BZ401" s="42">
        <v>0</v>
      </c>
      <c r="CA401" s="42">
        <v>0</v>
      </c>
      <c r="CB401" s="42">
        <v>0</v>
      </c>
      <c r="CC401" s="42">
        <v>0</v>
      </c>
      <c r="CD401" s="42">
        <v>0</v>
      </c>
      <c r="CE401" s="42">
        <v>0</v>
      </c>
      <c r="CF401" s="42">
        <v>0</v>
      </c>
      <c r="CG401" s="42">
        <v>0</v>
      </c>
      <c r="CH401" s="42">
        <v>0</v>
      </c>
      <c r="CI401" s="42">
        <v>0</v>
      </c>
      <c r="CJ401" s="42">
        <v>0</v>
      </c>
      <c r="CK401" s="43">
        <f t="shared" si="54"/>
        <v>4404.8222072117123</v>
      </c>
      <c r="CL401" s="66"/>
      <c r="CM401" s="66">
        <v>0</v>
      </c>
      <c r="CN401" s="66">
        <v>0</v>
      </c>
      <c r="CO401" s="66">
        <v>0</v>
      </c>
      <c r="CP401" s="66">
        <v>0</v>
      </c>
      <c r="CQ401" s="66">
        <v>0</v>
      </c>
      <c r="CR401" s="66">
        <v>0</v>
      </c>
      <c r="CS401" s="66">
        <v>0</v>
      </c>
      <c r="CT401" s="66">
        <v>0</v>
      </c>
      <c r="CU401" s="66">
        <v>0</v>
      </c>
      <c r="CV401" s="66">
        <v>0</v>
      </c>
      <c r="CW401" s="66">
        <v>0</v>
      </c>
      <c r="CX401" s="66">
        <v>0</v>
      </c>
      <c r="CY401" s="66">
        <v>0</v>
      </c>
      <c r="CZ401" s="66">
        <v>0</v>
      </c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>
        <f>SUM(Table1[[#This Row],[01-03 Apr]:[Mar-26]])</f>
        <v>0</v>
      </c>
    </row>
    <row r="402" spans="1:115" hidden="1" x14ac:dyDescent="0.2">
      <c r="A402" s="28" t="s">
        <v>2364</v>
      </c>
      <c r="B402" s="29" t="s">
        <v>611</v>
      </c>
      <c r="C402" s="29" t="s">
        <v>612</v>
      </c>
      <c r="D402" s="30" t="s">
        <v>613</v>
      </c>
      <c r="E402" s="30" t="s">
        <v>943</v>
      </c>
      <c r="F402" s="30"/>
      <c r="G402" s="31" t="s">
        <v>371</v>
      </c>
      <c r="H402" s="30">
        <v>378736</v>
      </c>
      <c r="I402" s="30" t="str">
        <f>IF(Table1[[#This Row],[Centre Status]]="Returned","NA",IF(Table1[[#This Row],[SD]]&gt;19000,"Full Payment",IF(Table1[[#This Row],[SD]]&lt;1,"No Payment","Partial Payment")))</f>
        <v>Full Payment</v>
      </c>
      <c r="J402" s="30" t="s">
        <v>58</v>
      </c>
      <c r="K402" s="32">
        <v>110000</v>
      </c>
      <c r="L402" s="33">
        <f>Q402+R402+U402+Table1[[#This Row],[Farmer Payment]]</f>
        <v>47606.067952878242</v>
      </c>
      <c r="M402" s="30"/>
      <c r="N402" s="34"/>
      <c r="O402" s="34"/>
      <c r="P402" s="35">
        <f t="shared" si="51"/>
        <v>62393.932047121758</v>
      </c>
      <c r="Q402" s="33">
        <f>AI402+AV402+CK402+Table1[[#This Row],[FY 25-26]]</f>
        <v>27891.067952878242</v>
      </c>
      <c r="R402" s="36">
        <v>19715</v>
      </c>
      <c r="S402" s="37" t="s">
        <v>614</v>
      </c>
      <c r="T402" s="38">
        <v>44895</v>
      </c>
      <c r="U402" s="39"/>
      <c r="V402" s="39"/>
      <c r="W402" s="40">
        <v>0</v>
      </c>
      <c r="X402" s="40">
        <v>0</v>
      </c>
      <c r="Y402" s="40">
        <v>0</v>
      </c>
      <c r="Z402" s="40">
        <v>0</v>
      </c>
      <c r="AA402" s="40">
        <v>0</v>
      </c>
      <c r="AB402" s="40">
        <v>0</v>
      </c>
      <c r="AC402" s="40">
        <v>0</v>
      </c>
      <c r="AD402" s="40">
        <v>0</v>
      </c>
      <c r="AE402" s="40">
        <v>0</v>
      </c>
      <c r="AF402" s="40">
        <v>0</v>
      </c>
      <c r="AG402" s="40">
        <v>385</v>
      </c>
      <c r="AH402" s="40">
        <v>1861</v>
      </c>
      <c r="AI402" s="41">
        <f t="shared" si="52"/>
        <v>2246</v>
      </c>
      <c r="AJ402" s="42">
        <v>1861</v>
      </c>
      <c r="AK402" s="42">
        <v>1861</v>
      </c>
      <c r="AL402" s="42">
        <v>890</v>
      </c>
      <c r="AM402" s="42">
        <v>1861</v>
      </c>
      <c r="AN402" s="42">
        <v>1092</v>
      </c>
      <c r="AO402" s="42">
        <v>590</v>
      </c>
      <c r="AP402" s="42">
        <v>1545</v>
      </c>
      <c r="AQ402" s="42">
        <v>0</v>
      </c>
      <c r="AR402" s="42">
        <v>0</v>
      </c>
      <c r="AS402" s="42">
        <v>0</v>
      </c>
      <c r="AT402" s="42">
        <v>153.06795287824411</v>
      </c>
      <c r="AU402" s="42">
        <v>1861</v>
      </c>
      <c r="AV402" s="42">
        <f t="shared" si="53"/>
        <v>11714.067952878244</v>
      </c>
      <c r="AW402" s="42">
        <v>1484</v>
      </c>
      <c r="AX402" s="42">
        <v>996</v>
      </c>
      <c r="AY402" s="42">
        <v>614</v>
      </c>
      <c r="AZ402" s="42">
        <v>1178</v>
      </c>
      <c r="BA402" s="42">
        <v>727</v>
      </c>
      <c r="BB402" s="42">
        <v>500</v>
      </c>
      <c r="BC402" s="42">
        <v>0</v>
      </c>
      <c r="BD402" s="42">
        <v>500</v>
      </c>
      <c r="BE402" s="42">
        <v>0</v>
      </c>
      <c r="BF402" s="42">
        <v>0</v>
      </c>
      <c r="BG402" s="42">
        <v>0</v>
      </c>
      <c r="BH402" s="42">
        <v>0</v>
      </c>
      <c r="BI402" s="42">
        <v>0</v>
      </c>
      <c r="BJ402" s="42">
        <v>0</v>
      </c>
      <c r="BK402" s="42">
        <v>0</v>
      </c>
      <c r="BL402" s="42">
        <v>500</v>
      </c>
      <c r="BM402" s="42">
        <v>500</v>
      </c>
      <c r="BN402" s="42">
        <v>0</v>
      </c>
      <c r="BO402" s="42">
        <v>500</v>
      </c>
      <c r="BP402" s="42">
        <v>500</v>
      </c>
      <c r="BQ402" s="42">
        <v>500</v>
      </c>
      <c r="BR402" s="42">
        <v>500</v>
      </c>
      <c r="BS402" s="42">
        <v>0</v>
      </c>
      <c r="BT402" s="42">
        <v>500</v>
      </c>
      <c r="BU402" s="42">
        <v>500</v>
      </c>
      <c r="BV402" s="42">
        <v>500</v>
      </c>
      <c r="BW402" s="42">
        <v>500</v>
      </c>
      <c r="BX402" s="42">
        <v>500</v>
      </c>
      <c r="BY402" s="42">
        <v>0</v>
      </c>
      <c r="BZ402" s="42">
        <v>500</v>
      </c>
      <c r="CA402" s="42">
        <v>500</v>
      </c>
      <c r="CB402" s="42">
        <v>500</v>
      </c>
      <c r="CC402" s="42">
        <v>500</v>
      </c>
      <c r="CD402" s="42">
        <v>0</v>
      </c>
      <c r="CE402" s="42">
        <v>432</v>
      </c>
      <c r="CF402" s="42">
        <v>0</v>
      </c>
      <c r="CG402" s="42">
        <v>0</v>
      </c>
      <c r="CH402" s="42">
        <v>0</v>
      </c>
      <c r="CI402" s="42">
        <v>0</v>
      </c>
      <c r="CJ402" s="42">
        <v>0</v>
      </c>
      <c r="CK402" s="43">
        <f t="shared" si="54"/>
        <v>13931</v>
      </c>
      <c r="CL402" s="66"/>
      <c r="CM402" s="66">
        <v>0</v>
      </c>
      <c r="CN402" s="66">
        <v>0</v>
      </c>
      <c r="CO402" s="66">
        <v>0</v>
      </c>
      <c r="CP402" s="66">
        <v>0</v>
      </c>
      <c r="CQ402" s="66">
        <v>0</v>
      </c>
      <c r="CR402" s="66">
        <v>0</v>
      </c>
      <c r="CS402" s="66">
        <v>0</v>
      </c>
      <c r="CT402" s="66">
        <v>0</v>
      </c>
      <c r="CU402" s="66">
        <v>0</v>
      </c>
      <c r="CV402" s="66">
        <v>0</v>
      </c>
      <c r="CW402" s="66">
        <v>0</v>
      </c>
      <c r="CX402" s="66">
        <v>0</v>
      </c>
      <c r="CY402" s="66">
        <v>0</v>
      </c>
      <c r="CZ402" s="66">
        <v>0</v>
      </c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>
        <f>SUM(Table1[[#This Row],[01-03 Apr]:[Mar-26]])</f>
        <v>0</v>
      </c>
    </row>
    <row r="403" spans="1:115" hidden="1" x14ac:dyDescent="0.2">
      <c r="A403" s="28"/>
      <c r="B403" s="29"/>
      <c r="C403" s="29" t="s">
        <v>2330</v>
      </c>
      <c r="D403" s="30" t="s">
        <v>2331</v>
      </c>
      <c r="E403" s="30" t="s">
        <v>85</v>
      </c>
      <c r="F403" s="30"/>
      <c r="G403" s="31"/>
      <c r="H403" s="30">
        <v>378123</v>
      </c>
      <c r="I403" s="30" t="str">
        <f>IF(Table1[[#This Row],[Centre Status]]="Returned","NA",IF(Table1[[#This Row],[SD]]&gt;19000,"Full Payment",IF(Table1[[#This Row],[SD]]&lt;1,"No Payment","Partial Payment")))</f>
        <v>NA</v>
      </c>
      <c r="J403" s="30" t="s">
        <v>1903</v>
      </c>
      <c r="K403" s="32">
        <v>110000</v>
      </c>
      <c r="L403" s="33">
        <f>Q403+R403+U403+Table1[[#This Row],[Farmer Payment]]</f>
        <v>49314.50881179361</v>
      </c>
      <c r="M403" s="30">
        <v>30914</v>
      </c>
      <c r="N403" s="34">
        <v>45763</v>
      </c>
      <c r="O403" s="34" t="s">
        <v>2457</v>
      </c>
      <c r="P403" s="35">
        <f t="shared" si="51"/>
        <v>91599.49118820639</v>
      </c>
      <c r="Q403" s="33">
        <f>AI403+AV403+CK403+Table1[[#This Row],[FY 25-26]]</f>
        <v>29319.50881179361</v>
      </c>
      <c r="R403" s="36">
        <v>19995</v>
      </c>
      <c r="S403" s="37" t="s">
        <v>2332</v>
      </c>
      <c r="T403" s="38">
        <v>45418</v>
      </c>
      <c r="U403" s="39"/>
      <c r="V403" s="39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1">
        <f t="shared" si="52"/>
        <v>0</v>
      </c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>
        <f t="shared" si="53"/>
        <v>0</v>
      </c>
      <c r="AW403" s="42">
        <v>0</v>
      </c>
      <c r="AX403" s="42">
        <v>0</v>
      </c>
      <c r="AY403" s="42">
        <v>0</v>
      </c>
      <c r="AZ403" s="42">
        <v>727</v>
      </c>
      <c r="BA403" s="42">
        <v>1671</v>
      </c>
      <c r="BB403" s="42">
        <v>0</v>
      </c>
      <c r="BC403" s="42">
        <v>1861</v>
      </c>
      <c r="BD403" s="42">
        <v>0</v>
      </c>
      <c r="BE403" s="42">
        <v>0</v>
      </c>
      <c r="BF403" s="42">
        <v>0</v>
      </c>
      <c r="BG403" s="42">
        <v>0</v>
      </c>
      <c r="BH403" s="42">
        <v>0</v>
      </c>
      <c r="BI403" s="42">
        <v>2550.0225122384927</v>
      </c>
      <c r="BJ403" s="42">
        <v>0</v>
      </c>
      <c r="BK403" s="42">
        <v>0</v>
      </c>
      <c r="BL403" s="42">
        <v>0</v>
      </c>
      <c r="BM403" s="42">
        <v>0</v>
      </c>
      <c r="BN403" s="42">
        <v>3441.7427194242991</v>
      </c>
      <c r="BO403" s="42">
        <v>0</v>
      </c>
      <c r="BP403" s="42">
        <v>0</v>
      </c>
      <c r="BQ403" s="42">
        <v>0</v>
      </c>
      <c r="BR403" s="42">
        <v>0</v>
      </c>
      <c r="BS403" s="42">
        <v>6490.596694536046</v>
      </c>
      <c r="BT403" s="42">
        <v>0</v>
      </c>
      <c r="BU403" s="42">
        <v>0</v>
      </c>
      <c r="BV403" s="42">
        <v>0</v>
      </c>
      <c r="BW403" s="42">
        <v>0</v>
      </c>
      <c r="BX403" s="42">
        <v>0</v>
      </c>
      <c r="BY403" s="42">
        <v>5855.4399689156307</v>
      </c>
      <c r="BZ403" s="42">
        <v>0</v>
      </c>
      <c r="CA403" s="42">
        <v>0</v>
      </c>
      <c r="CB403" s="42">
        <v>0</v>
      </c>
      <c r="CC403" s="42">
        <v>0</v>
      </c>
      <c r="CD403" s="42">
        <v>6722.7069166791398</v>
      </c>
      <c r="CE403" s="42">
        <v>0</v>
      </c>
      <c r="CF403" s="42">
        <v>0</v>
      </c>
      <c r="CG403" s="42">
        <v>0</v>
      </c>
      <c r="CH403" s="42">
        <v>0</v>
      </c>
      <c r="CI403" s="42">
        <v>0</v>
      </c>
      <c r="CJ403" s="42">
        <v>0</v>
      </c>
      <c r="CK403" s="43">
        <f t="shared" si="54"/>
        <v>29319.50881179361</v>
      </c>
      <c r="CL403" s="66"/>
      <c r="CM403" s="66">
        <v>0</v>
      </c>
      <c r="CN403" s="66">
        <v>0</v>
      </c>
      <c r="CO403" s="66">
        <v>0</v>
      </c>
      <c r="CP403" s="66">
        <v>0</v>
      </c>
      <c r="CQ403" s="66">
        <v>0</v>
      </c>
      <c r="CR403" s="66">
        <v>0</v>
      </c>
      <c r="CS403" s="66">
        <v>0</v>
      </c>
      <c r="CT403" s="66">
        <v>0</v>
      </c>
      <c r="CU403" s="66">
        <v>0</v>
      </c>
      <c r="CV403" s="66">
        <v>0</v>
      </c>
      <c r="CW403" s="66">
        <v>0</v>
      </c>
      <c r="CX403" s="66">
        <v>0</v>
      </c>
      <c r="CY403" s="66">
        <v>0</v>
      </c>
      <c r="CZ403" s="66">
        <v>0</v>
      </c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>
        <f>SUM(Table1[[#This Row],[01-03 Apr]:[Mar-26]])</f>
        <v>0</v>
      </c>
    </row>
    <row r="404" spans="1:115" hidden="1" x14ac:dyDescent="0.2">
      <c r="A404" s="28"/>
      <c r="B404" s="29"/>
      <c r="C404" s="29" t="s">
        <v>2333</v>
      </c>
      <c r="D404" s="30" t="s">
        <v>2334</v>
      </c>
      <c r="E404" s="30" t="s">
        <v>1321</v>
      </c>
      <c r="F404" s="30"/>
      <c r="G404" s="31"/>
      <c r="H404" s="30">
        <v>387337</v>
      </c>
      <c r="I404" s="30" t="str">
        <f>IF(Table1[[#This Row],[Centre Status]]="Returned","NA",IF(Table1[[#This Row],[SD]]&gt;19000,"Full Payment",IF(Table1[[#This Row],[SD]]&lt;1,"No Payment","Partial Payment")))</f>
        <v>NA</v>
      </c>
      <c r="J404" s="30" t="s">
        <v>1903</v>
      </c>
      <c r="K404" s="32">
        <v>110000</v>
      </c>
      <c r="L404" s="33">
        <f>Q404+R404+U404+Table1[[#This Row],[Farmer Payment]]</f>
        <v>20857.343875066097</v>
      </c>
      <c r="M404" s="30">
        <v>15000</v>
      </c>
      <c r="N404" s="34">
        <v>45680</v>
      </c>
      <c r="O404" s="34" t="s">
        <v>2722</v>
      </c>
      <c r="P404" s="35">
        <f t="shared" si="51"/>
        <v>104142.6561249339</v>
      </c>
      <c r="Q404" s="33">
        <f>AI404+AV404+CK404+Table1[[#This Row],[FY 25-26]]</f>
        <v>5857.343875066098</v>
      </c>
      <c r="R404" s="36">
        <v>15000</v>
      </c>
      <c r="S404" s="37" t="s">
        <v>2335</v>
      </c>
      <c r="T404" s="38">
        <v>45418</v>
      </c>
      <c r="U404" s="39"/>
      <c r="V404" s="39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1">
        <f t="shared" si="52"/>
        <v>0</v>
      </c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>
        <f t="shared" si="53"/>
        <v>0</v>
      </c>
      <c r="AW404" s="42">
        <v>0</v>
      </c>
      <c r="AX404" s="42">
        <v>0</v>
      </c>
      <c r="AY404" s="42">
        <v>0</v>
      </c>
      <c r="AZ404" s="42">
        <v>203</v>
      </c>
      <c r="BA404" s="42">
        <v>1861</v>
      </c>
      <c r="BB404" s="42">
        <v>0</v>
      </c>
      <c r="BC404" s="42">
        <v>2041.3438750660982</v>
      </c>
      <c r="BD404" s="42">
        <v>0</v>
      </c>
      <c r="BE404" s="42">
        <v>0</v>
      </c>
      <c r="BF404" s="42">
        <v>0</v>
      </c>
      <c r="BG404" s="42">
        <v>0</v>
      </c>
      <c r="BH404" s="42">
        <v>0</v>
      </c>
      <c r="BI404" s="42">
        <v>1752</v>
      </c>
      <c r="BJ404" s="42">
        <v>0</v>
      </c>
      <c r="BK404" s="42">
        <v>0</v>
      </c>
      <c r="BL404" s="42">
        <v>0</v>
      </c>
      <c r="BM404" s="42">
        <v>0</v>
      </c>
      <c r="BN404" s="42">
        <v>0</v>
      </c>
      <c r="BO404" s="42">
        <v>0</v>
      </c>
      <c r="BP404" s="42">
        <v>0</v>
      </c>
      <c r="BQ404" s="42">
        <v>0</v>
      </c>
      <c r="BR404" s="42">
        <v>0</v>
      </c>
      <c r="BS404" s="42">
        <v>0</v>
      </c>
      <c r="BT404" s="42">
        <v>0</v>
      </c>
      <c r="BU404" s="42">
        <v>0</v>
      </c>
      <c r="BV404" s="42">
        <v>0</v>
      </c>
      <c r="BW404" s="42">
        <v>0</v>
      </c>
      <c r="BX404" s="42">
        <v>0</v>
      </c>
      <c r="BY404" s="42">
        <v>0</v>
      </c>
      <c r="BZ404" s="42">
        <v>0</v>
      </c>
      <c r="CA404" s="42">
        <v>0</v>
      </c>
      <c r="CB404" s="42">
        <v>0</v>
      </c>
      <c r="CC404" s="42">
        <v>0</v>
      </c>
      <c r="CD404" s="42">
        <v>0</v>
      </c>
      <c r="CE404" s="42">
        <v>0</v>
      </c>
      <c r="CF404" s="42">
        <v>0</v>
      </c>
      <c r="CG404" s="42">
        <v>0</v>
      </c>
      <c r="CH404" s="42">
        <v>0</v>
      </c>
      <c r="CI404" s="42">
        <v>0</v>
      </c>
      <c r="CJ404" s="42">
        <v>0</v>
      </c>
      <c r="CK404" s="43">
        <f t="shared" si="54"/>
        <v>5857.343875066098</v>
      </c>
      <c r="CL404" s="66"/>
      <c r="CM404" s="66">
        <v>0</v>
      </c>
      <c r="CN404" s="66">
        <v>0</v>
      </c>
      <c r="CO404" s="66">
        <v>0</v>
      </c>
      <c r="CP404" s="66">
        <v>0</v>
      </c>
      <c r="CQ404" s="66">
        <v>0</v>
      </c>
      <c r="CR404" s="66">
        <v>0</v>
      </c>
      <c r="CS404" s="66">
        <v>0</v>
      </c>
      <c r="CT404" s="66">
        <v>0</v>
      </c>
      <c r="CU404" s="66">
        <v>0</v>
      </c>
      <c r="CV404" s="66">
        <v>0</v>
      </c>
      <c r="CW404" s="66">
        <v>0</v>
      </c>
      <c r="CX404" s="66">
        <v>0</v>
      </c>
      <c r="CY404" s="66">
        <v>0</v>
      </c>
      <c r="CZ404" s="66">
        <v>0</v>
      </c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>
        <f>SUM(Table1[[#This Row],[01-03 Apr]:[Mar-26]])</f>
        <v>0</v>
      </c>
    </row>
    <row r="405" spans="1:115" hidden="1" x14ac:dyDescent="0.2">
      <c r="A405" s="28"/>
      <c r="B405" s="29"/>
      <c r="C405" s="29" t="s">
        <v>2339</v>
      </c>
      <c r="D405" s="30" t="s">
        <v>2340</v>
      </c>
      <c r="E405" s="30"/>
      <c r="F405" s="30"/>
      <c r="G405" s="31"/>
      <c r="H405" s="30">
        <v>391981</v>
      </c>
      <c r="I405" s="30" t="str">
        <f>IF(Table1[[#This Row],[Centre Status]]="Returned","NA",IF(Table1[[#This Row],[SD]]&gt;19000,"Full Payment",IF(Table1[[#This Row],[SD]]&lt;1,"No Payment","Partial Payment")))</f>
        <v>Full Payment</v>
      </c>
      <c r="J405" s="30" t="s">
        <v>58</v>
      </c>
      <c r="K405" s="32">
        <v>110000</v>
      </c>
      <c r="L405" s="33">
        <f>Q405+R405+U405+Table1[[#This Row],[Farmer Payment]]</f>
        <v>45346.149433766404</v>
      </c>
      <c r="M405" s="30"/>
      <c r="N405" s="34"/>
      <c r="O405" s="34"/>
      <c r="P405" s="35">
        <f t="shared" si="51"/>
        <v>64653.850566233596</v>
      </c>
      <c r="Q405" s="33">
        <f>AI405+AV405+CK405+Table1[[#This Row],[FY 25-26]]</f>
        <v>25346.149433766401</v>
      </c>
      <c r="R405" s="36">
        <v>20000</v>
      </c>
      <c r="S405" s="37" t="s">
        <v>2341</v>
      </c>
      <c r="T405" s="38">
        <v>45439</v>
      </c>
      <c r="U405" s="39"/>
      <c r="V405" s="39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1">
        <f t="shared" si="52"/>
        <v>0</v>
      </c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>
        <f t="shared" si="53"/>
        <v>0</v>
      </c>
      <c r="AW405" s="42">
        <v>0</v>
      </c>
      <c r="AX405" s="42">
        <v>0</v>
      </c>
      <c r="AY405" s="42">
        <v>499</v>
      </c>
      <c r="AZ405" s="42">
        <v>1861</v>
      </c>
      <c r="BA405" s="42">
        <v>1861</v>
      </c>
      <c r="BB405" s="42">
        <v>0</v>
      </c>
      <c r="BC405" s="42">
        <v>1861</v>
      </c>
      <c r="BD405" s="42">
        <v>0</v>
      </c>
      <c r="BE405" s="42">
        <v>0</v>
      </c>
      <c r="BF405" s="42">
        <v>0</v>
      </c>
      <c r="BG405" s="42">
        <v>0</v>
      </c>
      <c r="BH405" s="42">
        <v>0</v>
      </c>
      <c r="BI405" s="42">
        <v>1861</v>
      </c>
      <c r="BJ405" s="42">
        <v>0</v>
      </c>
      <c r="BK405" s="42">
        <v>0</v>
      </c>
      <c r="BL405" s="42">
        <v>0</v>
      </c>
      <c r="BM405" s="42">
        <v>0</v>
      </c>
      <c r="BN405" s="42">
        <v>1861</v>
      </c>
      <c r="BO405" s="42">
        <v>0</v>
      </c>
      <c r="BP405" s="42">
        <v>0</v>
      </c>
      <c r="BQ405" s="42">
        <v>0</v>
      </c>
      <c r="BR405" s="42">
        <v>0</v>
      </c>
      <c r="BS405" s="42">
        <v>2825.2974179328003</v>
      </c>
      <c r="BT405" s="42">
        <v>0</v>
      </c>
      <c r="BU405" s="42">
        <v>0</v>
      </c>
      <c r="BV405" s="42">
        <v>0</v>
      </c>
      <c r="BW405" s="42">
        <v>0</v>
      </c>
      <c r="BX405" s="42">
        <v>0</v>
      </c>
      <c r="BY405" s="42">
        <v>2881.2342400128</v>
      </c>
      <c r="BZ405" s="42">
        <v>0</v>
      </c>
      <c r="CA405" s="42">
        <v>0</v>
      </c>
      <c r="CB405" s="42">
        <v>0</v>
      </c>
      <c r="CC405" s="42">
        <v>0</v>
      </c>
      <c r="CD405" s="42">
        <v>2796.5982648959994</v>
      </c>
      <c r="CE405" s="42">
        <v>0</v>
      </c>
      <c r="CF405" s="42">
        <v>0</v>
      </c>
      <c r="CG405" s="42">
        <v>0</v>
      </c>
      <c r="CH405" s="42">
        <v>0</v>
      </c>
      <c r="CI405" s="42">
        <v>0</v>
      </c>
      <c r="CJ405" s="42">
        <v>2734.3988426111996</v>
      </c>
      <c r="CK405" s="43">
        <f t="shared" si="54"/>
        <v>21041.5287654528</v>
      </c>
      <c r="CL405" s="66"/>
      <c r="CM405" s="66">
        <v>0</v>
      </c>
      <c r="CN405" s="66">
        <v>0</v>
      </c>
      <c r="CO405" s="66">
        <v>0</v>
      </c>
      <c r="CP405" s="66">
        <v>2443.6206683136002</v>
      </c>
      <c r="CQ405" s="66">
        <v>0</v>
      </c>
      <c r="CR405" s="66">
        <v>0</v>
      </c>
      <c r="CS405" s="66">
        <v>0</v>
      </c>
      <c r="CT405" s="66">
        <v>0</v>
      </c>
      <c r="CU405" s="66">
        <v>0</v>
      </c>
      <c r="CV405" s="66">
        <v>1861</v>
      </c>
      <c r="CW405" s="66">
        <v>0</v>
      </c>
      <c r="CX405" s="66">
        <v>0</v>
      </c>
      <c r="CY405" s="66">
        <v>0</v>
      </c>
      <c r="CZ405" s="66">
        <v>0</v>
      </c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>
        <f>SUM(Table1[[#This Row],[01-03 Apr]:[Mar-26]])</f>
        <v>4304.6206683136006</v>
      </c>
    </row>
    <row r="406" spans="1:115" x14ac:dyDescent="0.2">
      <c r="A406" s="28"/>
      <c r="B406" s="29"/>
      <c r="C406" s="29" t="s">
        <v>2336</v>
      </c>
      <c r="D406" s="30" t="s">
        <v>2337</v>
      </c>
      <c r="E406" s="30" t="s">
        <v>85</v>
      </c>
      <c r="F406" s="30"/>
      <c r="G406" s="31"/>
      <c r="H406" s="30">
        <v>360251</v>
      </c>
      <c r="I406" s="30" t="str">
        <f>IF(Table1[[#This Row],[Centre Status]]="Returned","NA",IF(Table1[[#This Row],[SD]]&gt;19000,"Full Payment",IF(Table1[[#This Row],[SD]]&lt;1,"No Payment","Partial Payment")))</f>
        <v>Partial Payment</v>
      </c>
      <c r="J406" s="30" t="s">
        <v>58</v>
      </c>
      <c r="K406" s="32">
        <v>110000</v>
      </c>
      <c r="L406" s="33">
        <f>Q406+R406+U406+Table1[[#This Row],[Farmer Payment]]</f>
        <v>41805.37863421411</v>
      </c>
      <c r="M406" s="30"/>
      <c r="N406" s="34"/>
      <c r="O406" s="34"/>
      <c r="P406" s="35">
        <f t="shared" si="51"/>
        <v>68194.62136578589</v>
      </c>
      <c r="Q406" s="33">
        <f>AI406+AV406+CK406+Table1[[#This Row],[FY 25-26]]</f>
        <v>31805.378634214114</v>
      </c>
      <c r="R406" s="36">
        <v>10000</v>
      </c>
      <c r="S406" s="37" t="s">
        <v>2338</v>
      </c>
      <c r="T406" s="38">
        <v>45434</v>
      </c>
      <c r="U406" s="39"/>
      <c r="V406" s="39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1">
        <f t="shared" si="52"/>
        <v>0</v>
      </c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>
        <f t="shared" si="53"/>
        <v>0</v>
      </c>
      <c r="AW406" s="42">
        <v>0</v>
      </c>
      <c r="AX406" s="42">
        <v>0</v>
      </c>
      <c r="AY406" s="42">
        <v>0</v>
      </c>
      <c r="AZ406" s="42">
        <v>1051</v>
      </c>
      <c r="BA406" s="42">
        <v>1861</v>
      </c>
      <c r="BB406" s="42">
        <v>0</v>
      </c>
      <c r="BC406" s="42">
        <v>1861</v>
      </c>
      <c r="BD406" s="42">
        <v>0</v>
      </c>
      <c r="BE406" s="42">
        <v>0</v>
      </c>
      <c r="BF406" s="42">
        <v>0</v>
      </c>
      <c r="BG406" s="42">
        <v>0</v>
      </c>
      <c r="BH406" s="42">
        <v>0</v>
      </c>
      <c r="BI406" s="42">
        <v>1934.951098941372</v>
      </c>
      <c r="BJ406" s="42">
        <v>0</v>
      </c>
      <c r="BK406" s="42">
        <v>0</v>
      </c>
      <c r="BL406" s="42">
        <v>0</v>
      </c>
      <c r="BM406" s="42">
        <v>0</v>
      </c>
      <c r="BN406" s="42">
        <v>2463.7404782760082</v>
      </c>
      <c r="BO406" s="42">
        <v>0</v>
      </c>
      <c r="BP406" s="42">
        <v>0</v>
      </c>
      <c r="BQ406" s="42">
        <v>0</v>
      </c>
      <c r="BR406" s="42">
        <v>0</v>
      </c>
      <c r="BS406" s="42">
        <v>3926.787318105286</v>
      </c>
      <c r="BT406" s="42">
        <v>0</v>
      </c>
      <c r="BU406" s="42">
        <v>0</v>
      </c>
      <c r="BV406" s="42">
        <v>0</v>
      </c>
      <c r="BW406" s="42">
        <v>0</v>
      </c>
      <c r="BX406" s="42">
        <v>0</v>
      </c>
      <c r="BY406" s="42">
        <v>4400.1523393446723</v>
      </c>
      <c r="BZ406" s="42">
        <v>0</v>
      </c>
      <c r="CA406" s="42">
        <v>0</v>
      </c>
      <c r="CB406" s="42">
        <v>0</v>
      </c>
      <c r="CC406" s="42">
        <v>0</v>
      </c>
      <c r="CD406" s="42">
        <v>4683.2099001213064</v>
      </c>
      <c r="CE406" s="42">
        <v>0</v>
      </c>
      <c r="CF406" s="42">
        <v>0</v>
      </c>
      <c r="CG406" s="42">
        <v>0</v>
      </c>
      <c r="CH406" s="42">
        <v>0</v>
      </c>
      <c r="CI406" s="42">
        <v>0</v>
      </c>
      <c r="CJ406" s="42">
        <v>5339.0743277573538</v>
      </c>
      <c r="CK406" s="43">
        <f t="shared" si="54"/>
        <v>27520.915462545996</v>
      </c>
      <c r="CL406" s="66"/>
      <c r="CM406" s="66">
        <v>0</v>
      </c>
      <c r="CN406" s="66">
        <v>0</v>
      </c>
      <c r="CO406" s="66">
        <v>0</v>
      </c>
      <c r="CP406" s="66">
        <v>4284.4631716681179</v>
      </c>
      <c r="CQ406" s="66">
        <v>0</v>
      </c>
      <c r="CR406" s="66">
        <v>0</v>
      </c>
      <c r="CS406" s="66">
        <v>0</v>
      </c>
      <c r="CT406" s="66">
        <v>0</v>
      </c>
      <c r="CU406" s="66">
        <v>0</v>
      </c>
      <c r="CV406" s="66">
        <v>0</v>
      </c>
      <c r="CW406" s="66">
        <v>0</v>
      </c>
      <c r="CX406" s="66">
        <v>0</v>
      </c>
      <c r="CY406" s="66">
        <v>0</v>
      </c>
      <c r="CZ406" s="66">
        <v>0</v>
      </c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>
        <f>SUM(Table1[[#This Row],[01-03 Apr]:[Mar-26]])</f>
        <v>4284.4631716681179</v>
      </c>
    </row>
    <row r="407" spans="1:115" hidden="1" x14ac:dyDescent="0.2">
      <c r="A407" s="28" t="s">
        <v>2365</v>
      </c>
      <c r="B407" s="29" t="s">
        <v>615</v>
      </c>
      <c r="C407" s="29" t="s">
        <v>616</v>
      </c>
      <c r="D407" s="30" t="s">
        <v>617</v>
      </c>
      <c r="E407" s="30" t="s">
        <v>297</v>
      </c>
      <c r="F407" s="30"/>
      <c r="G407" s="31" t="s">
        <v>471</v>
      </c>
      <c r="H407" s="30">
        <v>385509</v>
      </c>
      <c r="I407" s="30" t="str">
        <f>IF(Table1[[#This Row],[Centre Status]]="Returned","NA",IF(Table1[[#This Row],[SD]]&gt;19000,"Full Payment",IF(Table1[[#This Row],[SD]]&lt;1,"No Payment","Partial Payment")))</f>
        <v>Full Payment</v>
      </c>
      <c r="J407" s="30" t="s">
        <v>58</v>
      </c>
      <c r="K407" s="32">
        <v>110000</v>
      </c>
      <c r="L407" s="33">
        <f>Q407+R407+U407+Table1[[#This Row],[Farmer Payment]]</f>
        <v>78897.533200000005</v>
      </c>
      <c r="M407" s="30"/>
      <c r="N407" s="34"/>
      <c r="O407" s="34"/>
      <c r="P407" s="35">
        <f t="shared" si="51"/>
        <v>31102.466799999995</v>
      </c>
      <c r="Q407" s="33">
        <f>AI407+AV407+CK407+Table1[[#This Row],[FY 25-26]]</f>
        <v>58897.533200000005</v>
      </c>
      <c r="R407" s="36">
        <v>20000</v>
      </c>
      <c r="S407" s="37" t="s">
        <v>618</v>
      </c>
      <c r="T407" s="38">
        <v>44895</v>
      </c>
      <c r="U407" s="39"/>
      <c r="V407" s="39"/>
      <c r="W407" s="40">
        <v>0</v>
      </c>
      <c r="X407" s="40">
        <v>0</v>
      </c>
      <c r="Y407" s="40">
        <v>0</v>
      </c>
      <c r="Z407" s="40">
        <v>0</v>
      </c>
      <c r="AA407" s="40">
        <v>0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>
        <v>1734</v>
      </c>
      <c r="AH407" s="40">
        <v>1861</v>
      </c>
      <c r="AI407" s="41">
        <f t="shared" si="52"/>
        <v>3595</v>
      </c>
      <c r="AJ407" s="42">
        <v>1861</v>
      </c>
      <c r="AK407" s="42">
        <v>3577.3092000000006</v>
      </c>
      <c r="AL407" s="42">
        <v>2856.2713999999996</v>
      </c>
      <c r="AM407" s="42">
        <v>2853.6277999999998</v>
      </c>
      <c r="AN407" s="42">
        <v>1861</v>
      </c>
      <c r="AO407" s="42">
        <v>1886.9574</v>
      </c>
      <c r="AP407" s="42">
        <v>2501.7664000000004</v>
      </c>
      <c r="AQ407" s="42">
        <v>1929.5824</v>
      </c>
      <c r="AR407" s="42">
        <v>2158.7833999999998</v>
      </c>
      <c r="AS407" s="42">
        <v>2933.12</v>
      </c>
      <c r="AT407" s="42">
        <v>2697.5349999999999</v>
      </c>
      <c r="AU407" s="42">
        <v>2401.5802000000003</v>
      </c>
      <c r="AV407" s="42">
        <f t="shared" si="53"/>
        <v>29518.533200000002</v>
      </c>
      <c r="AW407" s="42">
        <v>1861</v>
      </c>
      <c r="AX407" s="42">
        <v>1861</v>
      </c>
      <c r="AY407" s="42">
        <v>1460</v>
      </c>
      <c r="AZ407" s="42">
        <v>855</v>
      </c>
      <c r="BA407" s="42">
        <v>459</v>
      </c>
      <c r="BB407" s="42">
        <v>500</v>
      </c>
      <c r="BC407" s="42">
        <v>24</v>
      </c>
      <c r="BD407" s="42">
        <v>500</v>
      </c>
      <c r="BE407" s="42">
        <v>500</v>
      </c>
      <c r="BF407" s="42">
        <v>500</v>
      </c>
      <c r="BG407" s="42">
        <v>500</v>
      </c>
      <c r="BH407" s="42">
        <v>500</v>
      </c>
      <c r="BI407" s="42">
        <v>0</v>
      </c>
      <c r="BJ407" s="42">
        <v>500</v>
      </c>
      <c r="BK407" s="42">
        <v>500</v>
      </c>
      <c r="BL407" s="42">
        <v>500</v>
      </c>
      <c r="BM407" s="42">
        <v>500</v>
      </c>
      <c r="BN407" s="42">
        <v>-452</v>
      </c>
      <c r="BO407" s="42">
        <v>500</v>
      </c>
      <c r="BP407" s="42">
        <v>500</v>
      </c>
      <c r="BQ407" s="42">
        <v>500</v>
      </c>
      <c r="BR407" s="42">
        <v>500</v>
      </c>
      <c r="BS407" s="42">
        <v>0</v>
      </c>
      <c r="BT407" s="42">
        <v>500</v>
      </c>
      <c r="BU407" s="42">
        <v>500</v>
      </c>
      <c r="BV407" s="42">
        <v>500</v>
      </c>
      <c r="BW407" s="42">
        <v>500</v>
      </c>
      <c r="BX407" s="42">
        <v>500</v>
      </c>
      <c r="BY407" s="42">
        <v>0</v>
      </c>
      <c r="BZ407" s="42">
        <v>500</v>
      </c>
      <c r="CA407" s="42">
        <v>500</v>
      </c>
      <c r="CB407" s="42">
        <v>500</v>
      </c>
      <c r="CC407" s="42">
        <v>500</v>
      </c>
      <c r="CD407" s="42">
        <v>0</v>
      </c>
      <c r="CE407" s="42">
        <v>500</v>
      </c>
      <c r="CF407" s="42">
        <v>500</v>
      </c>
      <c r="CG407" s="42">
        <v>500</v>
      </c>
      <c r="CH407" s="42">
        <v>500</v>
      </c>
      <c r="CI407" s="42">
        <v>500</v>
      </c>
      <c r="CJ407" s="42">
        <v>0</v>
      </c>
      <c r="CK407" s="43">
        <f t="shared" si="54"/>
        <v>20068</v>
      </c>
      <c r="CL407" s="66"/>
      <c r="CM407" s="66">
        <v>500</v>
      </c>
      <c r="CN407" s="66">
        <v>500</v>
      </c>
      <c r="CO407" s="66">
        <v>500</v>
      </c>
      <c r="CP407" s="66">
        <v>0</v>
      </c>
      <c r="CQ407" s="66">
        <v>500</v>
      </c>
      <c r="CR407" s="66">
        <v>500</v>
      </c>
      <c r="CS407" s="66">
        <v>500</v>
      </c>
      <c r="CT407" s="66">
        <v>500</v>
      </c>
      <c r="CU407" s="66">
        <v>216</v>
      </c>
      <c r="CV407" s="66">
        <v>0</v>
      </c>
      <c r="CW407" s="66">
        <v>500</v>
      </c>
      <c r="CX407" s="66">
        <v>500</v>
      </c>
      <c r="CY407" s="66">
        <v>500</v>
      </c>
      <c r="CZ407" s="66">
        <v>500</v>
      </c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>
        <f>SUM(Table1[[#This Row],[01-03 Apr]:[Mar-26]])</f>
        <v>5716</v>
      </c>
    </row>
    <row r="408" spans="1:115" hidden="1" x14ac:dyDescent="0.2">
      <c r="A408" s="28" t="s">
        <v>2364</v>
      </c>
      <c r="B408" s="29" t="s">
        <v>619</v>
      </c>
      <c r="C408" s="29" t="s">
        <v>620</v>
      </c>
      <c r="D408" s="30" t="s">
        <v>621</v>
      </c>
      <c r="E408" s="30" t="s">
        <v>943</v>
      </c>
      <c r="F408" s="30"/>
      <c r="G408" s="31" t="s">
        <v>371</v>
      </c>
      <c r="H408" s="30">
        <v>388007</v>
      </c>
      <c r="I408" s="30" t="str">
        <f>IF(Table1[[#This Row],[Centre Status]]="Returned","NA",IF(Table1[[#This Row],[SD]]&gt;19000,"Full Payment",IF(Table1[[#This Row],[SD]]&lt;1,"No Payment","Partial Payment")))</f>
        <v>Full Payment</v>
      </c>
      <c r="J408" s="30" t="s">
        <v>58</v>
      </c>
      <c r="K408" s="32">
        <v>110000</v>
      </c>
      <c r="L408" s="33">
        <f>Q408+R408+U408+Table1[[#This Row],[Farmer Payment]]</f>
        <v>69117.324136024574</v>
      </c>
      <c r="M408" s="30"/>
      <c r="N408" s="34"/>
      <c r="O408" s="34"/>
      <c r="P408" s="35">
        <f t="shared" si="51"/>
        <v>40882.675863975426</v>
      </c>
      <c r="Q408" s="33">
        <f>AI408+AV408+CK408+Table1[[#This Row],[FY 25-26]]</f>
        <v>49402.324136024567</v>
      </c>
      <c r="R408" s="36">
        <v>19715</v>
      </c>
      <c r="S408" s="37" t="s">
        <v>622</v>
      </c>
      <c r="T408" s="38">
        <v>44895</v>
      </c>
      <c r="U408" s="39"/>
      <c r="V408" s="39"/>
      <c r="W408" s="40">
        <v>0</v>
      </c>
      <c r="X408" s="40">
        <v>0</v>
      </c>
      <c r="Y408" s="40">
        <v>0</v>
      </c>
      <c r="Z408" s="40">
        <v>0</v>
      </c>
      <c r="AA408" s="40">
        <v>0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1336</v>
      </c>
      <c r="AH408" s="40">
        <v>1861</v>
      </c>
      <c r="AI408" s="41">
        <f t="shared" si="52"/>
        <v>3197</v>
      </c>
      <c r="AJ408" s="42">
        <v>1861</v>
      </c>
      <c r="AK408" s="42">
        <v>2000</v>
      </c>
      <c r="AL408" s="42">
        <v>2000</v>
      </c>
      <c r="AM408" s="42">
        <v>2000</v>
      </c>
      <c r="AN408" s="42">
        <v>1861</v>
      </c>
      <c r="AO408" s="42">
        <v>1861</v>
      </c>
      <c r="AP408" s="42">
        <v>1834</v>
      </c>
      <c r="AQ408" s="42">
        <v>293</v>
      </c>
      <c r="AR408" s="42">
        <v>1861</v>
      </c>
      <c r="AS408" s="42">
        <v>382</v>
      </c>
      <c r="AT408" s="42">
        <v>900.32413602456518</v>
      </c>
      <c r="AU408" s="42">
        <v>1861</v>
      </c>
      <c r="AV408" s="42">
        <f t="shared" si="53"/>
        <v>18714.324136024567</v>
      </c>
      <c r="AW408" s="42">
        <v>1861</v>
      </c>
      <c r="AX408" s="42">
        <v>1861</v>
      </c>
      <c r="AY408" s="42">
        <v>1861</v>
      </c>
      <c r="AZ408" s="42">
        <v>2000</v>
      </c>
      <c r="BA408" s="42">
        <v>1861</v>
      </c>
      <c r="BB408" s="42">
        <v>0</v>
      </c>
      <c r="BC408" s="42">
        <v>1433</v>
      </c>
      <c r="BD408" s="42">
        <v>0</v>
      </c>
      <c r="BE408" s="42">
        <v>0</v>
      </c>
      <c r="BF408" s="42">
        <v>0</v>
      </c>
      <c r="BG408" s="42">
        <v>0</v>
      </c>
      <c r="BH408" s="42">
        <v>0</v>
      </c>
      <c r="BI408" s="42">
        <v>661</v>
      </c>
      <c r="BJ408" s="42">
        <v>0</v>
      </c>
      <c r="BK408" s="42">
        <v>0</v>
      </c>
      <c r="BL408" s="42">
        <v>500</v>
      </c>
      <c r="BM408" s="42">
        <v>500</v>
      </c>
      <c r="BN408" s="42">
        <v>453</v>
      </c>
      <c r="BO408" s="42">
        <v>500</v>
      </c>
      <c r="BP408" s="42">
        <v>500</v>
      </c>
      <c r="BQ408" s="42">
        <v>500</v>
      </c>
      <c r="BR408" s="42">
        <v>500</v>
      </c>
      <c r="BS408" s="42">
        <v>0</v>
      </c>
      <c r="BT408" s="42">
        <v>500</v>
      </c>
      <c r="BU408" s="42">
        <v>500</v>
      </c>
      <c r="BV408" s="42">
        <v>500</v>
      </c>
      <c r="BW408" s="42">
        <v>500</v>
      </c>
      <c r="BX408" s="42">
        <v>500</v>
      </c>
      <c r="BY408" s="42">
        <v>0</v>
      </c>
      <c r="BZ408" s="42">
        <v>500</v>
      </c>
      <c r="CA408" s="42">
        <v>500</v>
      </c>
      <c r="CB408" s="42">
        <v>500</v>
      </c>
      <c r="CC408" s="42">
        <v>500</v>
      </c>
      <c r="CD408" s="42">
        <v>0</v>
      </c>
      <c r="CE408" s="42">
        <v>500</v>
      </c>
      <c r="CF408" s="42">
        <v>500</v>
      </c>
      <c r="CG408" s="42">
        <v>500</v>
      </c>
      <c r="CH408" s="42">
        <v>500</v>
      </c>
      <c r="CI408" s="42">
        <v>500</v>
      </c>
      <c r="CJ408" s="42">
        <v>0</v>
      </c>
      <c r="CK408" s="43">
        <f t="shared" si="54"/>
        <v>21991</v>
      </c>
      <c r="CL408" s="66"/>
      <c r="CM408" s="66">
        <v>500</v>
      </c>
      <c r="CN408" s="66">
        <v>500</v>
      </c>
      <c r="CO408" s="66">
        <v>500</v>
      </c>
      <c r="CP408" s="66">
        <v>0</v>
      </c>
      <c r="CQ408" s="66">
        <v>500</v>
      </c>
      <c r="CR408" s="66">
        <v>500</v>
      </c>
      <c r="CS408" s="66">
        <v>0</v>
      </c>
      <c r="CT408" s="66">
        <v>500</v>
      </c>
      <c r="CU408" s="66">
        <v>500</v>
      </c>
      <c r="CV408" s="66">
        <v>0</v>
      </c>
      <c r="CW408" s="66">
        <v>500</v>
      </c>
      <c r="CX408" s="66">
        <v>500</v>
      </c>
      <c r="CY408" s="66">
        <v>500</v>
      </c>
      <c r="CZ408" s="66">
        <v>500</v>
      </c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>
        <f>SUM(Table1[[#This Row],[01-03 Apr]:[Mar-26]])</f>
        <v>5500</v>
      </c>
    </row>
    <row r="409" spans="1:115" x14ac:dyDescent="0.2">
      <c r="A409" s="28" t="s">
        <v>2255</v>
      </c>
      <c r="B409" s="29" t="s">
        <v>625</v>
      </c>
      <c r="C409" s="29" t="s">
        <v>626</v>
      </c>
      <c r="D409" s="30" t="s">
        <v>627</v>
      </c>
      <c r="E409" s="30" t="s">
        <v>177</v>
      </c>
      <c r="F409" s="30"/>
      <c r="G409" s="31" t="s">
        <v>371</v>
      </c>
      <c r="H409" s="30">
        <v>322678</v>
      </c>
      <c r="I409" s="30" t="str">
        <f>IF(Table1[[#This Row],[Centre Status]]="Returned","NA",IF(Table1[[#This Row],[SD]]&gt;19000,"Full Payment",IF(Table1[[#This Row],[SD]]&lt;1,"No Payment","Partial Payment")))</f>
        <v>Partial Payment</v>
      </c>
      <c r="J409" s="30" t="s">
        <v>58</v>
      </c>
      <c r="K409" s="32">
        <v>64000</v>
      </c>
      <c r="L409" s="33">
        <f>Q409+R409+U409+Table1[[#This Row],[Farmer Payment]]</f>
        <v>64000</v>
      </c>
      <c r="M409" s="30"/>
      <c r="N409" s="34"/>
      <c r="O409" s="34"/>
      <c r="P409" s="35">
        <f t="shared" si="51"/>
        <v>0</v>
      </c>
      <c r="Q409" s="33">
        <f>AI409+AV409+CK409+Table1[[#This Row],[FY 25-26]]</f>
        <v>54000</v>
      </c>
      <c r="R409" s="36">
        <v>10000</v>
      </c>
      <c r="S409" s="37" t="s">
        <v>628</v>
      </c>
      <c r="T409" s="38">
        <v>44890</v>
      </c>
      <c r="U409" s="39"/>
      <c r="V409" s="39"/>
      <c r="W409" s="40">
        <v>0</v>
      </c>
      <c r="X409" s="40">
        <v>0</v>
      </c>
      <c r="Y409" s="40">
        <v>0</v>
      </c>
      <c r="Z409" s="40">
        <v>0</v>
      </c>
      <c r="AA409" s="40">
        <v>0</v>
      </c>
      <c r="AB409" s="40">
        <v>0</v>
      </c>
      <c r="AC409" s="40">
        <v>0</v>
      </c>
      <c r="AD409" s="40">
        <v>0</v>
      </c>
      <c r="AE409" s="40">
        <v>0</v>
      </c>
      <c r="AF409" s="40">
        <v>0</v>
      </c>
      <c r="AG409" s="40">
        <v>1302</v>
      </c>
      <c r="AH409" s="40">
        <v>1861</v>
      </c>
      <c r="AI409" s="41">
        <f t="shared" si="52"/>
        <v>3163</v>
      </c>
      <c r="AJ409" s="42">
        <v>1861</v>
      </c>
      <c r="AK409" s="42">
        <v>749</v>
      </c>
      <c r="AL409" s="42">
        <v>0</v>
      </c>
      <c r="AM409" s="42">
        <v>3036.8440000000005</v>
      </c>
      <c r="AN409" s="42">
        <v>3250.4861999999994</v>
      </c>
      <c r="AO409" s="42">
        <v>4714.4110000000001</v>
      </c>
      <c r="AP409" s="42">
        <v>6726.0875999999998</v>
      </c>
      <c r="AQ409" s="42">
        <v>5022.9429999999993</v>
      </c>
      <c r="AR409" s="42">
        <v>4847.3843999999999</v>
      </c>
      <c r="AS409" s="42">
        <v>5670.6468000000004</v>
      </c>
      <c r="AT409" s="42">
        <v>4427.643</v>
      </c>
      <c r="AU409" s="42">
        <v>3989.9524000000006</v>
      </c>
      <c r="AV409" s="42">
        <f t="shared" si="53"/>
        <v>44296.398399999998</v>
      </c>
      <c r="AW409" s="42">
        <v>3138.6538973265001</v>
      </c>
      <c r="AX409" s="42">
        <v>2557.476079544726</v>
      </c>
      <c r="AY409" s="42">
        <v>844.47162312877481</v>
      </c>
      <c r="AZ409" s="42">
        <v>0</v>
      </c>
      <c r="BA409" s="42">
        <v>0</v>
      </c>
      <c r="BB409" s="42">
        <v>0</v>
      </c>
      <c r="BC409" s="42">
        <v>0</v>
      </c>
      <c r="BD409" s="42">
        <v>0</v>
      </c>
      <c r="BE409" s="42">
        <v>0</v>
      </c>
      <c r="BF409" s="42">
        <v>0</v>
      </c>
      <c r="BG409" s="42">
        <v>0</v>
      </c>
      <c r="BH409" s="42">
        <v>0</v>
      </c>
      <c r="BI409" s="42">
        <v>0</v>
      </c>
      <c r="BJ409" s="42">
        <v>0</v>
      </c>
      <c r="BK409" s="42">
        <v>0</v>
      </c>
      <c r="BL409" s="42">
        <v>0</v>
      </c>
      <c r="BM409" s="42">
        <v>0</v>
      </c>
      <c r="BN409" s="42">
        <v>0</v>
      </c>
      <c r="BO409" s="42">
        <v>0</v>
      </c>
      <c r="BP409" s="42">
        <v>0</v>
      </c>
      <c r="BQ409" s="42">
        <v>0</v>
      </c>
      <c r="BR409" s="42">
        <v>0</v>
      </c>
      <c r="BS409" s="42">
        <v>0</v>
      </c>
      <c r="BT409" s="42">
        <v>0</v>
      </c>
      <c r="BU409" s="42">
        <v>0</v>
      </c>
      <c r="BV409" s="42">
        <v>0</v>
      </c>
      <c r="BW409" s="42">
        <v>0</v>
      </c>
      <c r="BX409" s="42">
        <v>0</v>
      </c>
      <c r="BY409" s="42">
        <v>0</v>
      </c>
      <c r="BZ409" s="42">
        <v>0</v>
      </c>
      <c r="CA409" s="42">
        <v>0</v>
      </c>
      <c r="CB409" s="42">
        <v>0</v>
      </c>
      <c r="CC409" s="42">
        <v>0</v>
      </c>
      <c r="CD409" s="42">
        <v>0</v>
      </c>
      <c r="CE409" s="42">
        <v>0</v>
      </c>
      <c r="CF409" s="42">
        <v>0</v>
      </c>
      <c r="CG409" s="42">
        <v>0</v>
      </c>
      <c r="CH409" s="42">
        <v>0</v>
      </c>
      <c r="CI409" s="42">
        <v>0</v>
      </c>
      <c r="CJ409" s="42">
        <v>0</v>
      </c>
      <c r="CK409" s="43">
        <f t="shared" si="54"/>
        <v>6540.6016000000009</v>
      </c>
      <c r="CL409" s="66"/>
      <c r="CM409" s="66">
        <v>0</v>
      </c>
      <c r="CN409" s="66">
        <v>0</v>
      </c>
      <c r="CO409" s="66">
        <v>0</v>
      </c>
      <c r="CP409" s="66">
        <v>0</v>
      </c>
      <c r="CQ409" s="66">
        <v>0</v>
      </c>
      <c r="CR409" s="66">
        <v>0</v>
      </c>
      <c r="CS409" s="66">
        <v>0</v>
      </c>
      <c r="CT409" s="66">
        <v>0</v>
      </c>
      <c r="CU409" s="66">
        <v>0</v>
      </c>
      <c r="CV409" s="66">
        <v>0</v>
      </c>
      <c r="CW409" s="66">
        <v>0</v>
      </c>
      <c r="CX409" s="66">
        <v>0</v>
      </c>
      <c r="CY409" s="66">
        <v>0</v>
      </c>
      <c r="CZ409" s="66">
        <v>0</v>
      </c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>
        <f>SUM(Table1[[#This Row],[01-03 Apr]:[Mar-26]])</f>
        <v>0</v>
      </c>
    </row>
    <row r="410" spans="1:115" hidden="1" x14ac:dyDescent="0.2">
      <c r="A410" s="28" t="s">
        <v>2254</v>
      </c>
      <c r="B410" s="29" t="s">
        <v>629</v>
      </c>
      <c r="C410" s="29" t="s">
        <v>630</v>
      </c>
      <c r="D410" s="30" t="s">
        <v>71</v>
      </c>
      <c r="E410" s="30" t="s">
        <v>63</v>
      </c>
      <c r="F410" s="30"/>
      <c r="G410" s="31" t="s">
        <v>371</v>
      </c>
      <c r="H410" s="30">
        <v>371227</v>
      </c>
      <c r="I410" s="30" t="str">
        <f>IF(Table1[[#This Row],[Centre Status]]="Returned","NA",IF(Table1[[#This Row],[SD]]&gt;19000,"Full Payment",IF(Table1[[#This Row],[SD]]&lt;1,"No Payment","Partial Payment")))</f>
        <v>NA</v>
      </c>
      <c r="J410" s="30" t="s">
        <v>1903</v>
      </c>
      <c r="K410" s="32">
        <v>110000</v>
      </c>
      <c r="L410" s="33">
        <f>Q410+R410+U410+Table1[[#This Row],[Farmer Payment]]</f>
        <v>48112.259712063998</v>
      </c>
      <c r="M410" s="30">
        <f>10000+25000</f>
        <v>35000</v>
      </c>
      <c r="N410" s="34">
        <v>45680</v>
      </c>
      <c r="O410" s="34" t="s">
        <v>2946</v>
      </c>
      <c r="P410" s="35">
        <f t="shared" si="51"/>
        <v>96887.740287936002</v>
      </c>
      <c r="Q410" s="33">
        <f>AI410+AV410+CK410+Table1[[#This Row],[FY 25-26]]</f>
        <v>38112.259712063998</v>
      </c>
      <c r="R410" s="36">
        <v>10000</v>
      </c>
      <c r="S410" s="37" t="s">
        <v>3151</v>
      </c>
      <c r="T410" s="38">
        <v>44849</v>
      </c>
      <c r="U410" s="39"/>
      <c r="V410" s="39"/>
      <c r="W410" s="40">
        <v>0</v>
      </c>
      <c r="X410" s="40">
        <v>0</v>
      </c>
      <c r="Y410" s="40">
        <v>0</v>
      </c>
      <c r="Z410" s="40">
        <v>0</v>
      </c>
      <c r="AA410" s="40">
        <v>0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>
        <v>1861</v>
      </c>
      <c r="AH410" s="40">
        <v>1978.9346</v>
      </c>
      <c r="AI410" s="41">
        <f t="shared" si="52"/>
        <v>3839.9346</v>
      </c>
      <c r="AJ410" s="42">
        <v>2029.4880000000003</v>
      </c>
      <c r="AK410" s="42">
        <v>2000</v>
      </c>
      <c r="AL410" s="42">
        <v>2000</v>
      </c>
      <c r="AM410" s="42">
        <v>2000</v>
      </c>
      <c r="AN410" s="42">
        <v>1861</v>
      </c>
      <c r="AO410" s="42">
        <v>1861</v>
      </c>
      <c r="AP410" s="42">
        <v>1861</v>
      </c>
      <c r="AQ410" s="42">
        <v>1861</v>
      </c>
      <c r="AR410" s="42">
        <v>1861</v>
      </c>
      <c r="AS410" s="42">
        <v>1861</v>
      </c>
      <c r="AT410" s="42">
        <v>1865.6832000000002</v>
      </c>
      <c r="AU410" s="42">
        <v>2000</v>
      </c>
      <c r="AV410" s="42">
        <f t="shared" si="53"/>
        <v>23061.171200000001</v>
      </c>
      <c r="AW410" s="42">
        <v>1864.9557687552001</v>
      </c>
      <c r="AX410" s="42">
        <v>1861</v>
      </c>
      <c r="AY410" s="42">
        <v>1861</v>
      </c>
      <c r="AZ410" s="42">
        <v>1902.1981433088001</v>
      </c>
      <c r="BA410" s="42">
        <v>1861</v>
      </c>
      <c r="BB410" s="42">
        <v>0</v>
      </c>
      <c r="BC410" s="42">
        <v>1861</v>
      </c>
      <c r="BD410" s="42">
        <v>0</v>
      </c>
      <c r="BE410" s="42">
        <v>0</v>
      </c>
      <c r="BF410" s="42">
        <v>0</v>
      </c>
      <c r="BG410" s="42">
        <v>0</v>
      </c>
      <c r="BH410" s="42">
        <v>0</v>
      </c>
      <c r="BI410" s="42">
        <v>0</v>
      </c>
      <c r="BJ410" s="42">
        <v>0</v>
      </c>
      <c r="BK410" s="42">
        <v>0</v>
      </c>
      <c r="BL410" s="42">
        <v>0</v>
      </c>
      <c r="BM410" s="42">
        <v>0</v>
      </c>
      <c r="BN410" s="42">
        <v>0</v>
      </c>
      <c r="BO410" s="42">
        <v>0</v>
      </c>
      <c r="BP410" s="42">
        <v>0</v>
      </c>
      <c r="BQ410" s="42">
        <v>0</v>
      </c>
      <c r="BR410" s="42">
        <v>0</v>
      </c>
      <c r="BS410" s="42">
        <v>0</v>
      </c>
      <c r="BT410" s="42">
        <v>0</v>
      </c>
      <c r="BU410" s="42">
        <v>0</v>
      </c>
      <c r="BV410" s="42">
        <v>0</v>
      </c>
      <c r="BW410" s="42">
        <v>0</v>
      </c>
      <c r="BX410" s="42">
        <v>0</v>
      </c>
      <c r="BY410" s="42">
        <v>0</v>
      </c>
      <c r="BZ410" s="42">
        <v>0</v>
      </c>
      <c r="CA410" s="42">
        <v>0</v>
      </c>
      <c r="CB410" s="42">
        <v>0</v>
      </c>
      <c r="CC410" s="42">
        <v>0</v>
      </c>
      <c r="CD410" s="42">
        <v>0</v>
      </c>
      <c r="CE410" s="42">
        <v>0</v>
      </c>
      <c r="CF410" s="42">
        <v>0</v>
      </c>
      <c r="CG410" s="42">
        <v>0</v>
      </c>
      <c r="CH410" s="42">
        <v>0</v>
      </c>
      <c r="CI410" s="42">
        <v>0</v>
      </c>
      <c r="CJ410" s="42">
        <v>0</v>
      </c>
      <c r="CK410" s="43">
        <f t="shared" si="54"/>
        <v>11211.153912064001</v>
      </c>
      <c r="CL410" s="66"/>
      <c r="CM410" s="66">
        <v>0</v>
      </c>
      <c r="CN410" s="66">
        <v>0</v>
      </c>
      <c r="CO410" s="66">
        <v>0</v>
      </c>
      <c r="CP410" s="66">
        <v>0</v>
      </c>
      <c r="CQ410" s="66">
        <v>0</v>
      </c>
      <c r="CR410" s="66">
        <v>0</v>
      </c>
      <c r="CS410" s="66">
        <v>0</v>
      </c>
      <c r="CT410" s="66">
        <v>0</v>
      </c>
      <c r="CU410" s="66">
        <v>0</v>
      </c>
      <c r="CV410" s="66">
        <v>0</v>
      </c>
      <c r="CW410" s="66">
        <v>0</v>
      </c>
      <c r="CX410" s="66">
        <v>0</v>
      </c>
      <c r="CY410" s="66">
        <v>0</v>
      </c>
      <c r="CZ410" s="66">
        <v>0</v>
      </c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>
        <f>SUM(Table1[[#This Row],[01-03 Apr]:[Mar-26]])</f>
        <v>0</v>
      </c>
    </row>
    <row r="411" spans="1:115" x14ac:dyDescent="0.2">
      <c r="A411" s="28" t="s">
        <v>2364</v>
      </c>
      <c r="B411" s="29" t="s">
        <v>631</v>
      </c>
      <c r="C411" s="29" t="s">
        <v>632</v>
      </c>
      <c r="D411" s="30" t="s">
        <v>633</v>
      </c>
      <c r="E411" s="30" t="s">
        <v>85</v>
      </c>
      <c r="F411" s="30"/>
      <c r="G411" s="31">
        <v>44810</v>
      </c>
      <c r="H411" s="30">
        <v>378753</v>
      </c>
      <c r="I411" s="30" t="str">
        <f>IF(Table1[[#This Row],[Centre Status]]="Returned","NA",IF(Table1[[#This Row],[SD]]&gt;19000,"Full Payment",IF(Table1[[#This Row],[SD]]&lt;1,"No Payment","Partial Payment")))</f>
        <v>Partial Payment</v>
      </c>
      <c r="J411" s="30" t="s">
        <v>58</v>
      </c>
      <c r="K411" s="32">
        <v>110000</v>
      </c>
      <c r="L411" s="33">
        <f>Q411+R411+U411+Table1[[#This Row],[Farmer Payment]]</f>
        <v>79912.978433694254</v>
      </c>
      <c r="M411" s="30"/>
      <c r="N411" s="34"/>
      <c r="O411" s="34"/>
      <c r="P411" s="35">
        <f t="shared" si="51"/>
        <v>30087.021566305746</v>
      </c>
      <c r="Q411" s="33">
        <f>AI411+AV411+CK411+Table1[[#This Row],[FY 25-26]]</f>
        <v>69912.978433694254</v>
      </c>
      <c r="R411" s="36">
        <v>10000</v>
      </c>
      <c r="S411" s="37" t="s">
        <v>634</v>
      </c>
      <c r="T411" s="38">
        <v>44897</v>
      </c>
      <c r="U411" s="39"/>
      <c r="V411" s="39"/>
      <c r="W411" s="40">
        <v>0</v>
      </c>
      <c r="X411" s="40">
        <v>0</v>
      </c>
      <c r="Y411" s="40">
        <v>0</v>
      </c>
      <c r="Z411" s="40">
        <v>0</v>
      </c>
      <c r="AA411" s="40">
        <v>0</v>
      </c>
      <c r="AB411" s="40">
        <v>0</v>
      </c>
      <c r="AC411" s="40">
        <v>0</v>
      </c>
      <c r="AD411" s="40">
        <v>0</v>
      </c>
      <c r="AE411" s="40">
        <v>0</v>
      </c>
      <c r="AF411" s="40">
        <v>2000</v>
      </c>
      <c r="AG411" s="40">
        <v>2000</v>
      </c>
      <c r="AH411" s="40">
        <v>2000</v>
      </c>
      <c r="AI411" s="41">
        <f t="shared" si="52"/>
        <v>6000</v>
      </c>
      <c r="AJ411" s="42">
        <v>2000</v>
      </c>
      <c r="AK411" s="42">
        <v>2000</v>
      </c>
      <c r="AL411" s="42">
        <v>2000</v>
      </c>
      <c r="AM411" s="42">
        <v>2000</v>
      </c>
      <c r="AN411" s="42">
        <v>2000</v>
      </c>
      <c r="AO411" s="42">
        <v>2000</v>
      </c>
      <c r="AP411" s="42">
        <v>2000</v>
      </c>
      <c r="AQ411" s="42">
        <v>2000</v>
      </c>
      <c r="AR411" s="42">
        <v>2000</v>
      </c>
      <c r="AS411" s="42">
        <v>2000</v>
      </c>
      <c r="AT411" s="42">
        <v>2000</v>
      </c>
      <c r="AU411" s="42">
        <v>2000</v>
      </c>
      <c r="AV411" s="42">
        <f t="shared" si="53"/>
        <v>24000</v>
      </c>
      <c r="AW411" s="42">
        <v>2000</v>
      </c>
      <c r="AX411" s="42">
        <v>2000</v>
      </c>
      <c r="AY411" s="42">
        <v>1983.8004566560223</v>
      </c>
      <c r="AZ411" s="42">
        <v>2000</v>
      </c>
      <c r="BA411" s="42">
        <v>1510</v>
      </c>
      <c r="BB411" s="42">
        <v>500</v>
      </c>
      <c r="BC411" s="42">
        <v>1879.8620997942403</v>
      </c>
      <c r="BD411" s="42">
        <v>500</v>
      </c>
      <c r="BE411" s="42">
        <v>0</v>
      </c>
      <c r="BF411" s="42">
        <v>0</v>
      </c>
      <c r="BG411" s="42">
        <v>0</v>
      </c>
      <c r="BH411" s="42">
        <v>0</v>
      </c>
      <c r="BI411" s="42">
        <v>3115.7975898417826</v>
      </c>
      <c r="BJ411" s="42">
        <v>0</v>
      </c>
      <c r="BK411" s="42">
        <v>0</v>
      </c>
      <c r="BL411" s="42">
        <v>0</v>
      </c>
      <c r="BM411" s="42">
        <v>0</v>
      </c>
      <c r="BN411" s="42">
        <v>1619</v>
      </c>
      <c r="BO411" s="42">
        <v>0</v>
      </c>
      <c r="BP411" s="42">
        <v>0</v>
      </c>
      <c r="BQ411" s="42">
        <v>0</v>
      </c>
      <c r="BR411" s="42">
        <v>0</v>
      </c>
      <c r="BS411" s="42">
        <v>3735.8230927452178</v>
      </c>
      <c r="BT411" s="42">
        <v>0</v>
      </c>
      <c r="BU411" s="42">
        <v>0</v>
      </c>
      <c r="BV411" s="42">
        <v>0</v>
      </c>
      <c r="BW411" s="42">
        <v>0</v>
      </c>
      <c r="BX411" s="42">
        <v>0</v>
      </c>
      <c r="BY411" s="42">
        <v>5115.5238786157661</v>
      </c>
      <c r="BZ411" s="42">
        <v>0</v>
      </c>
      <c r="CA411" s="42">
        <v>0</v>
      </c>
      <c r="CB411" s="42">
        <v>0</v>
      </c>
      <c r="CC411" s="42">
        <v>0</v>
      </c>
      <c r="CD411" s="42">
        <v>6044.0894420736004</v>
      </c>
      <c r="CE411" s="42">
        <v>0</v>
      </c>
      <c r="CF411" s="42">
        <v>0</v>
      </c>
      <c r="CG411" s="42">
        <v>0</v>
      </c>
      <c r="CH411" s="42">
        <v>0</v>
      </c>
      <c r="CI411" s="42">
        <v>0</v>
      </c>
      <c r="CJ411" s="42">
        <v>5267.8137039667208</v>
      </c>
      <c r="CK411" s="43">
        <f t="shared" si="54"/>
        <v>37271.710263693349</v>
      </c>
      <c r="CL411" s="66"/>
      <c r="CM411" s="66">
        <v>0</v>
      </c>
      <c r="CN411" s="66">
        <v>0</v>
      </c>
      <c r="CO411" s="66">
        <v>0</v>
      </c>
      <c r="CP411" s="66">
        <v>2001.268170000895</v>
      </c>
      <c r="CQ411" s="66">
        <v>0</v>
      </c>
      <c r="CR411" s="66">
        <v>0</v>
      </c>
      <c r="CS411" s="66">
        <v>0</v>
      </c>
      <c r="CT411" s="66">
        <v>0</v>
      </c>
      <c r="CU411" s="66">
        <v>0</v>
      </c>
      <c r="CV411" s="66">
        <v>640</v>
      </c>
      <c r="CW411" s="66">
        <v>0</v>
      </c>
      <c r="CX411" s="66">
        <v>0</v>
      </c>
      <c r="CY411" s="66">
        <v>0</v>
      </c>
      <c r="CZ411" s="66">
        <v>0</v>
      </c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>
        <f>SUM(Table1[[#This Row],[01-03 Apr]:[Mar-26]])</f>
        <v>2641.2681700008952</v>
      </c>
    </row>
    <row r="412" spans="1:115" x14ac:dyDescent="0.2">
      <c r="A412" s="28" t="s">
        <v>2254</v>
      </c>
      <c r="B412" s="29" t="s">
        <v>635</v>
      </c>
      <c r="C412" s="29" t="s">
        <v>636</v>
      </c>
      <c r="D412" s="30" t="s">
        <v>637</v>
      </c>
      <c r="E412" s="30" t="s">
        <v>85</v>
      </c>
      <c r="F412" s="30"/>
      <c r="G412" s="31">
        <v>44810</v>
      </c>
      <c r="H412" s="30">
        <v>371394</v>
      </c>
      <c r="I412" s="30" t="str">
        <f>IF(Table1[[#This Row],[Centre Status]]="Returned","NA",IF(Table1[[#This Row],[SD]]&gt;19000,"Full Payment",IF(Table1[[#This Row],[SD]]&lt;1,"No Payment","Partial Payment")))</f>
        <v>Partial Payment</v>
      </c>
      <c r="J412" s="30" t="s">
        <v>58</v>
      </c>
      <c r="K412" s="32">
        <v>110000</v>
      </c>
      <c r="L412" s="33">
        <f>Q412+R412+U412+Table1[[#This Row],[Farmer Payment]]</f>
        <v>75230.785702375942</v>
      </c>
      <c r="M412" s="30"/>
      <c r="N412" s="34"/>
      <c r="O412" s="34"/>
      <c r="P412" s="35">
        <f t="shared" ref="P412:P480" si="55">K412-L412+M412</f>
        <v>34769.214297624058</v>
      </c>
      <c r="Q412" s="33">
        <f>AI412+AV412+CK412+Table1[[#This Row],[FY 25-26]]</f>
        <v>65230.785702375942</v>
      </c>
      <c r="R412" s="36">
        <v>10000</v>
      </c>
      <c r="S412" s="37" t="s">
        <v>638</v>
      </c>
      <c r="T412" s="38">
        <v>44897</v>
      </c>
      <c r="U412" s="39"/>
      <c r="V412" s="39"/>
      <c r="W412" s="40">
        <v>0</v>
      </c>
      <c r="X412" s="40">
        <v>0</v>
      </c>
      <c r="Y412" s="40">
        <v>0</v>
      </c>
      <c r="Z412" s="40">
        <v>0</v>
      </c>
      <c r="AA412" s="40">
        <v>0</v>
      </c>
      <c r="AB412" s="40">
        <v>0</v>
      </c>
      <c r="AC412" s="40">
        <v>0</v>
      </c>
      <c r="AD412" s="40">
        <v>0</v>
      </c>
      <c r="AE412" s="40">
        <v>0</v>
      </c>
      <c r="AF412" s="40">
        <v>2000</v>
      </c>
      <c r="AG412" s="40">
        <v>2000</v>
      </c>
      <c r="AH412" s="40">
        <v>2000</v>
      </c>
      <c r="AI412" s="41">
        <f t="shared" ref="AI412:AI480" si="56">SUM(W412:AH412)</f>
        <v>6000</v>
      </c>
      <c r="AJ412" s="42">
        <v>2062.7466000000004</v>
      </c>
      <c r="AK412" s="42">
        <v>2000</v>
      </c>
      <c r="AL412" s="42">
        <v>1861</v>
      </c>
      <c r="AM412" s="42">
        <v>2000</v>
      </c>
      <c r="AN412" s="42">
        <v>2000</v>
      </c>
      <c r="AO412" s="42">
        <v>2000</v>
      </c>
      <c r="AP412" s="42">
        <v>2000</v>
      </c>
      <c r="AQ412" s="42">
        <v>2000</v>
      </c>
      <c r="AR412" s="42">
        <v>2000</v>
      </c>
      <c r="AS412" s="42">
        <v>2000</v>
      </c>
      <c r="AT412" s="42">
        <v>2000</v>
      </c>
      <c r="AU412" s="42">
        <v>2000</v>
      </c>
      <c r="AV412" s="42">
        <f t="shared" ref="AV412:AV480" si="57">SUM(AJ412:AU412)</f>
        <v>23923.746599999999</v>
      </c>
      <c r="AW412" s="42">
        <v>2000</v>
      </c>
      <c r="AX412" s="42">
        <v>1861</v>
      </c>
      <c r="AY412" s="42">
        <v>1738</v>
      </c>
      <c r="AZ412" s="42">
        <v>2000</v>
      </c>
      <c r="BA412" s="42">
        <v>2000</v>
      </c>
      <c r="BB412" s="42">
        <v>0</v>
      </c>
      <c r="BC412" s="42">
        <v>3322.130507564958</v>
      </c>
      <c r="BD412" s="42">
        <v>0</v>
      </c>
      <c r="BE412" s="42">
        <v>0</v>
      </c>
      <c r="BF412" s="42">
        <v>0</v>
      </c>
      <c r="BG412" s="42">
        <v>0</v>
      </c>
      <c r="BH412" s="42">
        <v>0</v>
      </c>
      <c r="BI412" s="42">
        <v>2382.9692236046562</v>
      </c>
      <c r="BJ412" s="42">
        <v>0</v>
      </c>
      <c r="BK412" s="42">
        <v>0</v>
      </c>
      <c r="BL412" s="42">
        <v>0</v>
      </c>
      <c r="BM412" s="42">
        <v>0</v>
      </c>
      <c r="BN412" s="42">
        <v>1923.0970915279661</v>
      </c>
      <c r="BO412" s="42">
        <v>0</v>
      </c>
      <c r="BP412" s="42">
        <v>0</v>
      </c>
      <c r="BQ412" s="42">
        <v>0</v>
      </c>
      <c r="BR412" s="42">
        <v>0</v>
      </c>
      <c r="BS412" s="42">
        <v>3520.9421879312322</v>
      </c>
      <c r="BT412" s="42">
        <v>0</v>
      </c>
      <c r="BU412" s="42">
        <v>0</v>
      </c>
      <c r="BV412" s="42">
        <v>0</v>
      </c>
      <c r="BW412" s="42">
        <v>0</v>
      </c>
      <c r="BX412" s="42">
        <v>0</v>
      </c>
      <c r="BY412" s="42">
        <v>3948.5034347236842</v>
      </c>
      <c r="BZ412" s="42">
        <v>0</v>
      </c>
      <c r="CA412" s="42">
        <v>0</v>
      </c>
      <c r="CB412" s="42">
        <v>0</v>
      </c>
      <c r="CC412" s="42">
        <v>0</v>
      </c>
      <c r="CD412" s="42">
        <v>4088.2889268142876</v>
      </c>
      <c r="CE412" s="42">
        <v>0</v>
      </c>
      <c r="CF412" s="42">
        <v>0</v>
      </c>
      <c r="CG412" s="42">
        <v>0</v>
      </c>
      <c r="CH412" s="42">
        <v>0</v>
      </c>
      <c r="CI412" s="42">
        <v>0</v>
      </c>
      <c r="CJ412" s="42">
        <v>2800.1077302091662</v>
      </c>
      <c r="CK412" s="43">
        <f t="shared" ref="CK412:CK480" si="58">SUM(AW412:CJ412)</f>
        <v>31585.039102375948</v>
      </c>
      <c r="CL412" s="66"/>
      <c r="CM412" s="66">
        <v>0</v>
      </c>
      <c r="CN412" s="66">
        <v>0</v>
      </c>
      <c r="CO412" s="66">
        <v>0</v>
      </c>
      <c r="CP412" s="66">
        <v>1861</v>
      </c>
      <c r="CQ412" s="66">
        <v>0</v>
      </c>
      <c r="CR412" s="66">
        <v>0</v>
      </c>
      <c r="CS412" s="66">
        <v>0</v>
      </c>
      <c r="CT412" s="66">
        <v>0</v>
      </c>
      <c r="CU412" s="66">
        <v>0</v>
      </c>
      <c r="CV412" s="66">
        <v>1861</v>
      </c>
      <c r="CW412" s="66">
        <v>0</v>
      </c>
      <c r="CX412" s="66">
        <v>0</v>
      </c>
      <c r="CY412" s="66">
        <v>0</v>
      </c>
      <c r="CZ412" s="66">
        <v>0</v>
      </c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>
        <f>SUM(Table1[[#This Row],[01-03 Apr]:[Mar-26]])</f>
        <v>3722</v>
      </c>
    </row>
    <row r="413" spans="1:115" hidden="1" x14ac:dyDescent="0.2">
      <c r="A413" s="28" t="s">
        <v>2365</v>
      </c>
      <c r="B413" s="29" t="s">
        <v>639</v>
      </c>
      <c r="C413" s="29" t="s">
        <v>640</v>
      </c>
      <c r="D413" s="30" t="s">
        <v>641</v>
      </c>
      <c r="E413" s="30" t="s">
        <v>217</v>
      </c>
      <c r="F413" s="30"/>
      <c r="G413" s="31" t="s">
        <v>471</v>
      </c>
      <c r="H413" s="30">
        <v>362937</v>
      </c>
      <c r="I413" s="30" t="str">
        <f>IF(Table1[[#This Row],[Centre Status]]="Returned","NA",IF(Table1[[#This Row],[SD]]&gt;19000,"Full Payment",IF(Table1[[#This Row],[SD]]&lt;1,"No Payment","Partial Payment")))</f>
        <v>Full Payment</v>
      </c>
      <c r="J413" s="30" t="s">
        <v>58</v>
      </c>
      <c r="K413" s="32">
        <v>110000</v>
      </c>
      <c r="L413" s="33">
        <f>Q413+R413+U413+Table1[[#This Row],[Farmer Payment]]</f>
        <v>44715.023676676348</v>
      </c>
      <c r="M413" s="30"/>
      <c r="N413" s="34"/>
      <c r="O413" s="34"/>
      <c r="P413" s="35">
        <f t="shared" si="55"/>
        <v>65284.976323323652</v>
      </c>
      <c r="Q413" s="33">
        <f>AI413+AV413+CK413+Table1[[#This Row],[FY 25-26]]</f>
        <v>24715.023676676348</v>
      </c>
      <c r="R413" s="36">
        <v>20000</v>
      </c>
      <c r="S413" s="37" t="s">
        <v>642</v>
      </c>
      <c r="T413" s="38">
        <v>44905</v>
      </c>
      <c r="U413" s="39"/>
      <c r="V413" s="39"/>
      <c r="W413" s="40">
        <v>0</v>
      </c>
      <c r="X413" s="40">
        <v>0</v>
      </c>
      <c r="Y413" s="40">
        <v>0</v>
      </c>
      <c r="Z413" s="40">
        <v>0</v>
      </c>
      <c r="AA413" s="40">
        <v>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1861</v>
      </c>
      <c r="AH413" s="40">
        <v>2312.4740000000002</v>
      </c>
      <c r="AI413" s="41">
        <f t="shared" si="56"/>
        <v>4173.4740000000002</v>
      </c>
      <c r="AJ413" s="42">
        <v>2049.2844</v>
      </c>
      <c r="AK413" s="42">
        <v>2064.4991999999997</v>
      </c>
      <c r="AL413" s="42">
        <v>1861</v>
      </c>
      <c r="AM413" s="42">
        <v>1861</v>
      </c>
      <c r="AN413" s="42">
        <v>1873.1614000000002</v>
      </c>
      <c r="AO413" s="42">
        <v>1861</v>
      </c>
      <c r="AP413" s="42">
        <v>1861</v>
      </c>
      <c r="AQ413" s="42">
        <v>1665</v>
      </c>
      <c r="AR413" s="42">
        <v>1861</v>
      </c>
      <c r="AS413" s="42">
        <v>0</v>
      </c>
      <c r="AT413" s="42">
        <v>722.60467667634612</v>
      </c>
      <c r="AU413" s="42">
        <v>196</v>
      </c>
      <c r="AV413" s="42">
        <f t="shared" si="57"/>
        <v>17875.549676676346</v>
      </c>
      <c r="AW413" s="42">
        <v>0</v>
      </c>
      <c r="AX413" s="42">
        <v>0</v>
      </c>
      <c r="AY413" s="42">
        <v>0</v>
      </c>
      <c r="AZ413" s="42">
        <v>0</v>
      </c>
      <c r="BA413" s="42">
        <v>0</v>
      </c>
      <c r="BB413" s="42">
        <v>500</v>
      </c>
      <c r="BC413" s="42">
        <v>0</v>
      </c>
      <c r="BD413" s="42">
        <v>500</v>
      </c>
      <c r="BE413" s="42">
        <v>500</v>
      </c>
      <c r="BF413" s="42">
        <v>500</v>
      </c>
      <c r="BG413" s="42">
        <v>500</v>
      </c>
      <c r="BH413" s="42">
        <v>166</v>
      </c>
      <c r="BI413" s="42">
        <v>0</v>
      </c>
      <c r="BJ413" s="42">
        <v>0</v>
      </c>
      <c r="BK413" s="42">
        <v>0</v>
      </c>
      <c r="BL413" s="42">
        <v>0</v>
      </c>
      <c r="BM413" s="42">
        <v>0</v>
      </c>
      <c r="BN413" s="42">
        <v>0</v>
      </c>
      <c r="BO413" s="42">
        <v>0</v>
      </c>
      <c r="BP413" s="42">
        <v>0</v>
      </c>
      <c r="BQ413" s="42">
        <v>0</v>
      </c>
      <c r="BR413" s="42">
        <v>0</v>
      </c>
      <c r="BS413" s="42">
        <v>0</v>
      </c>
      <c r="BT413" s="42">
        <v>0</v>
      </c>
      <c r="BU413" s="42">
        <v>0</v>
      </c>
      <c r="BV413" s="42">
        <v>0</v>
      </c>
      <c r="BW413" s="42">
        <v>0</v>
      </c>
      <c r="BX413" s="42">
        <v>0</v>
      </c>
      <c r="BY413" s="42">
        <v>0</v>
      </c>
      <c r="BZ413" s="42">
        <v>0</v>
      </c>
      <c r="CA413" s="42">
        <v>0</v>
      </c>
      <c r="CB413" s="42">
        <v>0</v>
      </c>
      <c r="CC413" s="42">
        <v>0</v>
      </c>
      <c r="CD413" s="42">
        <v>0</v>
      </c>
      <c r="CE413" s="42">
        <v>0</v>
      </c>
      <c r="CF413" s="42">
        <v>0</v>
      </c>
      <c r="CG413" s="42">
        <v>0</v>
      </c>
      <c r="CH413" s="42">
        <v>0</v>
      </c>
      <c r="CI413" s="42">
        <v>0</v>
      </c>
      <c r="CJ413" s="42">
        <v>0</v>
      </c>
      <c r="CK413" s="43">
        <f t="shared" si="58"/>
        <v>2666</v>
      </c>
      <c r="CL413" s="66"/>
      <c r="CM413" s="66">
        <v>0</v>
      </c>
      <c r="CN413" s="66">
        <v>0</v>
      </c>
      <c r="CO413" s="66">
        <v>0</v>
      </c>
      <c r="CP413" s="66">
        <v>0</v>
      </c>
      <c r="CQ413" s="66">
        <v>0</v>
      </c>
      <c r="CR413" s="66">
        <v>0</v>
      </c>
      <c r="CS413" s="66">
        <v>0</v>
      </c>
      <c r="CT413" s="66">
        <v>0</v>
      </c>
      <c r="CU413" s="66">
        <v>0</v>
      </c>
      <c r="CV413" s="66">
        <v>0</v>
      </c>
      <c r="CW413" s="66">
        <v>0</v>
      </c>
      <c r="CX413" s="66">
        <v>0</v>
      </c>
      <c r="CY413" s="66">
        <v>0</v>
      </c>
      <c r="CZ413" s="66">
        <v>0</v>
      </c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>
        <f>SUM(Table1[[#This Row],[01-03 Apr]:[Mar-26]])</f>
        <v>0</v>
      </c>
    </row>
    <row r="414" spans="1:115" hidden="1" x14ac:dyDescent="0.2">
      <c r="A414" s="28" t="s">
        <v>2255</v>
      </c>
      <c r="B414" s="29" t="s">
        <v>643</v>
      </c>
      <c r="C414" s="29" t="s">
        <v>644</v>
      </c>
      <c r="D414" s="30" t="s">
        <v>645</v>
      </c>
      <c r="E414" s="30" t="s">
        <v>177</v>
      </c>
      <c r="F414" s="30"/>
      <c r="G414" s="31" t="s">
        <v>371</v>
      </c>
      <c r="H414" s="30">
        <v>277509</v>
      </c>
      <c r="I414" s="30" t="str">
        <f>IF(Table1[[#This Row],[Centre Status]]="Returned","NA",IF(Table1[[#This Row],[SD]]&gt;19000,"Full Payment",IF(Table1[[#This Row],[SD]]&lt;1,"No Payment","Partial Payment")))</f>
        <v>NA</v>
      </c>
      <c r="J414" s="30" t="s">
        <v>1903</v>
      </c>
      <c r="K414" s="32">
        <v>64000</v>
      </c>
      <c r="L414" s="33">
        <f>Q414+R414+U414+Table1[[#This Row],[Farmer Payment]]</f>
        <v>33704.861000000004</v>
      </c>
      <c r="M414" s="30">
        <v>10000</v>
      </c>
      <c r="N414" s="34">
        <v>45622</v>
      </c>
      <c r="O414" s="34"/>
      <c r="P414" s="35">
        <f t="shared" si="55"/>
        <v>40295.138999999996</v>
      </c>
      <c r="Q414" s="33">
        <f>AI414+AV414+CK414+Table1[[#This Row],[FY 25-26]]</f>
        <v>23704.861000000001</v>
      </c>
      <c r="R414" s="36">
        <v>10000</v>
      </c>
      <c r="S414" s="37" t="s">
        <v>646</v>
      </c>
      <c r="T414" s="38">
        <v>44905</v>
      </c>
      <c r="U414" s="39"/>
      <c r="V414" s="39"/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40">
        <v>0</v>
      </c>
      <c r="AC414" s="40">
        <v>0</v>
      </c>
      <c r="AD414" s="40">
        <v>0</v>
      </c>
      <c r="AE414" s="40">
        <v>0</v>
      </c>
      <c r="AF414" s="40">
        <v>0</v>
      </c>
      <c r="AG414" s="40">
        <v>1046</v>
      </c>
      <c r="AH414" s="40">
        <v>1566</v>
      </c>
      <c r="AI414" s="41">
        <f t="shared" si="56"/>
        <v>2612</v>
      </c>
      <c r="AJ414" s="42">
        <v>1053</v>
      </c>
      <c r="AK414" s="42">
        <v>1306</v>
      </c>
      <c r="AL414" s="42">
        <v>0</v>
      </c>
      <c r="AM414" s="42">
        <v>1323</v>
      </c>
      <c r="AN414" s="42">
        <v>1861</v>
      </c>
      <c r="AO414" s="42">
        <v>2180.6760000000004</v>
      </c>
      <c r="AP414" s="42">
        <v>3074.5454</v>
      </c>
      <c r="AQ414" s="42">
        <v>1861</v>
      </c>
      <c r="AR414" s="42">
        <v>1891.9278000000004</v>
      </c>
      <c r="AS414" s="42">
        <v>2480.2386000000001</v>
      </c>
      <c r="AT414" s="42">
        <v>2200.4731999999999</v>
      </c>
      <c r="AU414" s="42">
        <v>1861</v>
      </c>
      <c r="AV414" s="42">
        <f t="shared" si="57"/>
        <v>21092.861000000001</v>
      </c>
      <c r="AW414" s="42">
        <v>0</v>
      </c>
      <c r="AX414" s="42">
        <v>0</v>
      </c>
      <c r="AY414" s="42">
        <v>0</v>
      </c>
      <c r="AZ414" s="42">
        <v>0</v>
      </c>
      <c r="BA414" s="42">
        <v>0</v>
      </c>
      <c r="BB414" s="42">
        <v>0</v>
      </c>
      <c r="BC414" s="42">
        <v>0</v>
      </c>
      <c r="BD414" s="42">
        <v>0</v>
      </c>
      <c r="BE414" s="42">
        <v>0</v>
      </c>
      <c r="BF414" s="42">
        <v>0</v>
      </c>
      <c r="BG414" s="42">
        <v>0</v>
      </c>
      <c r="BH414" s="42">
        <v>0</v>
      </c>
      <c r="BI414" s="42">
        <v>0</v>
      </c>
      <c r="BJ414" s="42">
        <v>0</v>
      </c>
      <c r="BK414" s="42">
        <v>0</v>
      </c>
      <c r="BL414" s="42">
        <v>0</v>
      </c>
      <c r="BM414" s="42">
        <v>0</v>
      </c>
      <c r="BN414" s="42">
        <v>0</v>
      </c>
      <c r="BO414" s="42">
        <v>0</v>
      </c>
      <c r="BP414" s="42">
        <v>0</v>
      </c>
      <c r="BQ414" s="42">
        <v>0</v>
      </c>
      <c r="BR414" s="42">
        <v>0</v>
      </c>
      <c r="BS414" s="42">
        <v>0</v>
      </c>
      <c r="BT414" s="42">
        <v>0</v>
      </c>
      <c r="BU414" s="42">
        <v>0</v>
      </c>
      <c r="BV414" s="42">
        <v>0</v>
      </c>
      <c r="BW414" s="42">
        <v>0</v>
      </c>
      <c r="BX414" s="42">
        <v>0</v>
      </c>
      <c r="BY414" s="42">
        <v>0</v>
      </c>
      <c r="BZ414" s="42">
        <v>0</v>
      </c>
      <c r="CA414" s="42">
        <v>0</v>
      </c>
      <c r="CB414" s="42">
        <v>0</v>
      </c>
      <c r="CC414" s="42">
        <v>0</v>
      </c>
      <c r="CD414" s="42">
        <v>0</v>
      </c>
      <c r="CE414" s="42">
        <v>0</v>
      </c>
      <c r="CF414" s="42">
        <v>0</v>
      </c>
      <c r="CG414" s="42">
        <v>0</v>
      </c>
      <c r="CH414" s="42">
        <v>0</v>
      </c>
      <c r="CI414" s="42">
        <v>0</v>
      </c>
      <c r="CJ414" s="42">
        <v>0</v>
      </c>
      <c r="CK414" s="43">
        <f t="shared" si="58"/>
        <v>0</v>
      </c>
      <c r="CL414" s="66"/>
      <c r="CM414" s="66">
        <v>0</v>
      </c>
      <c r="CN414" s="66">
        <v>0</v>
      </c>
      <c r="CO414" s="66">
        <v>0</v>
      </c>
      <c r="CP414" s="66">
        <v>0</v>
      </c>
      <c r="CQ414" s="66">
        <v>0</v>
      </c>
      <c r="CR414" s="66">
        <v>0</v>
      </c>
      <c r="CS414" s="66">
        <v>0</v>
      </c>
      <c r="CT414" s="66">
        <v>0</v>
      </c>
      <c r="CU414" s="66">
        <v>0</v>
      </c>
      <c r="CV414" s="66">
        <v>0</v>
      </c>
      <c r="CW414" s="66">
        <v>0</v>
      </c>
      <c r="CX414" s="66">
        <v>0</v>
      </c>
      <c r="CY414" s="66">
        <v>0</v>
      </c>
      <c r="CZ414" s="66">
        <v>0</v>
      </c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>
        <f>SUM(Table1[[#This Row],[01-03 Apr]:[Mar-26]])</f>
        <v>0</v>
      </c>
    </row>
    <row r="415" spans="1:115" hidden="1" x14ac:dyDescent="0.2">
      <c r="A415" s="28" t="s">
        <v>2255</v>
      </c>
      <c r="B415" s="29" t="s">
        <v>647</v>
      </c>
      <c r="C415" s="29" t="s">
        <v>648</v>
      </c>
      <c r="D415" s="30" t="s">
        <v>649</v>
      </c>
      <c r="E415" s="30" t="s">
        <v>584</v>
      </c>
      <c r="F415" s="30"/>
      <c r="G415" s="31" t="s">
        <v>371</v>
      </c>
      <c r="H415" s="30">
        <v>387355</v>
      </c>
      <c r="I415" s="30" t="str">
        <f>IF(Table1[[#This Row],[Centre Status]]="Returned","NA",IF(Table1[[#This Row],[SD]]&gt;19000,"Full Payment",IF(Table1[[#This Row],[SD]]&lt;1,"No Payment","Partial Payment")))</f>
        <v>NA</v>
      </c>
      <c r="J415" s="30" t="s">
        <v>1903</v>
      </c>
      <c r="K415" s="32">
        <v>110000</v>
      </c>
      <c r="L415" s="33">
        <f>Q415+R415+U415+Table1[[#This Row],[Farmer Payment]]</f>
        <v>36709</v>
      </c>
      <c r="M415" s="30">
        <v>20000</v>
      </c>
      <c r="N415" s="34">
        <v>45713</v>
      </c>
      <c r="O415" s="34" t="s">
        <v>3149</v>
      </c>
      <c r="P415" s="35">
        <f t="shared" si="55"/>
        <v>93291</v>
      </c>
      <c r="Q415" s="33">
        <f>AI415+AV415+CK415+Table1[[#This Row],[FY 25-26]]</f>
        <v>16709</v>
      </c>
      <c r="R415" s="36">
        <v>20000</v>
      </c>
      <c r="S415" s="37" t="s">
        <v>650</v>
      </c>
      <c r="T415" s="38">
        <v>44898</v>
      </c>
      <c r="U415" s="39"/>
      <c r="V415" s="39"/>
      <c r="W415" s="40">
        <v>0</v>
      </c>
      <c r="X415" s="40">
        <v>0</v>
      </c>
      <c r="Y415" s="40">
        <v>0</v>
      </c>
      <c r="Z415" s="40">
        <v>0</v>
      </c>
      <c r="AA415" s="40">
        <v>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1180</v>
      </c>
      <c r="AH415" s="40">
        <v>0</v>
      </c>
      <c r="AI415" s="41">
        <f t="shared" si="56"/>
        <v>1180</v>
      </c>
      <c r="AJ415" s="42">
        <v>0</v>
      </c>
      <c r="AK415" s="42">
        <v>0</v>
      </c>
      <c r="AL415" s="42">
        <v>0</v>
      </c>
      <c r="AM415" s="42">
        <v>0</v>
      </c>
      <c r="AN415" s="42">
        <v>0</v>
      </c>
      <c r="AO415" s="42">
        <v>0</v>
      </c>
      <c r="AP415" s="42">
        <v>0</v>
      </c>
      <c r="AQ415" s="42">
        <v>0</v>
      </c>
      <c r="AR415" s="42">
        <v>600</v>
      </c>
      <c r="AS415" s="42">
        <v>565</v>
      </c>
      <c r="AT415" s="42">
        <v>1861</v>
      </c>
      <c r="AU415" s="42">
        <v>1271</v>
      </c>
      <c r="AV415" s="42">
        <f t="shared" si="57"/>
        <v>4297</v>
      </c>
      <c r="AW415" s="42">
        <v>1002</v>
      </c>
      <c r="AX415" s="42">
        <v>1627</v>
      </c>
      <c r="AY415" s="42">
        <v>1286</v>
      </c>
      <c r="AZ415" s="42">
        <v>1711</v>
      </c>
      <c r="BA415" s="42">
        <v>106</v>
      </c>
      <c r="BB415" s="42">
        <v>500</v>
      </c>
      <c r="BC415" s="42">
        <v>0</v>
      </c>
      <c r="BD415" s="42">
        <v>500</v>
      </c>
      <c r="BE415" s="42">
        <v>500</v>
      </c>
      <c r="BF415" s="42">
        <v>500</v>
      </c>
      <c r="BG415" s="42">
        <v>500</v>
      </c>
      <c r="BH415" s="42">
        <v>500</v>
      </c>
      <c r="BI415" s="42">
        <v>0</v>
      </c>
      <c r="BJ415" s="42">
        <v>500</v>
      </c>
      <c r="BK415" s="42">
        <v>500</v>
      </c>
      <c r="BL415" s="42">
        <v>500</v>
      </c>
      <c r="BM415" s="42">
        <v>500</v>
      </c>
      <c r="BN415" s="42">
        <v>0</v>
      </c>
      <c r="BO415" s="42">
        <v>500</v>
      </c>
      <c r="BP415" s="42">
        <v>0</v>
      </c>
      <c r="BQ415" s="42">
        <v>0</v>
      </c>
      <c r="BR415" s="42">
        <v>0</v>
      </c>
      <c r="BS415" s="42">
        <v>0</v>
      </c>
      <c r="BT415" s="42">
        <v>0</v>
      </c>
      <c r="BU415" s="42">
        <v>0</v>
      </c>
      <c r="BV415" s="42">
        <v>0</v>
      </c>
      <c r="BW415" s="42">
        <v>0</v>
      </c>
      <c r="BX415" s="42">
        <v>0</v>
      </c>
      <c r="BY415" s="42">
        <v>0</v>
      </c>
      <c r="BZ415" s="42">
        <v>0</v>
      </c>
      <c r="CA415" s="42">
        <v>0</v>
      </c>
      <c r="CB415" s="42">
        <v>0</v>
      </c>
      <c r="CC415" s="42">
        <v>0</v>
      </c>
      <c r="CD415" s="42">
        <v>0</v>
      </c>
      <c r="CE415" s="42">
        <v>0</v>
      </c>
      <c r="CF415" s="42">
        <v>0</v>
      </c>
      <c r="CG415" s="42">
        <v>0</v>
      </c>
      <c r="CH415" s="42">
        <v>0</v>
      </c>
      <c r="CI415" s="42">
        <v>0</v>
      </c>
      <c r="CJ415" s="42">
        <v>0</v>
      </c>
      <c r="CK415" s="43">
        <f t="shared" si="58"/>
        <v>11232</v>
      </c>
      <c r="CL415" s="66"/>
      <c r="CM415" s="66">
        <v>0</v>
      </c>
      <c r="CN415" s="66">
        <v>0</v>
      </c>
      <c r="CO415" s="66">
        <v>0</v>
      </c>
      <c r="CP415" s="66">
        <v>0</v>
      </c>
      <c r="CQ415" s="66">
        <v>0</v>
      </c>
      <c r="CR415" s="66">
        <v>0</v>
      </c>
      <c r="CS415" s="66">
        <v>0</v>
      </c>
      <c r="CT415" s="66">
        <v>0</v>
      </c>
      <c r="CU415" s="66">
        <v>0</v>
      </c>
      <c r="CV415" s="66">
        <v>0</v>
      </c>
      <c r="CW415" s="66">
        <v>0</v>
      </c>
      <c r="CX415" s="66">
        <v>0</v>
      </c>
      <c r="CY415" s="66">
        <v>0</v>
      </c>
      <c r="CZ415" s="66">
        <v>0</v>
      </c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>
        <f>SUM(Table1[[#This Row],[01-03 Apr]:[Mar-26]])</f>
        <v>0</v>
      </c>
    </row>
    <row r="416" spans="1:115" hidden="1" x14ac:dyDescent="0.2">
      <c r="A416" s="28" t="s">
        <v>2253</v>
      </c>
      <c r="B416" s="29" t="s">
        <v>651</v>
      </c>
      <c r="C416" s="29" t="s">
        <v>652</v>
      </c>
      <c r="D416" s="30" t="s">
        <v>653</v>
      </c>
      <c r="E416" s="30" t="s">
        <v>63</v>
      </c>
      <c r="F416" s="30"/>
      <c r="G416" s="31" t="s">
        <v>654</v>
      </c>
      <c r="H416" s="30">
        <v>364752</v>
      </c>
      <c r="I416" s="30" t="str">
        <f>IF(Table1[[#This Row],[Centre Status]]="Returned","NA",IF(Table1[[#This Row],[SD]]&gt;19000,"Full Payment",IF(Table1[[#This Row],[SD]]&lt;1,"No Payment","Partial Payment")))</f>
        <v>Full Payment</v>
      </c>
      <c r="J416" s="30" t="s">
        <v>58</v>
      </c>
      <c r="K416" s="32">
        <v>110000</v>
      </c>
      <c r="L416" s="33">
        <f>Q416+R416+U416+Table1[[#This Row],[Farmer Payment]]</f>
        <v>110000</v>
      </c>
      <c r="M416" s="30"/>
      <c r="N416" s="34"/>
      <c r="O416" s="34"/>
      <c r="P416" s="35">
        <f t="shared" si="55"/>
        <v>0</v>
      </c>
      <c r="Q416" s="33">
        <f>AI416+AV416+CK416+Table1[[#This Row],[FY 25-26]]</f>
        <v>90000</v>
      </c>
      <c r="R416" s="36">
        <v>20000</v>
      </c>
      <c r="S416" s="37"/>
      <c r="T416" s="38">
        <v>44926</v>
      </c>
      <c r="U416" s="39"/>
      <c r="V416" s="39"/>
      <c r="W416" s="40">
        <v>0</v>
      </c>
      <c r="X416" s="40">
        <v>0</v>
      </c>
      <c r="Y416" s="40">
        <v>0</v>
      </c>
      <c r="Z416" s="40">
        <v>0</v>
      </c>
      <c r="AA416" s="40">
        <v>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6318.215400000001</v>
      </c>
      <c r="AI416" s="41">
        <f t="shared" si="56"/>
        <v>6318.215400000001</v>
      </c>
      <c r="AJ416" s="42">
        <v>5386.5650000000005</v>
      </c>
      <c r="AK416" s="42">
        <v>5895.9334000000008</v>
      </c>
      <c r="AL416" s="42">
        <v>3350.479600000001</v>
      </c>
      <c r="AM416" s="42">
        <v>5112.1923999999999</v>
      </c>
      <c r="AN416" s="42">
        <v>4376.1612000000005</v>
      </c>
      <c r="AO416" s="42">
        <v>3985.6206000000006</v>
      </c>
      <c r="AP416" s="42">
        <v>4662.3592000000008</v>
      </c>
      <c r="AQ416" s="42">
        <v>3463.3267999999998</v>
      </c>
      <c r="AR416" s="42">
        <v>4432.0648000000001</v>
      </c>
      <c r="AS416" s="42">
        <v>6346.0690000000013</v>
      </c>
      <c r="AT416" s="42">
        <v>5800.1832000000004</v>
      </c>
      <c r="AU416" s="42">
        <v>5378.7181999999993</v>
      </c>
      <c r="AV416" s="42">
        <f t="shared" si="57"/>
        <v>58189.673400000014</v>
      </c>
      <c r="AW416" s="42">
        <v>4073.2194265773519</v>
      </c>
      <c r="AX416" s="42">
        <v>2856.4535121054901</v>
      </c>
      <c r="AY416" s="42">
        <v>2272.8527132366585</v>
      </c>
      <c r="AZ416" s="42">
        <v>2232.8459237775319</v>
      </c>
      <c r="BA416" s="42">
        <v>1861.5376473053441</v>
      </c>
      <c r="BB416" s="42">
        <v>0</v>
      </c>
      <c r="BC416" s="42">
        <v>1895.0235652503493</v>
      </c>
      <c r="BD416" s="42">
        <v>0</v>
      </c>
      <c r="BE416" s="42">
        <v>0</v>
      </c>
      <c r="BF416" s="42">
        <v>0</v>
      </c>
      <c r="BG416" s="42">
        <v>0</v>
      </c>
      <c r="BH416" s="42">
        <v>0</v>
      </c>
      <c r="BI416" s="42">
        <v>1974.590872913602</v>
      </c>
      <c r="BJ416" s="42">
        <v>0</v>
      </c>
      <c r="BK416" s="42">
        <v>0</v>
      </c>
      <c r="BL416" s="42">
        <v>0</v>
      </c>
      <c r="BM416" s="42">
        <v>0</v>
      </c>
      <c r="BN416" s="42">
        <v>1190</v>
      </c>
      <c r="BO416" s="42">
        <v>500</v>
      </c>
      <c r="BP416" s="42">
        <v>500</v>
      </c>
      <c r="BQ416" s="42">
        <v>500</v>
      </c>
      <c r="BR416" s="42">
        <v>500</v>
      </c>
      <c r="BS416" s="42">
        <v>0</v>
      </c>
      <c r="BT416" s="42">
        <v>0</v>
      </c>
      <c r="BU416" s="42">
        <v>500</v>
      </c>
      <c r="BV416" s="42">
        <v>0</v>
      </c>
      <c r="BW416" s="42">
        <v>0</v>
      </c>
      <c r="BX416" s="42">
        <v>0</v>
      </c>
      <c r="BY416" s="42">
        <v>1361</v>
      </c>
      <c r="BZ416" s="42">
        <v>0</v>
      </c>
      <c r="CA416" s="42">
        <v>0</v>
      </c>
      <c r="CB416" s="42">
        <v>0</v>
      </c>
      <c r="CC416" s="42">
        <v>0</v>
      </c>
      <c r="CD416" s="42">
        <v>2210.9501991167999</v>
      </c>
      <c r="CE416" s="42">
        <v>0</v>
      </c>
      <c r="CF416" s="42">
        <v>0</v>
      </c>
      <c r="CG416" s="42">
        <v>0</v>
      </c>
      <c r="CH416" s="42">
        <v>0</v>
      </c>
      <c r="CI416" s="42">
        <v>0</v>
      </c>
      <c r="CJ416" s="42">
        <v>1063.6373397168645</v>
      </c>
      <c r="CK416" s="43">
        <f t="shared" si="58"/>
        <v>25492.111199999992</v>
      </c>
      <c r="CL416" s="66"/>
      <c r="CM416" s="66">
        <v>0</v>
      </c>
      <c r="CN416" s="66">
        <v>0</v>
      </c>
      <c r="CO416" s="66">
        <v>0</v>
      </c>
      <c r="CP416" s="66">
        <v>0</v>
      </c>
      <c r="CQ416" s="66">
        <v>0</v>
      </c>
      <c r="CR416" s="66">
        <v>0</v>
      </c>
      <c r="CS416" s="66">
        <v>0</v>
      </c>
      <c r="CT416" s="66">
        <v>0</v>
      </c>
      <c r="CU416" s="66">
        <v>0</v>
      </c>
      <c r="CV416" s="66">
        <v>0</v>
      </c>
      <c r="CW416" s="66">
        <v>0</v>
      </c>
      <c r="CX416" s="66">
        <v>0</v>
      </c>
      <c r="CY416" s="66">
        <v>0</v>
      </c>
      <c r="CZ416" s="66">
        <v>0</v>
      </c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>
        <f>SUM(Table1[[#This Row],[01-03 Apr]:[Mar-26]])</f>
        <v>0</v>
      </c>
    </row>
    <row r="417" spans="1:115" hidden="1" x14ac:dyDescent="0.2">
      <c r="A417" s="28" t="s">
        <v>2253</v>
      </c>
      <c r="B417" s="29" t="s">
        <v>655</v>
      </c>
      <c r="C417" s="29" t="s">
        <v>656</v>
      </c>
      <c r="D417" s="30" t="s">
        <v>657</v>
      </c>
      <c r="E417" s="30" t="s">
        <v>63</v>
      </c>
      <c r="F417" s="30"/>
      <c r="G417" s="31" t="s">
        <v>654</v>
      </c>
      <c r="H417" s="30">
        <v>368635</v>
      </c>
      <c r="I417" s="30" t="str">
        <f>IF(Table1[[#This Row],[Centre Status]]="Returned","NA",IF(Table1[[#This Row],[SD]]&gt;19000,"Full Payment",IF(Table1[[#This Row],[SD]]&lt;1,"No Payment","Partial Payment")))</f>
        <v>Full Payment</v>
      </c>
      <c r="J417" s="30" t="s">
        <v>58</v>
      </c>
      <c r="K417" s="32">
        <v>110000</v>
      </c>
      <c r="L417" s="33">
        <f>Q417+R417+U417+Table1[[#This Row],[Farmer Payment]]</f>
        <v>110000</v>
      </c>
      <c r="M417" s="30"/>
      <c r="N417" s="34"/>
      <c r="O417" s="34"/>
      <c r="P417" s="35">
        <f t="shared" si="55"/>
        <v>0</v>
      </c>
      <c r="Q417" s="33">
        <f>AI417+AV417+CK417+Table1[[#This Row],[FY 25-26]]</f>
        <v>90000</v>
      </c>
      <c r="R417" s="36">
        <v>20000</v>
      </c>
      <c r="S417" s="37" t="s">
        <v>2538</v>
      </c>
      <c r="T417" s="38">
        <v>44937</v>
      </c>
      <c r="U417" s="39"/>
      <c r="V417" s="39"/>
      <c r="W417" s="40">
        <v>0</v>
      </c>
      <c r="X417" s="40">
        <v>0</v>
      </c>
      <c r="Y417" s="40">
        <v>0</v>
      </c>
      <c r="Z417" s="40">
        <v>0</v>
      </c>
      <c r="AA417" s="40">
        <v>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>
        <v>0</v>
      </c>
      <c r="AH417" s="40">
        <v>4006.9343999999996</v>
      </c>
      <c r="AI417" s="41">
        <f t="shared" si="56"/>
        <v>4006.9343999999996</v>
      </c>
      <c r="AJ417" s="42">
        <v>4516.1313999999993</v>
      </c>
      <c r="AK417" s="42">
        <v>3401.6412</v>
      </c>
      <c r="AL417" s="42">
        <v>3704.0716000000002</v>
      </c>
      <c r="AM417" s="42">
        <v>6530.2805999999991</v>
      </c>
      <c r="AN417" s="42">
        <v>7608.7771999999995</v>
      </c>
      <c r="AO417" s="42">
        <v>9761.9079999999994</v>
      </c>
      <c r="AP417" s="42">
        <v>12172.919</v>
      </c>
      <c r="AQ417" s="42">
        <v>6996.099000000002</v>
      </c>
      <c r="AR417" s="42">
        <v>8122.1122000000014</v>
      </c>
      <c r="AS417" s="42">
        <v>9137.4435999999987</v>
      </c>
      <c r="AT417" s="42">
        <v>8115.6513999999988</v>
      </c>
      <c r="AU417" s="42">
        <v>5926.0303999999869</v>
      </c>
      <c r="AV417" s="42">
        <f t="shared" si="57"/>
        <v>85993.065600000002</v>
      </c>
      <c r="AW417" s="42">
        <v>0</v>
      </c>
      <c r="AX417" s="42">
        <v>0</v>
      </c>
      <c r="AY417" s="42">
        <v>0</v>
      </c>
      <c r="AZ417" s="42">
        <v>0</v>
      </c>
      <c r="BA417" s="42">
        <v>0</v>
      </c>
      <c r="BB417" s="42">
        <v>0</v>
      </c>
      <c r="BC417" s="42">
        <v>0</v>
      </c>
      <c r="BD417" s="42">
        <v>0</v>
      </c>
      <c r="BE417" s="42">
        <v>0</v>
      </c>
      <c r="BF417" s="42">
        <v>0</v>
      </c>
      <c r="BG417" s="42">
        <v>0</v>
      </c>
      <c r="BH417" s="42">
        <v>0</v>
      </c>
      <c r="BI417" s="42">
        <v>0</v>
      </c>
      <c r="BJ417" s="42">
        <v>0</v>
      </c>
      <c r="BK417" s="42">
        <v>0</v>
      </c>
      <c r="BL417" s="42">
        <v>0</v>
      </c>
      <c r="BM417" s="42">
        <v>0</v>
      </c>
      <c r="BN417" s="42">
        <v>0</v>
      </c>
      <c r="BO417" s="42">
        <v>0</v>
      </c>
      <c r="BP417" s="42">
        <v>0</v>
      </c>
      <c r="BQ417" s="42">
        <v>0</v>
      </c>
      <c r="BR417" s="42">
        <v>0</v>
      </c>
      <c r="BS417" s="42">
        <v>0</v>
      </c>
      <c r="BT417" s="42">
        <v>0</v>
      </c>
      <c r="BU417" s="42">
        <v>0</v>
      </c>
      <c r="BV417" s="42">
        <v>0</v>
      </c>
      <c r="BW417" s="42">
        <v>0</v>
      </c>
      <c r="BX417" s="42">
        <v>0</v>
      </c>
      <c r="BY417" s="42">
        <v>0</v>
      </c>
      <c r="BZ417" s="42">
        <v>0</v>
      </c>
      <c r="CA417" s="42">
        <v>0</v>
      </c>
      <c r="CB417" s="42">
        <v>0</v>
      </c>
      <c r="CC417" s="42">
        <v>0</v>
      </c>
      <c r="CD417" s="42">
        <v>0</v>
      </c>
      <c r="CE417" s="42">
        <v>0</v>
      </c>
      <c r="CF417" s="42">
        <v>0</v>
      </c>
      <c r="CG417" s="42">
        <v>0</v>
      </c>
      <c r="CH417" s="42">
        <v>0</v>
      </c>
      <c r="CI417" s="42">
        <v>0</v>
      </c>
      <c r="CJ417" s="42">
        <v>0</v>
      </c>
      <c r="CK417" s="43">
        <f t="shared" si="58"/>
        <v>0</v>
      </c>
      <c r="CL417" s="66"/>
      <c r="CM417" s="66">
        <v>0</v>
      </c>
      <c r="CN417" s="66">
        <v>0</v>
      </c>
      <c r="CO417" s="66">
        <v>0</v>
      </c>
      <c r="CP417" s="66">
        <v>0</v>
      </c>
      <c r="CQ417" s="66">
        <v>0</v>
      </c>
      <c r="CR417" s="66">
        <v>0</v>
      </c>
      <c r="CS417" s="66">
        <v>0</v>
      </c>
      <c r="CT417" s="66">
        <v>0</v>
      </c>
      <c r="CU417" s="66">
        <v>0</v>
      </c>
      <c r="CV417" s="66">
        <v>0</v>
      </c>
      <c r="CW417" s="66">
        <v>0</v>
      </c>
      <c r="CX417" s="66">
        <v>0</v>
      </c>
      <c r="CY417" s="66">
        <v>0</v>
      </c>
      <c r="CZ417" s="66">
        <v>0</v>
      </c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>
        <f>SUM(Table1[[#This Row],[01-03 Apr]:[Mar-26]])</f>
        <v>0</v>
      </c>
    </row>
    <row r="418" spans="1:115" hidden="1" x14ac:dyDescent="0.2">
      <c r="A418" s="28" t="s">
        <v>2253</v>
      </c>
      <c r="B418" s="29" t="s">
        <v>658</v>
      </c>
      <c r="C418" s="29" t="s">
        <v>659</v>
      </c>
      <c r="D418" s="30" t="s">
        <v>660</v>
      </c>
      <c r="E418" s="30" t="s">
        <v>1321</v>
      </c>
      <c r="F418" s="30"/>
      <c r="G418" s="31" t="s">
        <v>654</v>
      </c>
      <c r="H418" s="30">
        <v>368617</v>
      </c>
      <c r="I418" s="30" t="str">
        <f>IF(Table1[[#This Row],[Centre Status]]="Returned","NA",IF(Table1[[#This Row],[SD]]&gt;19000,"Full Payment",IF(Table1[[#This Row],[SD]]&lt;1,"No Payment","Partial Payment")))</f>
        <v>Full Payment</v>
      </c>
      <c r="J418" s="30" t="s">
        <v>58</v>
      </c>
      <c r="K418" s="32">
        <v>110000</v>
      </c>
      <c r="L418" s="33">
        <f>Q418+R418+U418+Table1[[#This Row],[Farmer Payment]]</f>
        <v>110000</v>
      </c>
      <c r="M418" s="30"/>
      <c r="N418" s="34"/>
      <c r="O418" s="34"/>
      <c r="P418" s="35">
        <f t="shared" si="55"/>
        <v>0</v>
      </c>
      <c r="Q418" s="33">
        <f>AI418+AV418+CK418+Table1[[#This Row],[FY 25-26]]</f>
        <v>90001</v>
      </c>
      <c r="R418" s="36">
        <v>19999</v>
      </c>
      <c r="S418" s="37" t="s">
        <v>2540</v>
      </c>
      <c r="T418" s="38">
        <v>44938</v>
      </c>
      <c r="U418" s="39"/>
      <c r="V418" s="39"/>
      <c r="W418" s="40">
        <v>0</v>
      </c>
      <c r="X418" s="40">
        <v>0</v>
      </c>
      <c r="Y418" s="40">
        <v>0</v>
      </c>
      <c r="Z418" s="40">
        <v>0</v>
      </c>
      <c r="AA418" s="40">
        <v>0</v>
      </c>
      <c r="AB418" s="40">
        <v>0</v>
      </c>
      <c r="AC418" s="40">
        <v>0</v>
      </c>
      <c r="AD418" s="40">
        <v>0</v>
      </c>
      <c r="AE418" s="40">
        <v>0</v>
      </c>
      <c r="AF418" s="40">
        <v>0</v>
      </c>
      <c r="AG418" s="40">
        <v>0</v>
      </c>
      <c r="AH418" s="40">
        <v>3929.0970000000007</v>
      </c>
      <c r="AI418" s="41">
        <f t="shared" si="56"/>
        <v>3929.0970000000007</v>
      </c>
      <c r="AJ418" s="42">
        <v>3248.7331999999997</v>
      </c>
      <c r="AK418" s="42">
        <v>4105.9326000000001</v>
      </c>
      <c r="AL418" s="42">
        <v>3694.5158000000001</v>
      </c>
      <c r="AM418" s="42">
        <v>6428.4625999999998</v>
      </c>
      <c r="AN418" s="42">
        <v>4339.6190000000006</v>
      </c>
      <c r="AO418" s="42">
        <v>4238.9939999999997</v>
      </c>
      <c r="AP418" s="42">
        <v>6139.7578000000003</v>
      </c>
      <c r="AQ418" s="42">
        <v>5711.9070000000011</v>
      </c>
      <c r="AR418" s="42">
        <v>5720.8632000000016</v>
      </c>
      <c r="AS418" s="42">
        <v>6361.7181999999993</v>
      </c>
      <c r="AT418" s="42">
        <v>3000</v>
      </c>
      <c r="AU418" s="42">
        <v>7960.8329999999996</v>
      </c>
      <c r="AV418" s="42">
        <f t="shared" si="57"/>
        <v>60951.3364</v>
      </c>
      <c r="AW418" s="42">
        <v>3000</v>
      </c>
      <c r="AX418" s="42">
        <v>6201.3982618193713</v>
      </c>
      <c r="AY418" s="42">
        <v>3000</v>
      </c>
      <c r="AZ418" s="42">
        <v>6840.296065677172</v>
      </c>
      <c r="BA418" s="42">
        <v>3526.8997364555162</v>
      </c>
      <c r="BB418" s="42">
        <v>0</v>
      </c>
      <c r="BC418" s="42">
        <v>2551.9725360479351</v>
      </c>
      <c r="BD418" s="42">
        <v>0</v>
      </c>
      <c r="BE418" s="42">
        <v>0</v>
      </c>
      <c r="BF418" s="42">
        <v>0</v>
      </c>
      <c r="BG418" s="42">
        <v>0</v>
      </c>
      <c r="BH418" s="42">
        <v>0</v>
      </c>
      <c r="BI418" s="42">
        <v>0</v>
      </c>
      <c r="BJ418" s="42">
        <v>0</v>
      </c>
      <c r="BK418" s="42">
        <v>0</v>
      </c>
      <c r="BL418" s="42">
        <v>0</v>
      </c>
      <c r="BM418" s="42">
        <v>0</v>
      </c>
      <c r="BN418" s="42">
        <v>0</v>
      </c>
      <c r="BO418" s="42">
        <v>0</v>
      </c>
      <c r="BP418" s="42">
        <v>0</v>
      </c>
      <c r="BQ418" s="42">
        <v>0</v>
      </c>
      <c r="BR418" s="42">
        <v>0</v>
      </c>
      <c r="BS418" s="42">
        <v>0</v>
      </c>
      <c r="BT418" s="42">
        <v>0</v>
      </c>
      <c r="BU418" s="42">
        <v>0</v>
      </c>
      <c r="BV418" s="42">
        <v>0</v>
      </c>
      <c r="BW418" s="42">
        <v>0</v>
      </c>
      <c r="BX418" s="42">
        <v>0</v>
      </c>
      <c r="BY418" s="42">
        <v>0</v>
      </c>
      <c r="BZ418" s="42">
        <v>0</v>
      </c>
      <c r="CA418" s="42">
        <v>0</v>
      </c>
      <c r="CB418" s="42">
        <v>0</v>
      </c>
      <c r="CC418" s="42">
        <v>0</v>
      </c>
      <c r="CD418" s="42">
        <v>0</v>
      </c>
      <c r="CE418" s="42">
        <v>0</v>
      </c>
      <c r="CF418" s="42">
        <v>0</v>
      </c>
      <c r="CG418" s="42">
        <v>0</v>
      </c>
      <c r="CH418" s="42">
        <v>0</v>
      </c>
      <c r="CI418" s="42">
        <v>0</v>
      </c>
      <c r="CJ418" s="42">
        <v>0</v>
      </c>
      <c r="CK418" s="43">
        <f t="shared" si="58"/>
        <v>25120.566599999998</v>
      </c>
      <c r="CL418" s="66"/>
      <c r="CM418" s="66">
        <v>0</v>
      </c>
      <c r="CN418" s="66">
        <v>0</v>
      </c>
      <c r="CO418" s="66">
        <v>0</v>
      </c>
      <c r="CP418" s="66">
        <v>0</v>
      </c>
      <c r="CQ418" s="66">
        <v>0</v>
      </c>
      <c r="CR418" s="66">
        <v>0</v>
      </c>
      <c r="CS418" s="66">
        <v>0</v>
      </c>
      <c r="CT418" s="66">
        <v>0</v>
      </c>
      <c r="CU418" s="66">
        <v>0</v>
      </c>
      <c r="CV418" s="66">
        <v>0</v>
      </c>
      <c r="CW418" s="66">
        <v>0</v>
      </c>
      <c r="CX418" s="66">
        <v>0</v>
      </c>
      <c r="CY418" s="66">
        <v>0</v>
      </c>
      <c r="CZ418" s="66">
        <v>0</v>
      </c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>
        <f>SUM(Table1[[#This Row],[01-03 Apr]:[Mar-26]])</f>
        <v>0</v>
      </c>
    </row>
    <row r="419" spans="1:115" hidden="1" x14ac:dyDescent="0.2">
      <c r="A419" s="28" t="s">
        <v>2253</v>
      </c>
      <c r="B419" s="29" t="s">
        <v>661</v>
      </c>
      <c r="C419" s="29" t="s">
        <v>662</v>
      </c>
      <c r="D419" s="30" t="s">
        <v>663</v>
      </c>
      <c r="E419" s="30" t="s">
        <v>63</v>
      </c>
      <c r="F419" s="30"/>
      <c r="G419" s="31" t="s">
        <v>654</v>
      </c>
      <c r="H419" s="30">
        <v>368620</v>
      </c>
      <c r="I419" s="30" t="str">
        <f>IF(Table1[[#This Row],[Centre Status]]="Returned","NA",IF(Table1[[#This Row],[SD]]&gt;19000,"Full Payment",IF(Table1[[#This Row],[SD]]&lt;1,"No Payment","Partial Payment")))</f>
        <v>Full Payment</v>
      </c>
      <c r="J419" s="30" t="s">
        <v>58</v>
      </c>
      <c r="K419" s="32">
        <v>110000</v>
      </c>
      <c r="L419" s="33">
        <f>Q419+R419+U419+Table1[[#This Row],[Farmer Payment]]</f>
        <v>84380.646799999988</v>
      </c>
      <c r="M419" s="30"/>
      <c r="N419" s="34"/>
      <c r="O419" s="34"/>
      <c r="P419" s="35">
        <f t="shared" si="55"/>
        <v>25619.353200000012</v>
      </c>
      <c r="Q419" s="33">
        <f>AI419+AV419+CK419+Table1[[#This Row],[FY 25-26]]</f>
        <v>64380.646799999995</v>
      </c>
      <c r="R419" s="36">
        <v>20000</v>
      </c>
      <c r="S419" s="37" t="s">
        <v>2539</v>
      </c>
      <c r="T419" s="38">
        <v>44939</v>
      </c>
      <c r="U419" s="39"/>
      <c r="V419" s="39"/>
      <c r="W419" s="40">
        <v>0</v>
      </c>
      <c r="X419" s="40">
        <v>0</v>
      </c>
      <c r="Y419" s="40">
        <v>0</v>
      </c>
      <c r="Z419" s="40">
        <v>0</v>
      </c>
      <c r="AA419" s="40">
        <v>0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>
        <v>0</v>
      </c>
      <c r="AH419" s="40">
        <v>4686.4323999999997</v>
      </c>
      <c r="AI419" s="41">
        <f t="shared" si="56"/>
        <v>4686.4323999999997</v>
      </c>
      <c r="AJ419" s="42">
        <v>4474.7142000000003</v>
      </c>
      <c r="AK419" s="42">
        <v>6028.853000000001</v>
      </c>
      <c r="AL419" s="42">
        <v>4725.8728000000001</v>
      </c>
      <c r="AM419" s="42">
        <v>4758.2993999999999</v>
      </c>
      <c r="AN419" s="42">
        <v>2965.8948</v>
      </c>
      <c r="AO419" s="42">
        <v>1999.6446000000003</v>
      </c>
      <c r="AP419" s="42">
        <v>1877.0286000000001</v>
      </c>
      <c r="AQ419" s="42">
        <v>1861</v>
      </c>
      <c r="AR419" s="42">
        <v>1861</v>
      </c>
      <c r="AS419" s="42">
        <v>1915.6904000000004</v>
      </c>
      <c r="AT419" s="42">
        <v>2163.5036</v>
      </c>
      <c r="AU419" s="42">
        <v>2253.7129999999997</v>
      </c>
      <c r="AV419" s="42">
        <f t="shared" si="57"/>
        <v>36885.214399999997</v>
      </c>
      <c r="AW419" s="42">
        <v>1861</v>
      </c>
      <c r="AX419" s="42">
        <v>1861</v>
      </c>
      <c r="AY419" s="42">
        <v>1325</v>
      </c>
      <c r="AZ419" s="42">
        <v>401</v>
      </c>
      <c r="BA419" s="42">
        <v>816</v>
      </c>
      <c r="BB419" s="42">
        <v>500</v>
      </c>
      <c r="BC419" s="42">
        <v>861</v>
      </c>
      <c r="BD419" s="42">
        <v>500</v>
      </c>
      <c r="BE419" s="42">
        <v>500</v>
      </c>
      <c r="BF419" s="42">
        <v>500</v>
      </c>
      <c r="BG419" s="42">
        <v>500</v>
      </c>
      <c r="BH419" s="42">
        <v>500</v>
      </c>
      <c r="BI419" s="42">
        <v>0</v>
      </c>
      <c r="BJ419" s="42">
        <v>500</v>
      </c>
      <c r="BK419" s="42">
        <v>500</v>
      </c>
      <c r="BL419" s="42">
        <v>500</v>
      </c>
      <c r="BM419" s="42">
        <v>500</v>
      </c>
      <c r="BN419" s="42">
        <v>0</v>
      </c>
      <c r="BO419" s="42">
        <v>500</v>
      </c>
      <c r="BP419" s="42">
        <v>500</v>
      </c>
      <c r="BQ419" s="42">
        <v>500</v>
      </c>
      <c r="BR419" s="42">
        <v>500</v>
      </c>
      <c r="BS419" s="42">
        <v>0</v>
      </c>
      <c r="BT419" s="42">
        <v>500</v>
      </c>
      <c r="BU419" s="42">
        <v>500</v>
      </c>
      <c r="BV419" s="42">
        <v>0</v>
      </c>
      <c r="BW419" s="42">
        <v>0</v>
      </c>
      <c r="BX419" s="42">
        <v>0</v>
      </c>
      <c r="BY419" s="42">
        <v>1361</v>
      </c>
      <c r="BZ419" s="42">
        <v>0</v>
      </c>
      <c r="CA419" s="42">
        <v>0</v>
      </c>
      <c r="CB419" s="42">
        <v>0</v>
      </c>
      <c r="CC419" s="42">
        <v>0</v>
      </c>
      <c r="CD419" s="42">
        <v>1861</v>
      </c>
      <c r="CE419" s="42">
        <v>0</v>
      </c>
      <c r="CF419" s="42">
        <v>0</v>
      </c>
      <c r="CG419" s="42">
        <v>0</v>
      </c>
      <c r="CH419" s="42">
        <v>0</v>
      </c>
      <c r="CI419" s="42">
        <v>0</v>
      </c>
      <c r="CJ419" s="42">
        <v>1239</v>
      </c>
      <c r="CK419" s="43">
        <f t="shared" si="58"/>
        <v>19586</v>
      </c>
      <c r="CL419" s="66"/>
      <c r="CM419" s="66">
        <v>0</v>
      </c>
      <c r="CN419" s="66">
        <v>0</v>
      </c>
      <c r="CO419" s="66">
        <v>0</v>
      </c>
      <c r="CP419" s="66">
        <v>1861</v>
      </c>
      <c r="CQ419" s="66">
        <v>0</v>
      </c>
      <c r="CR419" s="66">
        <v>0</v>
      </c>
      <c r="CS419" s="66">
        <v>0</v>
      </c>
      <c r="CT419" s="66">
        <v>0</v>
      </c>
      <c r="CU419" s="66">
        <v>0</v>
      </c>
      <c r="CV419" s="66">
        <v>1362</v>
      </c>
      <c r="CW419" s="66">
        <v>0</v>
      </c>
      <c r="CX419" s="66">
        <v>0</v>
      </c>
      <c r="CY419" s="66">
        <v>0</v>
      </c>
      <c r="CZ419" s="66">
        <v>0</v>
      </c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>
        <f>SUM(Table1[[#This Row],[01-03 Apr]:[Mar-26]])</f>
        <v>3223</v>
      </c>
    </row>
    <row r="420" spans="1:115" hidden="1" x14ac:dyDescent="0.2">
      <c r="A420" s="28" t="s">
        <v>2366</v>
      </c>
      <c r="B420" s="29" t="s">
        <v>668</v>
      </c>
      <c r="C420" s="29" t="s">
        <v>669</v>
      </c>
      <c r="D420" s="30" t="s">
        <v>670</v>
      </c>
      <c r="E420" s="30" t="s">
        <v>217</v>
      </c>
      <c r="F420" s="30"/>
      <c r="G420" s="31" t="s">
        <v>371</v>
      </c>
      <c r="H420" s="30">
        <v>371189</v>
      </c>
      <c r="I420" s="30" t="str">
        <f>IF(Table1[[#This Row],[Centre Status]]="Returned","NA",IF(Table1[[#This Row],[SD]]&gt;19000,"Full Payment",IF(Table1[[#This Row],[SD]]&lt;1,"No Payment","Partial Payment")))</f>
        <v>Full Payment</v>
      </c>
      <c r="J420" s="30" t="s">
        <v>58</v>
      </c>
      <c r="K420" s="32">
        <v>110000</v>
      </c>
      <c r="L420" s="33">
        <f>Q420+R420+U420+Table1[[#This Row],[Farmer Payment]]</f>
        <v>27731</v>
      </c>
      <c r="M420" s="30"/>
      <c r="N420" s="34"/>
      <c r="O420" s="34"/>
      <c r="P420" s="35">
        <f t="shared" si="55"/>
        <v>82269</v>
      </c>
      <c r="Q420" s="33">
        <f>AI420+AV420+CK420+Table1[[#This Row],[FY 25-26]]</f>
        <v>8016</v>
      </c>
      <c r="R420" s="36">
        <v>19715</v>
      </c>
      <c r="S420" s="37" t="s">
        <v>671</v>
      </c>
      <c r="T420" s="38">
        <v>44924</v>
      </c>
      <c r="U420" s="39"/>
      <c r="V420" s="39"/>
      <c r="W420" s="40">
        <v>0</v>
      </c>
      <c r="X420" s="40">
        <v>0</v>
      </c>
      <c r="Y420" s="40">
        <v>0</v>
      </c>
      <c r="Z420" s="40">
        <v>0</v>
      </c>
      <c r="AA420" s="40">
        <v>0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>
        <v>1861</v>
      </c>
      <c r="AH420" s="40">
        <v>1861</v>
      </c>
      <c r="AI420" s="41">
        <f t="shared" si="56"/>
        <v>3722</v>
      </c>
      <c r="AJ420" s="42">
        <v>907</v>
      </c>
      <c r="AK420" s="42">
        <v>985</v>
      </c>
      <c r="AL420" s="42">
        <v>248</v>
      </c>
      <c r="AM420" s="42">
        <v>769</v>
      </c>
      <c r="AN420" s="42">
        <v>193</v>
      </c>
      <c r="AO420" s="42">
        <v>563</v>
      </c>
      <c r="AP420" s="42">
        <v>0</v>
      </c>
      <c r="AQ420" s="42">
        <v>0</v>
      </c>
      <c r="AR420" s="42">
        <v>0</v>
      </c>
      <c r="AS420" s="42">
        <v>0</v>
      </c>
      <c r="AT420" s="42">
        <v>0</v>
      </c>
      <c r="AU420" s="42">
        <v>0</v>
      </c>
      <c r="AV420" s="42">
        <f t="shared" si="57"/>
        <v>3665</v>
      </c>
      <c r="AW420" s="42">
        <v>0</v>
      </c>
      <c r="AX420" s="42">
        <v>0</v>
      </c>
      <c r="AY420" s="42">
        <v>0</v>
      </c>
      <c r="AZ420" s="42">
        <v>0</v>
      </c>
      <c r="BA420" s="42">
        <v>0</v>
      </c>
      <c r="BB420" s="42">
        <v>500</v>
      </c>
      <c r="BC420" s="42">
        <v>0</v>
      </c>
      <c r="BD420" s="42">
        <v>129</v>
      </c>
      <c r="BE420" s="42">
        <v>0</v>
      </c>
      <c r="BF420" s="42">
        <v>0</v>
      </c>
      <c r="BG420" s="42">
        <v>0</v>
      </c>
      <c r="BH420" s="42">
        <v>0</v>
      </c>
      <c r="BI420" s="42">
        <v>0</v>
      </c>
      <c r="BJ420" s="42">
        <v>0</v>
      </c>
      <c r="BK420" s="42">
        <v>0</v>
      </c>
      <c r="BL420" s="42">
        <v>0</v>
      </c>
      <c r="BM420" s="42">
        <v>0</v>
      </c>
      <c r="BN420" s="42">
        <v>0</v>
      </c>
      <c r="BO420" s="42">
        <v>0</v>
      </c>
      <c r="BP420" s="42">
        <v>0</v>
      </c>
      <c r="BQ420" s="42">
        <v>0</v>
      </c>
      <c r="BR420" s="42">
        <v>0</v>
      </c>
      <c r="BS420" s="42">
        <v>0</v>
      </c>
      <c r="BT420" s="42">
        <v>0</v>
      </c>
      <c r="BU420" s="42">
        <v>0</v>
      </c>
      <c r="BV420" s="42">
        <v>0</v>
      </c>
      <c r="BW420" s="42">
        <v>0</v>
      </c>
      <c r="BX420" s="42">
        <v>0</v>
      </c>
      <c r="BY420" s="42">
        <v>0</v>
      </c>
      <c r="BZ420" s="42">
        <v>0</v>
      </c>
      <c r="CA420" s="42">
        <v>0</v>
      </c>
      <c r="CB420" s="42">
        <v>0</v>
      </c>
      <c r="CC420" s="42">
        <v>0</v>
      </c>
      <c r="CD420" s="42">
        <v>0</v>
      </c>
      <c r="CE420" s="42">
        <v>0</v>
      </c>
      <c r="CF420" s="42">
        <v>0</v>
      </c>
      <c r="CG420" s="42">
        <v>0</v>
      </c>
      <c r="CH420" s="42">
        <v>0</v>
      </c>
      <c r="CI420" s="42">
        <v>0</v>
      </c>
      <c r="CJ420" s="42">
        <v>0</v>
      </c>
      <c r="CK420" s="43">
        <f t="shared" si="58"/>
        <v>629</v>
      </c>
      <c r="CL420" s="66"/>
      <c r="CM420" s="66">
        <v>0</v>
      </c>
      <c r="CN420" s="66">
        <v>0</v>
      </c>
      <c r="CO420" s="66">
        <v>0</v>
      </c>
      <c r="CP420" s="66">
        <v>0</v>
      </c>
      <c r="CQ420" s="66">
        <v>0</v>
      </c>
      <c r="CR420" s="66">
        <v>0</v>
      </c>
      <c r="CS420" s="66">
        <v>0</v>
      </c>
      <c r="CT420" s="66">
        <v>0</v>
      </c>
      <c r="CU420" s="66">
        <v>0</v>
      </c>
      <c r="CV420" s="66">
        <v>0</v>
      </c>
      <c r="CW420" s="66">
        <v>0</v>
      </c>
      <c r="CX420" s="66">
        <v>0</v>
      </c>
      <c r="CY420" s="66">
        <v>0</v>
      </c>
      <c r="CZ420" s="66">
        <v>0</v>
      </c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>
        <f>SUM(Table1[[#This Row],[01-03 Apr]:[Mar-26]])</f>
        <v>0</v>
      </c>
    </row>
    <row r="421" spans="1:115" x14ac:dyDescent="0.2">
      <c r="A421" s="28" t="s">
        <v>2253</v>
      </c>
      <c r="B421" s="29" t="s">
        <v>685</v>
      </c>
      <c r="C421" s="29" t="s">
        <v>686</v>
      </c>
      <c r="D421" s="30" t="s">
        <v>687</v>
      </c>
      <c r="E421" s="30" t="s">
        <v>1321</v>
      </c>
      <c r="F421" s="30"/>
      <c r="G421" s="31" t="s">
        <v>688</v>
      </c>
      <c r="H421" s="30">
        <v>368638</v>
      </c>
      <c r="I421" s="30" t="str">
        <f>IF(Table1[[#This Row],[Centre Status]]="Returned","NA",IF(Table1[[#This Row],[SD]]&gt;19000,"Full Payment",IF(Table1[[#This Row],[SD]]&lt;1,"No Payment","Partial Payment")))</f>
        <v>Partial Payment</v>
      </c>
      <c r="J421" s="30" t="s">
        <v>58</v>
      </c>
      <c r="K421" s="32">
        <v>110000</v>
      </c>
      <c r="L421" s="33">
        <f>Q421+R421+U421+Table1[[#This Row],[Farmer Payment]]</f>
        <v>62097</v>
      </c>
      <c r="M421" s="30"/>
      <c r="N421" s="34"/>
      <c r="O421" s="34"/>
      <c r="P421" s="35">
        <f t="shared" si="55"/>
        <v>47903</v>
      </c>
      <c r="Q421" s="33">
        <f>AI421+AV421+CK421+Table1[[#This Row],[FY 25-26]]</f>
        <v>47097</v>
      </c>
      <c r="R421" s="36">
        <v>15000</v>
      </c>
      <c r="S421" s="37" t="s">
        <v>689</v>
      </c>
      <c r="T421" s="38">
        <v>44964</v>
      </c>
      <c r="U421" s="39"/>
      <c r="V421" s="39"/>
      <c r="W421" s="40">
        <v>0</v>
      </c>
      <c r="X421" s="40">
        <v>0</v>
      </c>
      <c r="Y421" s="40">
        <v>0</v>
      </c>
      <c r="Z421" s="40">
        <v>0</v>
      </c>
      <c r="AA421" s="40">
        <v>0</v>
      </c>
      <c r="AB421" s="40">
        <v>0</v>
      </c>
      <c r="AC421" s="40">
        <v>0</v>
      </c>
      <c r="AD421" s="40">
        <v>0</v>
      </c>
      <c r="AE421" s="40">
        <v>0</v>
      </c>
      <c r="AF421" s="40">
        <v>0</v>
      </c>
      <c r="AG421" s="40">
        <v>118</v>
      </c>
      <c r="AH421" s="40">
        <v>1861</v>
      </c>
      <c r="AI421" s="41">
        <f t="shared" si="56"/>
        <v>1979</v>
      </c>
      <c r="AJ421" s="42">
        <v>1861</v>
      </c>
      <c r="AK421" s="42">
        <v>1861</v>
      </c>
      <c r="AL421" s="42">
        <v>1260</v>
      </c>
      <c r="AM421" s="42">
        <v>1861</v>
      </c>
      <c r="AN421" s="42">
        <v>1861</v>
      </c>
      <c r="AO421" s="42">
        <v>1861</v>
      </c>
      <c r="AP421" s="42">
        <v>1861</v>
      </c>
      <c r="AQ421" s="42">
        <v>882</v>
      </c>
      <c r="AR421" s="42">
        <v>1861</v>
      </c>
      <c r="AS421" s="42">
        <v>1861</v>
      </c>
      <c r="AT421" s="42">
        <v>1064</v>
      </c>
      <c r="AU421" s="42">
        <v>1861</v>
      </c>
      <c r="AV421" s="42">
        <f t="shared" si="57"/>
        <v>19955</v>
      </c>
      <c r="AW421" s="42">
        <v>1385</v>
      </c>
      <c r="AX421" s="42">
        <v>1644</v>
      </c>
      <c r="AY421" s="42">
        <v>1401</v>
      </c>
      <c r="AZ421" s="42">
        <v>844</v>
      </c>
      <c r="BA421" s="42">
        <v>203</v>
      </c>
      <c r="BB421" s="42">
        <v>500</v>
      </c>
      <c r="BC421" s="42">
        <v>0</v>
      </c>
      <c r="BD421" s="42">
        <v>500</v>
      </c>
      <c r="BE421" s="42">
        <v>500</v>
      </c>
      <c r="BF421" s="42">
        <v>500</v>
      </c>
      <c r="BG421" s="42">
        <v>500</v>
      </c>
      <c r="BH421" s="42">
        <v>500</v>
      </c>
      <c r="BI421" s="42">
        <v>0</v>
      </c>
      <c r="BJ421" s="42">
        <v>500</v>
      </c>
      <c r="BK421" s="42">
        <v>500</v>
      </c>
      <c r="BL421" s="42">
        <v>500</v>
      </c>
      <c r="BM421" s="42">
        <v>500</v>
      </c>
      <c r="BN421" s="42">
        <v>0</v>
      </c>
      <c r="BO421" s="42">
        <v>500</v>
      </c>
      <c r="BP421" s="42">
        <v>500</v>
      </c>
      <c r="BQ421" s="42">
        <v>500</v>
      </c>
      <c r="BR421" s="42">
        <v>500</v>
      </c>
      <c r="BS421" s="42">
        <v>0</v>
      </c>
      <c r="BT421" s="42">
        <v>500</v>
      </c>
      <c r="BU421" s="42">
        <v>500</v>
      </c>
      <c r="BV421" s="42">
        <v>500</v>
      </c>
      <c r="BW421" s="42">
        <v>500</v>
      </c>
      <c r="BX421" s="42">
        <v>500</v>
      </c>
      <c r="BY421" s="42">
        <v>0</v>
      </c>
      <c r="BZ421" s="42">
        <v>500</v>
      </c>
      <c r="CA421" s="42">
        <v>500</v>
      </c>
      <c r="CB421" s="42">
        <v>500</v>
      </c>
      <c r="CC421" s="42">
        <v>500</v>
      </c>
      <c r="CD421" s="42">
        <v>0</v>
      </c>
      <c r="CE421" s="42">
        <v>500</v>
      </c>
      <c r="CF421" s="42">
        <v>500</v>
      </c>
      <c r="CG421" s="42">
        <v>500</v>
      </c>
      <c r="CH421" s="42">
        <v>500</v>
      </c>
      <c r="CI421" s="42">
        <v>500</v>
      </c>
      <c r="CJ421" s="42">
        <v>0</v>
      </c>
      <c r="CK421" s="43">
        <f t="shared" si="58"/>
        <v>19477</v>
      </c>
      <c r="CL421" s="66"/>
      <c r="CM421" s="66">
        <v>500</v>
      </c>
      <c r="CN421" s="66">
        <v>500</v>
      </c>
      <c r="CO421" s="66">
        <v>500</v>
      </c>
      <c r="CP421" s="66">
        <v>0</v>
      </c>
      <c r="CQ421" s="66">
        <v>500</v>
      </c>
      <c r="CR421" s="66">
        <v>500</v>
      </c>
      <c r="CS421" s="66">
        <v>500</v>
      </c>
      <c r="CT421" s="66">
        <v>500</v>
      </c>
      <c r="CU421" s="66">
        <v>186</v>
      </c>
      <c r="CV421" s="66">
        <v>0</v>
      </c>
      <c r="CW421" s="66">
        <v>500</v>
      </c>
      <c r="CX421" s="66">
        <v>500</v>
      </c>
      <c r="CY421" s="66">
        <v>500</v>
      </c>
      <c r="CZ421" s="66">
        <v>500</v>
      </c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>
        <f>SUM(Table1[[#This Row],[01-03 Apr]:[Mar-26]])</f>
        <v>5686</v>
      </c>
    </row>
    <row r="422" spans="1:115" x14ac:dyDescent="0.2">
      <c r="A422" s="28" t="s">
        <v>2253</v>
      </c>
      <c r="B422" s="29" t="s">
        <v>690</v>
      </c>
      <c r="C422" s="29" t="s">
        <v>691</v>
      </c>
      <c r="D422" s="30" t="s">
        <v>692</v>
      </c>
      <c r="E422" s="30" t="s">
        <v>63</v>
      </c>
      <c r="F422" s="30"/>
      <c r="G422" s="31" t="s">
        <v>688</v>
      </c>
      <c r="H422" s="30">
        <v>368513</v>
      </c>
      <c r="I422" s="30" t="str">
        <f>IF(Table1[[#This Row],[Centre Status]]="Returned","NA",IF(Table1[[#This Row],[SD]]&gt;19000,"Full Payment",IF(Table1[[#This Row],[SD]]&lt;1,"No Payment","Partial Payment")))</f>
        <v>Partial Payment</v>
      </c>
      <c r="J422" s="30" t="s">
        <v>58</v>
      </c>
      <c r="K422" s="32">
        <v>110000</v>
      </c>
      <c r="L422" s="33">
        <f>Q422+R422+U422+Table1[[#This Row],[Farmer Payment]]</f>
        <v>96700.751983312381</v>
      </c>
      <c r="M422" s="30"/>
      <c r="N422" s="34"/>
      <c r="O422" s="34"/>
      <c r="P422" s="35">
        <f t="shared" si="55"/>
        <v>13299.248016687619</v>
      </c>
      <c r="Q422" s="33">
        <f>AI422+AV422+CK422+Table1[[#This Row],[FY 25-26]]</f>
        <v>81700.751983312381</v>
      </c>
      <c r="R422" s="36">
        <v>15000</v>
      </c>
      <c r="S422" s="37" t="s">
        <v>693</v>
      </c>
      <c r="T422" s="38">
        <v>44971</v>
      </c>
      <c r="U422" s="39"/>
      <c r="V422" s="39"/>
      <c r="W422" s="40">
        <v>0</v>
      </c>
      <c r="X422" s="40">
        <v>0</v>
      </c>
      <c r="Y422" s="40">
        <v>0</v>
      </c>
      <c r="Z422" s="40">
        <v>0</v>
      </c>
      <c r="AA422" s="40">
        <v>0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>
        <v>125</v>
      </c>
      <c r="AH422" s="40">
        <v>1861</v>
      </c>
      <c r="AI422" s="41">
        <f t="shared" si="56"/>
        <v>1986</v>
      </c>
      <c r="AJ422" s="42">
        <v>1861</v>
      </c>
      <c r="AK422" s="42">
        <v>1861</v>
      </c>
      <c r="AL422" s="42">
        <v>2166.933</v>
      </c>
      <c r="AM422" s="42">
        <v>3111.0562</v>
      </c>
      <c r="AN422" s="42">
        <v>2992.4929999999999</v>
      </c>
      <c r="AO422" s="42">
        <v>4057.9874</v>
      </c>
      <c r="AP422" s="42">
        <v>4197.0149999999994</v>
      </c>
      <c r="AQ422" s="42">
        <v>2396.3579999999997</v>
      </c>
      <c r="AR422" s="42">
        <v>3537.5</v>
      </c>
      <c r="AS422" s="42">
        <v>4054.4506000000001</v>
      </c>
      <c r="AT422" s="42">
        <v>4413.1258000000007</v>
      </c>
      <c r="AU422" s="42">
        <v>5167.7906000000003</v>
      </c>
      <c r="AV422" s="42">
        <f t="shared" si="57"/>
        <v>39816.709600000002</v>
      </c>
      <c r="AW422" s="42">
        <v>3726.7429087680866</v>
      </c>
      <c r="AX422" s="42">
        <v>2629.6304344396403</v>
      </c>
      <c r="AY422" s="42">
        <v>2041.4651555903999</v>
      </c>
      <c r="AZ422" s="42">
        <v>2903.1023050938138</v>
      </c>
      <c r="BA422" s="42">
        <v>2959.3164600355663</v>
      </c>
      <c r="BB422" s="42">
        <v>0</v>
      </c>
      <c r="BC422" s="42">
        <v>3897.6703611414882</v>
      </c>
      <c r="BD422" s="42">
        <v>0</v>
      </c>
      <c r="BE422" s="42">
        <v>0</v>
      </c>
      <c r="BF422" s="42">
        <v>0</v>
      </c>
      <c r="BG422" s="42">
        <v>0</v>
      </c>
      <c r="BH422" s="42">
        <v>0</v>
      </c>
      <c r="BI422" s="42">
        <v>2154.1710685916355</v>
      </c>
      <c r="BJ422" s="42">
        <v>0</v>
      </c>
      <c r="BK422" s="42">
        <v>0</v>
      </c>
      <c r="BL422" s="42">
        <v>0</v>
      </c>
      <c r="BM422" s="42">
        <v>0</v>
      </c>
      <c r="BN422" s="42">
        <v>2097.0454995653004</v>
      </c>
      <c r="BO422" s="42">
        <v>0</v>
      </c>
      <c r="BP422" s="42">
        <v>0</v>
      </c>
      <c r="BQ422" s="42">
        <v>0</v>
      </c>
      <c r="BR422" s="42">
        <v>0</v>
      </c>
      <c r="BS422" s="42">
        <v>3088.3225909790885</v>
      </c>
      <c r="BT422" s="42">
        <v>0</v>
      </c>
      <c r="BU422" s="42">
        <v>0</v>
      </c>
      <c r="BV422" s="42">
        <v>0</v>
      </c>
      <c r="BW422" s="42">
        <v>0</v>
      </c>
      <c r="BX422" s="42">
        <v>0</v>
      </c>
      <c r="BY422" s="42">
        <v>3075.7619195158327</v>
      </c>
      <c r="BZ422" s="42">
        <v>0</v>
      </c>
      <c r="CA422" s="42">
        <v>0</v>
      </c>
      <c r="CB422" s="42">
        <v>0</v>
      </c>
      <c r="CC422" s="42">
        <v>0</v>
      </c>
      <c r="CD422" s="42">
        <v>3427.8471361893767</v>
      </c>
      <c r="CE422" s="42">
        <v>0</v>
      </c>
      <c r="CF422" s="42">
        <v>0</v>
      </c>
      <c r="CG422" s="42">
        <v>0</v>
      </c>
      <c r="CH422" s="42">
        <v>0</v>
      </c>
      <c r="CI422" s="42">
        <v>0</v>
      </c>
      <c r="CJ422" s="42">
        <v>3097.2105298703</v>
      </c>
      <c r="CK422" s="43">
        <f t="shared" si="58"/>
        <v>35098.28636978053</v>
      </c>
      <c r="CL422" s="66"/>
      <c r="CM422" s="66">
        <v>0</v>
      </c>
      <c r="CN422" s="66">
        <v>0</v>
      </c>
      <c r="CO422" s="66">
        <v>0</v>
      </c>
      <c r="CP422" s="66">
        <v>2761.8226667965305</v>
      </c>
      <c r="CQ422" s="66">
        <v>0</v>
      </c>
      <c r="CR422" s="66">
        <v>0</v>
      </c>
      <c r="CS422" s="66">
        <v>0</v>
      </c>
      <c r="CT422" s="66">
        <v>0</v>
      </c>
      <c r="CU422" s="66">
        <v>0</v>
      </c>
      <c r="CV422" s="66">
        <v>2037.9333467353224</v>
      </c>
      <c r="CW422" s="66">
        <v>0</v>
      </c>
      <c r="CX422" s="66">
        <v>0</v>
      </c>
      <c r="CY422" s="66">
        <v>0</v>
      </c>
      <c r="CZ422" s="66">
        <v>0</v>
      </c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>
        <f>SUM(Table1[[#This Row],[01-03 Apr]:[Mar-26]])</f>
        <v>4799.7560135318527</v>
      </c>
    </row>
    <row r="423" spans="1:115" hidden="1" x14ac:dyDescent="0.2">
      <c r="A423" s="28" t="s">
        <v>2253</v>
      </c>
      <c r="B423" s="29" t="s">
        <v>694</v>
      </c>
      <c r="C423" s="29" t="s">
        <v>695</v>
      </c>
      <c r="D423" s="30" t="s">
        <v>696</v>
      </c>
      <c r="E423" s="30" t="s">
        <v>584</v>
      </c>
      <c r="F423" s="30"/>
      <c r="G423" s="31" t="s">
        <v>697</v>
      </c>
      <c r="H423" s="30">
        <v>360021</v>
      </c>
      <c r="I423" s="30" t="str">
        <f>IF(Table1[[#This Row],[Centre Status]]="Returned","NA",IF(Table1[[#This Row],[SD]]&gt;19000,"Full Payment",IF(Table1[[#This Row],[SD]]&lt;1,"No Payment","Partial Payment")))</f>
        <v>Full Payment</v>
      </c>
      <c r="J423" s="30" t="s">
        <v>58</v>
      </c>
      <c r="K423" s="32">
        <v>110000</v>
      </c>
      <c r="L423" s="33">
        <f>Q423+R423+U423+Table1[[#This Row],[Farmer Payment]]</f>
        <v>110000</v>
      </c>
      <c r="M423" s="30"/>
      <c r="N423" s="34"/>
      <c r="O423" s="34"/>
      <c r="P423" s="35">
        <f t="shared" si="55"/>
        <v>0</v>
      </c>
      <c r="Q423" s="33">
        <f>AI423+AV423+CK423+Table1[[#This Row],[FY 25-26]]</f>
        <v>90000</v>
      </c>
      <c r="R423" s="36">
        <v>20000</v>
      </c>
      <c r="S423" s="37" t="s">
        <v>698</v>
      </c>
      <c r="T423" s="38">
        <v>44959</v>
      </c>
      <c r="U423" s="39"/>
      <c r="V423" s="39"/>
      <c r="W423" s="40">
        <v>0</v>
      </c>
      <c r="X423" s="40">
        <v>0</v>
      </c>
      <c r="Y423" s="40">
        <v>0</v>
      </c>
      <c r="Z423" s="40">
        <v>0</v>
      </c>
      <c r="AA423" s="40">
        <v>0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1365</v>
      </c>
      <c r="AI423" s="41">
        <f t="shared" si="56"/>
        <v>1365</v>
      </c>
      <c r="AJ423" s="42">
        <v>1861</v>
      </c>
      <c r="AK423" s="42">
        <v>2304.9052000000001</v>
      </c>
      <c r="AL423" s="42">
        <v>3589.0657999999999</v>
      </c>
      <c r="AM423" s="42">
        <v>9130.6384000000016</v>
      </c>
      <c r="AN423" s="42">
        <v>8763.146200000001</v>
      </c>
      <c r="AO423" s="42">
        <v>8069.2437999999993</v>
      </c>
      <c r="AP423" s="42">
        <v>9299.2487999999994</v>
      </c>
      <c r="AQ423" s="42">
        <v>6655.3424000000005</v>
      </c>
      <c r="AR423" s="42">
        <v>7685.8324000000002</v>
      </c>
      <c r="AS423" s="42">
        <v>9867.1214</v>
      </c>
      <c r="AT423" s="42">
        <v>8342.147399999998</v>
      </c>
      <c r="AU423" s="42">
        <v>6637.1514000000006</v>
      </c>
      <c r="AV423" s="42">
        <f t="shared" si="57"/>
        <v>82204.843200000003</v>
      </c>
      <c r="AW423" s="42">
        <v>4944.2613484267522</v>
      </c>
      <c r="AX423" s="42">
        <v>1485.8954515732476</v>
      </c>
      <c r="AY423" s="42">
        <v>0</v>
      </c>
      <c r="AZ423" s="42">
        <v>0</v>
      </c>
      <c r="BA423" s="42">
        <v>0</v>
      </c>
      <c r="BB423" s="42">
        <v>0</v>
      </c>
      <c r="BC423" s="42">
        <v>0</v>
      </c>
      <c r="BD423" s="42">
        <v>0</v>
      </c>
      <c r="BE423" s="42">
        <v>0</v>
      </c>
      <c r="BF423" s="42">
        <v>0</v>
      </c>
      <c r="BG423" s="42">
        <v>0</v>
      </c>
      <c r="BH423" s="42">
        <v>0</v>
      </c>
      <c r="BI423" s="42">
        <v>0</v>
      </c>
      <c r="BJ423" s="42">
        <v>0</v>
      </c>
      <c r="BK423" s="42">
        <v>0</v>
      </c>
      <c r="BL423" s="42">
        <v>0</v>
      </c>
      <c r="BM423" s="42">
        <v>0</v>
      </c>
      <c r="BN423" s="42">
        <v>0</v>
      </c>
      <c r="BO423" s="42">
        <v>0</v>
      </c>
      <c r="BP423" s="42">
        <v>0</v>
      </c>
      <c r="BQ423" s="42">
        <v>0</v>
      </c>
      <c r="BR423" s="42">
        <v>0</v>
      </c>
      <c r="BS423" s="42">
        <v>0</v>
      </c>
      <c r="BT423" s="42">
        <v>0</v>
      </c>
      <c r="BU423" s="42">
        <v>0</v>
      </c>
      <c r="BV423" s="42">
        <v>0</v>
      </c>
      <c r="BW423" s="42">
        <v>0</v>
      </c>
      <c r="BX423" s="42">
        <v>0</v>
      </c>
      <c r="BY423" s="42">
        <v>0</v>
      </c>
      <c r="BZ423" s="42">
        <v>0</v>
      </c>
      <c r="CA423" s="42">
        <v>0</v>
      </c>
      <c r="CB423" s="42">
        <v>0</v>
      </c>
      <c r="CC423" s="42">
        <v>0</v>
      </c>
      <c r="CD423" s="42">
        <v>0</v>
      </c>
      <c r="CE423" s="42">
        <v>0</v>
      </c>
      <c r="CF423" s="42">
        <v>0</v>
      </c>
      <c r="CG423" s="42">
        <v>0</v>
      </c>
      <c r="CH423" s="42">
        <v>0</v>
      </c>
      <c r="CI423" s="42">
        <v>0</v>
      </c>
      <c r="CJ423" s="42">
        <v>0</v>
      </c>
      <c r="CK423" s="43">
        <f t="shared" si="58"/>
        <v>6430.1567999999997</v>
      </c>
      <c r="CL423" s="66"/>
      <c r="CM423" s="66">
        <v>0</v>
      </c>
      <c r="CN423" s="66">
        <v>0</v>
      </c>
      <c r="CO423" s="66">
        <v>0</v>
      </c>
      <c r="CP423" s="66">
        <v>0</v>
      </c>
      <c r="CQ423" s="66">
        <v>0</v>
      </c>
      <c r="CR423" s="66">
        <v>0</v>
      </c>
      <c r="CS423" s="66">
        <v>0</v>
      </c>
      <c r="CT423" s="66">
        <v>0</v>
      </c>
      <c r="CU423" s="66">
        <v>0</v>
      </c>
      <c r="CV423" s="66">
        <v>0</v>
      </c>
      <c r="CW423" s="66">
        <v>0</v>
      </c>
      <c r="CX423" s="66">
        <v>0</v>
      </c>
      <c r="CY423" s="66">
        <v>0</v>
      </c>
      <c r="CZ423" s="66">
        <v>0</v>
      </c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>
        <f>SUM(Table1[[#This Row],[01-03 Apr]:[Mar-26]])</f>
        <v>0</v>
      </c>
    </row>
    <row r="424" spans="1:115" hidden="1" x14ac:dyDescent="0.2">
      <c r="A424" s="28" t="s">
        <v>2253</v>
      </c>
      <c r="B424" s="29" t="s">
        <v>699</v>
      </c>
      <c r="C424" s="29" t="s">
        <v>700</v>
      </c>
      <c r="D424" s="30" t="s">
        <v>701</v>
      </c>
      <c r="E424" s="30" t="s">
        <v>584</v>
      </c>
      <c r="F424" s="30"/>
      <c r="G424" s="31" t="s">
        <v>697</v>
      </c>
      <c r="H424" s="30">
        <v>359711</v>
      </c>
      <c r="I424" s="30" t="str">
        <f>IF(Table1[[#This Row],[Centre Status]]="Returned","NA",IF(Table1[[#This Row],[SD]]&gt;19000,"Full Payment",IF(Table1[[#This Row],[SD]]&lt;1,"No Payment","Partial Payment")))</f>
        <v>Full Payment</v>
      </c>
      <c r="J424" s="30" t="s">
        <v>58</v>
      </c>
      <c r="K424" s="32">
        <v>110000</v>
      </c>
      <c r="L424" s="33">
        <f>Q424+R424+U424+Table1[[#This Row],[Farmer Payment]]</f>
        <v>110000</v>
      </c>
      <c r="M424" s="30"/>
      <c r="N424" s="34"/>
      <c r="O424" s="34"/>
      <c r="P424" s="35">
        <f t="shared" si="55"/>
        <v>0</v>
      </c>
      <c r="Q424" s="33">
        <f>AI424+AV424+CK424+Table1[[#This Row],[FY 25-26]]</f>
        <v>90000</v>
      </c>
      <c r="R424" s="36">
        <v>20000</v>
      </c>
      <c r="S424" s="37" t="s">
        <v>702</v>
      </c>
      <c r="T424" s="38">
        <v>44958</v>
      </c>
      <c r="U424" s="39"/>
      <c r="V424" s="39"/>
      <c r="W424" s="40">
        <v>0</v>
      </c>
      <c r="X424" s="40">
        <v>0</v>
      </c>
      <c r="Y424" s="40">
        <v>0</v>
      </c>
      <c r="Z424" s="40">
        <v>0</v>
      </c>
      <c r="AA424" s="40">
        <v>0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>
        <v>0</v>
      </c>
      <c r="AH424" s="40">
        <v>1602</v>
      </c>
      <c r="AI424" s="41">
        <f t="shared" si="56"/>
        <v>1602</v>
      </c>
      <c r="AJ424" s="42">
        <v>1861</v>
      </c>
      <c r="AK424" s="42">
        <v>1861</v>
      </c>
      <c r="AL424" s="42">
        <v>1861</v>
      </c>
      <c r="AM424" s="42">
        <v>2739.4432000000002</v>
      </c>
      <c r="AN424" s="42">
        <v>1999.7492000000002</v>
      </c>
      <c r="AO424" s="42">
        <v>2722.2671999999998</v>
      </c>
      <c r="AP424" s="42">
        <v>3430.5416000000005</v>
      </c>
      <c r="AQ424" s="42">
        <v>3135.5149999999999</v>
      </c>
      <c r="AR424" s="42">
        <v>4670.4803999999995</v>
      </c>
      <c r="AS424" s="42">
        <v>6488.1781999999994</v>
      </c>
      <c r="AT424" s="42">
        <v>5186.9134000000004</v>
      </c>
      <c r="AU424" s="42">
        <v>4845.1144000000004</v>
      </c>
      <c r="AV424" s="42">
        <f t="shared" si="57"/>
        <v>40801.202599999997</v>
      </c>
      <c r="AW424" s="42">
        <v>3498.9854707460486</v>
      </c>
      <c r="AX424" s="42">
        <v>2371.3065693888943</v>
      </c>
      <c r="AY424" s="42">
        <v>2206.8617334832602</v>
      </c>
      <c r="AZ424" s="42">
        <v>2727.22517586204</v>
      </c>
      <c r="BA424" s="42">
        <v>1861</v>
      </c>
      <c r="BB424" s="42">
        <v>0</v>
      </c>
      <c r="BC424" s="42">
        <v>2121.29006831269</v>
      </c>
      <c r="BD424" s="42">
        <v>0</v>
      </c>
      <c r="BE424" s="42">
        <v>0</v>
      </c>
      <c r="BF424" s="42">
        <v>0</v>
      </c>
      <c r="BG424" s="42">
        <v>0</v>
      </c>
      <c r="BH424" s="42">
        <v>0</v>
      </c>
      <c r="BI424" s="42">
        <v>2506.6237133423961</v>
      </c>
      <c r="BJ424" s="42">
        <v>0</v>
      </c>
      <c r="BK424" s="42">
        <v>0</v>
      </c>
      <c r="BL424" s="42">
        <v>0</v>
      </c>
      <c r="BM424" s="42">
        <v>0</v>
      </c>
      <c r="BN424" s="42">
        <v>2279.9004951841139</v>
      </c>
      <c r="BO424" s="42">
        <v>0</v>
      </c>
      <c r="BP424" s="42">
        <v>0</v>
      </c>
      <c r="BQ424" s="42">
        <v>0</v>
      </c>
      <c r="BR424" s="42">
        <v>0</v>
      </c>
      <c r="BS424" s="42">
        <v>4745.7081218735848</v>
      </c>
      <c r="BT424" s="42">
        <v>0</v>
      </c>
      <c r="BU424" s="42">
        <v>0</v>
      </c>
      <c r="BV424" s="42">
        <v>0</v>
      </c>
      <c r="BW424" s="42">
        <v>0</v>
      </c>
      <c r="BX424" s="42">
        <v>0</v>
      </c>
      <c r="BY424" s="42">
        <v>5042.6386872874609</v>
      </c>
      <c r="BZ424" s="42">
        <v>0</v>
      </c>
      <c r="CA424" s="42">
        <v>0</v>
      </c>
      <c r="CB424" s="42">
        <v>0</v>
      </c>
      <c r="CC424" s="42">
        <v>0</v>
      </c>
      <c r="CD424" s="42">
        <v>6354.274840500655</v>
      </c>
      <c r="CE424" s="42">
        <v>0</v>
      </c>
      <c r="CF424" s="42">
        <v>0</v>
      </c>
      <c r="CG424" s="42">
        <v>0</v>
      </c>
      <c r="CH424" s="42">
        <v>0</v>
      </c>
      <c r="CI424" s="42">
        <v>0</v>
      </c>
      <c r="CJ424" s="42">
        <v>7159.2962115251703</v>
      </c>
      <c r="CK424" s="43">
        <f t="shared" si="58"/>
        <v>42875.111087506317</v>
      </c>
      <c r="CL424" s="66"/>
      <c r="CM424" s="66">
        <v>0</v>
      </c>
      <c r="CN424" s="66">
        <v>0</v>
      </c>
      <c r="CO424" s="66">
        <v>0</v>
      </c>
      <c r="CP424" s="66">
        <v>4721.6863124936935</v>
      </c>
      <c r="CQ424" s="66">
        <v>0</v>
      </c>
      <c r="CR424" s="66">
        <v>0</v>
      </c>
      <c r="CS424" s="66">
        <v>0</v>
      </c>
      <c r="CT424" s="66">
        <v>0</v>
      </c>
      <c r="CU424" s="66">
        <v>0</v>
      </c>
      <c r="CV424" s="66">
        <v>0</v>
      </c>
      <c r="CW424" s="66">
        <v>0</v>
      </c>
      <c r="CX424" s="66">
        <v>0</v>
      </c>
      <c r="CY424" s="66">
        <v>0</v>
      </c>
      <c r="CZ424" s="66">
        <v>0</v>
      </c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>
        <f>SUM(Table1[[#This Row],[01-03 Apr]:[Mar-26]])</f>
        <v>4721.6863124936935</v>
      </c>
    </row>
    <row r="425" spans="1:115" hidden="1" x14ac:dyDescent="0.2">
      <c r="A425" s="28" t="s">
        <v>2253</v>
      </c>
      <c r="B425" s="29" t="s">
        <v>703</v>
      </c>
      <c r="C425" s="29" t="s">
        <v>704</v>
      </c>
      <c r="D425" s="30" t="s">
        <v>705</v>
      </c>
      <c r="E425" s="30" t="s">
        <v>584</v>
      </c>
      <c r="F425" s="30"/>
      <c r="G425" s="31" t="s">
        <v>697</v>
      </c>
      <c r="H425" s="30">
        <v>359302</v>
      </c>
      <c r="I425" s="30" t="str">
        <f>IF(Table1[[#This Row],[Centre Status]]="Returned","NA",IF(Table1[[#This Row],[SD]]&gt;19000,"Full Payment",IF(Table1[[#This Row],[SD]]&lt;1,"No Payment","Partial Payment")))</f>
        <v>Full Payment</v>
      </c>
      <c r="J425" s="30" t="s">
        <v>58</v>
      </c>
      <c r="K425" s="32">
        <v>110000</v>
      </c>
      <c r="L425" s="33">
        <f>Q425+R425+U425+Table1[[#This Row],[Farmer Payment]]</f>
        <v>88475.294175891831</v>
      </c>
      <c r="M425" s="30"/>
      <c r="N425" s="34"/>
      <c r="O425" s="34"/>
      <c r="P425" s="35">
        <f t="shared" si="55"/>
        <v>21524.705824108169</v>
      </c>
      <c r="Q425" s="33">
        <f>AI425+AV425+CK425+Table1[[#This Row],[FY 25-26]]</f>
        <v>68475.294175891831</v>
      </c>
      <c r="R425" s="36">
        <v>20000</v>
      </c>
      <c r="S425" s="37" t="s">
        <v>706</v>
      </c>
      <c r="T425" s="38">
        <v>44961</v>
      </c>
      <c r="U425" s="39"/>
      <c r="V425" s="39"/>
      <c r="W425" s="40">
        <v>0</v>
      </c>
      <c r="X425" s="40">
        <v>0</v>
      </c>
      <c r="Y425" s="40">
        <v>0</v>
      </c>
      <c r="Z425" s="40">
        <v>0</v>
      </c>
      <c r="AA425" s="40">
        <v>0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>
        <v>0</v>
      </c>
      <c r="AH425" s="40">
        <v>425</v>
      </c>
      <c r="AI425" s="41">
        <f t="shared" si="56"/>
        <v>425</v>
      </c>
      <c r="AJ425" s="42">
        <v>914</v>
      </c>
      <c r="AK425" s="42">
        <v>1568</v>
      </c>
      <c r="AL425" s="42">
        <v>822</v>
      </c>
      <c r="AM425" s="42">
        <v>3397.5691999999999</v>
      </c>
      <c r="AN425" s="42">
        <v>1943.4354000000003</v>
      </c>
      <c r="AO425" s="42">
        <v>1861</v>
      </c>
      <c r="AP425" s="42">
        <v>2001.8621999999998</v>
      </c>
      <c r="AQ425" s="42">
        <v>2196.4680000000003</v>
      </c>
      <c r="AR425" s="42">
        <v>2815.9591999999998</v>
      </c>
      <c r="AS425" s="42">
        <v>4037.5651999999995</v>
      </c>
      <c r="AT425" s="42">
        <v>3021.9962</v>
      </c>
      <c r="AU425" s="42">
        <v>2942.7250000000008</v>
      </c>
      <c r="AV425" s="42">
        <f t="shared" si="57"/>
        <v>27522.580400000006</v>
      </c>
      <c r="AW425" s="42">
        <v>2906.8631815523104</v>
      </c>
      <c r="AX425" s="42">
        <v>2103.2558248831124</v>
      </c>
      <c r="AY425" s="42">
        <v>2070.8289175463501</v>
      </c>
      <c r="AZ425" s="42">
        <v>2612.3506977583042</v>
      </c>
      <c r="BA425" s="42">
        <v>1861</v>
      </c>
      <c r="BB425" s="42">
        <v>0</v>
      </c>
      <c r="BC425" s="42">
        <v>1778</v>
      </c>
      <c r="BD425" s="42">
        <v>0</v>
      </c>
      <c r="BE425" s="42">
        <v>0</v>
      </c>
      <c r="BF425" s="42">
        <v>0</v>
      </c>
      <c r="BG425" s="42">
        <v>0</v>
      </c>
      <c r="BH425" s="42">
        <v>0</v>
      </c>
      <c r="BI425" s="42">
        <v>1861</v>
      </c>
      <c r="BJ425" s="42">
        <v>0</v>
      </c>
      <c r="BK425" s="42">
        <v>0</v>
      </c>
      <c r="BL425" s="42">
        <v>0</v>
      </c>
      <c r="BM425" s="42">
        <v>0</v>
      </c>
      <c r="BN425" s="42">
        <v>2074.948858363724</v>
      </c>
      <c r="BO425" s="42">
        <v>0</v>
      </c>
      <c r="BP425" s="42">
        <v>0</v>
      </c>
      <c r="BQ425" s="42">
        <v>0</v>
      </c>
      <c r="BR425" s="42">
        <v>0</v>
      </c>
      <c r="BS425" s="42">
        <v>4564.8691694614772</v>
      </c>
      <c r="BT425" s="42">
        <v>0</v>
      </c>
      <c r="BU425" s="42">
        <v>0</v>
      </c>
      <c r="BV425" s="42">
        <v>0</v>
      </c>
      <c r="BW425" s="42">
        <v>0</v>
      </c>
      <c r="BX425" s="42">
        <v>0</v>
      </c>
      <c r="BY425" s="42">
        <v>4433.0466487376243</v>
      </c>
      <c r="BZ425" s="42">
        <v>0</v>
      </c>
      <c r="CA425" s="42">
        <v>0</v>
      </c>
      <c r="CB425" s="42">
        <v>0</v>
      </c>
      <c r="CC425" s="42">
        <v>0</v>
      </c>
      <c r="CD425" s="42">
        <v>3958.0521587105677</v>
      </c>
      <c r="CE425" s="42">
        <v>0</v>
      </c>
      <c r="CF425" s="42">
        <v>0</v>
      </c>
      <c r="CG425" s="42">
        <v>0</v>
      </c>
      <c r="CH425" s="42">
        <v>0</v>
      </c>
      <c r="CI425" s="42">
        <v>0</v>
      </c>
      <c r="CJ425" s="42">
        <v>3893.4741402564468</v>
      </c>
      <c r="CK425" s="43">
        <f t="shared" si="58"/>
        <v>34117.68959726992</v>
      </c>
      <c r="CL425" s="66"/>
      <c r="CM425" s="66">
        <v>0</v>
      </c>
      <c r="CN425" s="66">
        <v>0</v>
      </c>
      <c r="CO425" s="66">
        <v>0</v>
      </c>
      <c r="CP425" s="66">
        <v>3398.5804526916804</v>
      </c>
      <c r="CQ425" s="66">
        <v>0</v>
      </c>
      <c r="CR425" s="66">
        <v>0</v>
      </c>
      <c r="CS425" s="66">
        <v>0</v>
      </c>
      <c r="CT425" s="66">
        <v>0</v>
      </c>
      <c r="CU425" s="66">
        <v>0</v>
      </c>
      <c r="CV425" s="66">
        <v>3011.4437259302299</v>
      </c>
      <c r="CW425" s="66">
        <v>0</v>
      </c>
      <c r="CX425" s="66">
        <v>0</v>
      </c>
      <c r="CY425" s="66">
        <v>0</v>
      </c>
      <c r="CZ425" s="66">
        <v>0</v>
      </c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>
        <f>SUM(Table1[[#This Row],[01-03 Apr]:[Mar-26]])</f>
        <v>6410.0241786219103</v>
      </c>
    </row>
    <row r="426" spans="1:115" hidden="1" x14ac:dyDescent="0.2">
      <c r="A426" s="28" t="s">
        <v>2253</v>
      </c>
      <c r="B426" s="29" t="s">
        <v>707</v>
      </c>
      <c r="C426" s="29" t="s">
        <v>708</v>
      </c>
      <c r="D426" s="30" t="s">
        <v>709</v>
      </c>
      <c r="E426" s="30" t="s">
        <v>584</v>
      </c>
      <c r="F426" s="30"/>
      <c r="G426" s="31" t="s">
        <v>697</v>
      </c>
      <c r="H426" s="30">
        <v>359307</v>
      </c>
      <c r="I426" s="30" t="str">
        <f>IF(Table1[[#This Row],[Centre Status]]="Returned","NA",IF(Table1[[#This Row],[SD]]&gt;19000,"Full Payment",IF(Table1[[#This Row],[SD]]&lt;1,"No Payment","Partial Payment")))</f>
        <v>Full Payment</v>
      </c>
      <c r="J426" s="30" t="s">
        <v>58</v>
      </c>
      <c r="K426" s="32">
        <v>110000</v>
      </c>
      <c r="L426" s="33">
        <f>Q426+R426+U426+Table1[[#This Row],[Farmer Payment]]</f>
        <v>102841.80242813443</v>
      </c>
      <c r="M426" s="30"/>
      <c r="N426" s="34"/>
      <c r="O426" s="34"/>
      <c r="P426" s="35">
        <f t="shared" si="55"/>
        <v>7158.197571865574</v>
      </c>
      <c r="Q426" s="33">
        <f>AI426+AV426+CK426+Table1[[#This Row],[FY 25-26]]</f>
        <v>82841.802428134426</v>
      </c>
      <c r="R426" s="36">
        <v>20000</v>
      </c>
      <c r="S426" s="37" t="s">
        <v>710</v>
      </c>
      <c r="T426" s="38">
        <v>44961</v>
      </c>
      <c r="U426" s="39"/>
      <c r="V426" s="39"/>
      <c r="W426" s="40">
        <v>0</v>
      </c>
      <c r="X426" s="40">
        <v>0</v>
      </c>
      <c r="Y426" s="40">
        <v>0</v>
      </c>
      <c r="Z426" s="40">
        <v>0</v>
      </c>
      <c r="AA426" s="40">
        <v>0</v>
      </c>
      <c r="AB426" s="40">
        <v>0</v>
      </c>
      <c r="AC426" s="40">
        <v>0</v>
      </c>
      <c r="AD426" s="40">
        <v>0</v>
      </c>
      <c r="AE426" s="40">
        <v>0</v>
      </c>
      <c r="AF426" s="40">
        <v>0</v>
      </c>
      <c r="AG426" s="40">
        <v>0</v>
      </c>
      <c r="AH426" s="40">
        <v>1861</v>
      </c>
      <c r="AI426" s="41">
        <f t="shared" si="56"/>
        <v>1861</v>
      </c>
      <c r="AJ426" s="42">
        <v>1861</v>
      </c>
      <c r="AK426" s="42">
        <v>2211.0212000000001</v>
      </c>
      <c r="AL426" s="42">
        <v>1861</v>
      </c>
      <c r="AM426" s="42">
        <v>2129.7439999999997</v>
      </c>
      <c r="AN426" s="42">
        <v>2085.8885999999998</v>
      </c>
      <c r="AO426" s="42">
        <v>1989.5192</v>
      </c>
      <c r="AP426" s="42">
        <v>2492.7524000000008</v>
      </c>
      <c r="AQ426" s="42">
        <v>1877.9086000000002</v>
      </c>
      <c r="AR426" s="42">
        <v>2276.6379999999999</v>
      </c>
      <c r="AS426" s="42">
        <v>2679.0147999999999</v>
      </c>
      <c r="AT426" s="42">
        <v>3649.9335999999998</v>
      </c>
      <c r="AU426" s="42">
        <v>4639.0043999999998</v>
      </c>
      <c r="AV426" s="42">
        <f t="shared" si="57"/>
        <v>29753.424800000001</v>
      </c>
      <c r="AW426" s="42">
        <v>4712.6180886468501</v>
      </c>
      <c r="AX426" s="42">
        <v>3806.5542761686552</v>
      </c>
      <c r="AY426" s="42">
        <v>3282.089845691637</v>
      </c>
      <c r="AZ426" s="42">
        <v>3764.3250957992709</v>
      </c>
      <c r="BA426" s="42">
        <v>2249.6978435679603</v>
      </c>
      <c r="BB426" s="42">
        <v>0</v>
      </c>
      <c r="BC426" s="42">
        <v>2838.3586319037477</v>
      </c>
      <c r="BD426" s="42">
        <v>0</v>
      </c>
      <c r="BE426" s="42">
        <v>0</v>
      </c>
      <c r="BF426" s="42">
        <v>0</v>
      </c>
      <c r="BG426" s="42">
        <v>0</v>
      </c>
      <c r="BH426" s="42">
        <v>0</v>
      </c>
      <c r="BI426" s="42">
        <v>2732.4375843229204</v>
      </c>
      <c r="BJ426" s="42">
        <v>0</v>
      </c>
      <c r="BK426" s="42">
        <v>0</v>
      </c>
      <c r="BL426" s="42">
        <v>0</v>
      </c>
      <c r="BM426" s="42">
        <v>0</v>
      </c>
      <c r="BN426" s="42">
        <v>3104.900367094488</v>
      </c>
      <c r="BO426" s="42">
        <v>0</v>
      </c>
      <c r="BP426" s="42">
        <v>0</v>
      </c>
      <c r="BQ426" s="42">
        <v>0</v>
      </c>
      <c r="BR426" s="42">
        <v>0</v>
      </c>
      <c r="BS426" s="42">
        <v>4551.9899368314809</v>
      </c>
      <c r="BT426" s="42">
        <v>0</v>
      </c>
      <c r="BU426" s="42">
        <v>0</v>
      </c>
      <c r="BV426" s="42">
        <v>0</v>
      </c>
      <c r="BW426" s="42">
        <v>0</v>
      </c>
      <c r="BX426" s="42">
        <v>0</v>
      </c>
      <c r="BY426" s="42">
        <v>3488.1179520331202</v>
      </c>
      <c r="BZ426" s="42">
        <v>0</v>
      </c>
      <c r="CA426" s="42">
        <v>0</v>
      </c>
      <c r="CB426" s="42">
        <v>0</v>
      </c>
      <c r="CC426" s="42">
        <v>0</v>
      </c>
      <c r="CD426" s="42">
        <v>4082.9653519002959</v>
      </c>
      <c r="CE426" s="42">
        <v>0</v>
      </c>
      <c r="CF426" s="42">
        <v>0</v>
      </c>
      <c r="CG426" s="42">
        <v>0</v>
      </c>
      <c r="CH426" s="42">
        <v>0</v>
      </c>
      <c r="CI426" s="42">
        <v>0</v>
      </c>
      <c r="CJ426" s="42">
        <v>4647.7803610579558</v>
      </c>
      <c r="CK426" s="43">
        <f t="shared" si="58"/>
        <v>43261.835335018382</v>
      </c>
      <c r="CL426" s="66"/>
      <c r="CM426" s="66">
        <v>0</v>
      </c>
      <c r="CN426" s="66">
        <v>0</v>
      </c>
      <c r="CO426" s="66">
        <v>0</v>
      </c>
      <c r="CP426" s="66">
        <v>4231.1704418754989</v>
      </c>
      <c r="CQ426" s="66">
        <v>0</v>
      </c>
      <c r="CR426" s="66">
        <v>0</v>
      </c>
      <c r="CS426" s="66">
        <v>0</v>
      </c>
      <c r="CT426" s="66">
        <v>0</v>
      </c>
      <c r="CU426" s="66">
        <v>0</v>
      </c>
      <c r="CV426" s="66">
        <v>3734.3718512405444</v>
      </c>
      <c r="CW426" s="66">
        <v>0</v>
      </c>
      <c r="CX426" s="66">
        <v>0</v>
      </c>
      <c r="CY426" s="66">
        <v>0</v>
      </c>
      <c r="CZ426" s="66">
        <v>0</v>
      </c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>
        <f>SUM(Table1[[#This Row],[01-03 Apr]:[Mar-26]])</f>
        <v>7965.5422931160429</v>
      </c>
    </row>
    <row r="427" spans="1:115" hidden="1" x14ac:dyDescent="0.2">
      <c r="A427" s="28" t="s">
        <v>2253</v>
      </c>
      <c r="B427" s="29" t="s">
        <v>711</v>
      </c>
      <c r="C427" s="29" t="s">
        <v>712</v>
      </c>
      <c r="D427" s="30" t="s">
        <v>713</v>
      </c>
      <c r="E427" s="30" t="s">
        <v>584</v>
      </c>
      <c r="F427" s="30"/>
      <c r="G427" s="31" t="s">
        <v>697</v>
      </c>
      <c r="H427" s="30">
        <v>359379</v>
      </c>
      <c r="I427" s="30" t="str">
        <f>IF(Table1[[#This Row],[Centre Status]]="Returned","NA",IF(Table1[[#This Row],[SD]]&gt;19000,"Full Payment",IF(Table1[[#This Row],[SD]]&lt;1,"No Payment","Partial Payment")))</f>
        <v>Full Payment</v>
      </c>
      <c r="J427" s="30" t="s">
        <v>58</v>
      </c>
      <c r="K427" s="32">
        <v>110000</v>
      </c>
      <c r="L427" s="33">
        <f>Q427+R427+U427+Table1[[#This Row],[Farmer Payment]]</f>
        <v>101548.65912195455</v>
      </c>
      <c r="M427" s="30"/>
      <c r="N427" s="34"/>
      <c r="O427" s="34"/>
      <c r="P427" s="35">
        <f t="shared" si="55"/>
        <v>8451.3408780454483</v>
      </c>
      <c r="Q427" s="33">
        <f>AI427+AV427+CK427+Table1[[#This Row],[FY 25-26]]</f>
        <v>81548.659121954552</v>
      </c>
      <c r="R427" s="36">
        <v>20000</v>
      </c>
      <c r="S427" s="37" t="s">
        <v>714</v>
      </c>
      <c r="T427" s="38">
        <v>44961</v>
      </c>
      <c r="U427" s="39"/>
      <c r="V427" s="39"/>
      <c r="W427" s="40">
        <v>0</v>
      </c>
      <c r="X427" s="40">
        <v>0</v>
      </c>
      <c r="Y427" s="40">
        <v>0</v>
      </c>
      <c r="Z427" s="40">
        <v>0</v>
      </c>
      <c r="AA427" s="40">
        <v>0</v>
      </c>
      <c r="AB427" s="40">
        <v>0</v>
      </c>
      <c r="AC427" s="40">
        <v>0</v>
      </c>
      <c r="AD427" s="40">
        <v>0</v>
      </c>
      <c r="AE427" s="40">
        <v>0</v>
      </c>
      <c r="AF427" s="40">
        <v>0</v>
      </c>
      <c r="AG427" s="40">
        <v>0</v>
      </c>
      <c r="AH427" s="40">
        <v>1487</v>
      </c>
      <c r="AI427" s="41">
        <f t="shared" si="56"/>
        <v>1487</v>
      </c>
      <c r="AJ427" s="42">
        <v>1861</v>
      </c>
      <c r="AK427" s="42">
        <v>3256.5237999999999</v>
      </c>
      <c r="AL427" s="42">
        <v>2987.4602000000004</v>
      </c>
      <c r="AM427" s="42">
        <v>3703.1111999999998</v>
      </c>
      <c r="AN427" s="42">
        <v>2454.5566000000003</v>
      </c>
      <c r="AO427" s="42">
        <v>2280.4733999999999</v>
      </c>
      <c r="AP427" s="42">
        <v>3314.6271999999999</v>
      </c>
      <c r="AQ427" s="42">
        <v>2520.0414000000001</v>
      </c>
      <c r="AR427" s="42">
        <v>2960.6543999999999</v>
      </c>
      <c r="AS427" s="42">
        <v>3587.1532000000002</v>
      </c>
      <c r="AT427" s="42">
        <v>4089.4296000000008</v>
      </c>
      <c r="AU427" s="42">
        <v>4206.9232000000002</v>
      </c>
      <c r="AV427" s="42">
        <f t="shared" si="57"/>
        <v>37221.9542</v>
      </c>
      <c r="AW427" s="42">
        <v>3450.7618318521204</v>
      </c>
      <c r="AX427" s="42">
        <v>3100.2909831168004</v>
      </c>
      <c r="AY427" s="42">
        <v>3242.5769506560005</v>
      </c>
      <c r="AZ427" s="42">
        <v>3488.1616839936005</v>
      </c>
      <c r="BA427" s="42">
        <v>2129.7519518208005</v>
      </c>
      <c r="BB427" s="42">
        <v>0</v>
      </c>
      <c r="BC427" s="42">
        <v>2617.6912263004283</v>
      </c>
      <c r="BD427" s="42">
        <v>0</v>
      </c>
      <c r="BE427" s="42">
        <v>0</v>
      </c>
      <c r="BF427" s="42">
        <v>0</v>
      </c>
      <c r="BG427" s="42">
        <v>0</v>
      </c>
      <c r="BH427" s="42">
        <v>0</v>
      </c>
      <c r="BI427" s="42">
        <v>2268.5748531281802</v>
      </c>
      <c r="BJ427" s="42">
        <v>0</v>
      </c>
      <c r="BK427" s="42">
        <v>0</v>
      </c>
      <c r="BL427" s="42">
        <v>0</v>
      </c>
      <c r="BM427" s="42">
        <v>0</v>
      </c>
      <c r="BN427" s="42">
        <v>2197.9983442516359</v>
      </c>
      <c r="BO427" s="42">
        <v>0</v>
      </c>
      <c r="BP427" s="42">
        <v>0</v>
      </c>
      <c r="BQ427" s="42">
        <v>0</v>
      </c>
      <c r="BR427" s="42">
        <v>0</v>
      </c>
      <c r="BS427" s="42">
        <v>3300.4457204350801</v>
      </c>
      <c r="BT427" s="42">
        <v>0</v>
      </c>
      <c r="BU427" s="42">
        <v>0</v>
      </c>
      <c r="BV427" s="42">
        <v>0</v>
      </c>
      <c r="BW427" s="42">
        <v>0</v>
      </c>
      <c r="BX427" s="42">
        <v>0</v>
      </c>
      <c r="BY427" s="42">
        <v>2724.1332571678959</v>
      </c>
      <c r="BZ427" s="42">
        <v>0</v>
      </c>
      <c r="CA427" s="42">
        <v>0</v>
      </c>
      <c r="CB427" s="42">
        <v>0</v>
      </c>
      <c r="CC427" s="42">
        <v>0</v>
      </c>
      <c r="CD427" s="42">
        <v>3938.5747108992005</v>
      </c>
      <c r="CE427" s="42">
        <v>0</v>
      </c>
      <c r="CF427" s="42">
        <v>0</v>
      </c>
      <c r="CG427" s="42">
        <v>0</v>
      </c>
      <c r="CH427" s="42">
        <v>0</v>
      </c>
      <c r="CI427" s="42">
        <v>0</v>
      </c>
      <c r="CJ427" s="42">
        <v>4442.6873611776</v>
      </c>
      <c r="CK427" s="43">
        <f t="shared" si="58"/>
        <v>36901.648874799343</v>
      </c>
      <c r="CL427" s="66"/>
      <c r="CM427" s="66">
        <v>0</v>
      </c>
      <c r="CN427" s="66">
        <v>0</v>
      </c>
      <c r="CO427" s="66">
        <v>0</v>
      </c>
      <c r="CP427" s="66">
        <v>3259.7602839936003</v>
      </c>
      <c r="CQ427" s="66">
        <v>0</v>
      </c>
      <c r="CR427" s="66">
        <v>0</v>
      </c>
      <c r="CS427" s="66">
        <v>0</v>
      </c>
      <c r="CT427" s="66">
        <v>0</v>
      </c>
      <c r="CU427" s="66">
        <v>0</v>
      </c>
      <c r="CV427" s="66">
        <v>2678.2957631616005</v>
      </c>
      <c r="CW427" s="66">
        <v>0</v>
      </c>
      <c r="CX427" s="66">
        <v>0</v>
      </c>
      <c r="CY427" s="66">
        <v>0</v>
      </c>
      <c r="CZ427" s="66">
        <v>0</v>
      </c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>
        <f>SUM(Table1[[#This Row],[01-03 Apr]:[Mar-26]])</f>
        <v>5938.0560471552008</v>
      </c>
    </row>
    <row r="428" spans="1:115" hidden="1" x14ac:dyDescent="0.2">
      <c r="A428" s="28" t="s">
        <v>2253</v>
      </c>
      <c r="B428" s="29" t="s">
        <v>715</v>
      </c>
      <c r="C428" s="29" t="s">
        <v>716</v>
      </c>
      <c r="D428" s="30" t="s">
        <v>717</v>
      </c>
      <c r="E428" s="30" t="s">
        <v>584</v>
      </c>
      <c r="F428" s="30"/>
      <c r="G428" s="31" t="s">
        <v>697</v>
      </c>
      <c r="H428" s="30">
        <v>359891</v>
      </c>
      <c r="I428" s="30" t="str">
        <f>IF(Table1[[#This Row],[Centre Status]]="Returned","NA",IF(Table1[[#This Row],[SD]]&gt;19000,"Full Payment",IF(Table1[[#This Row],[SD]]&lt;1,"No Payment","Partial Payment")))</f>
        <v>Full Payment</v>
      </c>
      <c r="J428" s="30" t="s">
        <v>58</v>
      </c>
      <c r="K428" s="32">
        <v>110000</v>
      </c>
      <c r="L428" s="33">
        <f>Q428+R428+U428+Table1[[#This Row],[Farmer Payment]]</f>
        <v>68812.718599999993</v>
      </c>
      <c r="M428" s="30"/>
      <c r="N428" s="34"/>
      <c r="O428" s="34"/>
      <c r="P428" s="35">
        <f t="shared" si="55"/>
        <v>41187.281400000007</v>
      </c>
      <c r="Q428" s="33">
        <f>AI428+AV428+CK428+Table1[[#This Row],[FY 25-26]]</f>
        <v>48812.718599999993</v>
      </c>
      <c r="R428" s="36">
        <v>20000</v>
      </c>
      <c r="S428" s="37" t="s">
        <v>718</v>
      </c>
      <c r="T428" s="38">
        <v>44963</v>
      </c>
      <c r="U428" s="39"/>
      <c r="V428" s="39"/>
      <c r="W428" s="40">
        <v>0</v>
      </c>
      <c r="X428" s="40">
        <v>0</v>
      </c>
      <c r="Y428" s="40">
        <v>0</v>
      </c>
      <c r="Z428" s="40">
        <v>0</v>
      </c>
      <c r="AA428" s="40">
        <v>0</v>
      </c>
      <c r="AB428" s="40">
        <v>0</v>
      </c>
      <c r="AC428" s="40">
        <v>0</v>
      </c>
      <c r="AD428" s="40">
        <v>0</v>
      </c>
      <c r="AE428" s="40">
        <v>0</v>
      </c>
      <c r="AF428" s="40">
        <v>0</v>
      </c>
      <c r="AG428" s="40">
        <v>0</v>
      </c>
      <c r="AH428" s="40">
        <v>1810</v>
      </c>
      <c r="AI428" s="41">
        <f t="shared" si="56"/>
        <v>1810</v>
      </c>
      <c r="AJ428" s="42">
        <v>562</v>
      </c>
      <c r="AK428" s="42">
        <v>1041</v>
      </c>
      <c r="AL428" s="42">
        <v>321</v>
      </c>
      <c r="AM428" s="42">
        <v>1861</v>
      </c>
      <c r="AN428" s="42">
        <v>1861</v>
      </c>
      <c r="AO428" s="42">
        <v>1861</v>
      </c>
      <c r="AP428" s="42">
        <v>1874.5915999999997</v>
      </c>
      <c r="AQ428" s="42">
        <v>1861</v>
      </c>
      <c r="AR428" s="42">
        <v>1861</v>
      </c>
      <c r="AS428" s="42">
        <v>2065.2379999999998</v>
      </c>
      <c r="AT428" s="42">
        <v>1935.4166</v>
      </c>
      <c r="AU428" s="42">
        <v>1967.4724000000003</v>
      </c>
      <c r="AV428" s="42">
        <f t="shared" si="57"/>
        <v>19071.718599999997</v>
      </c>
      <c r="AW428" s="42">
        <v>1861</v>
      </c>
      <c r="AX428" s="42">
        <v>1861</v>
      </c>
      <c r="AY428" s="42">
        <v>1731</v>
      </c>
      <c r="AZ428" s="42">
        <v>1496</v>
      </c>
      <c r="BA428" s="42">
        <v>1381</v>
      </c>
      <c r="BB428" s="42">
        <v>500</v>
      </c>
      <c r="BC428" s="42">
        <v>861</v>
      </c>
      <c r="BD428" s="42">
        <v>500</v>
      </c>
      <c r="BE428" s="42">
        <v>500</v>
      </c>
      <c r="BF428" s="42">
        <v>500</v>
      </c>
      <c r="BG428" s="42">
        <v>500</v>
      </c>
      <c r="BH428" s="42">
        <v>500</v>
      </c>
      <c r="BI428" s="42">
        <v>0</v>
      </c>
      <c r="BJ428" s="42">
        <v>500</v>
      </c>
      <c r="BK428" s="42">
        <v>500</v>
      </c>
      <c r="BL428" s="42">
        <v>500</v>
      </c>
      <c r="BM428" s="42">
        <v>500</v>
      </c>
      <c r="BN428" s="42">
        <v>-260</v>
      </c>
      <c r="BO428" s="42">
        <v>500</v>
      </c>
      <c r="BP428" s="42">
        <v>500</v>
      </c>
      <c r="BQ428" s="42">
        <v>500</v>
      </c>
      <c r="BR428" s="42">
        <v>500</v>
      </c>
      <c r="BS428" s="42">
        <v>0</v>
      </c>
      <c r="BT428" s="42">
        <v>500</v>
      </c>
      <c r="BU428" s="42">
        <v>500</v>
      </c>
      <c r="BV428" s="42">
        <v>500</v>
      </c>
      <c r="BW428" s="42">
        <v>500</v>
      </c>
      <c r="BX428" s="42">
        <v>500</v>
      </c>
      <c r="BY428" s="42">
        <v>0</v>
      </c>
      <c r="BZ428" s="42">
        <v>500</v>
      </c>
      <c r="CA428" s="42">
        <v>500</v>
      </c>
      <c r="CB428" s="42">
        <v>500</v>
      </c>
      <c r="CC428" s="42">
        <v>500</v>
      </c>
      <c r="CD428" s="42">
        <v>0</v>
      </c>
      <c r="CE428" s="42">
        <v>500</v>
      </c>
      <c r="CF428" s="42">
        <v>500</v>
      </c>
      <c r="CG428" s="42">
        <v>500</v>
      </c>
      <c r="CH428" s="42">
        <v>500</v>
      </c>
      <c r="CI428" s="42">
        <v>500</v>
      </c>
      <c r="CJ428" s="42">
        <v>0</v>
      </c>
      <c r="CK428" s="43">
        <f t="shared" si="58"/>
        <v>22931</v>
      </c>
      <c r="CL428" s="66"/>
      <c r="CM428" s="66">
        <v>500</v>
      </c>
      <c r="CN428" s="66">
        <v>500</v>
      </c>
      <c r="CO428" s="66">
        <v>500</v>
      </c>
      <c r="CP428" s="66">
        <v>0</v>
      </c>
      <c r="CQ428" s="66">
        <v>500</v>
      </c>
      <c r="CR428" s="66">
        <v>500</v>
      </c>
      <c r="CS428" s="66">
        <v>500</v>
      </c>
      <c r="CT428" s="66">
        <v>500</v>
      </c>
      <c r="CU428" s="66">
        <v>500</v>
      </c>
      <c r="CV428" s="66">
        <v>0</v>
      </c>
      <c r="CW428" s="66">
        <v>500</v>
      </c>
      <c r="CX428" s="66">
        <v>0</v>
      </c>
      <c r="CY428" s="66">
        <v>0</v>
      </c>
      <c r="CZ428" s="66">
        <v>500</v>
      </c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>
        <f>SUM(Table1[[#This Row],[01-03 Apr]:[Mar-26]])</f>
        <v>5000</v>
      </c>
    </row>
    <row r="429" spans="1:115" hidden="1" x14ac:dyDescent="0.2">
      <c r="A429" s="28" t="s">
        <v>2253</v>
      </c>
      <c r="B429" s="29" t="s">
        <v>719</v>
      </c>
      <c r="C429" s="29" t="s">
        <v>720</v>
      </c>
      <c r="D429" s="30" t="s">
        <v>721</v>
      </c>
      <c r="E429" s="30" t="s">
        <v>584</v>
      </c>
      <c r="F429" s="30"/>
      <c r="G429" s="31" t="s">
        <v>697</v>
      </c>
      <c r="H429" s="30">
        <v>360005</v>
      </c>
      <c r="I429" s="30" t="str">
        <f>IF(Table1[[#This Row],[Centre Status]]="Returned","NA",IF(Table1[[#This Row],[SD]]&gt;19000,"Full Payment",IF(Table1[[#This Row],[SD]]&lt;1,"No Payment","Partial Payment")))</f>
        <v>Full Payment</v>
      </c>
      <c r="J429" s="30" t="s">
        <v>58</v>
      </c>
      <c r="K429" s="32">
        <v>110000</v>
      </c>
      <c r="L429" s="33">
        <f>Q429+R429+U429+Table1[[#This Row],[Farmer Payment]]</f>
        <v>110000</v>
      </c>
      <c r="M429" s="30"/>
      <c r="N429" s="34"/>
      <c r="O429" s="34"/>
      <c r="P429" s="35">
        <f t="shared" si="55"/>
        <v>0</v>
      </c>
      <c r="Q429" s="33">
        <f>AI429+AV429+CK429+Table1[[#This Row],[FY 25-26]]</f>
        <v>90000</v>
      </c>
      <c r="R429" s="36">
        <v>20000</v>
      </c>
      <c r="S429" s="37" t="s">
        <v>722</v>
      </c>
      <c r="T429" s="38">
        <v>44924</v>
      </c>
      <c r="U429" s="39"/>
      <c r="V429" s="39"/>
      <c r="W429" s="40">
        <v>0</v>
      </c>
      <c r="X429" s="40">
        <v>0</v>
      </c>
      <c r="Y429" s="40">
        <v>0</v>
      </c>
      <c r="Z429" s="40">
        <v>0</v>
      </c>
      <c r="AA429" s="40">
        <v>0</v>
      </c>
      <c r="AB429" s="40">
        <v>0</v>
      </c>
      <c r="AC429" s="40">
        <v>0</v>
      </c>
      <c r="AD429" s="40">
        <v>0</v>
      </c>
      <c r="AE429" s="40">
        <v>0</v>
      </c>
      <c r="AF429" s="40">
        <v>0</v>
      </c>
      <c r="AG429" s="40">
        <v>0</v>
      </c>
      <c r="AH429" s="40">
        <v>1861</v>
      </c>
      <c r="AI429" s="41">
        <f t="shared" si="56"/>
        <v>1861</v>
      </c>
      <c r="AJ429" s="42">
        <v>3257.9748000000009</v>
      </c>
      <c r="AK429" s="42">
        <v>3762.3328000000001</v>
      </c>
      <c r="AL429" s="42">
        <v>3239.7214000000004</v>
      </c>
      <c r="AM429" s="42">
        <v>4588.3370000000004</v>
      </c>
      <c r="AN429" s="42">
        <v>3214.9135999999999</v>
      </c>
      <c r="AO429" s="42">
        <v>2974.8878000000004</v>
      </c>
      <c r="AP429" s="42">
        <v>3890.1547999999998</v>
      </c>
      <c r="AQ429" s="42">
        <v>3749.0626000000002</v>
      </c>
      <c r="AR429" s="42">
        <v>4005.9208000000003</v>
      </c>
      <c r="AS429" s="42">
        <v>4010.7468000000008</v>
      </c>
      <c r="AT429" s="42">
        <v>4951.915</v>
      </c>
      <c r="AU429" s="42">
        <v>5185.8822</v>
      </c>
      <c r="AV429" s="42">
        <f t="shared" si="57"/>
        <v>46831.849600000001</v>
      </c>
      <c r="AW429" s="42">
        <v>4446.6775844824724</v>
      </c>
      <c r="AX429" s="42">
        <v>4450.0949651730361</v>
      </c>
      <c r="AY429" s="42">
        <v>3905.9386915669284</v>
      </c>
      <c r="AZ429" s="42">
        <v>4431.5628352575604</v>
      </c>
      <c r="BA429" s="42">
        <v>3193.6289740764678</v>
      </c>
      <c r="BB429" s="42">
        <v>0</v>
      </c>
      <c r="BC429" s="42">
        <v>3599.468244913352</v>
      </c>
      <c r="BD429" s="42">
        <v>0</v>
      </c>
      <c r="BE429" s="42">
        <v>0</v>
      </c>
      <c r="BF429" s="42">
        <v>0</v>
      </c>
      <c r="BG429" s="42">
        <v>0</v>
      </c>
      <c r="BH429" s="42">
        <v>0</v>
      </c>
      <c r="BI429" s="42">
        <v>3397.683655744132</v>
      </c>
      <c r="BJ429" s="42">
        <v>0</v>
      </c>
      <c r="BK429" s="42">
        <v>0</v>
      </c>
      <c r="BL429" s="42">
        <v>0</v>
      </c>
      <c r="BM429" s="42">
        <v>0</v>
      </c>
      <c r="BN429" s="42">
        <v>2869.8013481072385</v>
      </c>
      <c r="BO429" s="42">
        <v>0</v>
      </c>
      <c r="BP429" s="42">
        <v>0</v>
      </c>
      <c r="BQ429" s="42">
        <v>0</v>
      </c>
      <c r="BR429" s="42">
        <v>0</v>
      </c>
      <c r="BS429" s="42">
        <v>5077.9218903744049</v>
      </c>
      <c r="BT429" s="42">
        <v>0</v>
      </c>
      <c r="BU429" s="42">
        <v>0</v>
      </c>
      <c r="BV429" s="42">
        <v>0</v>
      </c>
      <c r="BW429" s="42">
        <v>0</v>
      </c>
      <c r="BX429" s="42">
        <v>0</v>
      </c>
      <c r="BY429" s="42">
        <v>4016.9458071654603</v>
      </c>
      <c r="BZ429" s="42">
        <v>0</v>
      </c>
      <c r="CA429" s="42">
        <v>0</v>
      </c>
      <c r="CB429" s="42">
        <v>0</v>
      </c>
      <c r="CC429" s="42">
        <v>0</v>
      </c>
      <c r="CD429" s="42">
        <v>1917.4264031389466</v>
      </c>
      <c r="CE429" s="42">
        <v>0</v>
      </c>
      <c r="CF429" s="42">
        <v>0</v>
      </c>
      <c r="CG429" s="42">
        <v>0</v>
      </c>
      <c r="CH429" s="42">
        <v>0</v>
      </c>
      <c r="CI429" s="42">
        <v>0</v>
      </c>
      <c r="CJ429" s="42">
        <v>0</v>
      </c>
      <c r="CK429" s="43">
        <f t="shared" si="58"/>
        <v>41307.150399999999</v>
      </c>
      <c r="CL429" s="66"/>
      <c r="CM429" s="66">
        <v>0</v>
      </c>
      <c r="CN429" s="66">
        <v>0</v>
      </c>
      <c r="CO429" s="66">
        <v>0</v>
      </c>
      <c r="CP429" s="66">
        <v>0</v>
      </c>
      <c r="CQ429" s="66">
        <v>0</v>
      </c>
      <c r="CR429" s="66">
        <v>0</v>
      </c>
      <c r="CS429" s="66">
        <v>0</v>
      </c>
      <c r="CT429" s="66">
        <v>0</v>
      </c>
      <c r="CU429" s="66">
        <v>0</v>
      </c>
      <c r="CV429" s="66">
        <v>0</v>
      </c>
      <c r="CW429" s="66">
        <v>0</v>
      </c>
      <c r="CX429" s="66">
        <v>0</v>
      </c>
      <c r="CY429" s="66">
        <v>0</v>
      </c>
      <c r="CZ429" s="66">
        <v>0</v>
      </c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>
        <f>SUM(Table1[[#This Row],[01-03 Apr]:[Mar-26]])</f>
        <v>0</v>
      </c>
    </row>
    <row r="430" spans="1:115" hidden="1" x14ac:dyDescent="0.2">
      <c r="A430" s="28" t="s">
        <v>2253</v>
      </c>
      <c r="B430" s="29" t="s">
        <v>723</v>
      </c>
      <c r="C430" s="29" t="s">
        <v>724</v>
      </c>
      <c r="D430" s="30" t="s">
        <v>725</v>
      </c>
      <c r="E430" s="30" t="s">
        <v>584</v>
      </c>
      <c r="F430" s="30"/>
      <c r="G430" s="31" t="s">
        <v>697</v>
      </c>
      <c r="H430" s="30">
        <v>360038</v>
      </c>
      <c r="I430" s="30" t="str">
        <f>IF(Table1[[#This Row],[Centre Status]]="Returned","NA",IF(Table1[[#This Row],[SD]]&gt;19000,"Full Payment",IF(Table1[[#This Row],[SD]]&lt;1,"No Payment","Partial Payment")))</f>
        <v>Full Payment</v>
      </c>
      <c r="J430" s="30" t="s">
        <v>58</v>
      </c>
      <c r="K430" s="32">
        <v>110000</v>
      </c>
      <c r="L430" s="33">
        <f>Q430+R430+U430+Table1[[#This Row],[Farmer Payment]]</f>
        <v>42610.008600000001</v>
      </c>
      <c r="M430" s="30"/>
      <c r="N430" s="34"/>
      <c r="O430" s="34"/>
      <c r="P430" s="35">
        <f t="shared" si="55"/>
        <v>67389.991399999999</v>
      </c>
      <c r="Q430" s="33">
        <f>AI430+AV430+CK430+Table1[[#This Row],[FY 25-26]]</f>
        <v>22610.008600000001</v>
      </c>
      <c r="R430" s="36">
        <v>20000</v>
      </c>
      <c r="S430" s="37" t="s">
        <v>726</v>
      </c>
      <c r="T430" s="38">
        <v>44963</v>
      </c>
      <c r="U430" s="39"/>
      <c r="V430" s="39"/>
      <c r="W430" s="40">
        <v>0</v>
      </c>
      <c r="X430" s="40">
        <v>0</v>
      </c>
      <c r="Y430" s="40">
        <v>0</v>
      </c>
      <c r="Z430" s="40">
        <v>0</v>
      </c>
      <c r="AA430" s="40">
        <v>0</v>
      </c>
      <c r="AB430" s="40">
        <v>0</v>
      </c>
      <c r="AC430" s="40">
        <v>0</v>
      </c>
      <c r="AD430" s="40">
        <v>0</v>
      </c>
      <c r="AE430" s="40">
        <v>0</v>
      </c>
      <c r="AF430" s="40">
        <v>0</v>
      </c>
      <c r="AG430" s="40">
        <v>0</v>
      </c>
      <c r="AH430" s="40">
        <v>1861</v>
      </c>
      <c r="AI430" s="41">
        <f t="shared" si="56"/>
        <v>1861</v>
      </c>
      <c r="AJ430" s="42">
        <v>1861</v>
      </c>
      <c r="AK430" s="42">
        <v>1928.2882000000002</v>
      </c>
      <c r="AL430" s="42">
        <v>1861</v>
      </c>
      <c r="AM430" s="42">
        <v>1890.7203999999999</v>
      </c>
      <c r="AN430" s="42">
        <v>1822</v>
      </c>
      <c r="AO430" s="42">
        <v>1861</v>
      </c>
      <c r="AP430" s="42">
        <v>1217</v>
      </c>
      <c r="AQ430" s="42">
        <v>0</v>
      </c>
      <c r="AR430" s="42">
        <v>165</v>
      </c>
      <c r="AS430" s="42">
        <v>345</v>
      </c>
      <c r="AT430" s="42">
        <v>617</v>
      </c>
      <c r="AU430" s="42">
        <v>444</v>
      </c>
      <c r="AV430" s="42">
        <f t="shared" si="57"/>
        <v>14012.008600000001</v>
      </c>
      <c r="AW430" s="42">
        <v>157</v>
      </c>
      <c r="AX430" s="42">
        <v>227</v>
      </c>
      <c r="AY430" s="42">
        <v>1220</v>
      </c>
      <c r="AZ430" s="42">
        <v>1262</v>
      </c>
      <c r="BA430" s="42">
        <v>371</v>
      </c>
      <c r="BB430" s="42">
        <v>500</v>
      </c>
      <c r="BC430" s="42">
        <v>0</v>
      </c>
      <c r="BD430" s="42">
        <v>500</v>
      </c>
      <c r="BE430" s="42">
        <v>500</v>
      </c>
      <c r="BF430" s="42">
        <v>500</v>
      </c>
      <c r="BG430" s="42">
        <v>500</v>
      </c>
      <c r="BH430" s="42">
        <v>500</v>
      </c>
      <c r="BI430" s="42">
        <v>0</v>
      </c>
      <c r="BJ430" s="42">
        <v>500</v>
      </c>
      <c r="BK430" s="42">
        <v>0</v>
      </c>
      <c r="BL430" s="42">
        <v>0</v>
      </c>
      <c r="BM430" s="42">
        <v>0</v>
      </c>
      <c r="BN430" s="42">
        <v>0</v>
      </c>
      <c r="BO430" s="42">
        <v>0</v>
      </c>
      <c r="BP430" s="42">
        <v>0</v>
      </c>
      <c r="BQ430" s="42">
        <v>0</v>
      </c>
      <c r="BR430" s="42">
        <v>0</v>
      </c>
      <c r="BS430" s="42">
        <v>0</v>
      </c>
      <c r="BT430" s="42">
        <v>0</v>
      </c>
      <c r="BU430" s="42">
        <v>0</v>
      </c>
      <c r="BV430" s="42">
        <v>0</v>
      </c>
      <c r="BW430" s="42">
        <v>0</v>
      </c>
      <c r="BX430" s="42">
        <v>0</v>
      </c>
      <c r="BY430" s="42">
        <v>0</v>
      </c>
      <c r="BZ430" s="42">
        <v>0</v>
      </c>
      <c r="CA430" s="42">
        <v>0</v>
      </c>
      <c r="CB430" s="42">
        <v>0</v>
      </c>
      <c r="CC430" s="42">
        <v>0</v>
      </c>
      <c r="CD430" s="42">
        <v>0</v>
      </c>
      <c r="CE430" s="42">
        <v>0</v>
      </c>
      <c r="CF430" s="42">
        <v>0</v>
      </c>
      <c r="CG430" s="42">
        <v>0</v>
      </c>
      <c r="CH430" s="42">
        <v>0</v>
      </c>
      <c r="CI430" s="42">
        <v>0</v>
      </c>
      <c r="CJ430" s="42">
        <v>0</v>
      </c>
      <c r="CK430" s="43">
        <f t="shared" si="58"/>
        <v>6737</v>
      </c>
      <c r="CL430" s="66"/>
      <c r="CM430" s="66">
        <v>0</v>
      </c>
      <c r="CN430" s="66">
        <v>0</v>
      </c>
      <c r="CO430" s="66">
        <v>0</v>
      </c>
      <c r="CP430" s="66">
        <v>0</v>
      </c>
      <c r="CQ430" s="66">
        <v>0</v>
      </c>
      <c r="CR430" s="66">
        <v>0</v>
      </c>
      <c r="CS430" s="66">
        <v>0</v>
      </c>
      <c r="CT430" s="66">
        <v>0</v>
      </c>
      <c r="CU430" s="66">
        <v>0</v>
      </c>
      <c r="CV430" s="66">
        <v>0</v>
      </c>
      <c r="CW430" s="66">
        <v>0</v>
      </c>
      <c r="CX430" s="66">
        <v>0</v>
      </c>
      <c r="CY430" s="66">
        <v>0</v>
      </c>
      <c r="CZ430" s="66">
        <v>0</v>
      </c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>
        <f>SUM(Table1[[#This Row],[01-03 Apr]:[Mar-26]])</f>
        <v>0</v>
      </c>
    </row>
    <row r="431" spans="1:115" hidden="1" x14ac:dyDescent="0.2">
      <c r="A431" s="28" t="s">
        <v>2253</v>
      </c>
      <c r="B431" s="29" t="s">
        <v>727</v>
      </c>
      <c r="C431" s="29" t="s">
        <v>728</v>
      </c>
      <c r="D431" s="30" t="s">
        <v>729</v>
      </c>
      <c r="E431" s="30" t="s">
        <v>57</v>
      </c>
      <c r="F431" s="30"/>
      <c r="G431" s="31" t="s">
        <v>730</v>
      </c>
      <c r="H431" s="30">
        <v>364447</v>
      </c>
      <c r="I431" s="30" t="str">
        <f>IF(Table1[[#This Row],[Centre Status]]="Returned","NA",IF(Table1[[#This Row],[SD]]&gt;19000,"Full Payment",IF(Table1[[#This Row],[SD]]&lt;1,"No Payment","Partial Payment")))</f>
        <v>NA</v>
      </c>
      <c r="J431" s="30" t="s">
        <v>1903</v>
      </c>
      <c r="K431" s="32">
        <v>110000</v>
      </c>
      <c r="L431" s="33">
        <f>Q431+R431+U431+Table1[[#This Row],[Farmer Payment]]</f>
        <v>52932.551778557303</v>
      </c>
      <c r="M431" s="30">
        <v>20000</v>
      </c>
      <c r="N431" s="34">
        <v>45680</v>
      </c>
      <c r="O431" s="34" t="s">
        <v>2945</v>
      </c>
      <c r="P431" s="35">
        <f t="shared" si="55"/>
        <v>77067.448221442697</v>
      </c>
      <c r="Q431" s="33">
        <f>AI431+AV431+CK431+Table1[[#This Row],[FY 25-26]]</f>
        <v>32932.551778557303</v>
      </c>
      <c r="R431" s="36">
        <v>20000</v>
      </c>
      <c r="S431" s="37" t="s">
        <v>2541</v>
      </c>
      <c r="T431" s="38">
        <v>44957</v>
      </c>
      <c r="U431" s="39"/>
      <c r="V431" s="39"/>
      <c r="W431" s="40">
        <v>0</v>
      </c>
      <c r="X431" s="40">
        <v>0</v>
      </c>
      <c r="Y431" s="40">
        <v>0</v>
      </c>
      <c r="Z431" s="40">
        <v>0</v>
      </c>
      <c r="AA431" s="40">
        <v>0</v>
      </c>
      <c r="AB431" s="40">
        <v>0</v>
      </c>
      <c r="AC431" s="40">
        <v>0</v>
      </c>
      <c r="AD431" s="40">
        <v>0</v>
      </c>
      <c r="AE431" s="40">
        <v>0</v>
      </c>
      <c r="AF431" s="40">
        <v>0</v>
      </c>
      <c r="AG431" s="40">
        <v>0</v>
      </c>
      <c r="AH431" s="40">
        <v>2077.5554000000002</v>
      </c>
      <c r="AI431" s="41">
        <f t="shared" si="56"/>
        <v>2077.5554000000002</v>
      </c>
      <c r="AJ431" s="42">
        <v>1861</v>
      </c>
      <c r="AK431" s="42">
        <v>2139.2161999999998</v>
      </c>
      <c r="AL431" s="42">
        <v>1861</v>
      </c>
      <c r="AM431" s="42">
        <v>1861</v>
      </c>
      <c r="AN431" s="42">
        <v>443</v>
      </c>
      <c r="AO431" s="42">
        <v>65</v>
      </c>
      <c r="AP431" s="42">
        <v>1861</v>
      </c>
      <c r="AQ431" s="42">
        <v>865</v>
      </c>
      <c r="AR431" s="42">
        <v>413</v>
      </c>
      <c r="AS431" s="42">
        <v>1019</v>
      </c>
      <c r="AT431" s="42">
        <v>3397.6077999999998</v>
      </c>
      <c r="AU431" s="42">
        <v>3222.1055999999999</v>
      </c>
      <c r="AV431" s="42">
        <f t="shared" si="57"/>
        <v>19007.929599999999</v>
      </c>
      <c r="AW431" s="42">
        <v>2882.3927051928208</v>
      </c>
      <c r="AX431" s="42">
        <v>1861</v>
      </c>
      <c r="AY431" s="42">
        <v>0</v>
      </c>
      <c r="AZ431" s="42">
        <v>2126.6740733644801</v>
      </c>
      <c r="BA431" s="42">
        <v>1861</v>
      </c>
      <c r="BB431" s="42">
        <v>0</v>
      </c>
      <c r="BC431" s="42">
        <v>616</v>
      </c>
      <c r="BD431" s="42">
        <v>0</v>
      </c>
      <c r="BE431" s="42">
        <v>500</v>
      </c>
      <c r="BF431" s="42">
        <v>500</v>
      </c>
      <c r="BG431" s="42">
        <v>500</v>
      </c>
      <c r="BH431" s="42">
        <v>500</v>
      </c>
      <c r="BI431" s="42">
        <v>0</v>
      </c>
      <c r="BJ431" s="42">
        <v>500</v>
      </c>
      <c r="BK431" s="42">
        <v>0</v>
      </c>
      <c r="BL431" s="42">
        <v>0</v>
      </c>
      <c r="BM431" s="42">
        <v>0</v>
      </c>
      <c r="BN431" s="42">
        <v>0</v>
      </c>
      <c r="BO431" s="42">
        <v>0</v>
      </c>
      <c r="BP431" s="42">
        <v>0</v>
      </c>
      <c r="BQ431" s="42">
        <v>0</v>
      </c>
      <c r="BR431" s="42">
        <v>0</v>
      </c>
      <c r="BS431" s="42">
        <v>0</v>
      </c>
      <c r="BT431" s="42">
        <v>0</v>
      </c>
      <c r="BU431" s="42">
        <v>0</v>
      </c>
      <c r="BV431" s="42">
        <v>0</v>
      </c>
      <c r="BW431" s="42">
        <v>0</v>
      </c>
      <c r="BX431" s="42">
        <v>0</v>
      </c>
      <c r="BY431" s="42">
        <v>0</v>
      </c>
      <c r="BZ431" s="42">
        <v>0</v>
      </c>
      <c r="CA431" s="42">
        <v>0</v>
      </c>
      <c r="CB431" s="42">
        <v>0</v>
      </c>
      <c r="CC431" s="42">
        <v>0</v>
      </c>
      <c r="CD431" s="42">
        <v>0</v>
      </c>
      <c r="CE431" s="42">
        <v>0</v>
      </c>
      <c r="CF431" s="42">
        <v>0</v>
      </c>
      <c r="CG431" s="42">
        <v>0</v>
      </c>
      <c r="CH431" s="42">
        <v>0</v>
      </c>
      <c r="CI431" s="42">
        <v>0</v>
      </c>
      <c r="CJ431" s="42">
        <v>0</v>
      </c>
      <c r="CK431" s="43">
        <f t="shared" si="58"/>
        <v>11847.0667785573</v>
      </c>
      <c r="CL431" s="66"/>
      <c r="CM431" s="66">
        <v>0</v>
      </c>
      <c r="CN431" s="66">
        <v>0</v>
      </c>
      <c r="CO431" s="66">
        <v>0</v>
      </c>
      <c r="CP431" s="66">
        <v>0</v>
      </c>
      <c r="CQ431" s="66">
        <v>0</v>
      </c>
      <c r="CR431" s="66">
        <v>0</v>
      </c>
      <c r="CS431" s="66">
        <v>0</v>
      </c>
      <c r="CT431" s="66">
        <v>0</v>
      </c>
      <c r="CU431" s="66">
        <v>0</v>
      </c>
      <c r="CV431" s="66">
        <v>0</v>
      </c>
      <c r="CW431" s="66">
        <v>0</v>
      </c>
      <c r="CX431" s="66">
        <v>0</v>
      </c>
      <c r="CY431" s="66">
        <v>0</v>
      </c>
      <c r="CZ431" s="66">
        <v>0</v>
      </c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>
        <f>SUM(Table1[[#This Row],[01-03 Apr]:[Mar-26]])</f>
        <v>0</v>
      </c>
    </row>
    <row r="432" spans="1:115" hidden="1" x14ac:dyDescent="0.2">
      <c r="A432" s="28" t="s">
        <v>2253</v>
      </c>
      <c r="B432" s="29" t="s">
        <v>732</v>
      </c>
      <c r="C432" s="29" t="s">
        <v>2281</v>
      </c>
      <c r="D432" s="30" t="s">
        <v>733</v>
      </c>
      <c r="E432" s="30" t="s">
        <v>217</v>
      </c>
      <c r="F432" s="30"/>
      <c r="G432" s="31" t="s">
        <v>734</v>
      </c>
      <c r="H432" s="30">
        <v>362945</v>
      </c>
      <c r="I432" s="30" t="str">
        <f>IF(Table1[[#This Row],[Centre Status]]="Returned","NA",IF(Table1[[#This Row],[SD]]&gt;19000,"Full Payment",IF(Table1[[#This Row],[SD]]&lt;1,"No Payment","Partial Payment")))</f>
        <v>NA</v>
      </c>
      <c r="J432" s="30" t="s">
        <v>1903</v>
      </c>
      <c r="K432" s="32">
        <v>110000</v>
      </c>
      <c r="L432" s="33">
        <f>Q432+R432+U432+Table1[[#This Row],[Farmer Payment]]</f>
        <v>37592.234599999996</v>
      </c>
      <c r="M432" s="30">
        <v>33000</v>
      </c>
      <c r="N432" s="34">
        <v>45755</v>
      </c>
      <c r="O432" s="34" t="s">
        <v>2696</v>
      </c>
      <c r="P432" s="35">
        <f t="shared" si="55"/>
        <v>105407.7654</v>
      </c>
      <c r="Q432" s="33">
        <f>AI432+AV432+CK432+Table1[[#This Row],[FY 25-26]]</f>
        <v>17592.2346</v>
      </c>
      <c r="R432" s="36">
        <v>20000</v>
      </c>
      <c r="S432" s="37" t="s">
        <v>735</v>
      </c>
      <c r="T432" s="38">
        <v>44979</v>
      </c>
      <c r="U432" s="39"/>
      <c r="V432" s="39"/>
      <c r="W432" s="40">
        <v>0</v>
      </c>
      <c r="X432" s="40">
        <v>0</v>
      </c>
      <c r="Y432" s="40">
        <v>0</v>
      </c>
      <c r="Z432" s="40">
        <v>0</v>
      </c>
      <c r="AA432" s="40">
        <v>0</v>
      </c>
      <c r="AB432" s="40">
        <v>0</v>
      </c>
      <c r="AC432" s="40">
        <v>0</v>
      </c>
      <c r="AD432" s="40">
        <v>0</v>
      </c>
      <c r="AE432" s="40">
        <v>0</v>
      </c>
      <c r="AF432" s="40">
        <v>0</v>
      </c>
      <c r="AG432" s="40">
        <v>0</v>
      </c>
      <c r="AH432" s="40">
        <v>1633</v>
      </c>
      <c r="AI432" s="41">
        <f t="shared" si="56"/>
        <v>1633</v>
      </c>
      <c r="AJ432" s="42">
        <v>1709</v>
      </c>
      <c r="AK432" s="42">
        <v>1086</v>
      </c>
      <c r="AL432" s="42">
        <v>0</v>
      </c>
      <c r="AM432" s="42">
        <v>2464.7965999999997</v>
      </c>
      <c r="AN432" s="42">
        <v>3106.8379999999997</v>
      </c>
      <c r="AO432" s="42">
        <v>2023.2550000000001</v>
      </c>
      <c r="AP432" s="42">
        <v>3708.3450000000003</v>
      </c>
      <c r="AQ432" s="42">
        <v>1861</v>
      </c>
      <c r="AR432" s="42">
        <v>0</v>
      </c>
      <c r="AS432" s="42">
        <v>0</v>
      </c>
      <c r="AT432" s="42">
        <v>0</v>
      </c>
      <c r="AU432" s="42">
        <v>0</v>
      </c>
      <c r="AV432" s="42">
        <f t="shared" si="57"/>
        <v>15959.2346</v>
      </c>
      <c r="AW432" s="42">
        <v>0</v>
      </c>
      <c r="AX432" s="42">
        <v>0</v>
      </c>
      <c r="AY432" s="42">
        <v>0</v>
      </c>
      <c r="AZ432" s="42">
        <v>0</v>
      </c>
      <c r="BA432" s="42">
        <v>0</v>
      </c>
      <c r="BB432" s="42">
        <v>0</v>
      </c>
      <c r="BC432" s="42">
        <v>0</v>
      </c>
      <c r="BD432" s="42">
        <v>0</v>
      </c>
      <c r="BE432" s="42">
        <v>0</v>
      </c>
      <c r="BF432" s="42">
        <v>0</v>
      </c>
      <c r="BG432" s="42">
        <v>0</v>
      </c>
      <c r="BH432" s="42">
        <v>0</v>
      </c>
      <c r="BI432" s="42">
        <v>0</v>
      </c>
      <c r="BJ432" s="42">
        <v>0</v>
      </c>
      <c r="BK432" s="42">
        <v>0</v>
      </c>
      <c r="BL432" s="42">
        <v>0</v>
      </c>
      <c r="BM432" s="42">
        <v>0</v>
      </c>
      <c r="BN432" s="42">
        <v>0</v>
      </c>
      <c r="BO432" s="42">
        <v>0</v>
      </c>
      <c r="BP432" s="42">
        <v>0</v>
      </c>
      <c r="BQ432" s="42">
        <v>0</v>
      </c>
      <c r="BR432" s="42">
        <v>0</v>
      </c>
      <c r="BS432" s="42">
        <v>0</v>
      </c>
      <c r="BT432" s="42">
        <v>0</v>
      </c>
      <c r="BU432" s="42">
        <v>0</v>
      </c>
      <c r="BV432" s="42">
        <v>0</v>
      </c>
      <c r="BW432" s="42">
        <v>0</v>
      </c>
      <c r="BX432" s="42">
        <v>0</v>
      </c>
      <c r="BY432" s="42">
        <v>0</v>
      </c>
      <c r="BZ432" s="42">
        <v>0</v>
      </c>
      <c r="CA432" s="42">
        <v>0</v>
      </c>
      <c r="CB432" s="42">
        <v>0</v>
      </c>
      <c r="CC432" s="42">
        <v>0</v>
      </c>
      <c r="CD432" s="42">
        <v>0</v>
      </c>
      <c r="CE432" s="42">
        <v>0</v>
      </c>
      <c r="CF432" s="42">
        <v>0</v>
      </c>
      <c r="CG432" s="42">
        <v>0</v>
      </c>
      <c r="CH432" s="42">
        <v>0</v>
      </c>
      <c r="CI432" s="42">
        <v>0</v>
      </c>
      <c r="CJ432" s="42">
        <v>0</v>
      </c>
      <c r="CK432" s="43">
        <f t="shared" si="58"/>
        <v>0</v>
      </c>
      <c r="CL432" s="66"/>
      <c r="CM432" s="66">
        <v>0</v>
      </c>
      <c r="CN432" s="66">
        <v>0</v>
      </c>
      <c r="CO432" s="66">
        <v>0</v>
      </c>
      <c r="CP432" s="66">
        <v>0</v>
      </c>
      <c r="CQ432" s="66">
        <v>0</v>
      </c>
      <c r="CR432" s="66">
        <v>0</v>
      </c>
      <c r="CS432" s="66">
        <v>0</v>
      </c>
      <c r="CT432" s="66">
        <v>0</v>
      </c>
      <c r="CU432" s="66">
        <v>0</v>
      </c>
      <c r="CV432" s="66">
        <v>0</v>
      </c>
      <c r="CW432" s="66">
        <v>0</v>
      </c>
      <c r="CX432" s="66">
        <v>0</v>
      </c>
      <c r="CY432" s="66">
        <v>0</v>
      </c>
      <c r="CZ432" s="66">
        <v>0</v>
      </c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>
        <f>SUM(Table1[[#This Row],[01-03 Apr]:[Mar-26]])</f>
        <v>0</v>
      </c>
    </row>
    <row r="433" spans="1:115" hidden="1" x14ac:dyDescent="0.2">
      <c r="A433" s="28" t="s">
        <v>2253</v>
      </c>
      <c r="B433" s="29" t="s">
        <v>736</v>
      </c>
      <c r="C433" s="29" t="s">
        <v>737</v>
      </c>
      <c r="D433" s="30" t="s">
        <v>738</v>
      </c>
      <c r="E433" s="30" t="s">
        <v>217</v>
      </c>
      <c r="F433" s="30"/>
      <c r="G433" s="31" t="s">
        <v>734</v>
      </c>
      <c r="H433" s="30">
        <v>362929</v>
      </c>
      <c r="I433" s="30" t="str">
        <f>IF(Table1[[#This Row],[Centre Status]]="Returned","NA",IF(Table1[[#This Row],[SD]]&gt;19000,"Full Payment",IF(Table1[[#This Row],[SD]]&lt;1,"No Payment","Partial Payment")))</f>
        <v>Full Payment</v>
      </c>
      <c r="J433" s="30" t="s">
        <v>58</v>
      </c>
      <c r="K433" s="32">
        <v>110000</v>
      </c>
      <c r="L433" s="33">
        <f>Q433+R433+U433+Table1[[#This Row],[Farmer Payment]]</f>
        <v>65217.796185746025</v>
      </c>
      <c r="M433" s="30"/>
      <c r="N433" s="34"/>
      <c r="O433" s="34"/>
      <c r="P433" s="35">
        <f t="shared" si="55"/>
        <v>44782.203814253975</v>
      </c>
      <c r="Q433" s="33">
        <f>AI433+AV433+CK433+Table1[[#This Row],[FY 25-26]]</f>
        <v>45217.796185746025</v>
      </c>
      <c r="R433" s="36">
        <v>20000</v>
      </c>
      <c r="S433" s="37" t="s">
        <v>739</v>
      </c>
      <c r="T433" s="38">
        <v>44979</v>
      </c>
      <c r="U433" s="39"/>
      <c r="V433" s="39"/>
      <c r="W433" s="40">
        <v>0</v>
      </c>
      <c r="X433" s="40">
        <v>0</v>
      </c>
      <c r="Y433" s="40">
        <v>0</v>
      </c>
      <c r="Z433" s="40">
        <v>0</v>
      </c>
      <c r="AA433" s="40">
        <v>0</v>
      </c>
      <c r="AB433" s="40">
        <v>0</v>
      </c>
      <c r="AC433" s="40">
        <v>0</v>
      </c>
      <c r="AD433" s="40">
        <v>0</v>
      </c>
      <c r="AE433" s="40">
        <v>0</v>
      </c>
      <c r="AF433" s="40">
        <v>0</v>
      </c>
      <c r="AG433" s="40">
        <v>0</v>
      </c>
      <c r="AH433" s="40">
        <v>2391.3116000000005</v>
      </c>
      <c r="AI433" s="41">
        <f t="shared" si="56"/>
        <v>2391.3116000000005</v>
      </c>
      <c r="AJ433" s="42">
        <v>2484.8606382239996</v>
      </c>
      <c r="AK433" s="42">
        <v>3243.3879999999999</v>
      </c>
      <c r="AL433" s="42">
        <v>1773</v>
      </c>
      <c r="AM433" s="42">
        <v>0</v>
      </c>
      <c r="AN433" s="42">
        <v>0</v>
      </c>
      <c r="AO433" s="42">
        <v>0</v>
      </c>
      <c r="AP433" s="42">
        <v>0</v>
      </c>
      <c r="AQ433" s="42">
        <v>0</v>
      </c>
      <c r="AR433" s="42">
        <v>0</v>
      </c>
      <c r="AS433" s="42">
        <v>0</v>
      </c>
      <c r="AT433" s="42">
        <v>2199.6660000000002</v>
      </c>
      <c r="AU433" s="42">
        <v>3912.4806000000008</v>
      </c>
      <c r="AV433" s="42">
        <f t="shared" si="57"/>
        <v>13613.395238224</v>
      </c>
      <c r="AW433" s="42">
        <v>1861</v>
      </c>
      <c r="AX433" s="42">
        <v>1861</v>
      </c>
      <c r="AY433" s="42">
        <v>1861</v>
      </c>
      <c r="AZ433" s="42">
        <v>1872.9234316420911</v>
      </c>
      <c r="BA433" s="42">
        <v>1861</v>
      </c>
      <c r="BB433" s="42">
        <v>0</v>
      </c>
      <c r="BC433" s="42">
        <v>3272.1659158799339</v>
      </c>
      <c r="BD433" s="42">
        <v>0</v>
      </c>
      <c r="BE433" s="42">
        <v>0</v>
      </c>
      <c r="BF433" s="42">
        <v>0</v>
      </c>
      <c r="BG433" s="42">
        <v>0</v>
      </c>
      <c r="BH433" s="42">
        <v>0</v>
      </c>
      <c r="BI433" s="42">
        <v>1861</v>
      </c>
      <c r="BJ433" s="42">
        <v>0</v>
      </c>
      <c r="BK433" s="42">
        <v>0</v>
      </c>
      <c r="BL433" s="42">
        <v>0</v>
      </c>
      <c r="BM433" s="42">
        <v>0</v>
      </c>
      <c r="BN433" s="42">
        <v>621</v>
      </c>
      <c r="BO433" s="42">
        <v>500</v>
      </c>
      <c r="BP433" s="42">
        <v>500</v>
      </c>
      <c r="BQ433" s="42">
        <v>500</v>
      </c>
      <c r="BR433" s="42">
        <v>500</v>
      </c>
      <c r="BS433" s="42">
        <v>0</v>
      </c>
      <c r="BT433" s="42">
        <v>281</v>
      </c>
      <c r="BU433" s="42">
        <v>500</v>
      </c>
      <c r="BV433" s="42">
        <v>500</v>
      </c>
      <c r="BW433" s="42">
        <v>500</v>
      </c>
      <c r="BX433" s="42">
        <v>500</v>
      </c>
      <c r="BY433" s="42">
        <v>0</v>
      </c>
      <c r="BZ433" s="42">
        <v>500</v>
      </c>
      <c r="CA433" s="42">
        <v>500</v>
      </c>
      <c r="CB433" s="42">
        <v>500</v>
      </c>
      <c r="CC433" s="42">
        <v>500</v>
      </c>
      <c r="CD433" s="42">
        <v>0</v>
      </c>
      <c r="CE433" s="42">
        <v>500</v>
      </c>
      <c r="CF433" s="42">
        <v>500</v>
      </c>
      <c r="CG433" s="42">
        <v>500</v>
      </c>
      <c r="CH433" s="42">
        <v>500</v>
      </c>
      <c r="CI433" s="42">
        <v>500</v>
      </c>
      <c r="CJ433" s="42">
        <v>0</v>
      </c>
      <c r="CK433" s="43">
        <f t="shared" si="58"/>
        <v>23852.089347522025</v>
      </c>
      <c r="CL433" s="66"/>
      <c r="CM433" s="66">
        <v>500</v>
      </c>
      <c r="CN433" s="66">
        <v>500</v>
      </c>
      <c r="CO433" s="66">
        <v>500</v>
      </c>
      <c r="CP433" s="66">
        <v>0</v>
      </c>
      <c r="CQ433" s="66">
        <v>500</v>
      </c>
      <c r="CR433" s="66">
        <v>500</v>
      </c>
      <c r="CS433" s="66">
        <v>0</v>
      </c>
      <c r="CT433" s="66">
        <v>500</v>
      </c>
      <c r="CU433" s="66">
        <v>0</v>
      </c>
      <c r="CV433" s="66">
        <v>361</v>
      </c>
      <c r="CW433" s="66">
        <v>500</v>
      </c>
      <c r="CX433" s="66">
        <v>500</v>
      </c>
      <c r="CY433" s="66">
        <v>500</v>
      </c>
      <c r="CZ433" s="66">
        <v>500</v>
      </c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>
        <f>SUM(Table1[[#This Row],[01-03 Apr]:[Mar-26]])</f>
        <v>5361</v>
      </c>
    </row>
    <row r="434" spans="1:115" x14ac:dyDescent="0.2">
      <c r="A434" s="28" t="s">
        <v>2253</v>
      </c>
      <c r="B434" s="29" t="s">
        <v>740</v>
      </c>
      <c r="C434" s="29" t="s">
        <v>741</v>
      </c>
      <c r="D434" s="30" t="s">
        <v>742</v>
      </c>
      <c r="E434" s="30" t="s">
        <v>63</v>
      </c>
      <c r="F434" s="30"/>
      <c r="G434" s="31" t="s">
        <v>730</v>
      </c>
      <c r="H434" s="30">
        <v>362927</v>
      </c>
      <c r="I434" s="30" t="str">
        <f>IF(Table1[[#This Row],[Centre Status]]="Returned","NA",IF(Table1[[#This Row],[SD]]&gt;19000,"Full Payment",IF(Table1[[#This Row],[SD]]&lt;1,"No Payment","Partial Payment")))</f>
        <v>Partial Payment</v>
      </c>
      <c r="J434" s="30" t="s">
        <v>58</v>
      </c>
      <c r="K434" s="32">
        <v>110000</v>
      </c>
      <c r="L434" s="33">
        <f>Q434+R434+U434+Table1[[#This Row],[Farmer Payment]]</f>
        <v>45749.527199999997</v>
      </c>
      <c r="M434" s="30"/>
      <c r="N434" s="34"/>
      <c r="O434" s="34"/>
      <c r="P434" s="35">
        <f t="shared" si="55"/>
        <v>64250.472800000003</v>
      </c>
      <c r="Q434" s="33">
        <f>AI434+AV434+CK434+Table1[[#This Row],[FY 25-26]]</f>
        <v>35749.527199999997</v>
      </c>
      <c r="R434" s="36">
        <v>10000</v>
      </c>
      <c r="S434" s="37" t="s">
        <v>743</v>
      </c>
      <c r="T434" s="38">
        <v>44958</v>
      </c>
      <c r="U434" s="39"/>
      <c r="V434" s="39"/>
      <c r="W434" s="40">
        <v>0</v>
      </c>
      <c r="X434" s="40">
        <v>0</v>
      </c>
      <c r="Y434" s="40">
        <v>0</v>
      </c>
      <c r="Z434" s="40">
        <v>0</v>
      </c>
      <c r="AA434" s="40">
        <v>0</v>
      </c>
      <c r="AB434" s="40">
        <v>0</v>
      </c>
      <c r="AC434" s="40">
        <v>0</v>
      </c>
      <c r="AD434" s="40">
        <v>0</v>
      </c>
      <c r="AE434" s="40">
        <v>0</v>
      </c>
      <c r="AF434" s="40">
        <v>0</v>
      </c>
      <c r="AG434" s="40">
        <v>0</v>
      </c>
      <c r="AH434" s="40">
        <v>1861</v>
      </c>
      <c r="AI434" s="41">
        <f t="shared" si="56"/>
        <v>1861</v>
      </c>
      <c r="AJ434" s="42">
        <v>1861</v>
      </c>
      <c r="AK434" s="42">
        <v>1896.3119999999999</v>
      </c>
      <c r="AL434" s="42">
        <v>1861</v>
      </c>
      <c r="AM434" s="42">
        <v>1861</v>
      </c>
      <c r="AN434" s="42">
        <v>783</v>
      </c>
      <c r="AO434" s="42">
        <v>0</v>
      </c>
      <c r="AP434" s="42">
        <v>0</v>
      </c>
      <c r="AQ434" s="42">
        <v>0</v>
      </c>
      <c r="AR434" s="42">
        <v>1091</v>
      </c>
      <c r="AS434" s="42">
        <v>1861</v>
      </c>
      <c r="AT434" s="42">
        <v>2040.0896000000002</v>
      </c>
      <c r="AU434" s="42">
        <v>2048.1255999999998</v>
      </c>
      <c r="AV434" s="42">
        <f t="shared" si="57"/>
        <v>15302.5272</v>
      </c>
      <c r="AW434" s="42">
        <v>1861</v>
      </c>
      <c r="AX434" s="42">
        <v>1861</v>
      </c>
      <c r="AY434" s="42">
        <v>1861</v>
      </c>
      <c r="AZ434" s="42">
        <v>1861</v>
      </c>
      <c r="BA434" s="42">
        <v>642</v>
      </c>
      <c r="BB434" s="42">
        <v>500</v>
      </c>
      <c r="BC434" s="42">
        <v>0</v>
      </c>
      <c r="BD434" s="42">
        <v>500</v>
      </c>
      <c r="BE434" s="42">
        <v>500</v>
      </c>
      <c r="BF434" s="42">
        <v>500</v>
      </c>
      <c r="BG434" s="42">
        <v>500</v>
      </c>
      <c r="BH434" s="42">
        <v>500</v>
      </c>
      <c r="BI434" s="42">
        <v>0</v>
      </c>
      <c r="BJ434" s="42">
        <v>500</v>
      </c>
      <c r="BK434" s="42">
        <v>500</v>
      </c>
      <c r="BL434" s="42">
        <v>500</v>
      </c>
      <c r="BM434" s="42">
        <v>500</v>
      </c>
      <c r="BN434" s="42">
        <v>0</v>
      </c>
      <c r="BO434" s="42">
        <v>500</v>
      </c>
      <c r="BP434" s="42">
        <v>500</v>
      </c>
      <c r="BQ434" s="42">
        <v>500</v>
      </c>
      <c r="BR434" s="42">
        <v>500</v>
      </c>
      <c r="BS434" s="42">
        <v>0</v>
      </c>
      <c r="BT434" s="42">
        <v>500</v>
      </c>
      <c r="BU434" s="42">
        <v>500</v>
      </c>
      <c r="BV434" s="42">
        <v>500</v>
      </c>
      <c r="BW434" s="42">
        <v>500</v>
      </c>
      <c r="BX434" s="42">
        <v>500</v>
      </c>
      <c r="BY434" s="42">
        <v>0</v>
      </c>
      <c r="BZ434" s="42">
        <v>500</v>
      </c>
      <c r="CA434" s="42">
        <v>500</v>
      </c>
      <c r="CB434" s="42">
        <v>0</v>
      </c>
      <c r="CC434" s="42">
        <v>0</v>
      </c>
      <c r="CD434" s="42">
        <v>0</v>
      </c>
      <c r="CE434" s="42">
        <v>0</v>
      </c>
      <c r="CF434" s="42">
        <v>0</v>
      </c>
      <c r="CG434" s="42">
        <v>0</v>
      </c>
      <c r="CH434" s="42">
        <v>0</v>
      </c>
      <c r="CI434" s="42">
        <v>0</v>
      </c>
      <c r="CJ434" s="42">
        <v>0</v>
      </c>
      <c r="CK434" s="43">
        <f t="shared" si="58"/>
        <v>18586</v>
      </c>
      <c r="CL434" s="66"/>
      <c r="CM434" s="66">
        <v>0</v>
      </c>
      <c r="CN434" s="66">
        <v>0</v>
      </c>
      <c r="CO434" s="66">
        <v>0</v>
      </c>
      <c r="CP434" s="66">
        <v>0</v>
      </c>
      <c r="CQ434" s="66">
        <v>0</v>
      </c>
      <c r="CR434" s="66">
        <v>0</v>
      </c>
      <c r="CS434" s="66">
        <v>0</v>
      </c>
      <c r="CT434" s="66">
        <v>0</v>
      </c>
      <c r="CU434" s="66">
        <v>0</v>
      </c>
      <c r="CV434" s="66">
        <v>0</v>
      </c>
      <c r="CW434" s="66">
        <v>0</v>
      </c>
      <c r="CX434" s="66">
        <v>0</v>
      </c>
      <c r="CY434" s="66">
        <v>0</v>
      </c>
      <c r="CZ434" s="66">
        <v>0</v>
      </c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>
        <f>SUM(Table1[[#This Row],[01-03 Apr]:[Mar-26]])</f>
        <v>0</v>
      </c>
    </row>
    <row r="435" spans="1:115" x14ac:dyDescent="0.2">
      <c r="A435" s="28" t="s">
        <v>2256</v>
      </c>
      <c r="B435" s="29" t="s">
        <v>744</v>
      </c>
      <c r="C435" s="29" t="s">
        <v>745</v>
      </c>
      <c r="D435" s="30" t="s">
        <v>746</v>
      </c>
      <c r="E435" s="30" t="s">
        <v>217</v>
      </c>
      <c r="F435" s="30"/>
      <c r="G435" s="31" t="s">
        <v>654</v>
      </c>
      <c r="H435" s="30">
        <v>274539</v>
      </c>
      <c r="I435" s="30" t="str">
        <f>IF(Table1[[#This Row],[Centre Status]]="Returned","NA",IF(Table1[[#This Row],[SD]]&gt;19000,"Full Payment",IF(Table1[[#This Row],[SD]]&lt;1,"No Payment","Partial Payment")))</f>
        <v>Partial Payment</v>
      </c>
      <c r="J435" s="30" t="s">
        <v>58</v>
      </c>
      <c r="K435" s="32">
        <v>110000</v>
      </c>
      <c r="L435" s="33">
        <f>Q435+R435+U435+Table1[[#This Row],[Farmer Payment]]</f>
        <v>6127</v>
      </c>
      <c r="M435" s="30"/>
      <c r="N435" s="34"/>
      <c r="O435" s="34"/>
      <c r="P435" s="35">
        <f t="shared" si="55"/>
        <v>103873</v>
      </c>
      <c r="Q435" s="33">
        <f>AI435+AV435+CK435+Table1[[#This Row],[FY 25-26]]</f>
        <v>1127</v>
      </c>
      <c r="R435" s="36">
        <v>5000</v>
      </c>
      <c r="S435" s="37" t="s">
        <v>667</v>
      </c>
      <c r="T435" s="38">
        <v>44945</v>
      </c>
      <c r="U435" s="39"/>
      <c r="V435" s="39"/>
      <c r="W435" s="40">
        <v>0</v>
      </c>
      <c r="X435" s="40">
        <v>0</v>
      </c>
      <c r="Y435" s="40">
        <v>0</v>
      </c>
      <c r="Z435" s="40">
        <v>0</v>
      </c>
      <c r="AA435" s="40">
        <v>0</v>
      </c>
      <c r="AB435" s="40">
        <v>0</v>
      </c>
      <c r="AC435" s="40">
        <v>0</v>
      </c>
      <c r="AD435" s="40">
        <v>0</v>
      </c>
      <c r="AE435" s="40">
        <v>0</v>
      </c>
      <c r="AF435" s="40">
        <v>0</v>
      </c>
      <c r="AG435" s="40">
        <v>467</v>
      </c>
      <c r="AH435" s="40">
        <v>262</v>
      </c>
      <c r="AI435" s="41">
        <f t="shared" si="56"/>
        <v>729</v>
      </c>
      <c r="AJ435" s="42">
        <v>398</v>
      </c>
      <c r="AK435" s="42">
        <v>0</v>
      </c>
      <c r="AL435" s="42">
        <v>0</v>
      </c>
      <c r="AM435" s="42">
        <v>0</v>
      </c>
      <c r="AN435" s="42">
        <v>0</v>
      </c>
      <c r="AO435" s="42">
        <v>0</v>
      </c>
      <c r="AP435" s="42">
        <v>0</v>
      </c>
      <c r="AQ435" s="42">
        <v>0</v>
      </c>
      <c r="AR435" s="42">
        <v>0</v>
      </c>
      <c r="AS435" s="42">
        <v>0</v>
      </c>
      <c r="AT435" s="42">
        <v>0</v>
      </c>
      <c r="AU435" s="42">
        <v>0</v>
      </c>
      <c r="AV435" s="42">
        <f t="shared" si="57"/>
        <v>398</v>
      </c>
      <c r="AW435" s="42">
        <v>0</v>
      </c>
      <c r="AX435" s="42">
        <v>0</v>
      </c>
      <c r="AY435" s="42">
        <v>0</v>
      </c>
      <c r="AZ435" s="42">
        <v>0</v>
      </c>
      <c r="BA435" s="42">
        <v>0</v>
      </c>
      <c r="BB435" s="42">
        <v>0</v>
      </c>
      <c r="BC435" s="42">
        <v>0</v>
      </c>
      <c r="BD435" s="42">
        <v>0</v>
      </c>
      <c r="BE435" s="42">
        <v>0</v>
      </c>
      <c r="BF435" s="42">
        <v>0</v>
      </c>
      <c r="BG435" s="42">
        <v>0</v>
      </c>
      <c r="BH435" s="42">
        <v>0</v>
      </c>
      <c r="BI435" s="42">
        <v>0</v>
      </c>
      <c r="BJ435" s="42">
        <v>0</v>
      </c>
      <c r="BK435" s="42">
        <v>0</v>
      </c>
      <c r="BL435" s="42">
        <v>0</v>
      </c>
      <c r="BM435" s="42">
        <v>0</v>
      </c>
      <c r="BN435" s="42">
        <v>0</v>
      </c>
      <c r="BO435" s="42">
        <v>0</v>
      </c>
      <c r="BP435" s="42">
        <v>0</v>
      </c>
      <c r="BQ435" s="42">
        <v>0</v>
      </c>
      <c r="BR435" s="42">
        <v>0</v>
      </c>
      <c r="BS435" s="42">
        <v>0</v>
      </c>
      <c r="BT435" s="42">
        <v>0</v>
      </c>
      <c r="BU435" s="42">
        <v>0</v>
      </c>
      <c r="BV435" s="42">
        <v>0</v>
      </c>
      <c r="BW435" s="42">
        <v>0</v>
      </c>
      <c r="BX435" s="42">
        <v>0</v>
      </c>
      <c r="BY435" s="42">
        <v>0</v>
      </c>
      <c r="BZ435" s="42">
        <v>0</v>
      </c>
      <c r="CA435" s="42">
        <v>0</v>
      </c>
      <c r="CB435" s="42">
        <v>0</v>
      </c>
      <c r="CC435" s="42">
        <v>0</v>
      </c>
      <c r="CD435" s="42">
        <v>0</v>
      </c>
      <c r="CE435" s="42">
        <v>0</v>
      </c>
      <c r="CF435" s="42">
        <v>0</v>
      </c>
      <c r="CG435" s="42">
        <v>0</v>
      </c>
      <c r="CH435" s="42">
        <v>0</v>
      </c>
      <c r="CI435" s="42">
        <v>0</v>
      </c>
      <c r="CJ435" s="42">
        <v>0</v>
      </c>
      <c r="CK435" s="43">
        <f t="shared" si="58"/>
        <v>0</v>
      </c>
      <c r="CL435" s="66"/>
      <c r="CM435" s="66">
        <v>0</v>
      </c>
      <c r="CN435" s="66">
        <v>0</v>
      </c>
      <c r="CO435" s="66">
        <v>0</v>
      </c>
      <c r="CP435" s="66">
        <v>0</v>
      </c>
      <c r="CQ435" s="66">
        <v>0</v>
      </c>
      <c r="CR435" s="66">
        <v>0</v>
      </c>
      <c r="CS435" s="66">
        <v>0</v>
      </c>
      <c r="CT435" s="66">
        <v>0</v>
      </c>
      <c r="CU435" s="66">
        <v>0</v>
      </c>
      <c r="CV435" s="66">
        <v>0</v>
      </c>
      <c r="CW435" s="66">
        <v>0</v>
      </c>
      <c r="CX435" s="66">
        <v>0</v>
      </c>
      <c r="CY435" s="66">
        <v>0</v>
      </c>
      <c r="CZ435" s="66">
        <v>0</v>
      </c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>
        <f>SUM(Table1[[#This Row],[01-03 Apr]:[Mar-26]])</f>
        <v>0</v>
      </c>
    </row>
    <row r="436" spans="1:115" hidden="1" x14ac:dyDescent="0.2">
      <c r="A436" s="28" t="s">
        <v>2253</v>
      </c>
      <c r="B436" s="29" t="s">
        <v>753</v>
      </c>
      <c r="C436" s="29" t="s">
        <v>754</v>
      </c>
      <c r="D436" s="30" t="s">
        <v>755</v>
      </c>
      <c r="E436" s="30" t="s">
        <v>297</v>
      </c>
      <c r="F436" s="30"/>
      <c r="G436" s="31" t="s">
        <v>654</v>
      </c>
      <c r="H436" s="30">
        <v>368631</v>
      </c>
      <c r="I436" s="30" t="str">
        <f>IF(Table1[[#This Row],[Centre Status]]="Returned","NA",IF(Table1[[#This Row],[SD]]&gt;19000,"Full Payment",IF(Table1[[#This Row],[SD]]&lt;1,"No Payment","Partial Payment")))</f>
        <v>NA</v>
      </c>
      <c r="J436" s="30" t="s">
        <v>1903</v>
      </c>
      <c r="K436" s="32">
        <v>110000</v>
      </c>
      <c r="L436" s="33">
        <f>Q436+R436+U436+Table1[[#This Row],[Farmer Payment]]</f>
        <v>22380.65088901174</v>
      </c>
      <c r="M436" s="30">
        <v>9000</v>
      </c>
      <c r="N436" s="34">
        <v>45755</v>
      </c>
      <c r="O436" s="34" t="s">
        <v>2556</v>
      </c>
      <c r="P436" s="35">
        <f t="shared" si="55"/>
        <v>96619.34911098826</v>
      </c>
      <c r="Q436" s="33">
        <f>AI436+AV436+CK436+Table1[[#This Row],[FY 25-26]]</f>
        <v>17380.65088901174</v>
      </c>
      <c r="R436" s="36">
        <v>5000</v>
      </c>
      <c r="S436" s="37" t="s">
        <v>752</v>
      </c>
      <c r="T436" s="38">
        <v>44949</v>
      </c>
      <c r="U436" s="39"/>
      <c r="V436" s="39"/>
      <c r="W436" s="40">
        <v>0</v>
      </c>
      <c r="X436" s="40">
        <v>0</v>
      </c>
      <c r="Y436" s="40">
        <v>0</v>
      </c>
      <c r="Z436" s="40">
        <v>0</v>
      </c>
      <c r="AA436" s="40">
        <v>0</v>
      </c>
      <c r="AB436" s="40">
        <v>0</v>
      </c>
      <c r="AC436" s="40">
        <v>0</v>
      </c>
      <c r="AD436" s="40">
        <v>0</v>
      </c>
      <c r="AE436" s="40">
        <v>0</v>
      </c>
      <c r="AF436" s="40">
        <v>0</v>
      </c>
      <c r="AG436" s="40">
        <v>246</v>
      </c>
      <c r="AH436" s="40">
        <v>897</v>
      </c>
      <c r="AI436" s="41">
        <f t="shared" si="56"/>
        <v>1143</v>
      </c>
      <c r="AJ436" s="42">
        <v>601</v>
      </c>
      <c r="AK436" s="42">
        <v>65</v>
      </c>
      <c r="AL436" s="42">
        <v>0</v>
      </c>
      <c r="AM436" s="42">
        <v>0</v>
      </c>
      <c r="AN436" s="42">
        <v>0</v>
      </c>
      <c r="AO436" s="42">
        <v>0</v>
      </c>
      <c r="AP436" s="42">
        <v>0</v>
      </c>
      <c r="AQ436" s="42">
        <v>0</v>
      </c>
      <c r="AR436" s="42">
        <v>0</v>
      </c>
      <c r="AS436" s="42">
        <v>320</v>
      </c>
      <c r="AT436" s="42">
        <v>1861</v>
      </c>
      <c r="AU436" s="42">
        <v>3763.4644000000003</v>
      </c>
      <c r="AV436" s="42">
        <f t="shared" si="57"/>
        <v>6610.4644000000008</v>
      </c>
      <c r="AW436" s="42">
        <v>1367</v>
      </c>
      <c r="AX436" s="42">
        <v>1935.7105982469402</v>
      </c>
      <c r="AY436" s="42">
        <v>2744.0289313536</v>
      </c>
      <c r="AZ436" s="42">
        <v>2580.4469594112006</v>
      </c>
      <c r="BA436" s="42">
        <v>0</v>
      </c>
      <c r="BB436" s="42">
        <v>500</v>
      </c>
      <c r="BC436" s="42">
        <v>0</v>
      </c>
      <c r="BD436" s="42">
        <v>500</v>
      </c>
      <c r="BE436" s="42">
        <v>0</v>
      </c>
      <c r="BF436" s="42">
        <v>0</v>
      </c>
      <c r="BG436" s="42">
        <v>0</v>
      </c>
      <c r="BH436" s="42">
        <v>0</v>
      </c>
      <c r="BI436" s="42">
        <v>0</v>
      </c>
      <c r="BJ436" s="42">
        <v>0</v>
      </c>
      <c r="BK436" s="42">
        <v>0</v>
      </c>
      <c r="BL436" s="42">
        <v>0</v>
      </c>
      <c r="BM436" s="42">
        <v>0</v>
      </c>
      <c r="BN436" s="42">
        <v>0</v>
      </c>
      <c r="BO436" s="42">
        <v>0</v>
      </c>
      <c r="BP436" s="42">
        <v>0</v>
      </c>
      <c r="BQ436" s="42">
        <v>0</v>
      </c>
      <c r="BR436" s="42">
        <v>0</v>
      </c>
      <c r="BS436" s="42">
        <v>0</v>
      </c>
      <c r="BT436" s="42">
        <v>0</v>
      </c>
      <c r="BU436" s="42">
        <v>0</v>
      </c>
      <c r="BV436" s="42">
        <v>0</v>
      </c>
      <c r="BW436" s="42">
        <v>0</v>
      </c>
      <c r="BX436" s="42">
        <v>0</v>
      </c>
      <c r="BY436" s="42">
        <v>0</v>
      </c>
      <c r="BZ436" s="42">
        <v>0</v>
      </c>
      <c r="CA436" s="42">
        <v>0</v>
      </c>
      <c r="CB436" s="42">
        <v>0</v>
      </c>
      <c r="CC436" s="42">
        <v>0</v>
      </c>
      <c r="CD436" s="42">
        <v>0</v>
      </c>
      <c r="CE436" s="42">
        <v>0</v>
      </c>
      <c r="CF436" s="42">
        <v>0</v>
      </c>
      <c r="CG436" s="42">
        <v>0</v>
      </c>
      <c r="CH436" s="42">
        <v>0</v>
      </c>
      <c r="CI436" s="42">
        <v>0</v>
      </c>
      <c r="CJ436" s="42">
        <v>0</v>
      </c>
      <c r="CK436" s="43">
        <f t="shared" si="58"/>
        <v>9627.1864890117395</v>
      </c>
      <c r="CL436" s="66"/>
      <c r="CM436" s="66">
        <v>0</v>
      </c>
      <c r="CN436" s="66">
        <v>0</v>
      </c>
      <c r="CO436" s="66">
        <v>0</v>
      </c>
      <c r="CP436" s="66">
        <v>0</v>
      </c>
      <c r="CQ436" s="66">
        <v>0</v>
      </c>
      <c r="CR436" s="66">
        <v>0</v>
      </c>
      <c r="CS436" s="66">
        <v>0</v>
      </c>
      <c r="CT436" s="66">
        <v>0</v>
      </c>
      <c r="CU436" s="66">
        <v>0</v>
      </c>
      <c r="CV436" s="66">
        <v>0</v>
      </c>
      <c r="CW436" s="66">
        <v>0</v>
      </c>
      <c r="CX436" s="66">
        <v>0</v>
      </c>
      <c r="CY436" s="66">
        <v>0</v>
      </c>
      <c r="CZ436" s="66">
        <v>0</v>
      </c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>
        <f>SUM(Table1[[#This Row],[01-03 Apr]:[Mar-26]])</f>
        <v>0</v>
      </c>
    </row>
    <row r="437" spans="1:115" x14ac:dyDescent="0.2">
      <c r="A437" s="28" t="s">
        <v>2365</v>
      </c>
      <c r="B437" s="29" t="s">
        <v>757</v>
      </c>
      <c r="C437" s="29" t="s">
        <v>758</v>
      </c>
      <c r="D437" s="30" t="s">
        <v>71</v>
      </c>
      <c r="E437" s="30" t="s">
        <v>217</v>
      </c>
      <c r="F437" s="30"/>
      <c r="G437" s="31" t="s">
        <v>654</v>
      </c>
      <c r="H437" s="30">
        <v>362940</v>
      </c>
      <c r="I437" s="30" t="str">
        <f>IF(Table1[[#This Row],[Centre Status]]="Returned","NA",IF(Table1[[#This Row],[SD]]&gt;19000,"Full Payment",IF(Table1[[#This Row],[SD]]&lt;1,"No Payment","Partial Payment")))</f>
        <v>Partial Payment</v>
      </c>
      <c r="J437" s="30" t="s">
        <v>58</v>
      </c>
      <c r="K437" s="32">
        <v>110000</v>
      </c>
      <c r="L437" s="33">
        <f>Q437+R437+U437+Table1[[#This Row],[Farmer Payment]]</f>
        <v>74149.018055871071</v>
      </c>
      <c r="M437" s="30"/>
      <c r="N437" s="34"/>
      <c r="O437" s="34"/>
      <c r="P437" s="35">
        <f t="shared" si="55"/>
        <v>35850.981944128929</v>
      </c>
      <c r="Q437" s="33">
        <f>AI437+AV437+CK437+Table1[[#This Row],[FY 25-26]]</f>
        <v>69149.018055871071</v>
      </c>
      <c r="R437" s="36">
        <v>5000</v>
      </c>
      <c r="S437" s="37" t="s">
        <v>756</v>
      </c>
      <c r="T437" s="38">
        <v>44951</v>
      </c>
      <c r="U437" s="39"/>
      <c r="V437" s="39"/>
      <c r="W437" s="40">
        <v>0</v>
      </c>
      <c r="X437" s="40">
        <v>0</v>
      </c>
      <c r="Y437" s="40">
        <v>0</v>
      </c>
      <c r="Z437" s="40">
        <v>0</v>
      </c>
      <c r="AA437" s="40">
        <v>0</v>
      </c>
      <c r="AB437" s="40">
        <v>0</v>
      </c>
      <c r="AC437" s="40">
        <v>0</v>
      </c>
      <c r="AD437" s="40">
        <v>0</v>
      </c>
      <c r="AE437" s="40">
        <v>0</v>
      </c>
      <c r="AF437" s="40">
        <v>0</v>
      </c>
      <c r="AG437" s="40">
        <v>690</v>
      </c>
      <c r="AH437" s="40">
        <v>905</v>
      </c>
      <c r="AI437" s="41">
        <f t="shared" si="56"/>
        <v>1595</v>
      </c>
      <c r="AJ437" s="42">
        <v>401</v>
      </c>
      <c r="AK437" s="42">
        <v>1305</v>
      </c>
      <c r="AL437" s="42">
        <v>0</v>
      </c>
      <c r="AM437" s="42">
        <v>0</v>
      </c>
      <c r="AN437" s="42">
        <v>0</v>
      </c>
      <c r="AO437" s="42">
        <v>0</v>
      </c>
      <c r="AP437" s="42">
        <v>1872.3726000000001</v>
      </c>
      <c r="AQ437" s="42">
        <v>0</v>
      </c>
      <c r="AR437" s="42">
        <v>0</v>
      </c>
      <c r="AS437" s="42">
        <v>4484.8294000000005</v>
      </c>
      <c r="AT437" s="42">
        <v>8356.0974000000006</v>
      </c>
      <c r="AU437" s="42">
        <v>10045.807200000001</v>
      </c>
      <c r="AV437" s="42">
        <f t="shared" si="57"/>
        <v>26465.106600000006</v>
      </c>
      <c r="AW437" s="42">
        <v>5524.8964395760277</v>
      </c>
      <c r="AX437" s="42">
        <v>2192.2383189888001</v>
      </c>
      <c r="AY437" s="42">
        <v>1861</v>
      </c>
      <c r="AZ437" s="42">
        <v>1920.3480262617604</v>
      </c>
      <c r="BA437" s="42">
        <v>2667.1622226747322</v>
      </c>
      <c r="BB437" s="42">
        <v>0</v>
      </c>
      <c r="BC437" s="42">
        <v>4444.2611937915062</v>
      </c>
      <c r="BD437" s="42">
        <v>0</v>
      </c>
      <c r="BE437" s="42">
        <v>0</v>
      </c>
      <c r="BF437" s="42">
        <v>0</v>
      </c>
      <c r="BG437" s="42">
        <v>0</v>
      </c>
      <c r="BH437" s="42">
        <v>0</v>
      </c>
      <c r="BI437" s="42">
        <v>2266.2524234469774</v>
      </c>
      <c r="BJ437" s="42">
        <v>0</v>
      </c>
      <c r="BK437" s="42">
        <v>0</v>
      </c>
      <c r="BL437" s="42">
        <v>0</v>
      </c>
      <c r="BM437" s="42">
        <v>0</v>
      </c>
      <c r="BN437" s="42">
        <v>1861</v>
      </c>
      <c r="BO437" s="42">
        <v>0</v>
      </c>
      <c r="BP437" s="42">
        <v>0</v>
      </c>
      <c r="BQ437" s="42">
        <v>0</v>
      </c>
      <c r="BR437" s="42">
        <v>0</v>
      </c>
      <c r="BS437" s="42">
        <v>3525.9475565584285</v>
      </c>
      <c r="BT437" s="42">
        <v>0</v>
      </c>
      <c r="BU437" s="42">
        <v>0</v>
      </c>
      <c r="BV437" s="42">
        <v>0</v>
      </c>
      <c r="BW437" s="42">
        <v>0</v>
      </c>
      <c r="BX437" s="42">
        <v>0</v>
      </c>
      <c r="BY437" s="42">
        <v>5174.1539366305287</v>
      </c>
      <c r="BZ437" s="42">
        <v>0</v>
      </c>
      <c r="CA437" s="42">
        <v>0</v>
      </c>
      <c r="CB437" s="42">
        <v>0</v>
      </c>
      <c r="CC437" s="42">
        <v>0</v>
      </c>
      <c r="CD437" s="42">
        <v>4632.2333483454231</v>
      </c>
      <c r="CE437" s="42">
        <v>0</v>
      </c>
      <c r="CF437" s="42">
        <v>0</v>
      </c>
      <c r="CG437" s="42">
        <v>0</v>
      </c>
      <c r="CH437" s="42">
        <v>0</v>
      </c>
      <c r="CI437" s="42">
        <v>0</v>
      </c>
      <c r="CJ437" s="42">
        <v>2844.4179895968732</v>
      </c>
      <c r="CK437" s="43">
        <f t="shared" si="58"/>
        <v>38913.911455871057</v>
      </c>
      <c r="CL437" s="66"/>
      <c r="CM437" s="66">
        <v>0</v>
      </c>
      <c r="CN437" s="66">
        <v>0</v>
      </c>
      <c r="CO437" s="66">
        <v>0</v>
      </c>
      <c r="CP437" s="66">
        <v>1861</v>
      </c>
      <c r="CQ437" s="66">
        <v>0</v>
      </c>
      <c r="CR437" s="66">
        <v>0</v>
      </c>
      <c r="CS437" s="66">
        <v>0</v>
      </c>
      <c r="CT437" s="66">
        <v>0</v>
      </c>
      <c r="CU437" s="66">
        <v>0</v>
      </c>
      <c r="CV437" s="66">
        <v>314</v>
      </c>
      <c r="CW437" s="66">
        <v>0</v>
      </c>
      <c r="CX437" s="66">
        <v>0</v>
      </c>
      <c r="CY437" s="66">
        <v>0</v>
      </c>
      <c r="CZ437" s="66">
        <v>0</v>
      </c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>
        <f>SUM(Table1[[#This Row],[01-03 Apr]:[Mar-26]])</f>
        <v>2175</v>
      </c>
    </row>
    <row r="438" spans="1:115" hidden="1" x14ac:dyDescent="0.2">
      <c r="A438" s="28" t="s">
        <v>2255</v>
      </c>
      <c r="B438" s="29" t="s">
        <v>760</v>
      </c>
      <c r="C438" s="29" t="s">
        <v>761</v>
      </c>
      <c r="D438" s="30" t="s">
        <v>762</v>
      </c>
      <c r="E438" s="30" t="s">
        <v>906</v>
      </c>
      <c r="F438" s="30"/>
      <c r="G438" s="31" t="s">
        <v>763</v>
      </c>
      <c r="H438" s="30">
        <v>277234</v>
      </c>
      <c r="I438" s="30" t="str">
        <f>IF(Table1[[#This Row],[Centre Status]]="Returned","NA",IF(Table1[[#This Row],[SD]]&gt;19000,"Full Payment",IF(Table1[[#This Row],[SD]]&lt;1,"No Payment","Partial Payment")))</f>
        <v>Full Payment</v>
      </c>
      <c r="J438" s="30" t="s">
        <v>58</v>
      </c>
      <c r="K438" s="32">
        <v>110000</v>
      </c>
      <c r="L438" s="33">
        <f>Q438+R438+U438+Table1[[#This Row],[Farmer Payment]]</f>
        <v>120000</v>
      </c>
      <c r="M438" s="30"/>
      <c r="N438" s="34"/>
      <c r="O438" s="34"/>
      <c r="P438" s="35">
        <f t="shared" si="55"/>
        <v>-10000</v>
      </c>
      <c r="Q438" s="33">
        <f>AI438+AV438+CK438+Table1[[#This Row],[FY 25-26]]</f>
        <v>100000</v>
      </c>
      <c r="R438" s="36">
        <v>20000</v>
      </c>
      <c r="S438" s="37" t="s">
        <v>764</v>
      </c>
      <c r="T438" s="38">
        <v>45018</v>
      </c>
      <c r="U438" s="39"/>
      <c r="V438" s="39"/>
      <c r="W438" s="40">
        <v>0</v>
      </c>
      <c r="X438" s="40">
        <v>0</v>
      </c>
      <c r="Y438" s="40">
        <v>0</v>
      </c>
      <c r="Z438" s="40">
        <v>0</v>
      </c>
      <c r="AA438" s="40">
        <v>0</v>
      </c>
      <c r="AB438" s="40">
        <v>0</v>
      </c>
      <c r="AC438" s="40">
        <v>0</v>
      </c>
      <c r="AD438" s="40">
        <v>0</v>
      </c>
      <c r="AE438" s="40">
        <v>0</v>
      </c>
      <c r="AF438" s="40">
        <v>0</v>
      </c>
      <c r="AG438" s="40">
        <v>0</v>
      </c>
      <c r="AH438" s="40">
        <v>2919.2277999999997</v>
      </c>
      <c r="AI438" s="41">
        <f t="shared" si="56"/>
        <v>2919.2277999999997</v>
      </c>
      <c r="AJ438" s="42">
        <v>3022.8266000000003</v>
      </c>
      <c r="AK438" s="42">
        <v>4236.2728000000006</v>
      </c>
      <c r="AL438" s="42">
        <v>3846.1727999999998</v>
      </c>
      <c r="AM438" s="42">
        <v>6630.0984000000008</v>
      </c>
      <c r="AN438" s="42">
        <v>6027.6022000000003</v>
      </c>
      <c r="AO438" s="42">
        <v>6241.3845999999994</v>
      </c>
      <c r="AP438" s="42">
        <v>6338.8395999999993</v>
      </c>
      <c r="AQ438" s="42">
        <v>4599.9301999999998</v>
      </c>
      <c r="AR438" s="42">
        <v>5105.1210000000001</v>
      </c>
      <c r="AS438" s="42">
        <v>6093.0207999999993</v>
      </c>
      <c r="AT438" s="42">
        <v>5590.0416000000005</v>
      </c>
      <c r="AU438" s="42">
        <v>6313.8464000000013</v>
      </c>
      <c r="AV438" s="42">
        <f t="shared" si="57"/>
        <v>64045.156999999999</v>
      </c>
      <c r="AW438" s="42">
        <v>5649.2292527310283</v>
      </c>
      <c r="AX438" s="42">
        <v>4888.8210610414053</v>
      </c>
      <c r="AY438" s="42">
        <v>4381.3384025753458</v>
      </c>
      <c r="AZ438" s="42">
        <v>5250.3852498732513</v>
      </c>
      <c r="BA438" s="42">
        <v>5190.9893857612806</v>
      </c>
      <c r="BB438" s="42">
        <v>0</v>
      </c>
      <c r="BC438" s="42">
        <v>6361.0683747969997</v>
      </c>
      <c r="BD438" s="42">
        <v>0</v>
      </c>
      <c r="BE438" s="42">
        <v>0</v>
      </c>
      <c r="BF438" s="42">
        <v>0</v>
      </c>
      <c r="BG438" s="42">
        <v>0</v>
      </c>
      <c r="BH438" s="42">
        <v>0</v>
      </c>
      <c r="BI438" s="42">
        <v>1313.7834732206829</v>
      </c>
      <c r="BJ438" s="42">
        <v>0</v>
      </c>
      <c r="BK438" s="42">
        <v>0</v>
      </c>
      <c r="BL438" s="42">
        <v>0</v>
      </c>
      <c r="BM438" s="42">
        <v>0</v>
      </c>
      <c r="BN438" s="42">
        <v>0</v>
      </c>
      <c r="BO438" s="42">
        <v>0</v>
      </c>
      <c r="BP438" s="42">
        <v>0</v>
      </c>
      <c r="BQ438" s="42">
        <v>0</v>
      </c>
      <c r="BR438" s="42">
        <v>0</v>
      </c>
      <c r="BS438" s="42">
        <v>0</v>
      </c>
      <c r="BT438" s="42">
        <v>0</v>
      </c>
      <c r="BU438" s="42">
        <v>0</v>
      </c>
      <c r="BV438" s="42">
        <v>0</v>
      </c>
      <c r="BW438" s="42">
        <v>0</v>
      </c>
      <c r="BX438" s="42">
        <v>0</v>
      </c>
      <c r="BY438" s="42">
        <v>0</v>
      </c>
      <c r="BZ438" s="42">
        <v>0</v>
      </c>
      <c r="CA438" s="42">
        <v>0</v>
      </c>
      <c r="CB438" s="42">
        <v>0</v>
      </c>
      <c r="CC438" s="42">
        <v>0</v>
      </c>
      <c r="CD438" s="42">
        <v>0</v>
      </c>
      <c r="CE438" s="42">
        <v>0</v>
      </c>
      <c r="CF438" s="42">
        <v>0</v>
      </c>
      <c r="CG438" s="42">
        <v>0</v>
      </c>
      <c r="CH438" s="42">
        <v>0</v>
      </c>
      <c r="CI438" s="42">
        <v>0</v>
      </c>
      <c r="CJ438" s="42">
        <v>0</v>
      </c>
      <c r="CK438" s="43">
        <f t="shared" si="58"/>
        <v>33035.615199999993</v>
      </c>
      <c r="CL438" s="66"/>
      <c r="CM438" s="66">
        <v>0</v>
      </c>
      <c r="CN438" s="66">
        <v>0</v>
      </c>
      <c r="CO438" s="66">
        <v>0</v>
      </c>
      <c r="CP438" s="66">
        <v>0</v>
      </c>
      <c r="CQ438" s="66">
        <v>0</v>
      </c>
      <c r="CR438" s="66">
        <v>0</v>
      </c>
      <c r="CS438" s="66">
        <v>0</v>
      </c>
      <c r="CT438" s="66">
        <v>0</v>
      </c>
      <c r="CU438" s="66">
        <v>0</v>
      </c>
      <c r="CV438" s="66">
        <v>0</v>
      </c>
      <c r="CW438" s="66">
        <v>0</v>
      </c>
      <c r="CX438" s="66">
        <v>0</v>
      </c>
      <c r="CY438" s="66">
        <v>0</v>
      </c>
      <c r="CZ438" s="66">
        <v>0</v>
      </c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>
        <f>SUM(Table1[[#This Row],[01-03 Apr]:[Mar-26]])</f>
        <v>0</v>
      </c>
    </row>
    <row r="439" spans="1:115" x14ac:dyDescent="0.2">
      <c r="A439" s="28" t="s">
        <v>2255</v>
      </c>
      <c r="B439" s="29" t="s">
        <v>765</v>
      </c>
      <c r="C439" s="29" t="s">
        <v>766</v>
      </c>
      <c r="D439" s="30" t="s">
        <v>767</v>
      </c>
      <c r="E439" s="30" t="s">
        <v>906</v>
      </c>
      <c r="F439" s="30"/>
      <c r="G439" s="31" t="s">
        <v>763</v>
      </c>
      <c r="H439" s="30">
        <v>277236</v>
      </c>
      <c r="I439" s="30" t="str">
        <f>IF(Table1[[#This Row],[Centre Status]]="Returned","NA",IF(Table1[[#This Row],[SD]]&gt;19000,"Full Payment",IF(Table1[[#This Row],[SD]]&lt;1,"No Payment","Partial Payment")))</f>
        <v>Partial Payment</v>
      </c>
      <c r="J439" s="30" t="s">
        <v>58</v>
      </c>
      <c r="K439" s="32">
        <v>110000</v>
      </c>
      <c r="L439" s="33">
        <f>Q439+R439+U439+Table1[[#This Row],[Farmer Payment]]</f>
        <v>46811</v>
      </c>
      <c r="M439" s="30"/>
      <c r="N439" s="34"/>
      <c r="O439" s="34"/>
      <c r="P439" s="35">
        <f t="shared" si="55"/>
        <v>63189</v>
      </c>
      <c r="Q439" s="33">
        <f>AI439+AV439+CK439+Table1[[#This Row],[FY 25-26]]</f>
        <v>41811</v>
      </c>
      <c r="R439" s="36">
        <v>5000</v>
      </c>
      <c r="S439" s="37" t="s">
        <v>768</v>
      </c>
      <c r="T439" s="38">
        <v>44968</v>
      </c>
      <c r="U439" s="39"/>
      <c r="V439" s="39"/>
      <c r="W439" s="40">
        <v>0</v>
      </c>
      <c r="X439" s="40">
        <v>0</v>
      </c>
      <c r="Y439" s="40">
        <v>0</v>
      </c>
      <c r="Z439" s="40">
        <v>0</v>
      </c>
      <c r="AA439" s="40">
        <v>0</v>
      </c>
      <c r="AB439" s="40">
        <v>0</v>
      </c>
      <c r="AC439" s="40">
        <v>0</v>
      </c>
      <c r="AD439" s="40">
        <v>0</v>
      </c>
      <c r="AE439" s="40">
        <v>0</v>
      </c>
      <c r="AF439" s="40">
        <v>0</v>
      </c>
      <c r="AG439" s="40">
        <v>0</v>
      </c>
      <c r="AH439" s="40">
        <v>1861</v>
      </c>
      <c r="AI439" s="41">
        <f t="shared" si="56"/>
        <v>1861</v>
      </c>
      <c r="AJ439" s="42">
        <v>1861</v>
      </c>
      <c r="AK439" s="42">
        <v>1861</v>
      </c>
      <c r="AL439" s="42">
        <v>603</v>
      </c>
      <c r="AM439" s="42">
        <v>1861</v>
      </c>
      <c r="AN439" s="42">
        <v>1861</v>
      </c>
      <c r="AO439" s="42">
        <v>1861</v>
      </c>
      <c r="AP439" s="42">
        <v>1861</v>
      </c>
      <c r="AQ439" s="42">
        <v>765</v>
      </c>
      <c r="AR439" s="42">
        <v>1439</v>
      </c>
      <c r="AS439" s="42">
        <v>1213</v>
      </c>
      <c r="AT439" s="42">
        <v>1388</v>
      </c>
      <c r="AU439" s="42">
        <v>1382</v>
      </c>
      <c r="AV439" s="42">
        <f t="shared" si="57"/>
        <v>17956</v>
      </c>
      <c r="AW439" s="42">
        <v>1540</v>
      </c>
      <c r="AX439" s="42">
        <v>1844</v>
      </c>
      <c r="AY439" s="42">
        <v>1434</v>
      </c>
      <c r="AZ439" s="42">
        <v>550</v>
      </c>
      <c r="BA439" s="42">
        <v>0</v>
      </c>
      <c r="BB439" s="42">
        <v>0</v>
      </c>
      <c r="BC439" s="42">
        <v>0</v>
      </c>
      <c r="BD439" s="42">
        <v>126</v>
      </c>
      <c r="BE439" s="42">
        <v>0</v>
      </c>
      <c r="BF439" s="42">
        <v>500</v>
      </c>
      <c r="BG439" s="42">
        <v>500</v>
      </c>
      <c r="BH439" s="42">
        <v>500</v>
      </c>
      <c r="BI439" s="42">
        <v>0</v>
      </c>
      <c r="BJ439" s="42">
        <v>500</v>
      </c>
      <c r="BK439" s="42">
        <v>500</v>
      </c>
      <c r="BL439" s="42">
        <v>500</v>
      </c>
      <c r="BM439" s="42">
        <v>500</v>
      </c>
      <c r="BN439" s="42">
        <v>0</v>
      </c>
      <c r="BO439" s="42">
        <v>500</v>
      </c>
      <c r="BP439" s="42">
        <v>500</v>
      </c>
      <c r="BQ439" s="42">
        <v>500</v>
      </c>
      <c r="BR439" s="42">
        <v>500</v>
      </c>
      <c r="BS439" s="42">
        <v>0</v>
      </c>
      <c r="BT439" s="42">
        <v>500</v>
      </c>
      <c r="BU439" s="42">
        <v>500</v>
      </c>
      <c r="BV439" s="42">
        <v>500</v>
      </c>
      <c r="BW439" s="42">
        <v>500</v>
      </c>
      <c r="BX439" s="42">
        <v>0</v>
      </c>
      <c r="BY439" s="42">
        <v>0</v>
      </c>
      <c r="BZ439" s="42">
        <v>500</v>
      </c>
      <c r="CA439" s="42">
        <v>500</v>
      </c>
      <c r="CB439" s="42">
        <v>500</v>
      </c>
      <c r="CC439" s="42">
        <v>500</v>
      </c>
      <c r="CD439" s="42">
        <v>0</v>
      </c>
      <c r="CE439" s="42">
        <v>500</v>
      </c>
      <c r="CF439" s="42">
        <v>500</v>
      </c>
      <c r="CG439" s="42">
        <v>500</v>
      </c>
      <c r="CH439" s="42">
        <v>500</v>
      </c>
      <c r="CI439" s="42">
        <v>500</v>
      </c>
      <c r="CJ439" s="42">
        <v>0</v>
      </c>
      <c r="CK439" s="43">
        <f t="shared" si="58"/>
        <v>17494</v>
      </c>
      <c r="CL439" s="66"/>
      <c r="CM439" s="66">
        <v>500</v>
      </c>
      <c r="CN439" s="66">
        <v>500</v>
      </c>
      <c r="CO439" s="66">
        <v>500</v>
      </c>
      <c r="CP439" s="66">
        <v>0</v>
      </c>
      <c r="CQ439" s="66">
        <v>500</v>
      </c>
      <c r="CR439" s="66">
        <v>500</v>
      </c>
      <c r="CS439" s="66">
        <v>0</v>
      </c>
      <c r="CT439" s="66">
        <v>0</v>
      </c>
      <c r="CU439" s="66">
        <v>0</v>
      </c>
      <c r="CV439" s="66">
        <v>0</v>
      </c>
      <c r="CW439" s="66">
        <v>500</v>
      </c>
      <c r="CX439" s="66">
        <v>500</v>
      </c>
      <c r="CY439" s="66">
        <v>500</v>
      </c>
      <c r="CZ439" s="66">
        <v>500</v>
      </c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>
        <f>SUM(Table1[[#This Row],[01-03 Apr]:[Mar-26]])</f>
        <v>4500</v>
      </c>
    </row>
    <row r="440" spans="1:115" x14ac:dyDescent="0.2">
      <c r="A440" s="28" t="s">
        <v>2254</v>
      </c>
      <c r="B440" s="29" t="s">
        <v>769</v>
      </c>
      <c r="C440" s="29" t="s">
        <v>770</v>
      </c>
      <c r="D440" s="30" t="s">
        <v>771</v>
      </c>
      <c r="E440" s="30" t="s">
        <v>1630</v>
      </c>
      <c r="F440" s="30"/>
      <c r="G440" s="31"/>
      <c r="H440" s="30">
        <v>351152</v>
      </c>
      <c r="I440" s="30" t="str">
        <f>IF(Table1[[#This Row],[Centre Status]]="Returned","NA",IF(Table1[[#This Row],[SD]]&gt;19000,"Full Payment",IF(Table1[[#This Row],[SD]]&lt;1,"No Payment","Partial Payment")))</f>
        <v>No Payment</v>
      </c>
      <c r="J440" s="30" t="s">
        <v>58</v>
      </c>
      <c r="K440" s="32">
        <v>110000</v>
      </c>
      <c r="L440" s="33">
        <f>Q440+R440+U440+Table1[[#This Row],[Farmer Payment]]</f>
        <v>82511.522462010646</v>
      </c>
      <c r="M440" s="30"/>
      <c r="N440" s="34"/>
      <c r="O440" s="34"/>
      <c r="P440" s="35">
        <f t="shared" si="55"/>
        <v>27488.477537989354</v>
      </c>
      <c r="Q440" s="33">
        <f>AI440+AV440+CK440+Table1[[#This Row],[FY 25-26]]</f>
        <v>57511.522462010653</v>
      </c>
      <c r="R440" s="36">
        <v>0</v>
      </c>
      <c r="S440" s="37"/>
      <c r="T440" s="38"/>
      <c r="U440" s="39">
        <v>25000</v>
      </c>
      <c r="V440" s="39"/>
      <c r="W440" s="40">
        <v>0</v>
      </c>
      <c r="X440" s="40">
        <v>0</v>
      </c>
      <c r="Y440" s="40">
        <v>0</v>
      </c>
      <c r="Z440" s="40">
        <v>0</v>
      </c>
      <c r="AA440" s="40">
        <v>0</v>
      </c>
      <c r="AB440" s="40">
        <v>0</v>
      </c>
      <c r="AC440" s="40">
        <v>0</v>
      </c>
      <c r="AD440" s="40">
        <v>0</v>
      </c>
      <c r="AE440" s="40">
        <v>0</v>
      </c>
      <c r="AF440" s="40">
        <v>0</v>
      </c>
      <c r="AG440" s="40">
        <v>3084.6942000000004</v>
      </c>
      <c r="AH440" s="40">
        <v>2000</v>
      </c>
      <c r="AI440" s="41">
        <f t="shared" si="56"/>
        <v>5084.6941999999999</v>
      </c>
      <c r="AJ440" s="42">
        <v>2000</v>
      </c>
      <c r="AK440" s="42">
        <v>2000</v>
      </c>
      <c r="AL440" s="42">
        <v>2000</v>
      </c>
      <c r="AM440" s="42">
        <v>2000</v>
      </c>
      <c r="AN440" s="42">
        <v>2000</v>
      </c>
      <c r="AO440" s="42">
        <v>2000</v>
      </c>
      <c r="AP440" s="42">
        <v>2000</v>
      </c>
      <c r="AQ440" s="42">
        <v>2000</v>
      </c>
      <c r="AR440" s="42">
        <v>2000</v>
      </c>
      <c r="AS440" s="42">
        <v>2000</v>
      </c>
      <c r="AT440" s="42">
        <v>2000</v>
      </c>
      <c r="AU440" s="42">
        <v>2000</v>
      </c>
      <c r="AV440" s="42">
        <f t="shared" si="57"/>
        <v>24000</v>
      </c>
      <c r="AW440" s="42">
        <v>2000</v>
      </c>
      <c r="AX440" s="42">
        <v>2000</v>
      </c>
      <c r="AY440" s="42">
        <v>2000</v>
      </c>
      <c r="AZ440" s="42">
        <v>2000</v>
      </c>
      <c r="BA440" s="42">
        <v>1861</v>
      </c>
      <c r="BB440" s="42">
        <v>0</v>
      </c>
      <c r="BC440" s="42">
        <v>2554.0958490624007</v>
      </c>
      <c r="BD440" s="42">
        <v>0</v>
      </c>
      <c r="BE440" s="42">
        <v>0</v>
      </c>
      <c r="BF440" s="42">
        <v>0</v>
      </c>
      <c r="BG440" s="42">
        <v>0</v>
      </c>
      <c r="BH440" s="42">
        <v>0</v>
      </c>
      <c r="BI440" s="42">
        <v>2041.3771013529606</v>
      </c>
      <c r="BJ440" s="42">
        <v>0</v>
      </c>
      <c r="BK440" s="42">
        <v>0</v>
      </c>
      <c r="BL440" s="42">
        <v>0</v>
      </c>
      <c r="BM440" s="42">
        <v>0</v>
      </c>
      <c r="BN440" s="42">
        <v>2114.7320545689599</v>
      </c>
      <c r="BO440" s="42">
        <v>0</v>
      </c>
      <c r="BP440" s="42">
        <v>0</v>
      </c>
      <c r="BQ440" s="42">
        <v>0</v>
      </c>
      <c r="BR440" s="42">
        <v>0</v>
      </c>
      <c r="BS440" s="42">
        <v>2550.6232570263364</v>
      </c>
      <c r="BT440" s="42">
        <v>0</v>
      </c>
      <c r="BU440" s="42">
        <v>0</v>
      </c>
      <c r="BV440" s="42">
        <v>0</v>
      </c>
      <c r="BW440" s="42">
        <v>0</v>
      </c>
      <c r="BX440" s="42">
        <v>0</v>
      </c>
      <c r="BY440" s="42">
        <v>1861</v>
      </c>
      <c r="BZ440" s="42">
        <v>0</v>
      </c>
      <c r="CA440" s="42">
        <v>0</v>
      </c>
      <c r="CB440" s="42">
        <v>0</v>
      </c>
      <c r="CC440" s="42">
        <v>0</v>
      </c>
      <c r="CD440" s="42">
        <v>1861</v>
      </c>
      <c r="CE440" s="42">
        <v>0</v>
      </c>
      <c r="CF440" s="42">
        <v>0</v>
      </c>
      <c r="CG440" s="42">
        <v>0</v>
      </c>
      <c r="CH440" s="42">
        <v>0</v>
      </c>
      <c r="CI440" s="42">
        <v>0</v>
      </c>
      <c r="CJ440" s="42">
        <v>1861</v>
      </c>
      <c r="CK440" s="43">
        <f t="shared" si="58"/>
        <v>24704.828262010655</v>
      </c>
      <c r="CL440" s="66"/>
      <c r="CM440" s="66">
        <v>0</v>
      </c>
      <c r="CN440" s="66">
        <v>0</v>
      </c>
      <c r="CO440" s="66">
        <v>0</v>
      </c>
      <c r="CP440" s="66">
        <v>1861</v>
      </c>
      <c r="CQ440" s="66">
        <v>0</v>
      </c>
      <c r="CR440" s="66">
        <v>0</v>
      </c>
      <c r="CS440" s="66">
        <v>0</v>
      </c>
      <c r="CT440" s="66">
        <v>0</v>
      </c>
      <c r="CU440" s="66">
        <v>0</v>
      </c>
      <c r="CV440" s="66">
        <v>1861</v>
      </c>
      <c r="CW440" s="66">
        <v>0</v>
      </c>
      <c r="CX440" s="66">
        <v>0</v>
      </c>
      <c r="CY440" s="66">
        <v>0</v>
      </c>
      <c r="CZ440" s="66">
        <v>0</v>
      </c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>
        <f>SUM(Table1[[#This Row],[01-03 Apr]:[Mar-26]])</f>
        <v>3722</v>
      </c>
    </row>
    <row r="441" spans="1:115" x14ac:dyDescent="0.2">
      <c r="A441" s="28" t="s">
        <v>2365</v>
      </c>
      <c r="B441" s="29" t="s">
        <v>772</v>
      </c>
      <c r="C441" s="29" t="s">
        <v>2279</v>
      </c>
      <c r="D441" s="30" t="s">
        <v>773</v>
      </c>
      <c r="E441" s="30" t="s">
        <v>297</v>
      </c>
      <c r="F441" s="30"/>
      <c r="G441" s="31" t="s">
        <v>654</v>
      </c>
      <c r="H441" s="30">
        <v>361579</v>
      </c>
      <c r="I441" s="30" t="str">
        <f>IF(Table1[[#This Row],[Centre Status]]="Returned","NA",IF(Table1[[#This Row],[SD]]&gt;19000,"Full Payment",IF(Table1[[#This Row],[SD]]&lt;1,"No Payment","Partial Payment")))</f>
        <v>Partial Payment</v>
      </c>
      <c r="J441" s="30" t="s">
        <v>58</v>
      </c>
      <c r="K441" s="32">
        <v>110000</v>
      </c>
      <c r="L441" s="33">
        <f>Q441+R441+U441+Table1[[#This Row],[Farmer Payment]]</f>
        <v>29015.642107588348</v>
      </c>
      <c r="M441" s="30"/>
      <c r="N441" s="34"/>
      <c r="O441" s="34"/>
      <c r="P441" s="35">
        <f t="shared" si="55"/>
        <v>80984.357892411645</v>
      </c>
      <c r="Q441" s="33">
        <f>AI441+AV441+CK441+Table1[[#This Row],[FY 25-26]]</f>
        <v>24015.642107588348</v>
      </c>
      <c r="R441" s="36">
        <v>5000</v>
      </c>
      <c r="S441" s="37" t="s">
        <v>759</v>
      </c>
      <c r="T441" s="38">
        <v>44953</v>
      </c>
      <c r="U441" s="39"/>
      <c r="V441" s="39"/>
      <c r="W441" s="40">
        <v>0</v>
      </c>
      <c r="X441" s="40">
        <v>0</v>
      </c>
      <c r="Y441" s="40">
        <v>0</v>
      </c>
      <c r="Z441" s="40">
        <v>0</v>
      </c>
      <c r="AA441" s="40">
        <v>0</v>
      </c>
      <c r="AB441" s="40">
        <v>0</v>
      </c>
      <c r="AC441" s="40">
        <v>0</v>
      </c>
      <c r="AD441" s="40">
        <v>0</v>
      </c>
      <c r="AE441" s="40">
        <v>0</v>
      </c>
      <c r="AF441" s="40">
        <v>0</v>
      </c>
      <c r="AG441" s="40">
        <v>1861</v>
      </c>
      <c r="AH441" s="40">
        <v>2014.5275999999999</v>
      </c>
      <c r="AI441" s="41">
        <f t="shared" si="56"/>
        <v>3875.5275999999999</v>
      </c>
      <c r="AJ441" s="42">
        <v>1861</v>
      </c>
      <c r="AK441" s="42">
        <v>2219.3262</v>
      </c>
      <c r="AL441" s="42">
        <v>1998.7628</v>
      </c>
      <c r="AM441" s="42">
        <v>3090.7151999999996</v>
      </c>
      <c r="AN441" s="42">
        <v>2396.6089999999999</v>
      </c>
      <c r="AO441" s="42">
        <v>2394.3661999999999</v>
      </c>
      <c r="AP441" s="42">
        <v>2154.4842000000003</v>
      </c>
      <c r="AQ441" s="42">
        <v>1861</v>
      </c>
      <c r="AR441" s="42">
        <v>1861</v>
      </c>
      <c r="AS441" s="42">
        <v>176</v>
      </c>
      <c r="AT441" s="42">
        <v>126.85090758835031</v>
      </c>
      <c r="AU441" s="42">
        <v>0</v>
      </c>
      <c r="AV441" s="42">
        <f t="shared" si="57"/>
        <v>20140.114507588347</v>
      </c>
      <c r="AW441" s="42">
        <v>0</v>
      </c>
      <c r="AX441" s="42">
        <v>0</v>
      </c>
      <c r="AY441" s="42">
        <v>0</v>
      </c>
      <c r="AZ441" s="42">
        <v>0</v>
      </c>
      <c r="BA441" s="42">
        <v>0</v>
      </c>
      <c r="BB441" s="42">
        <v>0</v>
      </c>
      <c r="BC441" s="42">
        <v>0</v>
      </c>
      <c r="BD441" s="42">
        <v>0</v>
      </c>
      <c r="BE441" s="42">
        <v>0</v>
      </c>
      <c r="BF441" s="42">
        <v>0</v>
      </c>
      <c r="BG441" s="42">
        <v>0</v>
      </c>
      <c r="BH441" s="42">
        <v>0</v>
      </c>
      <c r="BI441" s="42">
        <v>0</v>
      </c>
      <c r="BJ441" s="42">
        <v>0</v>
      </c>
      <c r="BK441" s="42">
        <v>0</v>
      </c>
      <c r="BL441" s="42">
        <v>0</v>
      </c>
      <c r="BM441" s="42">
        <v>0</v>
      </c>
      <c r="BN441" s="42">
        <v>0</v>
      </c>
      <c r="BO441" s="42">
        <v>0</v>
      </c>
      <c r="BP441" s="42">
        <v>0</v>
      </c>
      <c r="BQ441" s="42">
        <v>0</v>
      </c>
      <c r="BR441" s="42">
        <v>0</v>
      </c>
      <c r="BS441" s="42">
        <v>0</v>
      </c>
      <c r="BT441" s="42">
        <v>0</v>
      </c>
      <c r="BU441" s="42">
        <v>0</v>
      </c>
      <c r="BV441" s="42">
        <v>0</v>
      </c>
      <c r="BW441" s="42">
        <v>0</v>
      </c>
      <c r="BX441" s="42">
        <v>0</v>
      </c>
      <c r="BY441" s="42">
        <v>0</v>
      </c>
      <c r="BZ441" s="42">
        <v>0</v>
      </c>
      <c r="CA441" s="42">
        <v>0</v>
      </c>
      <c r="CB441" s="42">
        <v>0</v>
      </c>
      <c r="CC441" s="42">
        <v>0</v>
      </c>
      <c r="CD441" s="42">
        <v>0</v>
      </c>
      <c r="CE441" s="42">
        <v>0</v>
      </c>
      <c r="CF441" s="42">
        <v>0</v>
      </c>
      <c r="CG441" s="42">
        <v>0</v>
      </c>
      <c r="CH441" s="42">
        <v>0</v>
      </c>
      <c r="CI441" s="42">
        <v>0</v>
      </c>
      <c r="CJ441" s="42">
        <v>0</v>
      </c>
      <c r="CK441" s="43">
        <f t="shared" si="58"/>
        <v>0</v>
      </c>
      <c r="CL441" s="66"/>
      <c r="CM441" s="66">
        <v>0</v>
      </c>
      <c r="CN441" s="66">
        <v>0</v>
      </c>
      <c r="CO441" s="66">
        <v>0</v>
      </c>
      <c r="CP441" s="66">
        <v>0</v>
      </c>
      <c r="CQ441" s="66">
        <v>0</v>
      </c>
      <c r="CR441" s="66">
        <v>0</v>
      </c>
      <c r="CS441" s="66">
        <v>0</v>
      </c>
      <c r="CT441" s="66">
        <v>0</v>
      </c>
      <c r="CU441" s="66">
        <v>0</v>
      </c>
      <c r="CV441" s="66">
        <v>0</v>
      </c>
      <c r="CW441" s="66">
        <v>0</v>
      </c>
      <c r="CX441" s="66">
        <v>0</v>
      </c>
      <c r="CY441" s="66">
        <v>0</v>
      </c>
      <c r="CZ441" s="66">
        <v>0</v>
      </c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>
        <f>SUM(Table1[[#This Row],[01-03 Apr]:[Mar-26]])</f>
        <v>0</v>
      </c>
    </row>
    <row r="442" spans="1:115" x14ac:dyDescent="0.2">
      <c r="A442" s="28" t="s">
        <v>2365</v>
      </c>
      <c r="B442" s="29" t="s">
        <v>774</v>
      </c>
      <c r="C442" s="29" t="s">
        <v>775</v>
      </c>
      <c r="D442" s="30" t="s">
        <v>776</v>
      </c>
      <c r="E442" s="30" t="s">
        <v>297</v>
      </c>
      <c r="F442" s="30"/>
      <c r="G442" s="31" t="s">
        <v>654</v>
      </c>
      <c r="H442" s="30">
        <v>361582</v>
      </c>
      <c r="I442" s="30" t="str">
        <f>IF(Table1[[#This Row],[Centre Status]]="Returned","NA",IF(Table1[[#This Row],[SD]]&gt;19000,"Full Payment",IF(Table1[[#This Row],[SD]]&lt;1,"No Payment","Partial Payment")))</f>
        <v>Partial Payment</v>
      </c>
      <c r="J442" s="30" t="s">
        <v>58</v>
      </c>
      <c r="K442" s="32">
        <v>110000</v>
      </c>
      <c r="L442" s="33">
        <f>Q442+R442+U442+Table1[[#This Row],[Farmer Payment]]</f>
        <v>40138.919071971104</v>
      </c>
      <c r="M442" s="30"/>
      <c r="N442" s="34"/>
      <c r="O442" s="34"/>
      <c r="P442" s="35">
        <f t="shared" si="55"/>
        <v>69861.080928028896</v>
      </c>
      <c r="Q442" s="33">
        <f>AI442+AV442+CK442+Table1[[#This Row],[FY 25-26]]</f>
        <v>30138.919071971104</v>
      </c>
      <c r="R442" s="36">
        <v>10000</v>
      </c>
      <c r="S442" s="37" t="s">
        <v>777</v>
      </c>
      <c r="T442" s="38">
        <v>44955</v>
      </c>
      <c r="U442" s="39"/>
      <c r="V442" s="39"/>
      <c r="W442" s="40">
        <v>0</v>
      </c>
      <c r="X442" s="40">
        <v>0</v>
      </c>
      <c r="Y442" s="40">
        <v>0</v>
      </c>
      <c r="Z442" s="40">
        <v>0</v>
      </c>
      <c r="AA442" s="40">
        <v>0</v>
      </c>
      <c r="AB442" s="40">
        <v>0</v>
      </c>
      <c r="AC442" s="40">
        <v>0</v>
      </c>
      <c r="AD442" s="40">
        <v>0</v>
      </c>
      <c r="AE442" s="40">
        <v>0</v>
      </c>
      <c r="AF442" s="40">
        <v>0</v>
      </c>
      <c r="AG442" s="40">
        <v>598</v>
      </c>
      <c r="AH442" s="40">
        <v>1517</v>
      </c>
      <c r="AI442" s="41">
        <f t="shared" si="56"/>
        <v>2115</v>
      </c>
      <c r="AJ442" s="42">
        <v>907</v>
      </c>
      <c r="AK442" s="42">
        <v>928</v>
      </c>
      <c r="AL442" s="42">
        <v>0</v>
      </c>
      <c r="AM442" s="42">
        <v>0</v>
      </c>
      <c r="AN442" s="42">
        <v>626</v>
      </c>
      <c r="AO442" s="42">
        <v>586</v>
      </c>
      <c r="AP442" s="42">
        <v>1559</v>
      </c>
      <c r="AQ442" s="42">
        <v>918</v>
      </c>
      <c r="AR442" s="42">
        <v>888</v>
      </c>
      <c r="AS442" s="42">
        <v>0</v>
      </c>
      <c r="AT442" s="42">
        <v>277.91907197110572</v>
      </c>
      <c r="AU442" s="42">
        <v>1594</v>
      </c>
      <c r="AV442" s="42">
        <f t="shared" si="57"/>
        <v>8283.919071971106</v>
      </c>
      <c r="AW442" s="42">
        <v>0</v>
      </c>
      <c r="AX442" s="42">
        <v>0</v>
      </c>
      <c r="AY442" s="42">
        <v>0</v>
      </c>
      <c r="AZ442" s="42">
        <v>0</v>
      </c>
      <c r="BA442" s="42">
        <v>1506</v>
      </c>
      <c r="BB442" s="42">
        <v>500</v>
      </c>
      <c r="BC442" s="42">
        <v>463</v>
      </c>
      <c r="BD442" s="42">
        <v>500</v>
      </c>
      <c r="BE442" s="42">
        <v>500</v>
      </c>
      <c r="BF442" s="42">
        <v>500</v>
      </c>
      <c r="BG442" s="42">
        <v>500</v>
      </c>
      <c r="BH442" s="42">
        <v>500</v>
      </c>
      <c r="BI442" s="42">
        <v>0</v>
      </c>
      <c r="BJ442" s="42">
        <v>500</v>
      </c>
      <c r="BK442" s="42">
        <v>500</v>
      </c>
      <c r="BL442" s="42">
        <v>500</v>
      </c>
      <c r="BM442" s="42">
        <v>500</v>
      </c>
      <c r="BN442" s="42">
        <v>0</v>
      </c>
      <c r="BO442" s="42">
        <v>0</v>
      </c>
      <c r="BP442" s="42">
        <v>0</v>
      </c>
      <c r="BQ442" s="42">
        <v>0</v>
      </c>
      <c r="BR442" s="42">
        <v>0</v>
      </c>
      <c r="BS442" s="42">
        <v>410</v>
      </c>
      <c r="BT442" s="42">
        <v>0</v>
      </c>
      <c r="BU442" s="42">
        <v>0</v>
      </c>
      <c r="BV442" s="42">
        <v>500</v>
      </c>
      <c r="BW442" s="42">
        <v>500</v>
      </c>
      <c r="BX442" s="42">
        <v>500</v>
      </c>
      <c r="BY442" s="42">
        <v>861</v>
      </c>
      <c r="BZ442" s="42">
        <v>500</v>
      </c>
      <c r="CA442" s="42">
        <v>500</v>
      </c>
      <c r="CB442" s="42">
        <v>500</v>
      </c>
      <c r="CC442" s="42">
        <v>500</v>
      </c>
      <c r="CD442" s="42">
        <v>0</v>
      </c>
      <c r="CE442" s="42">
        <v>500</v>
      </c>
      <c r="CF442" s="42">
        <v>500</v>
      </c>
      <c r="CG442" s="42">
        <v>500</v>
      </c>
      <c r="CH442" s="42">
        <v>500</v>
      </c>
      <c r="CI442" s="42">
        <v>500</v>
      </c>
      <c r="CJ442" s="42">
        <v>0</v>
      </c>
      <c r="CK442" s="43">
        <f t="shared" si="58"/>
        <v>14240</v>
      </c>
      <c r="CL442" s="66"/>
      <c r="CM442" s="66">
        <v>500</v>
      </c>
      <c r="CN442" s="66">
        <v>500</v>
      </c>
      <c r="CO442" s="66">
        <v>500</v>
      </c>
      <c r="CP442" s="66">
        <v>0</v>
      </c>
      <c r="CQ442" s="66">
        <v>500</v>
      </c>
      <c r="CR442" s="66">
        <v>500</v>
      </c>
      <c r="CS442" s="66">
        <v>0</v>
      </c>
      <c r="CT442" s="66">
        <v>500</v>
      </c>
      <c r="CU442" s="66">
        <v>500</v>
      </c>
      <c r="CV442" s="66">
        <v>0</v>
      </c>
      <c r="CW442" s="66">
        <v>500</v>
      </c>
      <c r="CX442" s="66">
        <v>500</v>
      </c>
      <c r="CY442" s="66">
        <v>500</v>
      </c>
      <c r="CZ442" s="66">
        <v>500</v>
      </c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>
        <f>SUM(Table1[[#This Row],[01-03 Apr]:[Mar-26]])</f>
        <v>5500</v>
      </c>
    </row>
    <row r="443" spans="1:115" x14ac:dyDescent="0.2">
      <c r="A443" s="28" t="s">
        <v>2254</v>
      </c>
      <c r="B443" s="29" t="s">
        <v>778</v>
      </c>
      <c r="C443" s="29" t="s">
        <v>779</v>
      </c>
      <c r="D443" s="30" t="s">
        <v>780</v>
      </c>
      <c r="E443" s="30" t="s">
        <v>943</v>
      </c>
      <c r="F443" s="30"/>
      <c r="G443" s="31"/>
      <c r="H443" s="30">
        <v>371191</v>
      </c>
      <c r="I443" s="30" t="str">
        <f>IF(Table1[[#This Row],[Centre Status]]="Returned","NA",IF(Table1[[#This Row],[SD]]&gt;19000,"Full Payment",IF(Table1[[#This Row],[SD]]&lt;1,"No Payment","Partial Payment")))</f>
        <v>No Payment</v>
      </c>
      <c r="J443" s="30" t="s">
        <v>58</v>
      </c>
      <c r="K443" s="32">
        <v>110000</v>
      </c>
      <c r="L443" s="33">
        <f>Q443+R443+U443+Table1[[#This Row],[Farmer Payment]]</f>
        <v>50912.5046</v>
      </c>
      <c r="M443" s="30"/>
      <c r="N443" s="34"/>
      <c r="O443" s="34"/>
      <c r="P443" s="35">
        <f t="shared" si="55"/>
        <v>59087.4954</v>
      </c>
      <c r="Q443" s="33">
        <f>AI443+AV443+CK443+Table1[[#This Row],[FY 25-26]]</f>
        <v>50912.5046</v>
      </c>
      <c r="R443" s="36"/>
      <c r="S443" s="37"/>
      <c r="T443" s="38"/>
      <c r="U443" s="39"/>
      <c r="V443" s="39"/>
      <c r="W443" s="40">
        <v>0</v>
      </c>
      <c r="X443" s="40">
        <v>0</v>
      </c>
      <c r="Y443" s="40">
        <v>0</v>
      </c>
      <c r="Z443" s="40">
        <v>0</v>
      </c>
      <c r="AA443" s="40">
        <v>0</v>
      </c>
      <c r="AB443" s="40">
        <v>0</v>
      </c>
      <c r="AC443" s="40">
        <v>0</v>
      </c>
      <c r="AD443" s="40">
        <v>0</v>
      </c>
      <c r="AE443" s="40">
        <v>0</v>
      </c>
      <c r="AF443" s="40">
        <v>0</v>
      </c>
      <c r="AG443" s="40">
        <v>2171.8486000000003</v>
      </c>
      <c r="AH443" s="40">
        <v>2000</v>
      </c>
      <c r="AI443" s="41">
        <f t="shared" si="56"/>
        <v>4171.8486000000003</v>
      </c>
      <c r="AJ443" s="42">
        <v>2000</v>
      </c>
      <c r="AK443" s="42">
        <v>2000</v>
      </c>
      <c r="AL443" s="42">
        <v>2000</v>
      </c>
      <c r="AM443" s="42">
        <v>2000</v>
      </c>
      <c r="AN443" s="42">
        <v>1861</v>
      </c>
      <c r="AO443" s="42">
        <v>1986.6412</v>
      </c>
      <c r="AP443" s="42">
        <v>1861</v>
      </c>
      <c r="AQ443" s="42">
        <v>1122</v>
      </c>
      <c r="AR443" s="42">
        <v>1861</v>
      </c>
      <c r="AS443" s="42">
        <v>1974.0147999999999</v>
      </c>
      <c r="AT443" s="42">
        <v>2000</v>
      </c>
      <c r="AU443" s="42">
        <v>1861</v>
      </c>
      <c r="AV443" s="42">
        <f t="shared" si="57"/>
        <v>22526.655999999999</v>
      </c>
      <c r="AW443" s="42">
        <v>1861</v>
      </c>
      <c r="AX443" s="42">
        <v>1861</v>
      </c>
      <c r="AY443" s="42">
        <v>2000</v>
      </c>
      <c r="AZ443" s="42">
        <v>1861</v>
      </c>
      <c r="BA443" s="42">
        <v>1861</v>
      </c>
      <c r="BB443" s="42">
        <v>0</v>
      </c>
      <c r="BC443" s="42">
        <v>1861</v>
      </c>
      <c r="BD443" s="42">
        <v>0</v>
      </c>
      <c r="BE443" s="42">
        <v>0</v>
      </c>
      <c r="BF443" s="42">
        <v>0</v>
      </c>
      <c r="BG443" s="42">
        <v>0</v>
      </c>
      <c r="BH443" s="42">
        <v>0</v>
      </c>
      <c r="BI443" s="42">
        <v>1136</v>
      </c>
      <c r="BJ443" s="42">
        <v>0</v>
      </c>
      <c r="BK443" s="42">
        <v>0</v>
      </c>
      <c r="BL443" s="42">
        <v>500</v>
      </c>
      <c r="BM443" s="42">
        <v>500</v>
      </c>
      <c r="BN443" s="42">
        <v>266</v>
      </c>
      <c r="BO443" s="42">
        <v>500</v>
      </c>
      <c r="BP443" s="42">
        <v>500</v>
      </c>
      <c r="BQ443" s="42">
        <v>500</v>
      </c>
      <c r="BR443" s="42">
        <v>500</v>
      </c>
      <c r="BS443" s="42">
        <v>0</v>
      </c>
      <c r="BT443" s="42">
        <v>500</v>
      </c>
      <c r="BU443" s="42">
        <v>500</v>
      </c>
      <c r="BV443" s="42">
        <v>0</v>
      </c>
      <c r="BW443" s="42">
        <v>0</v>
      </c>
      <c r="BX443" s="42">
        <v>0</v>
      </c>
      <c r="BY443" s="42">
        <v>1361</v>
      </c>
      <c r="BZ443" s="42">
        <v>0</v>
      </c>
      <c r="CA443" s="42">
        <v>0</v>
      </c>
      <c r="CB443" s="42">
        <v>0</v>
      </c>
      <c r="CC443" s="42">
        <v>0</v>
      </c>
      <c r="CD443" s="42">
        <v>1861</v>
      </c>
      <c r="CE443" s="42">
        <v>0</v>
      </c>
      <c r="CF443" s="42">
        <v>0</v>
      </c>
      <c r="CG443" s="42">
        <v>0</v>
      </c>
      <c r="CH443" s="42">
        <v>0</v>
      </c>
      <c r="CI443" s="42">
        <v>0</v>
      </c>
      <c r="CJ443" s="42">
        <v>563</v>
      </c>
      <c r="CK443" s="43">
        <f t="shared" si="58"/>
        <v>20492</v>
      </c>
      <c r="CL443" s="66"/>
      <c r="CM443" s="66">
        <v>0</v>
      </c>
      <c r="CN443" s="66">
        <v>0</v>
      </c>
      <c r="CO443" s="66">
        <v>0</v>
      </c>
      <c r="CP443" s="66">
        <v>1861</v>
      </c>
      <c r="CQ443" s="66">
        <v>0</v>
      </c>
      <c r="CR443" s="66">
        <v>0</v>
      </c>
      <c r="CS443" s="66">
        <v>0</v>
      </c>
      <c r="CT443" s="66">
        <v>0</v>
      </c>
      <c r="CU443" s="66">
        <v>0</v>
      </c>
      <c r="CV443" s="66">
        <v>1861</v>
      </c>
      <c r="CW443" s="66">
        <v>0</v>
      </c>
      <c r="CX443" s="66">
        <v>0</v>
      </c>
      <c r="CY443" s="66">
        <v>0</v>
      </c>
      <c r="CZ443" s="66">
        <v>0</v>
      </c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>
        <f>SUM(Table1[[#This Row],[01-03 Apr]:[Mar-26]])</f>
        <v>3722</v>
      </c>
    </row>
    <row r="444" spans="1:115" hidden="1" x14ac:dyDescent="0.2">
      <c r="A444" s="28" t="s">
        <v>2253</v>
      </c>
      <c r="B444" s="29" t="s">
        <v>781</v>
      </c>
      <c r="C444" s="29" t="s">
        <v>782</v>
      </c>
      <c r="D444" s="30" t="s">
        <v>783</v>
      </c>
      <c r="E444" s="30" t="s">
        <v>63</v>
      </c>
      <c r="F444" s="30"/>
      <c r="G444" s="31">
        <v>45108</v>
      </c>
      <c r="H444" s="30">
        <v>361423</v>
      </c>
      <c r="I444" s="30" t="str">
        <f>IF(Table1[[#This Row],[Centre Status]]="Returned","NA",IF(Table1[[#This Row],[SD]]&gt;19000,"Full Payment",IF(Table1[[#This Row],[SD]]&lt;1,"No Payment","Partial Payment")))</f>
        <v>Full Payment</v>
      </c>
      <c r="J444" s="30" t="s">
        <v>58</v>
      </c>
      <c r="K444" s="32">
        <v>110000</v>
      </c>
      <c r="L444" s="33">
        <f>Q444+R444+U444+Table1[[#This Row],[Farmer Payment]]</f>
        <v>110000</v>
      </c>
      <c r="M444" s="30"/>
      <c r="N444" s="34"/>
      <c r="O444" s="34"/>
      <c r="P444" s="35">
        <f t="shared" si="55"/>
        <v>0</v>
      </c>
      <c r="Q444" s="33">
        <f>AI444+AV444+CK444+Table1[[#This Row],[FY 25-26]]</f>
        <v>90000</v>
      </c>
      <c r="R444" s="36">
        <v>20000</v>
      </c>
      <c r="S444" s="37" t="s">
        <v>784</v>
      </c>
      <c r="T444" s="38">
        <v>44899</v>
      </c>
      <c r="U444" s="39"/>
      <c r="V444" s="39"/>
      <c r="W444" s="40">
        <v>0</v>
      </c>
      <c r="X444" s="40">
        <v>0</v>
      </c>
      <c r="Y444" s="40">
        <v>0</v>
      </c>
      <c r="Z444" s="40">
        <v>0</v>
      </c>
      <c r="AA444" s="40">
        <v>0</v>
      </c>
      <c r="AB444" s="40">
        <v>0</v>
      </c>
      <c r="AC444" s="40">
        <v>0</v>
      </c>
      <c r="AD444" s="40">
        <v>0</v>
      </c>
      <c r="AE444" s="40">
        <v>0</v>
      </c>
      <c r="AF444" s="40">
        <v>0</v>
      </c>
      <c r="AG444" s="40">
        <v>0</v>
      </c>
      <c r="AH444" s="40">
        <v>2893.123</v>
      </c>
      <c r="AI444" s="41">
        <f t="shared" si="56"/>
        <v>2893.123</v>
      </c>
      <c r="AJ444" s="42">
        <v>3472.3729341951998</v>
      </c>
      <c r="AK444" s="42">
        <v>6370.2430000000004</v>
      </c>
      <c r="AL444" s="42">
        <v>5731.9694</v>
      </c>
      <c r="AM444" s="42">
        <v>7980.6174000000001</v>
      </c>
      <c r="AN444" s="42">
        <v>4264.6113999999998</v>
      </c>
      <c r="AO444" s="42">
        <v>2971.4183999999996</v>
      </c>
      <c r="AP444" s="42">
        <v>3282.6214</v>
      </c>
      <c r="AQ444" s="42">
        <v>2941.0531999999994</v>
      </c>
      <c r="AR444" s="42">
        <v>3636.1505999999999</v>
      </c>
      <c r="AS444" s="42">
        <v>5333.9193999999998</v>
      </c>
      <c r="AT444" s="42">
        <v>5839.3589999999995</v>
      </c>
      <c r="AU444" s="42">
        <v>5737.8573999999999</v>
      </c>
      <c r="AV444" s="42">
        <f t="shared" si="57"/>
        <v>57562.193534195198</v>
      </c>
      <c r="AW444" s="42">
        <v>5295.9410948349523</v>
      </c>
      <c r="AX444" s="42">
        <v>4913.0098589753679</v>
      </c>
      <c r="AY444" s="42">
        <v>4418.1991306309201</v>
      </c>
      <c r="AZ444" s="42">
        <v>5312.1572224550318</v>
      </c>
      <c r="BA444" s="42">
        <v>3376.9224844743703</v>
      </c>
      <c r="BB444" s="42">
        <v>0</v>
      </c>
      <c r="BC444" s="42">
        <v>3118.8034332676184</v>
      </c>
      <c r="BD444" s="42">
        <v>0</v>
      </c>
      <c r="BE444" s="42">
        <v>0</v>
      </c>
      <c r="BF444" s="42">
        <v>0</v>
      </c>
      <c r="BG444" s="42">
        <v>0</v>
      </c>
      <c r="BH444" s="42">
        <v>0</v>
      </c>
      <c r="BI444" s="42">
        <v>2281.4713334506223</v>
      </c>
      <c r="BJ444" s="42">
        <v>0</v>
      </c>
      <c r="BK444" s="42">
        <v>0</v>
      </c>
      <c r="BL444" s="42">
        <v>0</v>
      </c>
      <c r="BM444" s="42">
        <v>0</v>
      </c>
      <c r="BN444" s="42">
        <v>828.17890771591919</v>
      </c>
      <c r="BO444" s="42">
        <v>0</v>
      </c>
      <c r="BP444" s="42">
        <v>0</v>
      </c>
      <c r="BQ444" s="42">
        <v>0</v>
      </c>
      <c r="BR444" s="42">
        <v>0</v>
      </c>
      <c r="BS444" s="42">
        <v>0</v>
      </c>
      <c r="BT444" s="42">
        <v>0</v>
      </c>
      <c r="BU444" s="42">
        <v>0</v>
      </c>
      <c r="BV444" s="42">
        <v>0</v>
      </c>
      <c r="BW444" s="42">
        <v>0</v>
      </c>
      <c r="BX444" s="42">
        <v>0</v>
      </c>
      <c r="BY444" s="42">
        <v>0</v>
      </c>
      <c r="BZ444" s="42">
        <v>0</v>
      </c>
      <c r="CA444" s="42">
        <v>0</v>
      </c>
      <c r="CB444" s="42">
        <v>0</v>
      </c>
      <c r="CC444" s="42">
        <v>0</v>
      </c>
      <c r="CD444" s="42">
        <v>0</v>
      </c>
      <c r="CE444" s="42">
        <v>0</v>
      </c>
      <c r="CF444" s="42">
        <v>0</v>
      </c>
      <c r="CG444" s="42">
        <v>0</v>
      </c>
      <c r="CH444" s="42">
        <v>0</v>
      </c>
      <c r="CI444" s="42">
        <v>0</v>
      </c>
      <c r="CJ444" s="42">
        <v>0</v>
      </c>
      <c r="CK444" s="43">
        <f t="shared" si="58"/>
        <v>29544.683465804803</v>
      </c>
      <c r="CL444" s="66"/>
      <c r="CM444" s="66">
        <v>0</v>
      </c>
      <c r="CN444" s="66">
        <v>0</v>
      </c>
      <c r="CO444" s="66">
        <v>0</v>
      </c>
      <c r="CP444" s="66">
        <v>0</v>
      </c>
      <c r="CQ444" s="66">
        <v>0</v>
      </c>
      <c r="CR444" s="66">
        <v>0</v>
      </c>
      <c r="CS444" s="66">
        <v>0</v>
      </c>
      <c r="CT444" s="66">
        <v>0</v>
      </c>
      <c r="CU444" s="66">
        <v>0</v>
      </c>
      <c r="CV444" s="66">
        <v>0</v>
      </c>
      <c r="CW444" s="66">
        <v>0</v>
      </c>
      <c r="CX444" s="66">
        <v>0</v>
      </c>
      <c r="CY444" s="66">
        <v>0</v>
      </c>
      <c r="CZ444" s="66">
        <v>0</v>
      </c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>
        <f>SUM(Table1[[#This Row],[01-03 Apr]:[Mar-26]])</f>
        <v>0</v>
      </c>
    </row>
    <row r="445" spans="1:115" hidden="1" x14ac:dyDescent="0.2">
      <c r="A445" s="28" t="s">
        <v>2253</v>
      </c>
      <c r="B445" s="29" t="s">
        <v>785</v>
      </c>
      <c r="C445" s="29" t="s">
        <v>786</v>
      </c>
      <c r="D445" s="30" t="s">
        <v>787</v>
      </c>
      <c r="E445" s="30" t="s">
        <v>57</v>
      </c>
      <c r="F445" s="30"/>
      <c r="G445" s="31">
        <v>45108</v>
      </c>
      <c r="H445" s="30">
        <v>362915</v>
      </c>
      <c r="I445" s="30" t="str">
        <f>IF(Table1[[#This Row],[Centre Status]]="Returned","NA",IF(Table1[[#This Row],[SD]]&gt;19000,"Full Payment",IF(Table1[[#This Row],[SD]]&lt;1,"No Payment","Partial Payment")))</f>
        <v>Full Payment</v>
      </c>
      <c r="J445" s="30" t="s">
        <v>58</v>
      </c>
      <c r="K445" s="32">
        <v>110000</v>
      </c>
      <c r="L445" s="33">
        <f>Q445+R445+U445+Table1[[#This Row],[Farmer Payment]]</f>
        <v>110500</v>
      </c>
      <c r="M445" s="30"/>
      <c r="N445" s="34"/>
      <c r="O445" s="34"/>
      <c r="P445" s="35">
        <f t="shared" si="55"/>
        <v>-500</v>
      </c>
      <c r="Q445" s="33">
        <f>AI445+AV445+CK445+Table1[[#This Row],[FY 25-26]]</f>
        <v>90500</v>
      </c>
      <c r="R445" s="36">
        <v>20000</v>
      </c>
      <c r="S445" s="37" t="s">
        <v>788</v>
      </c>
      <c r="T445" s="38">
        <v>44908</v>
      </c>
      <c r="U445" s="39"/>
      <c r="V445" s="39"/>
      <c r="W445" s="40">
        <v>0</v>
      </c>
      <c r="X445" s="40">
        <v>0</v>
      </c>
      <c r="Y445" s="40">
        <v>0</v>
      </c>
      <c r="Z445" s="40">
        <v>0</v>
      </c>
      <c r="AA445" s="40">
        <v>0</v>
      </c>
      <c r="AB445" s="40">
        <v>0</v>
      </c>
      <c r="AC445" s="40">
        <v>0</v>
      </c>
      <c r="AD445" s="40">
        <v>0</v>
      </c>
      <c r="AE445" s="40">
        <v>0</v>
      </c>
      <c r="AF445" s="40">
        <v>4284.3148000000001</v>
      </c>
      <c r="AG445" s="40">
        <v>4714.6473999999998</v>
      </c>
      <c r="AH445" s="40">
        <v>4181.6351999999997</v>
      </c>
      <c r="AI445" s="41">
        <f t="shared" si="56"/>
        <v>13180.597399999999</v>
      </c>
      <c r="AJ445" s="42">
        <v>3529.4167912239996</v>
      </c>
      <c r="AK445" s="42">
        <v>4842.3784000000005</v>
      </c>
      <c r="AL445" s="42">
        <v>3785.3991999999998</v>
      </c>
      <c r="AM445" s="42">
        <v>5188.9835999999996</v>
      </c>
      <c r="AN445" s="42">
        <v>3403.1772000000005</v>
      </c>
      <c r="AO445" s="42">
        <v>3840.2782000000002</v>
      </c>
      <c r="AP445" s="42">
        <v>4664.3510000000006</v>
      </c>
      <c r="AQ445" s="42">
        <v>4042.9405999999999</v>
      </c>
      <c r="AR445" s="42">
        <v>4317.2259999999997</v>
      </c>
      <c r="AS445" s="42">
        <v>4701.9666000000007</v>
      </c>
      <c r="AT445" s="42">
        <v>5237.6540000000005</v>
      </c>
      <c r="AU445" s="42">
        <v>5922.2538000000004</v>
      </c>
      <c r="AV445" s="42">
        <f t="shared" si="57"/>
        <v>53476.025391224008</v>
      </c>
      <c r="AW445" s="42">
        <v>5664.5224183811815</v>
      </c>
      <c r="AX445" s="42">
        <v>5044.5793656022242</v>
      </c>
      <c r="AY445" s="42">
        <v>5239.5786976125446</v>
      </c>
      <c r="AZ445" s="42">
        <v>6240.3759533289494</v>
      </c>
      <c r="BA445" s="42">
        <v>1154.3207738510828</v>
      </c>
      <c r="BB445" s="42">
        <v>500</v>
      </c>
      <c r="BC445" s="42">
        <v>0</v>
      </c>
      <c r="BD445" s="42">
        <v>0</v>
      </c>
      <c r="BE445" s="42">
        <v>0</v>
      </c>
      <c r="BF445" s="42">
        <v>0</v>
      </c>
      <c r="BG445" s="42">
        <v>0</v>
      </c>
      <c r="BH445" s="42">
        <v>0</v>
      </c>
      <c r="BI445" s="42">
        <v>0</v>
      </c>
      <c r="BJ445" s="42">
        <v>0</v>
      </c>
      <c r="BK445" s="42">
        <v>0</v>
      </c>
      <c r="BL445" s="42">
        <v>0</v>
      </c>
      <c r="BM445" s="42">
        <v>0</v>
      </c>
      <c r="BN445" s="42">
        <v>0</v>
      </c>
      <c r="BO445" s="42">
        <v>0</v>
      </c>
      <c r="BP445" s="42">
        <v>0</v>
      </c>
      <c r="BQ445" s="42">
        <v>0</v>
      </c>
      <c r="BR445" s="42">
        <v>0</v>
      </c>
      <c r="BS445" s="42">
        <v>0</v>
      </c>
      <c r="BT445" s="42">
        <v>0</v>
      </c>
      <c r="BU445" s="42">
        <v>0</v>
      </c>
      <c r="BV445" s="42">
        <v>0</v>
      </c>
      <c r="BW445" s="42">
        <v>0</v>
      </c>
      <c r="BX445" s="42">
        <v>0</v>
      </c>
      <c r="BY445" s="42">
        <v>0</v>
      </c>
      <c r="BZ445" s="42">
        <v>0</v>
      </c>
      <c r="CA445" s="42">
        <v>0</v>
      </c>
      <c r="CB445" s="42">
        <v>0</v>
      </c>
      <c r="CC445" s="42">
        <v>0</v>
      </c>
      <c r="CD445" s="42">
        <v>0</v>
      </c>
      <c r="CE445" s="42">
        <v>0</v>
      </c>
      <c r="CF445" s="42">
        <v>0</v>
      </c>
      <c r="CG445" s="42">
        <v>0</v>
      </c>
      <c r="CH445" s="42">
        <v>0</v>
      </c>
      <c r="CI445" s="42">
        <v>0</v>
      </c>
      <c r="CJ445" s="42">
        <v>0</v>
      </c>
      <c r="CK445" s="43">
        <f t="shared" si="58"/>
        <v>23843.377208775983</v>
      </c>
      <c r="CL445" s="66"/>
      <c r="CM445" s="66">
        <v>0</v>
      </c>
      <c r="CN445" s="66">
        <v>0</v>
      </c>
      <c r="CO445" s="66">
        <v>0</v>
      </c>
      <c r="CP445" s="66">
        <v>0</v>
      </c>
      <c r="CQ445" s="66">
        <v>0</v>
      </c>
      <c r="CR445" s="66">
        <v>0</v>
      </c>
      <c r="CS445" s="66">
        <v>0</v>
      </c>
      <c r="CT445" s="66">
        <v>0</v>
      </c>
      <c r="CU445" s="66">
        <v>0</v>
      </c>
      <c r="CV445" s="66">
        <v>0</v>
      </c>
      <c r="CW445" s="66">
        <v>0</v>
      </c>
      <c r="CX445" s="66">
        <v>0</v>
      </c>
      <c r="CY445" s="66">
        <v>0</v>
      </c>
      <c r="CZ445" s="66">
        <v>0</v>
      </c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>
        <f>SUM(Table1[[#This Row],[01-03 Apr]:[Mar-26]])</f>
        <v>0</v>
      </c>
    </row>
    <row r="446" spans="1:115" x14ac:dyDescent="0.2">
      <c r="A446" s="28" t="s">
        <v>2255</v>
      </c>
      <c r="B446" s="29" t="s">
        <v>791</v>
      </c>
      <c r="C446" s="29" t="s">
        <v>792</v>
      </c>
      <c r="D446" s="30" t="s">
        <v>793</v>
      </c>
      <c r="E446" s="30" t="s">
        <v>63</v>
      </c>
      <c r="F446" s="30"/>
      <c r="G446" s="31" t="s">
        <v>794</v>
      </c>
      <c r="H446" s="30">
        <v>387783</v>
      </c>
      <c r="I446" s="30" t="str">
        <f>IF(Table1[[#This Row],[Centre Status]]="Returned","NA",IF(Table1[[#This Row],[SD]]&gt;19000,"Full Payment",IF(Table1[[#This Row],[SD]]&lt;1,"No Payment","Partial Payment")))</f>
        <v>Partial Payment</v>
      </c>
      <c r="J446" s="30" t="s">
        <v>58</v>
      </c>
      <c r="K446" s="32">
        <v>110000</v>
      </c>
      <c r="L446" s="33">
        <f>Q446+R446+U446+Table1[[#This Row],[Farmer Payment]]</f>
        <v>110000</v>
      </c>
      <c r="M446" s="30"/>
      <c r="N446" s="34"/>
      <c r="O446" s="34"/>
      <c r="P446" s="35">
        <f t="shared" si="55"/>
        <v>0</v>
      </c>
      <c r="Q446" s="33">
        <f>AI446+AV446+CK446+Table1[[#This Row],[FY 25-26]]</f>
        <v>95000</v>
      </c>
      <c r="R446" s="36">
        <v>15000</v>
      </c>
      <c r="S446" s="37" t="s">
        <v>795</v>
      </c>
      <c r="T446" s="38">
        <v>44983</v>
      </c>
      <c r="U446" s="39"/>
      <c r="V446" s="39"/>
      <c r="W446" s="40">
        <v>0</v>
      </c>
      <c r="X446" s="40">
        <v>0</v>
      </c>
      <c r="Y446" s="40">
        <v>0</v>
      </c>
      <c r="Z446" s="40">
        <v>0</v>
      </c>
      <c r="AA446" s="40">
        <v>0</v>
      </c>
      <c r="AB446" s="40">
        <v>0</v>
      </c>
      <c r="AC446" s="40">
        <v>0</v>
      </c>
      <c r="AD446" s="40">
        <v>0</v>
      </c>
      <c r="AE446" s="40">
        <v>0</v>
      </c>
      <c r="AF446" s="40">
        <v>0</v>
      </c>
      <c r="AG446" s="40">
        <v>0</v>
      </c>
      <c r="AH446" s="40">
        <v>528</v>
      </c>
      <c r="AI446" s="41">
        <f t="shared" si="56"/>
        <v>528</v>
      </c>
      <c r="AJ446" s="42">
        <v>1861</v>
      </c>
      <c r="AK446" s="42">
        <v>1874.3914000000002</v>
      </c>
      <c r="AL446" s="42">
        <v>1861</v>
      </c>
      <c r="AM446" s="42">
        <v>2072</v>
      </c>
      <c r="AN446" s="42">
        <v>3154.2871999999998</v>
      </c>
      <c r="AO446" s="42">
        <v>4629.4038</v>
      </c>
      <c r="AP446" s="42">
        <v>6667.766599999999</v>
      </c>
      <c r="AQ446" s="42">
        <v>4846.6756000000005</v>
      </c>
      <c r="AR446" s="42">
        <v>6387.8343999999997</v>
      </c>
      <c r="AS446" s="42">
        <v>6718.3495999999996</v>
      </c>
      <c r="AT446" s="42">
        <v>5815.0945999999994</v>
      </c>
      <c r="AU446" s="42">
        <v>6492.3073999999997</v>
      </c>
      <c r="AV446" s="42">
        <f t="shared" si="57"/>
        <v>52380.110599999993</v>
      </c>
      <c r="AW446" s="42">
        <v>4404.9338876526144</v>
      </c>
      <c r="AX446" s="42">
        <v>3599.4653737910185</v>
      </c>
      <c r="AY446" s="42">
        <v>2930.9499134148132</v>
      </c>
      <c r="AZ446" s="42">
        <v>3316.5181186644368</v>
      </c>
      <c r="BA446" s="42">
        <v>3390.7002444877585</v>
      </c>
      <c r="BB446" s="42">
        <v>0</v>
      </c>
      <c r="BC446" s="42">
        <v>5244.9417672054187</v>
      </c>
      <c r="BD446" s="42">
        <v>0</v>
      </c>
      <c r="BE446" s="42">
        <v>0</v>
      </c>
      <c r="BF446" s="42">
        <v>0</v>
      </c>
      <c r="BG446" s="42">
        <v>0</v>
      </c>
      <c r="BH446" s="42">
        <v>0</v>
      </c>
      <c r="BI446" s="42">
        <v>4096.88848091399</v>
      </c>
      <c r="BJ446" s="42">
        <v>0</v>
      </c>
      <c r="BK446" s="42">
        <v>0</v>
      </c>
      <c r="BL446" s="42">
        <v>0</v>
      </c>
      <c r="BM446" s="42">
        <v>0</v>
      </c>
      <c r="BN446" s="42">
        <v>4854.4332304361396</v>
      </c>
      <c r="BO446" s="42">
        <v>0</v>
      </c>
      <c r="BP446" s="42">
        <v>0</v>
      </c>
      <c r="BQ446" s="42">
        <v>0</v>
      </c>
      <c r="BR446" s="42">
        <v>0</v>
      </c>
      <c r="BS446" s="42">
        <v>5968.4041397589845</v>
      </c>
      <c r="BT446" s="42">
        <v>0</v>
      </c>
      <c r="BU446" s="42">
        <v>0</v>
      </c>
      <c r="BV446" s="42">
        <v>0</v>
      </c>
      <c r="BW446" s="42">
        <v>0</v>
      </c>
      <c r="BX446" s="42">
        <v>0</v>
      </c>
      <c r="BY446" s="42">
        <v>4284.6542436748277</v>
      </c>
      <c r="BZ446" s="42">
        <v>0</v>
      </c>
      <c r="CA446" s="42">
        <v>0</v>
      </c>
      <c r="CB446" s="42">
        <v>0</v>
      </c>
      <c r="CC446" s="42">
        <v>0</v>
      </c>
      <c r="CD446" s="42">
        <v>0</v>
      </c>
      <c r="CE446" s="42">
        <v>0</v>
      </c>
      <c r="CF446" s="42">
        <v>0</v>
      </c>
      <c r="CG446" s="42">
        <v>0</v>
      </c>
      <c r="CH446" s="42">
        <v>0</v>
      </c>
      <c r="CI446" s="42">
        <v>0</v>
      </c>
      <c r="CJ446" s="42">
        <v>0</v>
      </c>
      <c r="CK446" s="43">
        <f t="shared" si="58"/>
        <v>42091.8894</v>
      </c>
      <c r="CL446" s="66"/>
      <c r="CM446" s="66">
        <v>0</v>
      </c>
      <c r="CN446" s="66">
        <v>0</v>
      </c>
      <c r="CO446" s="66">
        <v>0</v>
      </c>
      <c r="CP446" s="66">
        <v>0</v>
      </c>
      <c r="CQ446" s="66">
        <v>0</v>
      </c>
      <c r="CR446" s="66">
        <v>0</v>
      </c>
      <c r="CS446" s="66">
        <v>0</v>
      </c>
      <c r="CT446" s="66">
        <v>0</v>
      </c>
      <c r="CU446" s="66">
        <v>0</v>
      </c>
      <c r="CV446" s="66">
        <v>0</v>
      </c>
      <c r="CW446" s="66">
        <v>0</v>
      </c>
      <c r="CX446" s="66">
        <v>0</v>
      </c>
      <c r="CY446" s="66">
        <v>0</v>
      </c>
      <c r="CZ446" s="66">
        <v>0</v>
      </c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>
        <f>SUM(Table1[[#This Row],[01-03 Apr]:[Mar-26]])</f>
        <v>0</v>
      </c>
    </row>
    <row r="447" spans="1:115" hidden="1" x14ac:dyDescent="0.2">
      <c r="A447" s="28" t="s">
        <v>2255</v>
      </c>
      <c r="B447" s="29" t="s">
        <v>796</v>
      </c>
      <c r="C447" s="29" t="s">
        <v>797</v>
      </c>
      <c r="D447" s="30" t="s">
        <v>798</v>
      </c>
      <c r="E447" s="30" t="s">
        <v>584</v>
      </c>
      <c r="F447" s="30"/>
      <c r="G447" s="31">
        <v>45114</v>
      </c>
      <c r="H447" s="30">
        <v>387838</v>
      </c>
      <c r="I447" s="30" t="str">
        <f>IF(Table1[[#This Row],[Centre Status]]="Returned","NA",IF(Table1[[#This Row],[SD]]&gt;19000,"Full Payment",IF(Table1[[#This Row],[SD]]&lt;1,"No Payment","Partial Payment")))</f>
        <v>Full Payment</v>
      </c>
      <c r="J447" s="30" t="s">
        <v>58</v>
      </c>
      <c r="K447" s="32">
        <v>110000</v>
      </c>
      <c r="L447" s="33">
        <f>Q447+R447+U447+Table1[[#This Row],[Farmer Payment]]</f>
        <v>67786.673101510154</v>
      </c>
      <c r="M447" s="30"/>
      <c r="N447" s="34"/>
      <c r="O447" s="34"/>
      <c r="P447" s="35">
        <f t="shared" si="55"/>
        <v>42213.326898489846</v>
      </c>
      <c r="Q447" s="33">
        <f>AI447+AV447+CK447+Table1[[#This Row],[FY 25-26]]</f>
        <v>47786.673101510161</v>
      </c>
      <c r="R447" s="36">
        <v>20000</v>
      </c>
      <c r="S447" s="37" t="s">
        <v>799</v>
      </c>
      <c r="T447" s="38">
        <v>45087</v>
      </c>
      <c r="U447" s="39"/>
      <c r="V447" s="39"/>
      <c r="W447" s="40">
        <v>0</v>
      </c>
      <c r="X447" s="40">
        <v>0</v>
      </c>
      <c r="Y447" s="40">
        <v>0</v>
      </c>
      <c r="Z447" s="40">
        <v>0</v>
      </c>
      <c r="AA447" s="40">
        <v>0</v>
      </c>
      <c r="AB447" s="40">
        <v>0</v>
      </c>
      <c r="AC447" s="40">
        <v>0</v>
      </c>
      <c r="AD447" s="40">
        <v>0</v>
      </c>
      <c r="AE447" s="40">
        <v>0</v>
      </c>
      <c r="AF447" s="40">
        <v>0</v>
      </c>
      <c r="AG447" s="40">
        <v>0</v>
      </c>
      <c r="AH447" s="40">
        <v>0</v>
      </c>
      <c r="AI447" s="41">
        <f t="shared" si="56"/>
        <v>0</v>
      </c>
      <c r="AJ447" s="42">
        <v>0</v>
      </c>
      <c r="AK447" s="42">
        <v>0</v>
      </c>
      <c r="AL447" s="42">
        <v>0</v>
      </c>
      <c r="AM447" s="42">
        <v>1861</v>
      </c>
      <c r="AN447" s="42">
        <v>2669.3044</v>
      </c>
      <c r="AO447" s="42">
        <v>1861</v>
      </c>
      <c r="AP447" s="42">
        <v>1868.5115999999998</v>
      </c>
      <c r="AQ447" s="42">
        <v>1861</v>
      </c>
      <c r="AR447" s="42">
        <v>1861</v>
      </c>
      <c r="AS447" s="42">
        <v>2223.1432</v>
      </c>
      <c r="AT447" s="42">
        <v>2513.3019999999997</v>
      </c>
      <c r="AU447" s="42">
        <v>2129.5450000000001</v>
      </c>
      <c r="AV447" s="42">
        <f t="shared" si="57"/>
        <v>18847.806199999999</v>
      </c>
      <c r="AW447" s="42">
        <v>1861</v>
      </c>
      <c r="AX447" s="42">
        <v>1591</v>
      </c>
      <c r="AY447" s="42">
        <v>2010.0466855177219</v>
      </c>
      <c r="AZ447" s="42">
        <v>2456.0961897173042</v>
      </c>
      <c r="BA447" s="42">
        <v>1211</v>
      </c>
      <c r="BB447" s="42">
        <v>500</v>
      </c>
      <c r="BC447" s="42">
        <v>982.77992241909988</v>
      </c>
      <c r="BD447" s="42">
        <v>500</v>
      </c>
      <c r="BE447" s="42">
        <v>0</v>
      </c>
      <c r="BF447" s="42">
        <v>0</v>
      </c>
      <c r="BG447" s="42">
        <v>0</v>
      </c>
      <c r="BH447" s="42">
        <v>0</v>
      </c>
      <c r="BI447" s="42">
        <v>1885.7356546423562</v>
      </c>
      <c r="BJ447" s="42">
        <v>0</v>
      </c>
      <c r="BK447" s="42">
        <v>0</v>
      </c>
      <c r="BL447" s="42">
        <v>0</v>
      </c>
      <c r="BM447" s="42">
        <v>0</v>
      </c>
      <c r="BN447" s="42">
        <v>1861</v>
      </c>
      <c r="BO447" s="42">
        <v>0</v>
      </c>
      <c r="BP447" s="42">
        <v>0</v>
      </c>
      <c r="BQ447" s="42">
        <v>0</v>
      </c>
      <c r="BR447" s="42">
        <v>0</v>
      </c>
      <c r="BS447" s="42">
        <v>2204.3604351330823</v>
      </c>
      <c r="BT447" s="42">
        <v>0</v>
      </c>
      <c r="BU447" s="42">
        <v>0</v>
      </c>
      <c r="BV447" s="42">
        <v>0</v>
      </c>
      <c r="BW447" s="42">
        <v>0</v>
      </c>
      <c r="BX447" s="42">
        <v>0</v>
      </c>
      <c r="BY447" s="42">
        <v>1861</v>
      </c>
      <c r="BZ447" s="42">
        <v>0</v>
      </c>
      <c r="CA447" s="42">
        <v>0</v>
      </c>
      <c r="CB447" s="42">
        <v>0</v>
      </c>
      <c r="CC447" s="42">
        <v>0</v>
      </c>
      <c r="CD447" s="42">
        <v>2547.3441570513473</v>
      </c>
      <c r="CE447" s="42">
        <v>0</v>
      </c>
      <c r="CF447" s="42">
        <v>0</v>
      </c>
      <c r="CG447" s="42">
        <v>0</v>
      </c>
      <c r="CH447" s="42">
        <v>0</v>
      </c>
      <c r="CI447" s="42">
        <v>0</v>
      </c>
      <c r="CJ447" s="42">
        <v>2863.0918376551685</v>
      </c>
      <c r="CK447" s="43">
        <f t="shared" si="58"/>
        <v>24334.454882136077</v>
      </c>
      <c r="CL447" s="66"/>
      <c r="CM447" s="66">
        <v>0</v>
      </c>
      <c r="CN447" s="66">
        <v>0</v>
      </c>
      <c r="CO447" s="66">
        <v>0</v>
      </c>
      <c r="CP447" s="66">
        <v>2477.397400982351</v>
      </c>
      <c r="CQ447" s="66">
        <v>0</v>
      </c>
      <c r="CR447" s="66">
        <v>0</v>
      </c>
      <c r="CS447" s="66">
        <v>0</v>
      </c>
      <c r="CT447" s="66">
        <v>0</v>
      </c>
      <c r="CU447" s="66">
        <v>0</v>
      </c>
      <c r="CV447" s="66">
        <v>2127.0146183917391</v>
      </c>
      <c r="CW447" s="66">
        <v>0</v>
      </c>
      <c r="CX447" s="66">
        <v>0</v>
      </c>
      <c r="CY447" s="66">
        <v>0</v>
      </c>
      <c r="CZ447" s="66">
        <v>0</v>
      </c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>
        <f>SUM(Table1[[#This Row],[01-03 Apr]:[Mar-26]])</f>
        <v>4604.4120193740901</v>
      </c>
    </row>
    <row r="448" spans="1:115" x14ac:dyDescent="0.2">
      <c r="A448" s="28" t="s">
        <v>2255</v>
      </c>
      <c r="B448" s="29" t="s">
        <v>800</v>
      </c>
      <c r="C448" s="29" t="s">
        <v>801</v>
      </c>
      <c r="D448" s="30" t="s">
        <v>802</v>
      </c>
      <c r="E448" s="30" t="s">
        <v>1321</v>
      </c>
      <c r="F448" s="30"/>
      <c r="G448" s="31">
        <v>45114</v>
      </c>
      <c r="H448" s="30">
        <v>387786</v>
      </c>
      <c r="I448" s="30" t="str">
        <f>IF(Table1[[#This Row],[Centre Status]]="Returned","NA",IF(Table1[[#This Row],[SD]]&gt;19000,"Full Payment",IF(Table1[[#This Row],[SD]]&lt;1,"No Payment","Partial Payment")))</f>
        <v>Partial Payment</v>
      </c>
      <c r="J448" s="30" t="s">
        <v>58</v>
      </c>
      <c r="K448" s="32">
        <v>110000</v>
      </c>
      <c r="L448" s="33">
        <f>Q448+R448+U448+Table1[[#This Row],[Farmer Payment]]</f>
        <v>36464.525399999999</v>
      </c>
      <c r="M448" s="30"/>
      <c r="N448" s="34"/>
      <c r="O448" s="34"/>
      <c r="P448" s="35">
        <f t="shared" si="55"/>
        <v>73535.474600000001</v>
      </c>
      <c r="Q448" s="33">
        <f>AI448+AV448+CK448+Table1[[#This Row],[FY 25-26]]</f>
        <v>21464.525399999999</v>
      </c>
      <c r="R448" s="36">
        <v>15000</v>
      </c>
      <c r="S448" s="37" t="s">
        <v>803</v>
      </c>
      <c r="T448" s="38">
        <v>45105</v>
      </c>
      <c r="U448" s="39"/>
      <c r="V448" s="39"/>
      <c r="W448" s="40">
        <v>0</v>
      </c>
      <c r="X448" s="40">
        <v>0</v>
      </c>
      <c r="Y448" s="40">
        <v>0</v>
      </c>
      <c r="Z448" s="40">
        <v>0</v>
      </c>
      <c r="AA448" s="40">
        <v>0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0</v>
      </c>
      <c r="AH448" s="40">
        <v>0</v>
      </c>
      <c r="AI448" s="41">
        <f t="shared" si="56"/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0</v>
      </c>
      <c r="AP448" s="42">
        <v>0</v>
      </c>
      <c r="AQ448" s="42">
        <v>2694.3402000000001</v>
      </c>
      <c r="AR448" s="42">
        <v>2833.9785999999999</v>
      </c>
      <c r="AS448" s="42">
        <v>2630.8986</v>
      </c>
      <c r="AT448" s="42">
        <v>2010.3080000000004</v>
      </c>
      <c r="AU448" s="42">
        <v>1500</v>
      </c>
      <c r="AV448" s="42">
        <f t="shared" si="57"/>
        <v>11669.5254</v>
      </c>
      <c r="AW448" s="42">
        <v>1571</v>
      </c>
      <c r="AX448" s="42">
        <v>1186</v>
      </c>
      <c r="AY448" s="42">
        <v>383</v>
      </c>
      <c r="AZ448" s="42">
        <v>1214</v>
      </c>
      <c r="BA448" s="42">
        <v>799</v>
      </c>
      <c r="BB448" s="42">
        <v>500</v>
      </c>
      <c r="BC448" s="42">
        <v>0</v>
      </c>
      <c r="BD448" s="42">
        <v>500</v>
      </c>
      <c r="BE448" s="42">
        <v>0</v>
      </c>
      <c r="BF448" s="42">
        <v>0</v>
      </c>
      <c r="BG448" s="42">
        <v>0</v>
      </c>
      <c r="BH448" s="42">
        <v>0</v>
      </c>
      <c r="BI448" s="42">
        <v>1861</v>
      </c>
      <c r="BJ448" s="42">
        <v>0</v>
      </c>
      <c r="BK448" s="42">
        <v>0</v>
      </c>
      <c r="BL448" s="42">
        <v>0</v>
      </c>
      <c r="BM448" s="42">
        <v>0</v>
      </c>
      <c r="BN448" s="42">
        <v>0</v>
      </c>
      <c r="BO448" s="42">
        <v>0</v>
      </c>
      <c r="BP448" s="42">
        <v>0</v>
      </c>
      <c r="BQ448" s="42">
        <v>0</v>
      </c>
      <c r="BR448" s="42">
        <v>0</v>
      </c>
      <c r="BS448" s="42">
        <v>0</v>
      </c>
      <c r="BT448" s="42">
        <v>0</v>
      </c>
      <c r="BU448" s="42">
        <v>0</v>
      </c>
      <c r="BV448" s="42">
        <v>0</v>
      </c>
      <c r="BW448" s="42">
        <v>0</v>
      </c>
      <c r="BX448" s="42">
        <v>0</v>
      </c>
      <c r="BY448" s="42">
        <v>0</v>
      </c>
      <c r="BZ448" s="42">
        <v>0</v>
      </c>
      <c r="CA448" s="42">
        <v>500</v>
      </c>
      <c r="CB448" s="42">
        <v>0</v>
      </c>
      <c r="CC448" s="42">
        <v>0</v>
      </c>
      <c r="CD448" s="42">
        <v>1079</v>
      </c>
      <c r="CE448" s="42">
        <v>0</v>
      </c>
      <c r="CF448" s="42">
        <v>0</v>
      </c>
      <c r="CG448" s="42">
        <v>0</v>
      </c>
      <c r="CH448" s="42">
        <v>0</v>
      </c>
      <c r="CI448" s="42">
        <v>0</v>
      </c>
      <c r="CJ448" s="42">
        <v>0</v>
      </c>
      <c r="CK448" s="43">
        <f t="shared" si="58"/>
        <v>9593</v>
      </c>
      <c r="CL448" s="66"/>
      <c r="CM448" s="66">
        <v>0</v>
      </c>
      <c r="CN448" s="66">
        <v>0</v>
      </c>
      <c r="CO448" s="66">
        <v>0</v>
      </c>
      <c r="CP448" s="66">
        <v>202</v>
      </c>
      <c r="CQ448" s="66">
        <v>0</v>
      </c>
      <c r="CR448" s="66">
        <v>0</v>
      </c>
      <c r="CS448" s="66">
        <v>0</v>
      </c>
      <c r="CT448" s="66">
        <v>0</v>
      </c>
      <c r="CU448" s="66">
        <v>0</v>
      </c>
      <c r="CV448" s="66">
        <v>0</v>
      </c>
      <c r="CW448" s="66">
        <v>0</v>
      </c>
      <c r="CX448" s="66">
        <v>0</v>
      </c>
      <c r="CY448" s="66">
        <v>0</v>
      </c>
      <c r="CZ448" s="66">
        <v>0</v>
      </c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>
        <f>SUM(Table1[[#This Row],[01-03 Apr]:[Mar-26]])</f>
        <v>202</v>
      </c>
    </row>
    <row r="449" spans="1:115" x14ac:dyDescent="0.2">
      <c r="A449" s="28" t="s">
        <v>2255</v>
      </c>
      <c r="B449" s="29" t="s">
        <v>804</v>
      </c>
      <c r="C449" s="29" t="s">
        <v>805</v>
      </c>
      <c r="D449" s="30" t="s">
        <v>806</v>
      </c>
      <c r="E449" s="30" t="s">
        <v>1321</v>
      </c>
      <c r="F449" s="30"/>
      <c r="G449" s="31">
        <v>45114</v>
      </c>
      <c r="H449" s="30">
        <v>387870</v>
      </c>
      <c r="I449" s="30" t="str">
        <f>IF(Table1[[#This Row],[Centre Status]]="Returned","NA",IF(Table1[[#This Row],[SD]]&gt;19000,"Full Payment",IF(Table1[[#This Row],[SD]]&lt;1,"No Payment","Partial Payment")))</f>
        <v>Partial Payment</v>
      </c>
      <c r="J449" s="30" t="s">
        <v>58</v>
      </c>
      <c r="K449" s="32">
        <v>110000</v>
      </c>
      <c r="L449" s="33">
        <f>Q449+R449+U449+Table1[[#This Row],[Farmer Payment]]</f>
        <v>69867.750294795362</v>
      </c>
      <c r="M449" s="30"/>
      <c r="N449" s="34"/>
      <c r="O449" s="34"/>
      <c r="P449" s="35">
        <f t="shared" si="55"/>
        <v>40132.249705204638</v>
      </c>
      <c r="Q449" s="33">
        <f>AI449+AV449+CK449+Table1[[#This Row],[FY 25-26]]</f>
        <v>54867.750294795362</v>
      </c>
      <c r="R449" s="36">
        <v>15000</v>
      </c>
      <c r="S449" s="37" t="s">
        <v>807</v>
      </c>
      <c r="T449" s="38">
        <v>45105</v>
      </c>
      <c r="U449" s="39"/>
      <c r="V449" s="39"/>
      <c r="W449" s="40">
        <v>0</v>
      </c>
      <c r="X449" s="40">
        <v>0</v>
      </c>
      <c r="Y449" s="40">
        <v>0</v>
      </c>
      <c r="Z449" s="40">
        <v>0</v>
      </c>
      <c r="AA449" s="40">
        <v>0</v>
      </c>
      <c r="AB449" s="40">
        <v>0</v>
      </c>
      <c r="AC449" s="40">
        <v>0</v>
      </c>
      <c r="AD449" s="40">
        <v>0</v>
      </c>
      <c r="AE449" s="40">
        <v>0</v>
      </c>
      <c r="AF449" s="40">
        <v>0</v>
      </c>
      <c r="AG449" s="40">
        <v>0</v>
      </c>
      <c r="AH449" s="40">
        <v>0</v>
      </c>
      <c r="AI449" s="41">
        <f t="shared" si="56"/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0</v>
      </c>
      <c r="AO449" s="42">
        <v>0</v>
      </c>
      <c r="AP449" s="42">
        <v>0</v>
      </c>
      <c r="AQ449" s="42">
        <v>3324.2053999999998</v>
      </c>
      <c r="AR449" s="42">
        <v>5855.7145999999993</v>
      </c>
      <c r="AS449" s="42">
        <v>6171.3543999999993</v>
      </c>
      <c r="AT449" s="42">
        <v>2570.9526000000001</v>
      </c>
      <c r="AU449" s="42">
        <v>3051.3287999999993</v>
      </c>
      <c r="AV449" s="42">
        <f t="shared" si="57"/>
        <v>20973.555799999998</v>
      </c>
      <c r="AW449" s="42">
        <v>26</v>
      </c>
      <c r="AX449" s="42">
        <v>0</v>
      </c>
      <c r="AY449" s="42">
        <v>0</v>
      </c>
      <c r="AZ449" s="42">
        <v>2707.4015352516958</v>
      </c>
      <c r="BA449" s="42">
        <v>2071.6074456044244</v>
      </c>
      <c r="BB449" s="42">
        <v>0</v>
      </c>
      <c r="BC449" s="42">
        <v>1861</v>
      </c>
      <c r="BD449" s="42">
        <v>0</v>
      </c>
      <c r="BE449" s="42">
        <v>0</v>
      </c>
      <c r="BF449" s="42">
        <v>0</v>
      </c>
      <c r="BG449" s="42">
        <v>0</v>
      </c>
      <c r="BH449" s="42">
        <v>0</v>
      </c>
      <c r="BI449" s="42">
        <v>3379.0412464667602</v>
      </c>
      <c r="BJ449" s="42">
        <v>0</v>
      </c>
      <c r="BK449" s="42">
        <v>0</v>
      </c>
      <c r="BL449" s="42">
        <v>0</v>
      </c>
      <c r="BM449" s="42">
        <v>0</v>
      </c>
      <c r="BN449" s="42">
        <v>2439.5024113197201</v>
      </c>
      <c r="BO449" s="42">
        <v>0</v>
      </c>
      <c r="BP449" s="42">
        <v>0</v>
      </c>
      <c r="BQ449" s="42">
        <v>0</v>
      </c>
      <c r="BR449" s="42">
        <v>0</v>
      </c>
      <c r="BS449" s="42">
        <v>4644.4600704119548</v>
      </c>
      <c r="BT449" s="42">
        <v>0</v>
      </c>
      <c r="BU449" s="42">
        <v>0</v>
      </c>
      <c r="BV449" s="42">
        <v>0</v>
      </c>
      <c r="BW449" s="42">
        <v>0</v>
      </c>
      <c r="BX449" s="42">
        <v>0</v>
      </c>
      <c r="BY449" s="42">
        <v>6555.3668342549499</v>
      </c>
      <c r="BZ449" s="42">
        <v>0</v>
      </c>
      <c r="CA449" s="42">
        <v>0</v>
      </c>
      <c r="CB449" s="42">
        <v>0</v>
      </c>
      <c r="CC449" s="42">
        <v>0</v>
      </c>
      <c r="CD449" s="42">
        <v>6421.2719935712739</v>
      </c>
      <c r="CE449" s="42">
        <v>0</v>
      </c>
      <c r="CF449" s="42">
        <v>0</v>
      </c>
      <c r="CG449" s="42">
        <v>0</v>
      </c>
      <c r="CH449" s="42">
        <v>0</v>
      </c>
      <c r="CI449" s="42">
        <v>0</v>
      </c>
      <c r="CJ449" s="42">
        <v>3788.5429579145784</v>
      </c>
      <c r="CK449" s="43">
        <f t="shared" si="58"/>
        <v>33894.19449479536</v>
      </c>
      <c r="CL449" s="66"/>
      <c r="CM449" s="66">
        <v>0</v>
      </c>
      <c r="CN449" s="66">
        <v>0</v>
      </c>
      <c r="CO449" s="66">
        <v>0</v>
      </c>
      <c r="CP449" s="66">
        <v>0</v>
      </c>
      <c r="CQ449" s="66">
        <v>0</v>
      </c>
      <c r="CR449" s="66">
        <v>0</v>
      </c>
      <c r="CS449" s="66">
        <v>0</v>
      </c>
      <c r="CT449" s="66">
        <v>0</v>
      </c>
      <c r="CU449" s="66">
        <v>0</v>
      </c>
      <c r="CV449" s="66">
        <v>0</v>
      </c>
      <c r="CW449" s="66">
        <v>0</v>
      </c>
      <c r="CX449" s="66">
        <v>0</v>
      </c>
      <c r="CY449" s="66">
        <v>0</v>
      </c>
      <c r="CZ449" s="66">
        <v>0</v>
      </c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>
        <f>SUM(Table1[[#This Row],[01-03 Apr]:[Mar-26]])</f>
        <v>0</v>
      </c>
    </row>
    <row r="450" spans="1:115" x14ac:dyDescent="0.2">
      <c r="A450" s="28" t="s">
        <v>2255</v>
      </c>
      <c r="B450" s="29" t="s">
        <v>808</v>
      </c>
      <c r="C450" s="29" t="s">
        <v>809</v>
      </c>
      <c r="D450" s="30" t="s">
        <v>810</v>
      </c>
      <c r="E450" s="30" t="s">
        <v>57</v>
      </c>
      <c r="F450" s="30"/>
      <c r="G450" s="31" t="s">
        <v>794</v>
      </c>
      <c r="H450" s="30">
        <v>388016</v>
      </c>
      <c r="I450" s="30" t="str">
        <f>IF(Table1[[#This Row],[Centre Status]]="Returned","NA",IF(Table1[[#This Row],[SD]]&gt;19000,"Full Payment",IF(Table1[[#This Row],[SD]]&lt;1,"No Payment","Partial Payment")))</f>
        <v>Partial Payment</v>
      </c>
      <c r="J450" s="30" t="s">
        <v>58</v>
      </c>
      <c r="K450" s="32">
        <v>110000</v>
      </c>
      <c r="L450" s="33">
        <f>Q450+R450+U450+Table1[[#This Row],[Farmer Payment]]</f>
        <v>110000</v>
      </c>
      <c r="M450" s="30"/>
      <c r="N450" s="34"/>
      <c r="O450" s="34"/>
      <c r="P450" s="35">
        <f t="shared" si="55"/>
        <v>0</v>
      </c>
      <c r="Q450" s="33">
        <f>AI450+AV450+CK450+Table1[[#This Row],[FY 25-26]]</f>
        <v>95000</v>
      </c>
      <c r="R450" s="36">
        <v>15000</v>
      </c>
      <c r="S450" s="37" t="s">
        <v>811</v>
      </c>
      <c r="T450" s="38">
        <v>44977</v>
      </c>
      <c r="U450" s="39"/>
      <c r="V450" s="39"/>
      <c r="W450" s="40">
        <v>0</v>
      </c>
      <c r="X450" s="40">
        <v>0</v>
      </c>
      <c r="Y450" s="40">
        <v>0</v>
      </c>
      <c r="Z450" s="40">
        <v>0</v>
      </c>
      <c r="AA450" s="40">
        <v>0</v>
      </c>
      <c r="AB450" s="40">
        <v>0</v>
      </c>
      <c r="AC450" s="40">
        <v>0</v>
      </c>
      <c r="AD450" s="40">
        <v>0</v>
      </c>
      <c r="AE450" s="40">
        <v>0</v>
      </c>
      <c r="AF450" s="40">
        <v>0</v>
      </c>
      <c r="AG450" s="40">
        <v>0</v>
      </c>
      <c r="AH450" s="40">
        <v>1861</v>
      </c>
      <c r="AI450" s="41">
        <f t="shared" si="56"/>
        <v>1861</v>
      </c>
      <c r="AJ450" s="42">
        <v>4104.0264000000006</v>
      </c>
      <c r="AK450" s="42">
        <v>6932.648000000001</v>
      </c>
      <c r="AL450" s="42">
        <v>5159.7394000000004</v>
      </c>
      <c r="AM450" s="42">
        <v>6492.33</v>
      </c>
      <c r="AN450" s="42">
        <v>5638.9728000000005</v>
      </c>
      <c r="AO450" s="42">
        <v>6028.5955999999996</v>
      </c>
      <c r="AP450" s="42">
        <v>9313.5987999999979</v>
      </c>
      <c r="AQ450" s="42">
        <v>7605.4295999999995</v>
      </c>
      <c r="AR450" s="42">
        <v>8828.6275999999998</v>
      </c>
      <c r="AS450" s="42">
        <v>10454.790200000001</v>
      </c>
      <c r="AT450" s="42">
        <v>8664.1249999999982</v>
      </c>
      <c r="AU450" s="42">
        <v>9818.9248000000007</v>
      </c>
      <c r="AV450" s="42">
        <f t="shared" si="57"/>
        <v>89041.808199999999</v>
      </c>
      <c r="AW450" s="42">
        <v>4097.1918000000005</v>
      </c>
      <c r="AX450" s="42">
        <v>0</v>
      </c>
      <c r="AY450" s="42">
        <v>0</v>
      </c>
      <c r="AZ450" s="42">
        <v>0</v>
      </c>
      <c r="BA450" s="42">
        <v>0</v>
      </c>
      <c r="BB450" s="42">
        <v>0</v>
      </c>
      <c r="BC450" s="42">
        <v>0</v>
      </c>
      <c r="BD450" s="42">
        <v>0</v>
      </c>
      <c r="BE450" s="42">
        <v>0</v>
      </c>
      <c r="BF450" s="42">
        <v>0</v>
      </c>
      <c r="BG450" s="42">
        <v>0</v>
      </c>
      <c r="BH450" s="42">
        <v>0</v>
      </c>
      <c r="BI450" s="42">
        <v>0</v>
      </c>
      <c r="BJ450" s="42">
        <v>0</v>
      </c>
      <c r="BK450" s="42">
        <v>0</v>
      </c>
      <c r="BL450" s="42">
        <v>0</v>
      </c>
      <c r="BM450" s="42">
        <v>0</v>
      </c>
      <c r="BN450" s="42">
        <v>0</v>
      </c>
      <c r="BO450" s="42">
        <v>0</v>
      </c>
      <c r="BP450" s="42">
        <v>0</v>
      </c>
      <c r="BQ450" s="42">
        <v>0</v>
      </c>
      <c r="BR450" s="42">
        <v>0</v>
      </c>
      <c r="BS450" s="42">
        <v>0</v>
      </c>
      <c r="BT450" s="42">
        <v>0</v>
      </c>
      <c r="BU450" s="42">
        <v>0</v>
      </c>
      <c r="BV450" s="42">
        <v>0</v>
      </c>
      <c r="BW450" s="42">
        <v>0</v>
      </c>
      <c r="BX450" s="42">
        <v>0</v>
      </c>
      <c r="BY450" s="42">
        <v>0</v>
      </c>
      <c r="BZ450" s="42">
        <v>0</v>
      </c>
      <c r="CA450" s="42">
        <v>0</v>
      </c>
      <c r="CB450" s="42">
        <v>0</v>
      </c>
      <c r="CC450" s="42">
        <v>0</v>
      </c>
      <c r="CD450" s="42">
        <v>0</v>
      </c>
      <c r="CE450" s="42">
        <v>0</v>
      </c>
      <c r="CF450" s="42">
        <v>0</v>
      </c>
      <c r="CG450" s="42">
        <v>0</v>
      </c>
      <c r="CH450" s="42">
        <v>0</v>
      </c>
      <c r="CI450" s="42">
        <v>0</v>
      </c>
      <c r="CJ450" s="42">
        <v>0</v>
      </c>
      <c r="CK450" s="43">
        <f t="shared" si="58"/>
        <v>4097.1918000000005</v>
      </c>
      <c r="CL450" s="66"/>
      <c r="CM450" s="66">
        <v>0</v>
      </c>
      <c r="CN450" s="66">
        <v>0</v>
      </c>
      <c r="CO450" s="66">
        <v>0</v>
      </c>
      <c r="CP450" s="66">
        <v>0</v>
      </c>
      <c r="CQ450" s="66">
        <v>0</v>
      </c>
      <c r="CR450" s="66">
        <v>0</v>
      </c>
      <c r="CS450" s="66">
        <v>0</v>
      </c>
      <c r="CT450" s="66">
        <v>0</v>
      </c>
      <c r="CU450" s="66">
        <v>0</v>
      </c>
      <c r="CV450" s="66">
        <v>0</v>
      </c>
      <c r="CW450" s="66">
        <v>0</v>
      </c>
      <c r="CX450" s="66">
        <v>0</v>
      </c>
      <c r="CY450" s="66">
        <v>0</v>
      </c>
      <c r="CZ450" s="66">
        <v>0</v>
      </c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>
        <f>SUM(Table1[[#This Row],[01-03 Apr]:[Mar-26]])</f>
        <v>0</v>
      </c>
    </row>
    <row r="451" spans="1:115" hidden="1" x14ac:dyDescent="0.2">
      <c r="A451" s="28" t="s">
        <v>2255</v>
      </c>
      <c r="B451" s="29" t="s">
        <v>812</v>
      </c>
      <c r="C451" s="29" t="s">
        <v>813</v>
      </c>
      <c r="D451" s="30" t="s">
        <v>814</v>
      </c>
      <c r="E451" s="30" t="s">
        <v>63</v>
      </c>
      <c r="F451" s="30"/>
      <c r="G451" s="31" t="s">
        <v>794</v>
      </c>
      <c r="H451" s="30">
        <v>388161</v>
      </c>
      <c r="I451" s="30" t="str">
        <f>IF(Table1[[#This Row],[Centre Status]]="Returned","NA",IF(Table1[[#This Row],[SD]]&gt;19000,"Full Payment",IF(Table1[[#This Row],[SD]]&lt;1,"No Payment","Partial Payment")))</f>
        <v>Full Payment</v>
      </c>
      <c r="J451" s="30" t="s">
        <v>58</v>
      </c>
      <c r="K451" s="32">
        <v>110000</v>
      </c>
      <c r="L451" s="33">
        <f>Q451+R451+U451+Table1[[#This Row],[Farmer Payment]]</f>
        <v>83225.20255231671</v>
      </c>
      <c r="M451" s="30"/>
      <c r="N451" s="34"/>
      <c r="O451" s="34"/>
      <c r="P451" s="35">
        <f t="shared" si="55"/>
        <v>26774.79744768329</v>
      </c>
      <c r="Q451" s="33">
        <f>AI451+AV451+CK451+Table1[[#This Row],[FY 25-26]]</f>
        <v>63225.20255231671</v>
      </c>
      <c r="R451" s="36">
        <v>20000</v>
      </c>
      <c r="S451" s="37" t="s">
        <v>815</v>
      </c>
      <c r="T451" s="38">
        <v>44990</v>
      </c>
      <c r="U451" s="39"/>
      <c r="V451" s="39"/>
      <c r="W451" s="40">
        <v>0</v>
      </c>
      <c r="X451" s="40">
        <v>0</v>
      </c>
      <c r="Y451" s="40">
        <v>0</v>
      </c>
      <c r="Z451" s="40">
        <v>0</v>
      </c>
      <c r="AA451" s="40">
        <v>0</v>
      </c>
      <c r="AB451" s="40">
        <v>0</v>
      </c>
      <c r="AC451" s="40">
        <v>0</v>
      </c>
      <c r="AD451" s="40">
        <v>0</v>
      </c>
      <c r="AE451" s="40">
        <v>0</v>
      </c>
      <c r="AF451" s="40">
        <v>0</v>
      </c>
      <c r="AG451" s="40">
        <v>0</v>
      </c>
      <c r="AH451" s="40">
        <v>374</v>
      </c>
      <c r="AI451" s="41">
        <f t="shared" si="56"/>
        <v>374</v>
      </c>
      <c r="AJ451" s="42">
        <v>1861</v>
      </c>
      <c r="AK451" s="42">
        <v>1861</v>
      </c>
      <c r="AL451" s="42">
        <v>1861</v>
      </c>
      <c r="AM451" s="42">
        <v>3424.6738</v>
      </c>
      <c r="AN451" s="42">
        <v>3511.6336000000001</v>
      </c>
      <c r="AO451" s="42">
        <v>3109.0672</v>
      </c>
      <c r="AP451" s="42">
        <v>2795.6551999999997</v>
      </c>
      <c r="AQ451" s="42">
        <v>1861</v>
      </c>
      <c r="AR451" s="42">
        <v>2097.1929999999998</v>
      </c>
      <c r="AS451" s="42">
        <v>3147.4748000000004</v>
      </c>
      <c r="AT451" s="42">
        <v>3953.5090000000005</v>
      </c>
      <c r="AU451" s="42">
        <v>4026.2515999999991</v>
      </c>
      <c r="AV451" s="42">
        <f t="shared" si="57"/>
        <v>33509.458200000001</v>
      </c>
      <c r="AW451" s="42">
        <v>2779.0132308448024</v>
      </c>
      <c r="AX451" s="42">
        <v>1937.3603445272649</v>
      </c>
      <c r="AY451" s="42">
        <v>1861</v>
      </c>
      <c r="AZ451" s="42">
        <v>1861</v>
      </c>
      <c r="BA451" s="42">
        <v>1861</v>
      </c>
      <c r="BB451" s="42">
        <v>0</v>
      </c>
      <c r="BC451" s="42">
        <v>1861</v>
      </c>
      <c r="BD451" s="42">
        <v>0</v>
      </c>
      <c r="BE451" s="42">
        <v>0</v>
      </c>
      <c r="BF451" s="42">
        <v>0</v>
      </c>
      <c r="BG451" s="42">
        <v>0</v>
      </c>
      <c r="BH451" s="42">
        <v>0</v>
      </c>
      <c r="BI451" s="42">
        <v>222</v>
      </c>
      <c r="BJ451" s="42">
        <v>0</v>
      </c>
      <c r="BK451" s="42">
        <v>0</v>
      </c>
      <c r="BL451" s="42">
        <v>500</v>
      </c>
      <c r="BM451" s="42">
        <v>500</v>
      </c>
      <c r="BN451" s="42">
        <v>93</v>
      </c>
      <c r="BO451" s="42">
        <v>500</v>
      </c>
      <c r="BP451" s="42">
        <v>500</v>
      </c>
      <c r="BQ451" s="42">
        <v>500</v>
      </c>
      <c r="BR451" s="42">
        <v>500</v>
      </c>
      <c r="BS451" s="42">
        <v>0</v>
      </c>
      <c r="BT451" s="42">
        <v>500</v>
      </c>
      <c r="BU451" s="42">
        <v>500</v>
      </c>
      <c r="BV451" s="42">
        <v>500</v>
      </c>
      <c r="BW451" s="42">
        <v>500</v>
      </c>
      <c r="BX451" s="42">
        <v>500</v>
      </c>
      <c r="BY451" s="42">
        <v>0</v>
      </c>
      <c r="BZ451" s="42">
        <v>500</v>
      </c>
      <c r="CA451" s="42">
        <v>0</v>
      </c>
      <c r="CB451" s="42">
        <v>500</v>
      </c>
      <c r="CC451" s="42">
        <v>500</v>
      </c>
      <c r="CD451" s="42">
        <v>1548.4546638796805</v>
      </c>
      <c r="CE451" s="42">
        <v>500</v>
      </c>
      <c r="CF451" s="42">
        <v>500</v>
      </c>
      <c r="CG451" s="42">
        <v>500</v>
      </c>
      <c r="CH451" s="42">
        <v>500</v>
      </c>
      <c r="CI451" s="42">
        <v>500</v>
      </c>
      <c r="CJ451" s="42">
        <v>186.3831014911998</v>
      </c>
      <c r="CK451" s="43">
        <f t="shared" si="58"/>
        <v>23710.21134074295</v>
      </c>
      <c r="CL451" s="66"/>
      <c r="CM451" s="66">
        <v>500</v>
      </c>
      <c r="CN451" s="66">
        <v>500</v>
      </c>
      <c r="CO451" s="66">
        <v>500</v>
      </c>
      <c r="CP451" s="66">
        <v>416.31955111936031</v>
      </c>
      <c r="CQ451" s="66">
        <v>500</v>
      </c>
      <c r="CR451" s="66">
        <v>0</v>
      </c>
      <c r="CS451" s="66">
        <v>0</v>
      </c>
      <c r="CT451" s="66">
        <v>500</v>
      </c>
      <c r="CU451" s="66">
        <v>500</v>
      </c>
      <c r="CV451" s="66">
        <v>1715.2134604544003</v>
      </c>
      <c r="CW451" s="66">
        <v>0</v>
      </c>
      <c r="CX451" s="66">
        <v>0</v>
      </c>
      <c r="CY451" s="66">
        <v>0</v>
      </c>
      <c r="CZ451" s="66">
        <v>500</v>
      </c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>
        <f>SUM(Table1[[#This Row],[01-03 Apr]:[Mar-26]])</f>
        <v>5631.5330115737606</v>
      </c>
    </row>
    <row r="452" spans="1:115" x14ac:dyDescent="0.2">
      <c r="A452" s="28" t="s">
        <v>2255</v>
      </c>
      <c r="B452" s="29" t="s">
        <v>820</v>
      </c>
      <c r="C452" s="29" t="s">
        <v>821</v>
      </c>
      <c r="D452" s="30" t="s">
        <v>822</v>
      </c>
      <c r="E452" s="30" t="s">
        <v>297</v>
      </c>
      <c r="F452" s="30"/>
      <c r="G452" s="31" t="s">
        <v>818</v>
      </c>
      <c r="H452" s="30">
        <v>382423</v>
      </c>
      <c r="I452" s="30" t="str">
        <f>IF(Table1[[#This Row],[Centre Status]]="Returned","NA",IF(Table1[[#This Row],[SD]]&gt;19000,"Full Payment",IF(Table1[[#This Row],[SD]]&lt;1,"No Payment","Partial Payment")))</f>
        <v>Partial Payment</v>
      </c>
      <c r="J452" s="30" t="s">
        <v>58</v>
      </c>
      <c r="K452" s="32">
        <v>110000</v>
      </c>
      <c r="L452" s="33">
        <f>Q452+R452+U452+Table1[[#This Row],[Farmer Payment]]</f>
        <v>47745.640459641138</v>
      </c>
      <c r="M452" s="30"/>
      <c r="N452" s="34"/>
      <c r="O452" s="34"/>
      <c r="P452" s="35">
        <f t="shared" si="55"/>
        <v>62254.359540358862</v>
      </c>
      <c r="Q452" s="33">
        <f>AI452+AV452+CK452+Table1[[#This Row],[FY 25-26]]</f>
        <v>37745.640459641138</v>
      </c>
      <c r="R452" s="36">
        <v>10000</v>
      </c>
      <c r="S452" s="37" t="s">
        <v>823</v>
      </c>
      <c r="T452" s="38">
        <v>44989</v>
      </c>
      <c r="U452" s="39"/>
      <c r="V452" s="39"/>
      <c r="W452" s="40">
        <v>0</v>
      </c>
      <c r="X452" s="40">
        <v>0</v>
      </c>
      <c r="Y452" s="40">
        <v>0</v>
      </c>
      <c r="Z452" s="40">
        <v>0</v>
      </c>
      <c r="AA452" s="40">
        <v>0</v>
      </c>
      <c r="AB452" s="40">
        <v>0</v>
      </c>
      <c r="AC452" s="40">
        <v>0</v>
      </c>
      <c r="AD452" s="40">
        <v>0</v>
      </c>
      <c r="AE452" s="40">
        <v>0</v>
      </c>
      <c r="AF452" s="40">
        <v>0</v>
      </c>
      <c r="AG452" s="40">
        <v>0</v>
      </c>
      <c r="AH452" s="40">
        <v>60</v>
      </c>
      <c r="AI452" s="41">
        <f t="shared" si="56"/>
        <v>60</v>
      </c>
      <c r="AJ452" s="42">
        <v>508</v>
      </c>
      <c r="AK452" s="42">
        <v>1861</v>
      </c>
      <c r="AL452" s="42">
        <v>1861</v>
      </c>
      <c r="AM452" s="42">
        <v>1854</v>
      </c>
      <c r="AN452" s="42">
        <v>675</v>
      </c>
      <c r="AO452" s="42">
        <v>1861</v>
      </c>
      <c r="AP452" s="42">
        <v>585</v>
      </c>
      <c r="AQ452" s="42">
        <v>0</v>
      </c>
      <c r="AR452" s="42">
        <v>0</v>
      </c>
      <c r="AS452" s="42">
        <v>2906.3896000000004</v>
      </c>
      <c r="AT452" s="42">
        <v>3034.1502</v>
      </c>
      <c r="AU452" s="42">
        <v>3948.2186000000002</v>
      </c>
      <c r="AV452" s="42">
        <f t="shared" si="57"/>
        <v>19093.758399999999</v>
      </c>
      <c r="AW452" s="42">
        <v>1251.7272279388399</v>
      </c>
      <c r="AX452" s="42">
        <v>0</v>
      </c>
      <c r="AY452" s="42">
        <v>0</v>
      </c>
      <c r="AZ452" s="42">
        <v>0</v>
      </c>
      <c r="BA452" s="42">
        <v>0</v>
      </c>
      <c r="BB452" s="42">
        <v>500</v>
      </c>
      <c r="BC452" s="42">
        <v>0</v>
      </c>
      <c r="BD452" s="42">
        <v>500</v>
      </c>
      <c r="BE452" s="42">
        <v>0</v>
      </c>
      <c r="BF452" s="42">
        <v>500</v>
      </c>
      <c r="BG452" s="42">
        <v>500</v>
      </c>
      <c r="BH452" s="42">
        <v>500</v>
      </c>
      <c r="BI452" s="42">
        <v>0</v>
      </c>
      <c r="BJ452" s="42">
        <v>500</v>
      </c>
      <c r="BK452" s="42">
        <v>500</v>
      </c>
      <c r="BL452" s="42">
        <v>500</v>
      </c>
      <c r="BM452" s="42">
        <v>500</v>
      </c>
      <c r="BN452" s="42">
        <v>0</v>
      </c>
      <c r="BO452" s="42">
        <v>500</v>
      </c>
      <c r="BP452" s="42">
        <v>500</v>
      </c>
      <c r="BQ452" s="42">
        <v>500</v>
      </c>
      <c r="BR452" s="42">
        <v>500</v>
      </c>
      <c r="BS452" s="42">
        <v>0</v>
      </c>
      <c r="BT452" s="42">
        <v>500</v>
      </c>
      <c r="BU452" s="42">
        <v>500</v>
      </c>
      <c r="BV452" s="42">
        <v>500</v>
      </c>
      <c r="BW452" s="42">
        <v>500</v>
      </c>
      <c r="BX452" s="42">
        <v>500</v>
      </c>
      <c r="BY452" s="42">
        <v>498.65977081694245</v>
      </c>
      <c r="BZ452" s="42">
        <v>500</v>
      </c>
      <c r="CA452" s="42">
        <v>0</v>
      </c>
      <c r="CB452" s="42">
        <v>500</v>
      </c>
      <c r="CC452" s="42">
        <v>500</v>
      </c>
      <c r="CD452" s="42">
        <v>1341.4950608853574</v>
      </c>
      <c r="CE452" s="42">
        <v>500</v>
      </c>
      <c r="CF452" s="42">
        <v>500</v>
      </c>
      <c r="CG452" s="42">
        <v>500</v>
      </c>
      <c r="CH452" s="42">
        <v>500</v>
      </c>
      <c r="CI452" s="42">
        <v>500</v>
      </c>
      <c r="CJ452" s="42">
        <v>0</v>
      </c>
      <c r="CK452" s="43">
        <f t="shared" si="58"/>
        <v>16091.882059641141</v>
      </c>
      <c r="CL452" s="66"/>
      <c r="CM452" s="66">
        <v>500</v>
      </c>
      <c r="CN452" s="66">
        <v>500</v>
      </c>
      <c r="CO452" s="66">
        <v>500</v>
      </c>
      <c r="CP452" s="66">
        <v>0</v>
      </c>
      <c r="CQ452" s="66">
        <v>500</v>
      </c>
      <c r="CR452" s="66">
        <v>500</v>
      </c>
      <c r="CS452" s="66">
        <v>0</v>
      </c>
      <c r="CT452" s="66">
        <v>0</v>
      </c>
      <c r="CU452" s="66">
        <v>0</v>
      </c>
      <c r="CV452" s="66">
        <v>0</v>
      </c>
      <c r="CW452" s="66">
        <v>0</v>
      </c>
      <c r="CX452" s="66">
        <v>0</v>
      </c>
      <c r="CY452" s="66">
        <v>0</v>
      </c>
      <c r="CZ452" s="66">
        <v>0</v>
      </c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>
        <f>SUM(Table1[[#This Row],[01-03 Apr]:[Mar-26]])</f>
        <v>2500</v>
      </c>
    </row>
    <row r="453" spans="1:115" hidden="1" x14ac:dyDescent="0.2">
      <c r="A453" s="28" t="s">
        <v>2255</v>
      </c>
      <c r="B453" s="29" t="s">
        <v>824</v>
      </c>
      <c r="C453" s="29" t="s">
        <v>825</v>
      </c>
      <c r="D453" s="30" t="s">
        <v>826</v>
      </c>
      <c r="E453" s="30" t="s">
        <v>203</v>
      </c>
      <c r="F453" s="30"/>
      <c r="G453" s="31" t="s">
        <v>818</v>
      </c>
      <c r="H453" s="30">
        <v>382437</v>
      </c>
      <c r="I453" s="30" t="str">
        <f>IF(Table1[[#This Row],[Centre Status]]="Returned","NA",IF(Table1[[#This Row],[SD]]&gt;19000,"Full Payment",IF(Table1[[#This Row],[SD]]&lt;1,"No Payment","Partial Payment")))</f>
        <v>Full Payment</v>
      </c>
      <c r="J453" s="30" t="s">
        <v>58</v>
      </c>
      <c r="K453" s="32">
        <v>110000</v>
      </c>
      <c r="L453" s="33">
        <f>Q453+R453+U453+Table1[[#This Row],[Farmer Payment]]</f>
        <v>71406.054678279179</v>
      </c>
      <c r="M453" s="30"/>
      <c r="N453" s="34"/>
      <c r="O453" s="34"/>
      <c r="P453" s="35">
        <f t="shared" si="55"/>
        <v>38593.945321720821</v>
      </c>
      <c r="Q453" s="33">
        <f>AI453+AV453+CK453+Table1[[#This Row],[FY 25-26]]</f>
        <v>51406.054678279186</v>
      </c>
      <c r="R453" s="36">
        <v>20000</v>
      </c>
      <c r="S453" s="37"/>
      <c r="T453" s="38">
        <v>45000</v>
      </c>
      <c r="U453" s="39"/>
      <c r="V453" s="39"/>
      <c r="W453" s="40">
        <v>0</v>
      </c>
      <c r="X453" s="40">
        <v>0</v>
      </c>
      <c r="Y453" s="40">
        <v>0</v>
      </c>
      <c r="Z453" s="40">
        <v>0</v>
      </c>
      <c r="AA453" s="40">
        <v>0</v>
      </c>
      <c r="AB453" s="40">
        <v>0</v>
      </c>
      <c r="AC453" s="40">
        <v>0</v>
      </c>
      <c r="AD453" s="40">
        <v>0</v>
      </c>
      <c r="AE453" s="40">
        <v>0</v>
      </c>
      <c r="AF453" s="40">
        <v>0</v>
      </c>
      <c r="AG453" s="40">
        <v>0</v>
      </c>
      <c r="AH453" s="40">
        <v>1861</v>
      </c>
      <c r="AI453" s="41">
        <f t="shared" si="56"/>
        <v>1861</v>
      </c>
      <c r="AJ453" s="42">
        <v>1861</v>
      </c>
      <c r="AK453" s="42">
        <v>1861</v>
      </c>
      <c r="AL453" s="42">
        <v>1516</v>
      </c>
      <c r="AM453" s="42">
        <v>1861</v>
      </c>
      <c r="AN453" s="42">
        <v>1805</v>
      </c>
      <c r="AO453" s="42">
        <v>1802</v>
      </c>
      <c r="AP453" s="42">
        <v>2102.6722000000004</v>
      </c>
      <c r="AQ453" s="42">
        <v>1929.7488000000001</v>
      </c>
      <c r="AR453" s="42">
        <v>1861</v>
      </c>
      <c r="AS453" s="42">
        <v>1861</v>
      </c>
      <c r="AT453" s="42">
        <v>1182.6336782791841</v>
      </c>
      <c r="AU453" s="42">
        <v>1190</v>
      </c>
      <c r="AV453" s="42">
        <f t="shared" si="57"/>
        <v>20833.054678279186</v>
      </c>
      <c r="AW453" s="42">
        <v>1584</v>
      </c>
      <c r="AX453" s="42">
        <v>1861</v>
      </c>
      <c r="AY453" s="42">
        <v>1861</v>
      </c>
      <c r="AZ453" s="42">
        <v>1861</v>
      </c>
      <c r="BA453" s="42">
        <v>1861</v>
      </c>
      <c r="BB453" s="42">
        <v>0</v>
      </c>
      <c r="BC453" s="42">
        <v>1861</v>
      </c>
      <c r="BD453" s="42">
        <v>0</v>
      </c>
      <c r="BE453" s="42">
        <v>0</v>
      </c>
      <c r="BF453" s="42">
        <v>0</v>
      </c>
      <c r="BG453" s="42">
        <v>0</v>
      </c>
      <c r="BH453" s="42">
        <v>0</v>
      </c>
      <c r="BI453" s="42">
        <v>1355</v>
      </c>
      <c r="BJ453" s="42">
        <v>0</v>
      </c>
      <c r="BK453" s="42">
        <v>0</v>
      </c>
      <c r="BL453" s="42">
        <v>500</v>
      </c>
      <c r="BM453" s="42">
        <v>500</v>
      </c>
      <c r="BN453" s="42">
        <v>732</v>
      </c>
      <c r="BO453" s="42">
        <v>500</v>
      </c>
      <c r="BP453" s="42">
        <v>500</v>
      </c>
      <c r="BQ453" s="42">
        <v>500</v>
      </c>
      <c r="BR453" s="42">
        <v>500</v>
      </c>
      <c r="BS453" s="42">
        <v>0</v>
      </c>
      <c r="BT453" s="42">
        <v>500</v>
      </c>
      <c r="BU453" s="42">
        <v>500</v>
      </c>
      <c r="BV453" s="42">
        <v>500</v>
      </c>
      <c r="BW453" s="42">
        <v>500</v>
      </c>
      <c r="BX453" s="42">
        <v>500</v>
      </c>
      <c r="BY453" s="42">
        <v>0</v>
      </c>
      <c r="BZ453" s="42">
        <v>500</v>
      </c>
      <c r="CA453" s="42">
        <v>500</v>
      </c>
      <c r="CB453" s="42">
        <v>500</v>
      </c>
      <c r="CC453" s="42">
        <v>500</v>
      </c>
      <c r="CD453" s="42">
        <v>0</v>
      </c>
      <c r="CE453" s="42">
        <v>500</v>
      </c>
      <c r="CF453" s="42">
        <v>500</v>
      </c>
      <c r="CG453" s="42">
        <v>500</v>
      </c>
      <c r="CH453" s="42">
        <v>500</v>
      </c>
      <c r="CI453" s="42">
        <v>500</v>
      </c>
      <c r="CJ453" s="42">
        <v>0</v>
      </c>
      <c r="CK453" s="43">
        <f t="shared" si="58"/>
        <v>22976</v>
      </c>
      <c r="CL453" s="66"/>
      <c r="CM453" s="66">
        <v>500</v>
      </c>
      <c r="CN453" s="66">
        <v>500</v>
      </c>
      <c r="CO453" s="66">
        <v>500</v>
      </c>
      <c r="CP453" s="66">
        <v>0</v>
      </c>
      <c r="CQ453" s="66">
        <v>500</v>
      </c>
      <c r="CR453" s="66">
        <v>500</v>
      </c>
      <c r="CS453" s="66">
        <v>500</v>
      </c>
      <c r="CT453" s="66">
        <v>500</v>
      </c>
      <c r="CU453" s="66">
        <v>236</v>
      </c>
      <c r="CV453" s="66">
        <v>0</v>
      </c>
      <c r="CW453" s="66">
        <v>500</v>
      </c>
      <c r="CX453" s="66">
        <v>500</v>
      </c>
      <c r="CY453" s="66">
        <v>500</v>
      </c>
      <c r="CZ453" s="66">
        <v>500</v>
      </c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>
        <f>SUM(Table1[[#This Row],[01-03 Apr]:[Mar-26]])</f>
        <v>5736</v>
      </c>
    </row>
    <row r="454" spans="1:115" hidden="1" x14ac:dyDescent="0.2">
      <c r="A454" s="28" t="s">
        <v>2255</v>
      </c>
      <c r="B454" s="29" t="s">
        <v>827</v>
      </c>
      <c r="C454" s="29" t="s">
        <v>828</v>
      </c>
      <c r="D454" s="30" t="s">
        <v>829</v>
      </c>
      <c r="E454" s="30" t="s">
        <v>584</v>
      </c>
      <c r="F454" s="30"/>
      <c r="G454" s="31" t="s">
        <v>830</v>
      </c>
      <c r="H454" s="30">
        <v>328961</v>
      </c>
      <c r="I454" s="30" t="str">
        <f>IF(Table1[[#This Row],[Centre Status]]="Returned","NA",IF(Table1[[#This Row],[SD]]&gt;19000,"Full Payment",IF(Table1[[#This Row],[SD]]&lt;1,"No Payment","Partial Payment")))</f>
        <v>Full Payment</v>
      </c>
      <c r="J454" s="30" t="s">
        <v>58</v>
      </c>
      <c r="K454" s="32">
        <v>64000</v>
      </c>
      <c r="L454" s="33">
        <f>Q454+R454+U454+Table1[[#This Row],[Farmer Payment]]</f>
        <v>64500</v>
      </c>
      <c r="M454" s="30"/>
      <c r="N454" s="34"/>
      <c r="O454" s="34"/>
      <c r="P454" s="35">
        <f t="shared" si="55"/>
        <v>-500</v>
      </c>
      <c r="Q454" s="33">
        <f>AI454+AV454+CK454+Table1[[#This Row],[FY 25-26]]</f>
        <v>44500</v>
      </c>
      <c r="R454" s="36">
        <v>20000</v>
      </c>
      <c r="S454" s="37" t="s">
        <v>831</v>
      </c>
      <c r="T454" s="38">
        <v>44977</v>
      </c>
      <c r="U454" s="39"/>
      <c r="V454" s="39"/>
      <c r="W454" s="40">
        <v>0</v>
      </c>
      <c r="X454" s="40">
        <v>0</v>
      </c>
      <c r="Y454" s="40">
        <v>0</v>
      </c>
      <c r="Z454" s="40">
        <v>0</v>
      </c>
      <c r="AA454" s="40">
        <v>0</v>
      </c>
      <c r="AB454" s="40">
        <v>0</v>
      </c>
      <c r="AC454" s="40">
        <v>0</v>
      </c>
      <c r="AD454" s="40">
        <v>0</v>
      </c>
      <c r="AE454" s="40">
        <v>0</v>
      </c>
      <c r="AF454" s="40">
        <v>0</v>
      </c>
      <c r="AG454" s="40">
        <v>0</v>
      </c>
      <c r="AH454" s="40">
        <v>361</v>
      </c>
      <c r="AI454" s="41">
        <f t="shared" si="56"/>
        <v>361</v>
      </c>
      <c r="AJ454" s="42">
        <v>1861</v>
      </c>
      <c r="AK454" s="42">
        <v>1861</v>
      </c>
      <c r="AL454" s="42">
        <v>2360.5932000000003</v>
      </c>
      <c r="AM454" s="42">
        <v>2948.7592</v>
      </c>
      <c r="AN454" s="42">
        <v>2290.6588000000002</v>
      </c>
      <c r="AO454" s="42">
        <v>1893.6867999999999</v>
      </c>
      <c r="AP454" s="42">
        <v>2715.8932</v>
      </c>
      <c r="AQ454" s="42">
        <v>1944.3834000000004</v>
      </c>
      <c r="AR454" s="42">
        <v>2428.7363999999998</v>
      </c>
      <c r="AS454" s="42">
        <v>3112.8955999999998</v>
      </c>
      <c r="AT454" s="42">
        <v>3025.0595999999996</v>
      </c>
      <c r="AU454" s="42">
        <v>3049.2642000000001</v>
      </c>
      <c r="AV454" s="42">
        <f t="shared" si="57"/>
        <v>29491.930400000005</v>
      </c>
      <c r="AW454" s="42">
        <v>2606.3364983040001</v>
      </c>
      <c r="AX454" s="42">
        <v>2937.4031097600005</v>
      </c>
      <c r="AY454" s="42">
        <v>3508.4609358336002</v>
      </c>
      <c r="AZ454" s="42">
        <v>3813.0845366016001</v>
      </c>
      <c r="BA454" s="42">
        <v>1281.7845195007976</v>
      </c>
      <c r="BB454" s="42">
        <v>500</v>
      </c>
      <c r="BC454" s="42">
        <v>0</v>
      </c>
      <c r="BD454" s="42">
        <v>0</v>
      </c>
      <c r="BE454" s="42">
        <v>0</v>
      </c>
      <c r="BF454" s="42">
        <v>0</v>
      </c>
      <c r="BG454" s="42">
        <v>0</v>
      </c>
      <c r="BH454" s="42">
        <v>0</v>
      </c>
      <c r="BI454" s="42">
        <v>0</v>
      </c>
      <c r="BJ454" s="42">
        <v>0</v>
      </c>
      <c r="BK454" s="42">
        <v>0</v>
      </c>
      <c r="BL454" s="42">
        <v>0</v>
      </c>
      <c r="BM454" s="42">
        <v>0</v>
      </c>
      <c r="BN454" s="42">
        <v>0</v>
      </c>
      <c r="BO454" s="42">
        <v>0</v>
      </c>
      <c r="BP454" s="42">
        <v>0</v>
      </c>
      <c r="BQ454" s="42">
        <v>0</v>
      </c>
      <c r="BR454" s="42">
        <v>0</v>
      </c>
      <c r="BS454" s="42">
        <v>0</v>
      </c>
      <c r="BT454" s="42">
        <v>0</v>
      </c>
      <c r="BU454" s="42">
        <v>0</v>
      </c>
      <c r="BV454" s="42">
        <v>0</v>
      </c>
      <c r="BW454" s="42">
        <v>0</v>
      </c>
      <c r="BX454" s="42">
        <v>0</v>
      </c>
      <c r="BY454" s="42">
        <v>0</v>
      </c>
      <c r="BZ454" s="42">
        <v>0</v>
      </c>
      <c r="CA454" s="42">
        <v>0</v>
      </c>
      <c r="CB454" s="42">
        <v>0</v>
      </c>
      <c r="CC454" s="42">
        <v>0</v>
      </c>
      <c r="CD454" s="42">
        <v>0</v>
      </c>
      <c r="CE454" s="42">
        <v>0</v>
      </c>
      <c r="CF454" s="42">
        <v>0</v>
      </c>
      <c r="CG454" s="42">
        <v>0</v>
      </c>
      <c r="CH454" s="42">
        <v>0</v>
      </c>
      <c r="CI454" s="42">
        <v>0</v>
      </c>
      <c r="CJ454" s="42">
        <v>0</v>
      </c>
      <c r="CK454" s="43">
        <f t="shared" si="58"/>
        <v>14647.069599999999</v>
      </c>
      <c r="CL454" s="66"/>
      <c r="CM454" s="66">
        <v>0</v>
      </c>
      <c r="CN454" s="66">
        <v>0</v>
      </c>
      <c r="CO454" s="66">
        <v>0</v>
      </c>
      <c r="CP454" s="66">
        <v>0</v>
      </c>
      <c r="CQ454" s="66">
        <v>0</v>
      </c>
      <c r="CR454" s="66">
        <v>0</v>
      </c>
      <c r="CS454" s="66">
        <v>0</v>
      </c>
      <c r="CT454" s="66">
        <v>0</v>
      </c>
      <c r="CU454" s="66">
        <v>0</v>
      </c>
      <c r="CV454" s="66">
        <v>0</v>
      </c>
      <c r="CW454" s="66">
        <v>0</v>
      </c>
      <c r="CX454" s="66">
        <v>0</v>
      </c>
      <c r="CY454" s="66">
        <v>0</v>
      </c>
      <c r="CZ454" s="66">
        <v>0</v>
      </c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>
        <f>SUM(Table1[[#This Row],[01-03 Apr]:[Mar-26]])</f>
        <v>0</v>
      </c>
    </row>
    <row r="455" spans="1:115" hidden="1" x14ac:dyDescent="0.2">
      <c r="A455" s="28" t="s">
        <v>2256</v>
      </c>
      <c r="B455" s="29" t="s">
        <v>832</v>
      </c>
      <c r="C455" s="29" t="s">
        <v>833</v>
      </c>
      <c r="D455" s="30" t="s">
        <v>834</v>
      </c>
      <c r="E455" s="30" t="s">
        <v>584</v>
      </c>
      <c r="F455" s="30"/>
      <c r="G455" s="31" t="s">
        <v>830</v>
      </c>
      <c r="H455" s="30">
        <v>210840</v>
      </c>
      <c r="I455" s="30" t="str">
        <f>IF(Table1[[#This Row],[Centre Status]]="Returned","NA",IF(Table1[[#This Row],[SD]]&gt;19000,"Full Payment",IF(Table1[[#This Row],[SD]]&lt;1,"No Payment","Partial Payment")))</f>
        <v>Full Payment</v>
      </c>
      <c r="J455" s="30" t="s">
        <v>58</v>
      </c>
      <c r="K455" s="32">
        <v>64000</v>
      </c>
      <c r="L455" s="33">
        <f>Q455+R455+U455+Table1[[#This Row],[Farmer Payment]]</f>
        <v>64000</v>
      </c>
      <c r="M455" s="30"/>
      <c r="N455" s="34"/>
      <c r="O455" s="34"/>
      <c r="P455" s="35">
        <f t="shared" si="55"/>
        <v>0</v>
      </c>
      <c r="Q455" s="33">
        <f>AI455+AV455+CK455+Table1[[#This Row],[FY 25-26]]</f>
        <v>44000</v>
      </c>
      <c r="R455" s="36">
        <v>20000</v>
      </c>
      <c r="S455" s="37" t="s">
        <v>835</v>
      </c>
      <c r="T455" s="38">
        <v>44975</v>
      </c>
      <c r="U455" s="39"/>
      <c r="V455" s="39"/>
      <c r="W455" s="40">
        <v>0</v>
      </c>
      <c r="X455" s="40">
        <v>0</v>
      </c>
      <c r="Y455" s="40">
        <v>0</v>
      </c>
      <c r="Z455" s="40">
        <v>0</v>
      </c>
      <c r="AA455" s="40">
        <v>0</v>
      </c>
      <c r="AB455" s="40">
        <v>0</v>
      </c>
      <c r="AC455" s="40">
        <v>0</v>
      </c>
      <c r="AD455" s="40">
        <v>0</v>
      </c>
      <c r="AE455" s="40">
        <v>0</v>
      </c>
      <c r="AF455" s="40">
        <v>0</v>
      </c>
      <c r="AG455" s="40">
        <v>0</v>
      </c>
      <c r="AH455" s="40">
        <v>79</v>
      </c>
      <c r="AI455" s="41">
        <f t="shared" si="56"/>
        <v>79</v>
      </c>
      <c r="AJ455" s="42">
        <v>1861</v>
      </c>
      <c r="AK455" s="42">
        <v>1861</v>
      </c>
      <c r="AL455" s="42">
        <v>1903.1476000000002</v>
      </c>
      <c r="AM455" s="42">
        <v>3736.7438000000002</v>
      </c>
      <c r="AN455" s="42">
        <v>2889.8814000000002</v>
      </c>
      <c r="AO455" s="42">
        <v>3157.5205999999998</v>
      </c>
      <c r="AP455" s="42">
        <v>4259.7608</v>
      </c>
      <c r="AQ455" s="42">
        <v>3159.1121999999996</v>
      </c>
      <c r="AR455" s="42">
        <v>3304.7332000000001</v>
      </c>
      <c r="AS455" s="42">
        <v>4101.0735999999997</v>
      </c>
      <c r="AT455" s="42">
        <v>3561.6019999999994</v>
      </c>
      <c r="AU455" s="42">
        <v>3388.0831999999996</v>
      </c>
      <c r="AV455" s="42">
        <f t="shared" si="57"/>
        <v>37183.6584</v>
      </c>
      <c r="AW455" s="42">
        <v>3252.228703217404</v>
      </c>
      <c r="AX455" s="42">
        <v>2504.6530283879642</v>
      </c>
      <c r="AY455" s="42">
        <v>980.45986839463148</v>
      </c>
      <c r="AZ455" s="42">
        <v>0</v>
      </c>
      <c r="BA455" s="42">
        <v>0</v>
      </c>
      <c r="BB455" s="42">
        <v>0</v>
      </c>
      <c r="BC455" s="42">
        <v>0</v>
      </c>
      <c r="BD455" s="42">
        <v>0</v>
      </c>
      <c r="BE455" s="42">
        <v>0</v>
      </c>
      <c r="BF455" s="42">
        <v>0</v>
      </c>
      <c r="BG455" s="42">
        <v>0</v>
      </c>
      <c r="BH455" s="42">
        <v>0</v>
      </c>
      <c r="BI455" s="42">
        <v>0</v>
      </c>
      <c r="BJ455" s="42">
        <v>0</v>
      </c>
      <c r="BK455" s="42">
        <v>0</v>
      </c>
      <c r="BL455" s="42">
        <v>0</v>
      </c>
      <c r="BM455" s="42">
        <v>0</v>
      </c>
      <c r="BN455" s="42">
        <v>0</v>
      </c>
      <c r="BO455" s="42">
        <v>0</v>
      </c>
      <c r="BP455" s="42">
        <v>0</v>
      </c>
      <c r="BQ455" s="42">
        <v>0</v>
      </c>
      <c r="BR455" s="42">
        <v>0</v>
      </c>
      <c r="BS455" s="42">
        <v>0</v>
      </c>
      <c r="BT455" s="42">
        <v>0</v>
      </c>
      <c r="BU455" s="42">
        <v>0</v>
      </c>
      <c r="BV455" s="42">
        <v>0</v>
      </c>
      <c r="BW455" s="42">
        <v>0</v>
      </c>
      <c r="BX455" s="42">
        <v>0</v>
      </c>
      <c r="BY455" s="42">
        <v>0</v>
      </c>
      <c r="BZ455" s="42">
        <v>0</v>
      </c>
      <c r="CA455" s="42">
        <v>0</v>
      </c>
      <c r="CB455" s="42">
        <v>0</v>
      </c>
      <c r="CC455" s="42">
        <v>0</v>
      </c>
      <c r="CD455" s="42">
        <v>0</v>
      </c>
      <c r="CE455" s="42">
        <v>0</v>
      </c>
      <c r="CF455" s="42">
        <v>0</v>
      </c>
      <c r="CG455" s="42">
        <v>0</v>
      </c>
      <c r="CH455" s="42">
        <v>0</v>
      </c>
      <c r="CI455" s="42">
        <v>0</v>
      </c>
      <c r="CJ455" s="42">
        <v>0</v>
      </c>
      <c r="CK455" s="43">
        <f t="shared" si="58"/>
        <v>6737.3415999999997</v>
      </c>
      <c r="CL455" s="66"/>
      <c r="CM455" s="66">
        <v>0</v>
      </c>
      <c r="CN455" s="66">
        <v>0</v>
      </c>
      <c r="CO455" s="66">
        <v>0</v>
      </c>
      <c r="CP455" s="66">
        <v>0</v>
      </c>
      <c r="CQ455" s="66">
        <v>0</v>
      </c>
      <c r="CR455" s="66">
        <v>0</v>
      </c>
      <c r="CS455" s="66">
        <v>0</v>
      </c>
      <c r="CT455" s="66">
        <v>0</v>
      </c>
      <c r="CU455" s="66">
        <v>0</v>
      </c>
      <c r="CV455" s="66">
        <v>0</v>
      </c>
      <c r="CW455" s="66">
        <v>0</v>
      </c>
      <c r="CX455" s="66">
        <v>0</v>
      </c>
      <c r="CY455" s="66">
        <v>0</v>
      </c>
      <c r="CZ455" s="66">
        <v>0</v>
      </c>
      <c r="DA455" s="66"/>
      <c r="DB455" s="66"/>
      <c r="DC455" s="66"/>
      <c r="DD455" s="66"/>
      <c r="DE455" s="66"/>
      <c r="DF455" s="66"/>
      <c r="DG455" s="66"/>
      <c r="DH455" s="66"/>
      <c r="DI455" s="66"/>
      <c r="DJ455" s="66"/>
      <c r="DK455" s="66">
        <f>SUM(Table1[[#This Row],[01-03 Apr]:[Mar-26]])</f>
        <v>0</v>
      </c>
    </row>
    <row r="456" spans="1:115" hidden="1" x14ac:dyDescent="0.2">
      <c r="A456" s="28" t="s">
        <v>2256</v>
      </c>
      <c r="B456" s="29" t="s">
        <v>836</v>
      </c>
      <c r="C456" s="29" t="s">
        <v>837</v>
      </c>
      <c r="D456" s="30" t="s">
        <v>838</v>
      </c>
      <c r="E456" s="30" t="s">
        <v>584</v>
      </c>
      <c r="F456" s="30"/>
      <c r="G456" s="31" t="s">
        <v>830</v>
      </c>
      <c r="H456" s="30">
        <v>277096</v>
      </c>
      <c r="I456" s="30" t="str">
        <f>IF(Table1[[#This Row],[Centre Status]]="Returned","NA",IF(Table1[[#This Row],[SD]]&gt;19000,"Full Payment",IF(Table1[[#This Row],[SD]]&lt;1,"No Payment","Partial Payment")))</f>
        <v>Full Payment</v>
      </c>
      <c r="J456" s="30" t="s">
        <v>58</v>
      </c>
      <c r="K456" s="32">
        <v>64000</v>
      </c>
      <c r="L456" s="33">
        <f>Q456+R456+U456+Table1[[#This Row],[Farmer Payment]]</f>
        <v>64000</v>
      </c>
      <c r="M456" s="30"/>
      <c r="N456" s="34"/>
      <c r="O456" s="34"/>
      <c r="P456" s="35">
        <f t="shared" si="55"/>
        <v>0</v>
      </c>
      <c r="Q456" s="33">
        <f>AI456+AV456+CK456+Table1[[#This Row],[FY 25-26]]</f>
        <v>44000</v>
      </c>
      <c r="R456" s="36">
        <v>20000</v>
      </c>
      <c r="S456" s="37" t="s">
        <v>839</v>
      </c>
      <c r="T456" s="38">
        <v>44975</v>
      </c>
      <c r="U456" s="39"/>
      <c r="V456" s="39"/>
      <c r="W456" s="40">
        <v>0</v>
      </c>
      <c r="X456" s="40">
        <v>0</v>
      </c>
      <c r="Y456" s="40">
        <v>0</v>
      </c>
      <c r="Z456" s="40">
        <v>0</v>
      </c>
      <c r="AA456" s="40">
        <v>0</v>
      </c>
      <c r="AB456" s="40">
        <v>0</v>
      </c>
      <c r="AC456" s="40">
        <v>0</v>
      </c>
      <c r="AD456" s="40">
        <v>0</v>
      </c>
      <c r="AE456" s="40">
        <v>0</v>
      </c>
      <c r="AF456" s="40">
        <v>0</v>
      </c>
      <c r="AG456" s="40">
        <v>0</v>
      </c>
      <c r="AH456" s="40">
        <v>93</v>
      </c>
      <c r="AI456" s="41">
        <f t="shared" si="56"/>
        <v>93</v>
      </c>
      <c r="AJ456" s="42">
        <v>1861</v>
      </c>
      <c r="AK456" s="42">
        <v>1922.8138000000004</v>
      </c>
      <c r="AL456" s="42">
        <v>1861</v>
      </c>
      <c r="AM456" s="42">
        <v>3134.4401999999995</v>
      </c>
      <c r="AN456" s="42">
        <v>3598.4580000000005</v>
      </c>
      <c r="AO456" s="42">
        <v>3389.6513999999997</v>
      </c>
      <c r="AP456" s="42">
        <v>4660.6190000000006</v>
      </c>
      <c r="AQ456" s="42">
        <v>3326.4607999999998</v>
      </c>
      <c r="AR456" s="42">
        <v>3152.5964000000004</v>
      </c>
      <c r="AS456" s="42">
        <v>3631.1284000000005</v>
      </c>
      <c r="AT456" s="42">
        <v>3660.9633999999996</v>
      </c>
      <c r="AU456" s="42">
        <v>3953.3865999999994</v>
      </c>
      <c r="AV456" s="42">
        <f t="shared" si="57"/>
        <v>38152.518000000004</v>
      </c>
      <c r="AW456" s="42">
        <v>2826.8404531483334</v>
      </c>
      <c r="AX456" s="42">
        <v>1898.7224890464622</v>
      </c>
      <c r="AY456" s="42">
        <v>1028.9190578052003</v>
      </c>
      <c r="AZ456" s="42">
        <v>0</v>
      </c>
      <c r="BA456" s="42">
        <v>0</v>
      </c>
      <c r="BB456" s="42">
        <v>0</v>
      </c>
      <c r="BC456" s="42">
        <v>0</v>
      </c>
      <c r="BD456" s="42">
        <v>0</v>
      </c>
      <c r="BE456" s="42">
        <v>0</v>
      </c>
      <c r="BF456" s="42">
        <v>0</v>
      </c>
      <c r="BG456" s="42">
        <v>0</v>
      </c>
      <c r="BH456" s="42">
        <v>0</v>
      </c>
      <c r="BI456" s="42">
        <v>0</v>
      </c>
      <c r="BJ456" s="42">
        <v>0</v>
      </c>
      <c r="BK456" s="42">
        <v>0</v>
      </c>
      <c r="BL456" s="42">
        <v>0</v>
      </c>
      <c r="BM456" s="42">
        <v>0</v>
      </c>
      <c r="BN456" s="42">
        <v>0</v>
      </c>
      <c r="BO456" s="42">
        <v>0</v>
      </c>
      <c r="BP456" s="42">
        <v>0</v>
      </c>
      <c r="BQ456" s="42">
        <v>0</v>
      </c>
      <c r="BR456" s="42">
        <v>0</v>
      </c>
      <c r="BS456" s="42">
        <v>0</v>
      </c>
      <c r="BT456" s="42">
        <v>0</v>
      </c>
      <c r="BU456" s="42">
        <v>0</v>
      </c>
      <c r="BV456" s="42">
        <v>0</v>
      </c>
      <c r="BW456" s="42">
        <v>0</v>
      </c>
      <c r="BX456" s="42">
        <v>0</v>
      </c>
      <c r="BY456" s="42">
        <v>0</v>
      </c>
      <c r="BZ456" s="42">
        <v>0</v>
      </c>
      <c r="CA456" s="42">
        <v>0</v>
      </c>
      <c r="CB456" s="42">
        <v>0</v>
      </c>
      <c r="CC456" s="42">
        <v>0</v>
      </c>
      <c r="CD456" s="42">
        <v>0</v>
      </c>
      <c r="CE456" s="42">
        <v>0</v>
      </c>
      <c r="CF456" s="42">
        <v>0</v>
      </c>
      <c r="CG456" s="42">
        <v>0</v>
      </c>
      <c r="CH456" s="42">
        <v>0</v>
      </c>
      <c r="CI456" s="42">
        <v>0</v>
      </c>
      <c r="CJ456" s="42">
        <v>0</v>
      </c>
      <c r="CK456" s="43">
        <f t="shared" si="58"/>
        <v>5754.4819999999963</v>
      </c>
      <c r="CL456" s="66"/>
      <c r="CM456" s="66">
        <v>0</v>
      </c>
      <c r="CN456" s="66">
        <v>0</v>
      </c>
      <c r="CO456" s="66">
        <v>0</v>
      </c>
      <c r="CP456" s="66">
        <v>0</v>
      </c>
      <c r="CQ456" s="66">
        <v>0</v>
      </c>
      <c r="CR456" s="66">
        <v>0</v>
      </c>
      <c r="CS456" s="66">
        <v>0</v>
      </c>
      <c r="CT456" s="66">
        <v>0</v>
      </c>
      <c r="CU456" s="66">
        <v>0</v>
      </c>
      <c r="CV456" s="66">
        <v>0</v>
      </c>
      <c r="CW456" s="66">
        <v>0</v>
      </c>
      <c r="CX456" s="66">
        <v>0</v>
      </c>
      <c r="CY456" s="66">
        <v>0</v>
      </c>
      <c r="CZ456" s="66">
        <v>0</v>
      </c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>
        <f>SUM(Table1[[#This Row],[01-03 Apr]:[Mar-26]])</f>
        <v>0</v>
      </c>
    </row>
    <row r="457" spans="1:115" hidden="1" x14ac:dyDescent="0.2">
      <c r="A457" s="28" t="s">
        <v>2256</v>
      </c>
      <c r="B457" s="29" t="s">
        <v>840</v>
      </c>
      <c r="C457" s="29" t="s">
        <v>841</v>
      </c>
      <c r="D457" s="30" t="s">
        <v>842</v>
      </c>
      <c r="E457" s="30" t="s">
        <v>584</v>
      </c>
      <c r="F457" s="30"/>
      <c r="G457" s="31" t="s">
        <v>830</v>
      </c>
      <c r="H457" s="30">
        <v>210928</v>
      </c>
      <c r="I457" s="30" t="str">
        <f>IF(Table1[[#This Row],[Centre Status]]="Returned","NA",IF(Table1[[#This Row],[SD]]&gt;19000,"Full Payment",IF(Table1[[#This Row],[SD]]&lt;1,"No Payment","Partial Payment")))</f>
        <v>Full Payment</v>
      </c>
      <c r="J457" s="30" t="s">
        <v>58</v>
      </c>
      <c r="K457" s="32">
        <v>64000</v>
      </c>
      <c r="L457" s="33">
        <f>Q457+R457+U457+Table1[[#This Row],[Farmer Payment]]</f>
        <v>64500</v>
      </c>
      <c r="M457" s="30"/>
      <c r="N457" s="34"/>
      <c r="O457" s="34"/>
      <c r="P457" s="35">
        <f t="shared" si="55"/>
        <v>-500</v>
      </c>
      <c r="Q457" s="33">
        <f>AI457+AV457+CK457+Table1[[#This Row],[FY 25-26]]</f>
        <v>44500</v>
      </c>
      <c r="R457" s="36">
        <v>20000</v>
      </c>
      <c r="S457" s="37" t="s">
        <v>843</v>
      </c>
      <c r="T457" s="38">
        <v>44999</v>
      </c>
      <c r="U457" s="39"/>
      <c r="V457" s="39"/>
      <c r="W457" s="40">
        <v>0</v>
      </c>
      <c r="X457" s="40">
        <v>0</v>
      </c>
      <c r="Y457" s="40">
        <v>0</v>
      </c>
      <c r="Z457" s="40">
        <v>0</v>
      </c>
      <c r="AA457" s="40">
        <v>0</v>
      </c>
      <c r="AB457" s="40">
        <v>0</v>
      </c>
      <c r="AC457" s="40">
        <v>0</v>
      </c>
      <c r="AD457" s="40">
        <v>0</v>
      </c>
      <c r="AE457" s="40">
        <v>0</v>
      </c>
      <c r="AF457" s="40">
        <v>0</v>
      </c>
      <c r="AG457" s="40">
        <v>0</v>
      </c>
      <c r="AH457" s="40">
        <v>57</v>
      </c>
      <c r="AI457" s="41">
        <f t="shared" si="56"/>
        <v>57</v>
      </c>
      <c r="AJ457" s="42">
        <v>1861</v>
      </c>
      <c r="AK457" s="42">
        <v>1861</v>
      </c>
      <c r="AL457" s="42">
        <v>1861</v>
      </c>
      <c r="AM457" s="42">
        <v>2341.6035999999999</v>
      </c>
      <c r="AN457" s="42">
        <v>2834.9756000000002</v>
      </c>
      <c r="AO457" s="42">
        <v>2799.5626000000002</v>
      </c>
      <c r="AP457" s="42">
        <v>3871.1574000000001</v>
      </c>
      <c r="AQ457" s="42">
        <v>2713.0306</v>
      </c>
      <c r="AR457" s="42">
        <v>2464.5124000000001</v>
      </c>
      <c r="AS457" s="42">
        <v>2991.1678000000002</v>
      </c>
      <c r="AT457" s="42">
        <v>2910.1871999999998</v>
      </c>
      <c r="AU457" s="42">
        <v>3110.8647999999998</v>
      </c>
      <c r="AV457" s="42">
        <f t="shared" si="57"/>
        <v>31620.061999999998</v>
      </c>
      <c r="AW457" s="42">
        <v>3448.4529024000003</v>
      </c>
      <c r="AX457" s="42">
        <v>2701.1535291647997</v>
      </c>
      <c r="AY457" s="42">
        <v>2292.9705730559999</v>
      </c>
      <c r="AZ457" s="42">
        <v>2734.4249996543995</v>
      </c>
      <c r="BA457" s="42">
        <v>1145.9359957248016</v>
      </c>
      <c r="BB457" s="42">
        <v>500</v>
      </c>
      <c r="BC457" s="42">
        <v>0</v>
      </c>
      <c r="BD457" s="42">
        <v>0</v>
      </c>
      <c r="BE457" s="42">
        <v>0</v>
      </c>
      <c r="BF457" s="42">
        <v>0</v>
      </c>
      <c r="BG457" s="42">
        <v>0</v>
      </c>
      <c r="BH457" s="42">
        <v>0</v>
      </c>
      <c r="BI457" s="42">
        <v>0</v>
      </c>
      <c r="BJ457" s="42">
        <v>0</v>
      </c>
      <c r="BK457" s="42">
        <v>0</v>
      </c>
      <c r="BL457" s="42">
        <v>0</v>
      </c>
      <c r="BM457" s="42">
        <v>0</v>
      </c>
      <c r="BN457" s="42">
        <v>0</v>
      </c>
      <c r="BO457" s="42">
        <v>0</v>
      </c>
      <c r="BP457" s="42">
        <v>0</v>
      </c>
      <c r="BQ457" s="42">
        <v>0</v>
      </c>
      <c r="BR457" s="42">
        <v>0</v>
      </c>
      <c r="BS457" s="42">
        <v>0</v>
      </c>
      <c r="BT457" s="42">
        <v>0</v>
      </c>
      <c r="BU457" s="42">
        <v>0</v>
      </c>
      <c r="BV457" s="42">
        <v>0</v>
      </c>
      <c r="BW457" s="42">
        <v>0</v>
      </c>
      <c r="BX457" s="42">
        <v>0</v>
      </c>
      <c r="BY457" s="42">
        <v>0</v>
      </c>
      <c r="BZ457" s="42">
        <v>0</v>
      </c>
      <c r="CA457" s="42">
        <v>0</v>
      </c>
      <c r="CB457" s="42">
        <v>0</v>
      </c>
      <c r="CC457" s="42">
        <v>0</v>
      </c>
      <c r="CD457" s="42">
        <v>0</v>
      </c>
      <c r="CE457" s="42">
        <v>0</v>
      </c>
      <c r="CF457" s="42">
        <v>0</v>
      </c>
      <c r="CG457" s="42">
        <v>0</v>
      </c>
      <c r="CH457" s="42">
        <v>0</v>
      </c>
      <c r="CI457" s="42">
        <v>0</v>
      </c>
      <c r="CJ457" s="42">
        <v>0</v>
      </c>
      <c r="CK457" s="43">
        <f t="shared" si="58"/>
        <v>12822.938000000002</v>
      </c>
      <c r="CL457" s="66"/>
      <c r="CM457" s="66">
        <v>0</v>
      </c>
      <c r="CN457" s="66">
        <v>0</v>
      </c>
      <c r="CO457" s="66">
        <v>0</v>
      </c>
      <c r="CP457" s="66">
        <v>0</v>
      </c>
      <c r="CQ457" s="66">
        <v>0</v>
      </c>
      <c r="CR457" s="66">
        <v>0</v>
      </c>
      <c r="CS457" s="66">
        <v>0</v>
      </c>
      <c r="CT457" s="66">
        <v>0</v>
      </c>
      <c r="CU457" s="66">
        <v>0</v>
      </c>
      <c r="CV457" s="66">
        <v>0</v>
      </c>
      <c r="CW457" s="66">
        <v>0</v>
      </c>
      <c r="CX457" s="66">
        <v>0</v>
      </c>
      <c r="CY457" s="66">
        <v>0</v>
      </c>
      <c r="CZ457" s="66">
        <v>0</v>
      </c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>
        <f>SUM(Table1[[#This Row],[01-03 Apr]:[Mar-26]])</f>
        <v>0</v>
      </c>
    </row>
    <row r="458" spans="1:115" hidden="1" x14ac:dyDescent="0.2">
      <c r="A458" s="28" t="s">
        <v>2256</v>
      </c>
      <c r="B458" s="29" t="s">
        <v>844</v>
      </c>
      <c r="C458" s="29" t="s">
        <v>845</v>
      </c>
      <c r="D458" s="30" t="s">
        <v>846</v>
      </c>
      <c r="E458" s="30" t="s">
        <v>584</v>
      </c>
      <c r="F458" s="30"/>
      <c r="G458" s="31" t="s">
        <v>830</v>
      </c>
      <c r="H458" s="30">
        <v>277187</v>
      </c>
      <c r="I458" s="30" t="str">
        <f>IF(Table1[[#This Row],[Centre Status]]="Returned","NA",IF(Table1[[#This Row],[SD]]&gt;19000,"Full Payment",IF(Table1[[#This Row],[SD]]&lt;1,"No Payment","Partial Payment")))</f>
        <v>Full Payment</v>
      </c>
      <c r="J458" s="30" t="s">
        <v>58</v>
      </c>
      <c r="K458" s="32">
        <v>64000</v>
      </c>
      <c r="L458" s="33">
        <f>Q458+R458+U458+Table1[[#This Row],[Farmer Payment]]</f>
        <v>64000</v>
      </c>
      <c r="M458" s="30"/>
      <c r="N458" s="34"/>
      <c r="O458" s="34"/>
      <c r="P458" s="35">
        <f t="shared" si="55"/>
        <v>0</v>
      </c>
      <c r="Q458" s="33">
        <f>AI458+AV458+CK458+Table1[[#This Row],[FY 25-26]]</f>
        <v>44000</v>
      </c>
      <c r="R458" s="36">
        <v>20000</v>
      </c>
      <c r="S458" s="37" t="s">
        <v>847</v>
      </c>
      <c r="T458" s="38">
        <v>45001</v>
      </c>
      <c r="U458" s="39"/>
      <c r="V458" s="39"/>
      <c r="W458" s="40">
        <v>0</v>
      </c>
      <c r="X458" s="40">
        <v>0</v>
      </c>
      <c r="Y458" s="40">
        <v>0</v>
      </c>
      <c r="Z458" s="40">
        <v>0</v>
      </c>
      <c r="AA458" s="40">
        <v>0</v>
      </c>
      <c r="AB458" s="40">
        <v>0</v>
      </c>
      <c r="AC458" s="40">
        <v>0</v>
      </c>
      <c r="AD458" s="40">
        <v>0</v>
      </c>
      <c r="AE458" s="40">
        <v>0</v>
      </c>
      <c r="AF458" s="40">
        <v>0</v>
      </c>
      <c r="AG458" s="40">
        <v>0</v>
      </c>
      <c r="AH458" s="40">
        <v>0</v>
      </c>
      <c r="AI458" s="41">
        <f t="shared" si="56"/>
        <v>0</v>
      </c>
      <c r="AJ458" s="42">
        <v>1846</v>
      </c>
      <c r="AK458" s="42">
        <v>2190.2161999999998</v>
      </c>
      <c r="AL458" s="42">
        <v>2220.4896000000003</v>
      </c>
      <c r="AM458" s="42">
        <v>3795.1774</v>
      </c>
      <c r="AN458" s="42">
        <v>2957.6895999999997</v>
      </c>
      <c r="AO458" s="42">
        <v>2641.9412000000002</v>
      </c>
      <c r="AP458" s="42">
        <v>2563.3996000000002</v>
      </c>
      <c r="AQ458" s="42">
        <v>2182.7024000000001</v>
      </c>
      <c r="AR458" s="42">
        <v>2535.1696000000002</v>
      </c>
      <c r="AS458" s="42">
        <v>3110.2592</v>
      </c>
      <c r="AT458" s="42">
        <v>3410.0276000000003</v>
      </c>
      <c r="AU458" s="42">
        <v>3851.5472000000004</v>
      </c>
      <c r="AV458" s="42">
        <f t="shared" si="57"/>
        <v>33304.619600000005</v>
      </c>
      <c r="AW458" s="42">
        <v>2702.6262372224005</v>
      </c>
      <c r="AX458" s="42">
        <v>2661.9093629183999</v>
      </c>
      <c r="AY458" s="42">
        <v>3258.4826270976</v>
      </c>
      <c r="AZ458" s="42">
        <v>2072.3621727615973</v>
      </c>
      <c r="BA458" s="42">
        <v>0</v>
      </c>
      <c r="BB458" s="42">
        <v>0</v>
      </c>
      <c r="BC458" s="42">
        <v>0</v>
      </c>
      <c r="BD458" s="42">
        <v>0</v>
      </c>
      <c r="BE458" s="42">
        <v>0</v>
      </c>
      <c r="BF458" s="42">
        <v>0</v>
      </c>
      <c r="BG458" s="42">
        <v>0</v>
      </c>
      <c r="BH458" s="42">
        <v>0</v>
      </c>
      <c r="BI458" s="42">
        <v>0</v>
      </c>
      <c r="BJ458" s="42">
        <v>0</v>
      </c>
      <c r="BK458" s="42">
        <v>0</v>
      </c>
      <c r="BL458" s="42">
        <v>0</v>
      </c>
      <c r="BM458" s="42">
        <v>0</v>
      </c>
      <c r="BN458" s="42">
        <v>0</v>
      </c>
      <c r="BO458" s="42">
        <v>0</v>
      </c>
      <c r="BP458" s="42">
        <v>0</v>
      </c>
      <c r="BQ458" s="42">
        <v>0</v>
      </c>
      <c r="BR458" s="42">
        <v>0</v>
      </c>
      <c r="BS458" s="42">
        <v>0</v>
      </c>
      <c r="BT458" s="42">
        <v>0</v>
      </c>
      <c r="BU458" s="42">
        <v>0</v>
      </c>
      <c r="BV458" s="42">
        <v>0</v>
      </c>
      <c r="BW458" s="42">
        <v>0</v>
      </c>
      <c r="BX458" s="42">
        <v>0</v>
      </c>
      <c r="BY458" s="42">
        <v>0</v>
      </c>
      <c r="BZ458" s="42">
        <v>0</v>
      </c>
      <c r="CA458" s="42">
        <v>0</v>
      </c>
      <c r="CB458" s="42">
        <v>0</v>
      </c>
      <c r="CC458" s="42">
        <v>0</v>
      </c>
      <c r="CD458" s="42">
        <v>0</v>
      </c>
      <c r="CE458" s="42">
        <v>0</v>
      </c>
      <c r="CF458" s="42">
        <v>0</v>
      </c>
      <c r="CG458" s="42">
        <v>0</v>
      </c>
      <c r="CH458" s="42">
        <v>0</v>
      </c>
      <c r="CI458" s="42">
        <v>0</v>
      </c>
      <c r="CJ458" s="42">
        <v>0</v>
      </c>
      <c r="CK458" s="43">
        <f t="shared" si="58"/>
        <v>10695.380399999998</v>
      </c>
      <c r="CL458" s="66"/>
      <c r="CM458" s="66">
        <v>0</v>
      </c>
      <c r="CN458" s="66">
        <v>0</v>
      </c>
      <c r="CO458" s="66">
        <v>0</v>
      </c>
      <c r="CP458" s="66">
        <v>0</v>
      </c>
      <c r="CQ458" s="66">
        <v>0</v>
      </c>
      <c r="CR458" s="66">
        <v>0</v>
      </c>
      <c r="CS458" s="66">
        <v>0</v>
      </c>
      <c r="CT458" s="66">
        <v>0</v>
      </c>
      <c r="CU458" s="66">
        <v>0</v>
      </c>
      <c r="CV458" s="66">
        <v>0</v>
      </c>
      <c r="CW458" s="66">
        <v>0</v>
      </c>
      <c r="CX458" s="66">
        <v>0</v>
      </c>
      <c r="CY458" s="66">
        <v>0</v>
      </c>
      <c r="CZ458" s="66">
        <v>0</v>
      </c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>
        <f>SUM(Table1[[#This Row],[01-03 Apr]:[Mar-26]])</f>
        <v>0</v>
      </c>
    </row>
    <row r="459" spans="1:115" hidden="1" x14ac:dyDescent="0.2">
      <c r="A459" s="28" t="s">
        <v>2256</v>
      </c>
      <c r="B459" s="29" t="s">
        <v>848</v>
      </c>
      <c r="C459" s="29" t="s">
        <v>849</v>
      </c>
      <c r="D459" s="30" t="s">
        <v>850</v>
      </c>
      <c r="E459" s="30" t="s">
        <v>584</v>
      </c>
      <c r="F459" s="30"/>
      <c r="G459" s="31" t="s">
        <v>830</v>
      </c>
      <c r="H459" s="30">
        <v>210412</v>
      </c>
      <c r="I459" s="30" t="str">
        <f>IF(Table1[[#This Row],[Centre Status]]="Returned","NA",IF(Table1[[#This Row],[SD]]&gt;19000,"Full Payment",IF(Table1[[#This Row],[SD]]&lt;1,"No Payment","Partial Payment")))</f>
        <v>Full Payment</v>
      </c>
      <c r="J459" s="30" t="s">
        <v>58</v>
      </c>
      <c r="K459" s="32">
        <v>64000</v>
      </c>
      <c r="L459" s="33">
        <f>Q459+R459+U459+Table1[[#This Row],[Farmer Payment]]</f>
        <v>60607.291142635258</v>
      </c>
      <c r="M459" s="30"/>
      <c r="N459" s="34"/>
      <c r="O459" s="34"/>
      <c r="P459" s="35">
        <f t="shared" si="55"/>
        <v>3392.7088573647416</v>
      </c>
      <c r="Q459" s="33">
        <f>AI459+AV459+CK459+Table1[[#This Row],[FY 25-26]]</f>
        <v>40607.291142635258</v>
      </c>
      <c r="R459" s="36">
        <v>20000</v>
      </c>
      <c r="S459" s="37" t="s">
        <v>851</v>
      </c>
      <c r="T459" s="38">
        <v>45006</v>
      </c>
      <c r="U459" s="39"/>
      <c r="V459" s="39"/>
      <c r="W459" s="40">
        <v>0</v>
      </c>
      <c r="X459" s="40">
        <v>0</v>
      </c>
      <c r="Y459" s="40">
        <v>0</v>
      </c>
      <c r="Z459" s="40">
        <v>0</v>
      </c>
      <c r="AA459" s="40">
        <v>0</v>
      </c>
      <c r="AB459" s="40">
        <v>0</v>
      </c>
      <c r="AC459" s="40">
        <v>0</v>
      </c>
      <c r="AD459" s="40">
        <v>0</v>
      </c>
      <c r="AE459" s="40">
        <v>0</v>
      </c>
      <c r="AF459" s="40">
        <v>0</v>
      </c>
      <c r="AG459" s="40">
        <v>0</v>
      </c>
      <c r="AH459" s="40">
        <v>21</v>
      </c>
      <c r="AI459" s="41">
        <f t="shared" si="56"/>
        <v>21</v>
      </c>
      <c r="AJ459" s="42">
        <v>1831</v>
      </c>
      <c r="AK459" s="42">
        <v>1861</v>
      </c>
      <c r="AL459" s="42">
        <v>1861</v>
      </c>
      <c r="AM459" s="42">
        <v>2534.1643999999997</v>
      </c>
      <c r="AN459" s="42">
        <v>1861</v>
      </c>
      <c r="AO459" s="42">
        <v>1861</v>
      </c>
      <c r="AP459" s="42">
        <v>1519</v>
      </c>
      <c r="AQ459" s="42">
        <v>1653</v>
      </c>
      <c r="AR459" s="42">
        <v>657</v>
      </c>
      <c r="AS459" s="42">
        <v>313</v>
      </c>
      <c r="AT459" s="42">
        <v>293.5097805104599</v>
      </c>
      <c r="AU459" s="42">
        <v>0</v>
      </c>
      <c r="AV459" s="42">
        <f t="shared" si="57"/>
        <v>16244.674180510459</v>
      </c>
      <c r="AW459" s="42">
        <v>0</v>
      </c>
      <c r="AX459" s="42">
        <v>267</v>
      </c>
      <c r="AY459" s="42">
        <v>1861</v>
      </c>
      <c r="AZ459" s="42">
        <v>1983.6169621248002</v>
      </c>
      <c r="BA459" s="42">
        <v>1479</v>
      </c>
      <c r="BB459" s="42">
        <v>500</v>
      </c>
      <c r="BC459" s="42">
        <v>861</v>
      </c>
      <c r="BD459" s="42">
        <v>500</v>
      </c>
      <c r="BE459" s="42">
        <v>0</v>
      </c>
      <c r="BF459" s="42">
        <v>0</v>
      </c>
      <c r="BG459" s="42">
        <v>0</v>
      </c>
      <c r="BH459" s="42">
        <v>0</v>
      </c>
      <c r="BI459" s="42">
        <v>1630</v>
      </c>
      <c r="BJ459" s="42">
        <v>0</v>
      </c>
      <c r="BK459" s="42">
        <v>0</v>
      </c>
      <c r="BL459" s="42">
        <v>500</v>
      </c>
      <c r="BM459" s="42">
        <v>500</v>
      </c>
      <c r="BN459" s="42">
        <v>6</v>
      </c>
      <c r="BO459" s="42">
        <v>500</v>
      </c>
      <c r="BP459" s="42">
        <v>500</v>
      </c>
      <c r="BQ459" s="42">
        <v>500</v>
      </c>
      <c r="BR459" s="42">
        <v>500</v>
      </c>
      <c r="BS459" s="42">
        <v>0</v>
      </c>
      <c r="BT459" s="42">
        <v>500</v>
      </c>
      <c r="BU459" s="42">
        <v>500</v>
      </c>
      <c r="BV459" s="42">
        <v>500</v>
      </c>
      <c r="BW459" s="42">
        <v>500</v>
      </c>
      <c r="BX459" s="42">
        <v>500</v>
      </c>
      <c r="BY459" s="42">
        <v>0</v>
      </c>
      <c r="BZ459" s="42">
        <v>500</v>
      </c>
      <c r="CA459" s="42">
        <v>500</v>
      </c>
      <c r="CB459" s="42">
        <v>0</v>
      </c>
      <c r="CC459" s="42">
        <v>500</v>
      </c>
      <c r="CD459" s="42">
        <v>361</v>
      </c>
      <c r="CE459" s="42">
        <v>500</v>
      </c>
      <c r="CF459" s="42">
        <v>500</v>
      </c>
      <c r="CG459" s="42">
        <v>500</v>
      </c>
      <c r="CH459" s="42">
        <v>500</v>
      </c>
      <c r="CI459" s="42">
        <v>500</v>
      </c>
      <c r="CJ459" s="42">
        <v>0</v>
      </c>
      <c r="CK459" s="43">
        <f t="shared" si="58"/>
        <v>18948.616962124801</v>
      </c>
      <c r="CL459" s="66"/>
      <c r="CM459" s="66">
        <v>500</v>
      </c>
      <c r="CN459" s="66">
        <v>500</v>
      </c>
      <c r="CO459" s="66">
        <v>393</v>
      </c>
      <c r="CP459" s="66">
        <v>0</v>
      </c>
      <c r="CQ459" s="66">
        <v>500</v>
      </c>
      <c r="CR459" s="66">
        <v>500</v>
      </c>
      <c r="CS459" s="66">
        <v>500</v>
      </c>
      <c r="CT459" s="66">
        <v>500</v>
      </c>
      <c r="CU459" s="66">
        <v>0</v>
      </c>
      <c r="CV459" s="66">
        <v>0</v>
      </c>
      <c r="CW459" s="66">
        <v>500</v>
      </c>
      <c r="CX459" s="66">
        <v>500</v>
      </c>
      <c r="CY459" s="66">
        <v>500</v>
      </c>
      <c r="CZ459" s="66">
        <v>500</v>
      </c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>
        <f>SUM(Table1[[#This Row],[01-03 Apr]:[Mar-26]])</f>
        <v>5393</v>
      </c>
    </row>
    <row r="460" spans="1:115" x14ac:dyDescent="0.2">
      <c r="A460" s="28" t="s">
        <v>2256</v>
      </c>
      <c r="B460" s="29" t="s">
        <v>852</v>
      </c>
      <c r="C460" s="29" t="s">
        <v>853</v>
      </c>
      <c r="D460" s="30" t="s">
        <v>854</v>
      </c>
      <c r="E460" s="30" t="s">
        <v>584</v>
      </c>
      <c r="F460" s="30"/>
      <c r="G460" s="31" t="s">
        <v>830</v>
      </c>
      <c r="H460" s="30">
        <v>277221</v>
      </c>
      <c r="I460" s="30" t="str">
        <f>IF(Table1[[#This Row],[Centre Status]]="Returned","NA",IF(Table1[[#This Row],[SD]]&gt;19000,"Full Payment",IF(Table1[[#This Row],[SD]]&lt;1,"No Payment","Partial Payment")))</f>
        <v>Partial Payment</v>
      </c>
      <c r="J460" s="30" t="s">
        <v>58</v>
      </c>
      <c r="K460" s="32">
        <v>64000</v>
      </c>
      <c r="L460" s="33">
        <f>Q460+R460+U460+Table1[[#This Row],[Farmer Payment]]</f>
        <v>50412.926135313959</v>
      </c>
      <c r="M460" s="30"/>
      <c r="N460" s="34"/>
      <c r="O460" s="34"/>
      <c r="P460" s="35">
        <f t="shared" si="55"/>
        <v>13587.073864686041</v>
      </c>
      <c r="Q460" s="33">
        <f>AI460+AV460+CK460+Table1[[#This Row],[FY 25-26]]</f>
        <v>40412.926135313959</v>
      </c>
      <c r="R460" s="36">
        <v>10000</v>
      </c>
      <c r="S460" s="37" t="s">
        <v>855</v>
      </c>
      <c r="T460" s="38">
        <v>45069</v>
      </c>
      <c r="U460" s="39"/>
      <c r="V460" s="39"/>
      <c r="W460" s="40">
        <v>0</v>
      </c>
      <c r="X460" s="40">
        <v>0</v>
      </c>
      <c r="Y460" s="40">
        <v>0</v>
      </c>
      <c r="Z460" s="40">
        <v>0</v>
      </c>
      <c r="AA460" s="40">
        <v>0</v>
      </c>
      <c r="AB460" s="40">
        <v>0</v>
      </c>
      <c r="AC460" s="40">
        <v>0</v>
      </c>
      <c r="AD460" s="40">
        <v>0</v>
      </c>
      <c r="AE460" s="40">
        <v>0</v>
      </c>
      <c r="AF460" s="40">
        <v>0</v>
      </c>
      <c r="AG460" s="40">
        <v>0</v>
      </c>
      <c r="AH460" s="40">
        <v>14</v>
      </c>
      <c r="AI460" s="41">
        <f t="shared" si="56"/>
        <v>14</v>
      </c>
      <c r="AJ460" s="42">
        <v>1721</v>
      </c>
      <c r="AK460" s="42">
        <v>1861</v>
      </c>
      <c r="AL460" s="42">
        <v>886</v>
      </c>
      <c r="AM460" s="42">
        <v>1861</v>
      </c>
      <c r="AN460" s="42">
        <v>1861</v>
      </c>
      <c r="AO460" s="42">
        <v>1861</v>
      </c>
      <c r="AP460" s="42">
        <v>1861</v>
      </c>
      <c r="AQ460" s="42">
        <v>1620</v>
      </c>
      <c r="AR460" s="42">
        <v>1861</v>
      </c>
      <c r="AS460" s="42">
        <v>1314</v>
      </c>
      <c r="AT460" s="42">
        <v>192.92613531396159</v>
      </c>
      <c r="AU460" s="42">
        <v>0</v>
      </c>
      <c r="AV460" s="42">
        <f t="shared" si="57"/>
        <v>16899.926135313963</v>
      </c>
      <c r="AW460" s="42">
        <v>1861</v>
      </c>
      <c r="AX460" s="42">
        <v>1861</v>
      </c>
      <c r="AY460" s="42">
        <v>1861</v>
      </c>
      <c r="AZ460" s="42">
        <v>1849</v>
      </c>
      <c r="BA460" s="42">
        <v>611</v>
      </c>
      <c r="BB460" s="42">
        <v>500</v>
      </c>
      <c r="BC460" s="42">
        <v>861</v>
      </c>
      <c r="BD460" s="42">
        <v>500</v>
      </c>
      <c r="BE460" s="42">
        <v>500</v>
      </c>
      <c r="BF460" s="42">
        <v>500</v>
      </c>
      <c r="BG460" s="42">
        <v>500</v>
      </c>
      <c r="BH460" s="42">
        <v>500</v>
      </c>
      <c r="BI460" s="42">
        <v>0</v>
      </c>
      <c r="BJ460" s="42">
        <v>500</v>
      </c>
      <c r="BK460" s="42">
        <v>500</v>
      </c>
      <c r="BL460" s="42">
        <v>500</v>
      </c>
      <c r="BM460" s="42">
        <v>500</v>
      </c>
      <c r="BN460" s="42">
        <v>-170</v>
      </c>
      <c r="BO460" s="42">
        <v>500</v>
      </c>
      <c r="BP460" s="42">
        <v>500</v>
      </c>
      <c r="BQ460" s="42">
        <v>500</v>
      </c>
      <c r="BR460" s="42">
        <v>500</v>
      </c>
      <c r="BS460" s="42">
        <v>0</v>
      </c>
      <c r="BT460" s="42">
        <v>500</v>
      </c>
      <c r="BU460" s="42">
        <v>500</v>
      </c>
      <c r="BV460" s="42">
        <v>0</v>
      </c>
      <c r="BW460" s="42">
        <v>0</v>
      </c>
      <c r="BX460" s="42">
        <v>0</v>
      </c>
      <c r="BY460" s="42">
        <v>0</v>
      </c>
      <c r="BZ460" s="42">
        <v>0</v>
      </c>
      <c r="CA460" s="42">
        <v>500</v>
      </c>
      <c r="CB460" s="42">
        <v>0</v>
      </c>
      <c r="CC460" s="42">
        <v>0</v>
      </c>
      <c r="CD460" s="42">
        <v>682</v>
      </c>
      <c r="CE460" s="42">
        <v>0</v>
      </c>
      <c r="CF460" s="42">
        <v>0</v>
      </c>
      <c r="CG460" s="42">
        <v>0</v>
      </c>
      <c r="CH460" s="42">
        <v>0</v>
      </c>
      <c r="CI460" s="42">
        <v>0</v>
      </c>
      <c r="CJ460" s="42">
        <v>1861</v>
      </c>
      <c r="CK460" s="43">
        <f t="shared" si="58"/>
        <v>19777</v>
      </c>
      <c r="CL460" s="66"/>
      <c r="CM460" s="66">
        <v>0</v>
      </c>
      <c r="CN460" s="66">
        <v>0</v>
      </c>
      <c r="CO460" s="66">
        <v>0</v>
      </c>
      <c r="CP460" s="66">
        <v>1861</v>
      </c>
      <c r="CQ460" s="66">
        <v>0</v>
      </c>
      <c r="CR460" s="66">
        <v>0</v>
      </c>
      <c r="CS460" s="66">
        <v>0</v>
      </c>
      <c r="CT460" s="66">
        <v>0</v>
      </c>
      <c r="CU460" s="66">
        <v>0</v>
      </c>
      <c r="CV460" s="66">
        <v>1861</v>
      </c>
      <c r="CW460" s="66">
        <v>0</v>
      </c>
      <c r="CX460" s="66">
        <v>0</v>
      </c>
      <c r="CY460" s="66">
        <v>0</v>
      </c>
      <c r="CZ460" s="66">
        <v>0</v>
      </c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>
        <f>SUM(Table1[[#This Row],[01-03 Apr]:[Mar-26]])</f>
        <v>3722</v>
      </c>
    </row>
    <row r="461" spans="1:115" hidden="1" x14ac:dyDescent="0.2">
      <c r="A461" s="28" t="s">
        <v>2255</v>
      </c>
      <c r="B461" s="29" t="s">
        <v>856</v>
      </c>
      <c r="C461" s="29" t="s">
        <v>857</v>
      </c>
      <c r="D461" s="30" t="s">
        <v>858</v>
      </c>
      <c r="E461" s="30" t="s">
        <v>203</v>
      </c>
      <c r="F461" s="30"/>
      <c r="G461" s="31" t="s">
        <v>818</v>
      </c>
      <c r="H461" s="30">
        <v>387837</v>
      </c>
      <c r="I461" s="30" t="str">
        <f>IF(Table1[[#This Row],[Centre Status]]="Returned","NA",IF(Table1[[#This Row],[SD]]&gt;19000,"Full Payment",IF(Table1[[#This Row],[SD]]&lt;1,"No Payment","Partial Payment")))</f>
        <v>NA</v>
      </c>
      <c r="J461" s="30" t="s">
        <v>1903</v>
      </c>
      <c r="K461" s="32">
        <v>110000</v>
      </c>
      <c r="L461" s="33">
        <f>Q461+R461+U461+Table1[[#This Row],[Farmer Payment]]</f>
        <v>38747.793020785197</v>
      </c>
      <c r="M461" s="30">
        <v>10000</v>
      </c>
      <c r="N461" s="34">
        <v>45708</v>
      </c>
      <c r="O461" s="34" t="s">
        <v>3152</v>
      </c>
      <c r="P461" s="35">
        <f t="shared" si="55"/>
        <v>81252.206979214796</v>
      </c>
      <c r="Q461" s="33">
        <f>AI461+AV461+CK461+Table1[[#This Row],[FY 25-26]]</f>
        <v>28747.793020785197</v>
      </c>
      <c r="R461" s="36">
        <v>10000</v>
      </c>
      <c r="S461" s="37" t="s">
        <v>859</v>
      </c>
      <c r="T461" s="38">
        <v>45000</v>
      </c>
      <c r="U461" s="39"/>
      <c r="V461" s="39"/>
      <c r="W461" s="40">
        <v>0</v>
      </c>
      <c r="X461" s="40">
        <v>0</v>
      </c>
      <c r="Y461" s="40">
        <v>0</v>
      </c>
      <c r="Z461" s="40">
        <v>0</v>
      </c>
      <c r="AA461" s="40">
        <v>0</v>
      </c>
      <c r="AB461" s="40">
        <v>0</v>
      </c>
      <c r="AC461" s="40">
        <v>0</v>
      </c>
      <c r="AD461" s="40">
        <v>0</v>
      </c>
      <c r="AE461" s="40">
        <v>0</v>
      </c>
      <c r="AF461" s="40">
        <v>0</v>
      </c>
      <c r="AG461" s="40">
        <v>0</v>
      </c>
      <c r="AH461" s="40">
        <v>1861</v>
      </c>
      <c r="AI461" s="41">
        <f t="shared" si="56"/>
        <v>1861</v>
      </c>
      <c r="AJ461" s="42">
        <v>2066.7638207852001</v>
      </c>
      <c r="AK461" s="42">
        <v>2922.7842000000001</v>
      </c>
      <c r="AL461" s="42">
        <v>1918.6684000000002</v>
      </c>
      <c r="AM461" s="42">
        <v>1976.4482</v>
      </c>
      <c r="AN461" s="42">
        <v>1861</v>
      </c>
      <c r="AO461" s="42">
        <v>1271</v>
      </c>
      <c r="AP461" s="42">
        <v>716</v>
      </c>
      <c r="AQ461" s="42">
        <v>1861</v>
      </c>
      <c r="AR461" s="42">
        <v>2030.4958000000001</v>
      </c>
      <c r="AS461" s="42">
        <v>2595.067</v>
      </c>
      <c r="AT461" s="42">
        <v>2123.5126</v>
      </c>
      <c r="AU461" s="42">
        <v>1964.0529999999999</v>
      </c>
      <c r="AV461" s="42">
        <f t="shared" si="57"/>
        <v>23306.793020785197</v>
      </c>
      <c r="AW461" s="42">
        <v>1861</v>
      </c>
      <c r="AX461" s="42">
        <v>559</v>
      </c>
      <c r="AY461" s="42">
        <v>984</v>
      </c>
      <c r="AZ461" s="42">
        <v>176</v>
      </c>
      <c r="BA461" s="42">
        <v>0</v>
      </c>
      <c r="BB461" s="42">
        <v>0</v>
      </c>
      <c r="BC461" s="42">
        <v>0</v>
      </c>
      <c r="BD461" s="42">
        <v>0</v>
      </c>
      <c r="BE461" s="42">
        <v>0</v>
      </c>
      <c r="BF461" s="42">
        <v>0</v>
      </c>
      <c r="BG461" s="42">
        <v>0</v>
      </c>
      <c r="BH461" s="42">
        <v>0</v>
      </c>
      <c r="BI461" s="42">
        <v>0</v>
      </c>
      <c r="BJ461" s="42">
        <v>0</v>
      </c>
      <c r="BK461" s="42">
        <v>0</v>
      </c>
      <c r="BL461" s="42">
        <v>0</v>
      </c>
      <c r="BM461" s="42">
        <v>0</v>
      </c>
      <c r="BN461" s="42">
        <v>0</v>
      </c>
      <c r="BO461" s="42">
        <v>0</v>
      </c>
      <c r="BP461" s="42">
        <v>0</v>
      </c>
      <c r="BQ461" s="42">
        <v>0</v>
      </c>
      <c r="BR461" s="42">
        <v>0</v>
      </c>
      <c r="BS461" s="42">
        <v>0</v>
      </c>
      <c r="BT461" s="42">
        <v>0</v>
      </c>
      <c r="BU461" s="42">
        <v>0</v>
      </c>
      <c r="BV461" s="42">
        <v>0</v>
      </c>
      <c r="BW461" s="42">
        <v>0</v>
      </c>
      <c r="BX461" s="42">
        <v>0</v>
      </c>
      <c r="BY461" s="42">
        <v>0</v>
      </c>
      <c r="BZ461" s="42">
        <v>0</v>
      </c>
      <c r="CA461" s="42">
        <v>0</v>
      </c>
      <c r="CB461" s="42">
        <v>0</v>
      </c>
      <c r="CC461" s="42">
        <v>0</v>
      </c>
      <c r="CD461" s="42">
        <v>0</v>
      </c>
      <c r="CE461" s="42">
        <v>0</v>
      </c>
      <c r="CF461" s="42">
        <v>0</v>
      </c>
      <c r="CG461" s="42">
        <v>0</v>
      </c>
      <c r="CH461" s="42">
        <v>0</v>
      </c>
      <c r="CI461" s="42">
        <v>0</v>
      </c>
      <c r="CJ461" s="42">
        <v>0</v>
      </c>
      <c r="CK461" s="43">
        <f t="shared" si="58"/>
        <v>3580</v>
      </c>
      <c r="CL461" s="66"/>
      <c r="CM461" s="66">
        <v>0</v>
      </c>
      <c r="CN461" s="66">
        <v>0</v>
      </c>
      <c r="CO461" s="66">
        <v>0</v>
      </c>
      <c r="CP461" s="66">
        <v>0</v>
      </c>
      <c r="CQ461" s="66">
        <v>0</v>
      </c>
      <c r="CR461" s="66">
        <v>0</v>
      </c>
      <c r="CS461" s="66">
        <v>0</v>
      </c>
      <c r="CT461" s="66">
        <v>0</v>
      </c>
      <c r="CU461" s="66">
        <v>0</v>
      </c>
      <c r="CV461" s="66">
        <v>0</v>
      </c>
      <c r="CW461" s="66">
        <v>0</v>
      </c>
      <c r="CX461" s="66">
        <v>0</v>
      </c>
      <c r="CY461" s="66">
        <v>0</v>
      </c>
      <c r="CZ461" s="66">
        <v>0</v>
      </c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>
        <f>SUM(Table1[[#This Row],[01-03 Apr]:[Mar-26]])</f>
        <v>0</v>
      </c>
    </row>
    <row r="462" spans="1:115" x14ac:dyDescent="0.2">
      <c r="A462" s="28" t="s">
        <v>2255</v>
      </c>
      <c r="B462" s="29" t="s">
        <v>860</v>
      </c>
      <c r="C462" s="29" t="s">
        <v>861</v>
      </c>
      <c r="D462" s="30" t="s">
        <v>862</v>
      </c>
      <c r="E462" s="30" t="s">
        <v>297</v>
      </c>
      <c r="F462" s="30"/>
      <c r="G462" s="31" t="s">
        <v>818</v>
      </c>
      <c r="H462" s="30">
        <v>385496</v>
      </c>
      <c r="I462" s="30" t="str">
        <f>IF(Table1[[#This Row],[Centre Status]]="Returned","NA",IF(Table1[[#This Row],[SD]]&gt;19000,"Full Payment",IF(Table1[[#This Row],[SD]]&lt;1,"No Payment","Partial Payment")))</f>
        <v>Partial Payment</v>
      </c>
      <c r="J462" s="30" t="s">
        <v>58</v>
      </c>
      <c r="K462" s="32">
        <v>110000</v>
      </c>
      <c r="L462" s="33">
        <f>Q462+R462+U462+Table1[[#This Row],[Farmer Payment]]</f>
        <v>81563.110920423685</v>
      </c>
      <c r="M462" s="30"/>
      <c r="N462" s="34"/>
      <c r="O462" s="34"/>
      <c r="P462" s="35">
        <f t="shared" si="55"/>
        <v>28436.889079576315</v>
      </c>
      <c r="Q462" s="33">
        <f>AI462+AV462+CK462+Table1[[#This Row],[FY 25-26]]</f>
        <v>76563.110920423685</v>
      </c>
      <c r="R462" s="36">
        <v>5000</v>
      </c>
      <c r="S462" s="37" t="s">
        <v>863</v>
      </c>
      <c r="T462" s="38">
        <v>44990</v>
      </c>
      <c r="U462" s="39"/>
      <c r="V462" s="39"/>
      <c r="W462" s="40">
        <v>0</v>
      </c>
      <c r="X462" s="40">
        <v>0</v>
      </c>
      <c r="Y462" s="40">
        <v>0</v>
      </c>
      <c r="Z462" s="40">
        <v>0</v>
      </c>
      <c r="AA462" s="40">
        <v>0</v>
      </c>
      <c r="AB462" s="40">
        <v>0</v>
      </c>
      <c r="AC462" s="40">
        <v>0</v>
      </c>
      <c r="AD462" s="40">
        <v>0</v>
      </c>
      <c r="AE462" s="40">
        <v>0</v>
      </c>
      <c r="AF462" s="40">
        <v>0</v>
      </c>
      <c r="AG462" s="40">
        <v>0</v>
      </c>
      <c r="AH462" s="40">
        <v>1861</v>
      </c>
      <c r="AI462" s="41">
        <f t="shared" si="56"/>
        <v>1861</v>
      </c>
      <c r="AJ462" s="42">
        <v>1861</v>
      </c>
      <c r="AK462" s="42">
        <v>2672.7134000000001</v>
      </c>
      <c r="AL462" s="42">
        <v>2333.1952000000001</v>
      </c>
      <c r="AM462" s="42">
        <v>4361.6885999999995</v>
      </c>
      <c r="AN462" s="42">
        <v>3526.0735999999997</v>
      </c>
      <c r="AO462" s="42">
        <v>3608.9957999999997</v>
      </c>
      <c r="AP462" s="42">
        <v>4801.1418000000003</v>
      </c>
      <c r="AQ462" s="42">
        <v>3247.3364000000001</v>
      </c>
      <c r="AR462" s="42">
        <v>2901.5535999999997</v>
      </c>
      <c r="AS462" s="42">
        <v>3686.9686000000002</v>
      </c>
      <c r="AT462" s="42">
        <v>3045.5758000000001</v>
      </c>
      <c r="AU462" s="42">
        <v>3605.4812000000002</v>
      </c>
      <c r="AV462" s="42">
        <f t="shared" si="57"/>
        <v>39651.724000000002</v>
      </c>
      <c r="AW462" s="42">
        <v>3646.7716390656001</v>
      </c>
      <c r="AX462" s="42">
        <v>3027.7643626521599</v>
      </c>
      <c r="AY462" s="42">
        <v>3023.0652327936</v>
      </c>
      <c r="AZ462" s="42">
        <v>3394.2473210880003</v>
      </c>
      <c r="BA462" s="42">
        <v>2661.8690750976002</v>
      </c>
      <c r="BB462" s="42">
        <v>0</v>
      </c>
      <c r="BC462" s="42">
        <v>2638.4344344576002</v>
      </c>
      <c r="BD462" s="42">
        <v>0</v>
      </c>
      <c r="BE462" s="42">
        <v>0</v>
      </c>
      <c r="BF462" s="42">
        <v>0</v>
      </c>
      <c r="BG462" s="42">
        <v>0</v>
      </c>
      <c r="BH462" s="42">
        <v>0</v>
      </c>
      <c r="BI462" s="42">
        <v>1945.2224411135999</v>
      </c>
      <c r="BJ462" s="42">
        <v>0</v>
      </c>
      <c r="BK462" s="42">
        <v>0</v>
      </c>
      <c r="BL462" s="42">
        <v>0</v>
      </c>
      <c r="BM462" s="42">
        <v>0</v>
      </c>
      <c r="BN462" s="42">
        <v>1861</v>
      </c>
      <c r="BO462" s="42">
        <v>0</v>
      </c>
      <c r="BP462" s="42">
        <v>0</v>
      </c>
      <c r="BQ462" s="42">
        <v>0</v>
      </c>
      <c r="BR462" s="42">
        <v>0</v>
      </c>
      <c r="BS462" s="42">
        <v>1861</v>
      </c>
      <c r="BT462" s="42">
        <v>0</v>
      </c>
      <c r="BU462" s="42">
        <v>0</v>
      </c>
      <c r="BV462" s="42">
        <v>0</v>
      </c>
      <c r="BW462" s="42">
        <v>0</v>
      </c>
      <c r="BX462" s="42">
        <v>0</v>
      </c>
      <c r="BY462" s="42">
        <v>1861</v>
      </c>
      <c r="BZ462" s="42">
        <v>0</v>
      </c>
      <c r="CA462" s="42">
        <v>0</v>
      </c>
      <c r="CB462" s="42">
        <v>0</v>
      </c>
      <c r="CC462" s="42">
        <v>0</v>
      </c>
      <c r="CD462" s="42">
        <v>1861</v>
      </c>
      <c r="CE462" s="42">
        <v>0</v>
      </c>
      <c r="CF462" s="42">
        <v>0</v>
      </c>
      <c r="CG462" s="42">
        <v>0</v>
      </c>
      <c r="CH462" s="42">
        <v>0</v>
      </c>
      <c r="CI462" s="42">
        <v>0</v>
      </c>
      <c r="CJ462" s="42">
        <v>2252.2216824960001</v>
      </c>
      <c r="CK462" s="43">
        <f t="shared" si="58"/>
        <v>30033.596188764161</v>
      </c>
      <c r="CL462" s="66"/>
      <c r="CM462" s="66">
        <v>0</v>
      </c>
      <c r="CN462" s="66">
        <v>0</v>
      </c>
      <c r="CO462" s="66">
        <v>0</v>
      </c>
      <c r="CP462" s="66">
        <v>2370.5165326963202</v>
      </c>
      <c r="CQ462" s="66">
        <v>0</v>
      </c>
      <c r="CR462" s="66">
        <v>0</v>
      </c>
      <c r="CS462" s="66">
        <v>0</v>
      </c>
      <c r="CT462" s="66">
        <v>0</v>
      </c>
      <c r="CU462" s="66">
        <v>0</v>
      </c>
      <c r="CV462" s="66">
        <v>2646.2741989632</v>
      </c>
      <c r="CW462" s="66">
        <v>0</v>
      </c>
      <c r="CX462" s="66">
        <v>0</v>
      </c>
      <c r="CY462" s="66">
        <v>0</v>
      </c>
      <c r="CZ462" s="66">
        <v>0</v>
      </c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>
        <f>SUM(Table1[[#This Row],[01-03 Apr]:[Mar-26]])</f>
        <v>5016.7907316595201</v>
      </c>
    </row>
    <row r="463" spans="1:115" x14ac:dyDescent="0.2">
      <c r="A463" s="28" t="s">
        <v>2255</v>
      </c>
      <c r="B463" s="29" t="s">
        <v>868</v>
      </c>
      <c r="C463" s="29" t="s">
        <v>869</v>
      </c>
      <c r="D463" s="30" t="s">
        <v>870</v>
      </c>
      <c r="E463" s="30" t="s">
        <v>203</v>
      </c>
      <c r="F463" s="30"/>
      <c r="G463" s="31" t="s">
        <v>818</v>
      </c>
      <c r="H463" s="30">
        <v>387882</v>
      </c>
      <c r="I463" s="30" t="str">
        <f>IF(Table1[[#This Row],[Centre Status]]="Returned","NA",IF(Table1[[#This Row],[SD]]&gt;19000,"Full Payment",IF(Table1[[#This Row],[SD]]&lt;1,"No Payment","Partial Payment")))</f>
        <v>No Payment</v>
      </c>
      <c r="J463" s="30" t="s">
        <v>58</v>
      </c>
      <c r="K463" s="32">
        <v>110000</v>
      </c>
      <c r="L463" s="33">
        <f>Q463+R463+U463+Table1[[#This Row],[Farmer Payment]]</f>
        <v>35662</v>
      </c>
      <c r="M463" s="30"/>
      <c r="N463" s="34"/>
      <c r="O463" s="34"/>
      <c r="P463" s="35">
        <f t="shared" si="55"/>
        <v>74338</v>
      </c>
      <c r="Q463" s="33">
        <f>AI463+AV463+CK463+Table1[[#This Row],[FY 25-26]]</f>
        <v>35662</v>
      </c>
      <c r="R463" s="36"/>
      <c r="S463" s="37"/>
      <c r="T463" s="38"/>
      <c r="U463" s="39"/>
      <c r="V463" s="39"/>
      <c r="W463" s="40">
        <v>0</v>
      </c>
      <c r="X463" s="40">
        <v>0</v>
      </c>
      <c r="Y463" s="40">
        <v>0</v>
      </c>
      <c r="Z463" s="40">
        <v>0</v>
      </c>
      <c r="AA463" s="40">
        <v>0</v>
      </c>
      <c r="AB463" s="40">
        <v>0</v>
      </c>
      <c r="AC463" s="40">
        <v>0</v>
      </c>
      <c r="AD463" s="40">
        <v>0</v>
      </c>
      <c r="AE463" s="40">
        <v>0</v>
      </c>
      <c r="AF463" s="40">
        <v>0</v>
      </c>
      <c r="AG463" s="40">
        <v>0</v>
      </c>
      <c r="AH463" s="40">
        <v>17</v>
      </c>
      <c r="AI463" s="41">
        <f t="shared" si="56"/>
        <v>17</v>
      </c>
      <c r="AJ463" s="42">
        <v>1204</v>
      </c>
      <c r="AK463" s="42">
        <v>1389</v>
      </c>
      <c r="AL463" s="42">
        <v>640</v>
      </c>
      <c r="AM463" s="42">
        <v>0</v>
      </c>
      <c r="AN463" s="42">
        <v>0</v>
      </c>
      <c r="AO463" s="42">
        <v>0</v>
      </c>
      <c r="AP463" s="42">
        <v>0</v>
      </c>
      <c r="AQ463" s="42">
        <v>0</v>
      </c>
      <c r="AR463" s="42">
        <v>0</v>
      </c>
      <c r="AS463" s="42">
        <v>552</v>
      </c>
      <c r="AT463" s="42">
        <v>1861</v>
      </c>
      <c r="AU463" s="42">
        <v>1861</v>
      </c>
      <c r="AV463" s="42">
        <f t="shared" si="57"/>
        <v>7507</v>
      </c>
      <c r="AW463" s="42">
        <v>1861</v>
      </c>
      <c r="AX463" s="42">
        <v>1861</v>
      </c>
      <c r="AY463" s="42">
        <v>1861</v>
      </c>
      <c r="AZ463" s="42">
        <v>1861</v>
      </c>
      <c r="BA463" s="42">
        <v>700</v>
      </c>
      <c r="BB463" s="42">
        <v>500</v>
      </c>
      <c r="BC463" s="42">
        <v>15</v>
      </c>
      <c r="BD463" s="42">
        <v>500</v>
      </c>
      <c r="BE463" s="42">
        <v>500</v>
      </c>
      <c r="BF463" s="42">
        <v>500</v>
      </c>
      <c r="BG463" s="42">
        <v>500</v>
      </c>
      <c r="BH463" s="42">
        <v>500</v>
      </c>
      <c r="BI463" s="42">
        <v>0</v>
      </c>
      <c r="BJ463" s="42">
        <v>500</v>
      </c>
      <c r="BK463" s="42">
        <v>500</v>
      </c>
      <c r="BL463" s="42">
        <v>500</v>
      </c>
      <c r="BM463" s="42">
        <v>500</v>
      </c>
      <c r="BN463" s="42">
        <v>0</v>
      </c>
      <c r="BO463" s="42">
        <v>500</v>
      </c>
      <c r="BP463" s="42">
        <v>500</v>
      </c>
      <c r="BQ463" s="42">
        <v>500</v>
      </c>
      <c r="BR463" s="42">
        <v>500</v>
      </c>
      <c r="BS463" s="42">
        <v>0</v>
      </c>
      <c r="BT463" s="42">
        <v>500</v>
      </c>
      <c r="BU463" s="42">
        <v>500</v>
      </c>
      <c r="BV463" s="42">
        <v>500</v>
      </c>
      <c r="BW463" s="42">
        <v>500</v>
      </c>
      <c r="BX463" s="42">
        <v>500</v>
      </c>
      <c r="BY463" s="42">
        <v>0</v>
      </c>
      <c r="BZ463" s="42">
        <v>500</v>
      </c>
      <c r="CA463" s="42">
        <v>500</v>
      </c>
      <c r="CB463" s="42">
        <v>500</v>
      </c>
      <c r="CC463" s="42">
        <v>500</v>
      </c>
      <c r="CD463" s="42">
        <v>0</v>
      </c>
      <c r="CE463" s="42">
        <v>500</v>
      </c>
      <c r="CF463" s="42">
        <v>500</v>
      </c>
      <c r="CG463" s="42">
        <v>500</v>
      </c>
      <c r="CH463" s="42">
        <v>500</v>
      </c>
      <c r="CI463" s="42">
        <v>500</v>
      </c>
      <c r="CJ463" s="42">
        <v>0</v>
      </c>
      <c r="CK463" s="43">
        <f t="shared" si="58"/>
        <v>22159</v>
      </c>
      <c r="CL463" s="66"/>
      <c r="CM463" s="66">
        <v>500</v>
      </c>
      <c r="CN463" s="66">
        <v>500</v>
      </c>
      <c r="CO463" s="66">
        <v>500</v>
      </c>
      <c r="CP463" s="66">
        <v>0</v>
      </c>
      <c r="CQ463" s="66">
        <v>500</v>
      </c>
      <c r="CR463" s="66">
        <v>500</v>
      </c>
      <c r="CS463" s="66">
        <v>500</v>
      </c>
      <c r="CT463" s="66">
        <v>500</v>
      </c>
      <c r="CU463" s="66">
        <v>479</v>
      </c>
      <c r="CV463" s="66">
        <v>0</v>
      </c>
      <c r="CW463" s="66">
        <v>500</v>
      </c>
      <c r="CX463" s="66">
        <v>500</v>
      </c>
      <c r="CY463" s="66">
        <v>500</v>
      </c>
      <c r="CZ463" s="66">
        <v>500</v>
      </c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>
        <f>SUM(Table1[[#This Row],[01-03 Apr]:[Mar-26]])</f>
        <v>5979</v>
      </c>
    </row>
    <row r="464" spans="1:115" x14ac:dyDescent="0.2">
      <c r="A464" s="28" t="s">
        <v>2255</v>
      </c>
      <c r="B464" s="29" t="s">
        <v>875</v>
      </c>
      <c r="C464" s="29" t="s">
        <v>876</v>
      </c>
      <c r="D464" s="30" t="s">
        <v>877</v>
      </c>
      <c r="E464" s="30" t="s">
        <v>203</v>
      </c>
      <c r="F464" s="30"/>
      <c r="G464" s="31" t="s">
        <v>873</v>
      </c>
      <c r="H464" s="30">
        <v>382428</v>
      </c>
      <c r="I464" s="30" t="str">
        <f>IF(Table1[[#This Row],[Centre Status]]="Returned","NA",IF(Table1[[#This Row],[SD]]&gt;19000,"Full Payment",IF(Table1[[#This Row],[SD]]&lt;1,"No Payment","Partial Payment")))</f>
        <v>No Payment</v>
      </c>
      <c r="J464" s="30" t="s">
        <v>58</v>
      </c>
      <c r="K464" s="32">
        <v>110000</v>
      </c>
      <c r="L464" s="33">
        <f>Q464+R464+U464+Table1[[#This Row],[Farmer Payment]]</f>
        <v>26450.061999999998</v>
      </c>
      <c r="M464" s="30"/>
      <c r="N464" s="34"/>
      <c r="O464" s="34"/>
      <c r="P464" s="35">
        <f t="shared" si="55"/>
        <v>83549.937999999995</v>
      </c>
      <c r="Q464" s="33">
        <f>AI464+AV464+CK464+Table1[[#This Row],[FY 25-26]]</f>
        <v>26450.061999999998</v>
      </c>
      <c r="R464" s="36"/>
      <c r="S464" s="37"/>
      <c r="T464" s="38"/>
      <c r="U464" s="39"/>
      <c r="V464" s="39"/>
      <c r="W464" s="40">
        <v>0</v>
      </c>
      <c r="X464" s="40">
        <v>0</v>
      </c>
      <c r="Y464" s="40">
        <v>0</v>
      </c>
      <c r="Z464" s="40">
        <v>0</v>
      </c>
      <c r="AA464" s="40">
        <v>0</v>
      </c>
      <c r="AB464" s="40">
        <v>0</v>
      </c>
      <c r="AC464" s="40">
        <v>0</v>
      </c>
      <c r="AD464" s="40">
        <v>0</v>
      </c>
      <c r="AE464" s="40">
        <v>0</v>
      </c>
      <c r="AF464" s="40">
        <v>0</v>
      </c>
      <c r="AG464" s="40">
        <v>0</v>
      </c>
      <c r="AH464" s="40">
        <v>0</v>
      </c>
      <c r="AI464" s="41">
        <f t="shared" si="56"/>
        <v>0</v>
      </c>
      <c r="AJ464" s="42">
        <v>1861</v>
      </c>
      <c r="AK464" s="42">
        <v>2125.9468000000002</v>
      </c>
      <c r="AL464" s="42">
        <v>1861</v>
      </c>
      <c r="AM464" s="42">
        <v>1861</v>
      </c>
      <c r="AN464" s="42">
        <v>1861</v>
      </c>
      <c r="AO464" s="42">
        <v>1861</v>
      </c>
      <c r="AP464" s="42">
        <v>1861</v>
      </c>
      <c r="AQ464" s="42">
        <v>1861</v>
      </c>
      <c r="AR464" s="42">
        <v>1861</v>
      </c>
      <c r="AS464" s="42">
        <v>1908.4620000000002</v>
      </c>
      <c r="AT464" s="42">
        <v>1863.1738</v>
      </c>
      <c r="AU464" s="42">
        <v>2088.4793999999997</v>
      </c>
      <c r="AV464" s="42">
        <f t="shared" si="57"/>
        <v>22874.061999999998</v>
      </c>
      <c r="AW464" s="42">
        <v>1861</v>
      </c>
      <c r="AX464" s="42">
        <v>1715</v>
      </c>
      <c r="AY464" s="42">
        <v>0</v>
      </c>
      <c r="AZ464" s="42">
        <v>0</v>
      </c>
      <c r="BA464" s="42">
        <v>0</v>
      </c>
      <c r="BB464" s="42">
        <v>0</v>
      </c>
      <c r="BC464" s="42">
        <v>0</v>
      </c>
      <c r="BD464" s="42">
        <v>0</v>
      </c>
      <c r="BE464" s="42">
        <v>0</v>
      </c>
      <c r="BF464" s="42">
        <v>0</v>
      </c>
      <c r="BG464" s="42">
        <v>0</v>
      </c>
      <c r="BH464" s="42">
        <v>0</v>
      </c>
      <c r="BI464" s="42">
        <v>0</v>
      </c>
      <c r="BJ464" s="42">
        <v>0</v>
      </c>
      <c r="BK464" s="42">
        <v>0</v>
      </c>
      <c r="BL464" s="42">
        <v>0</v>
      </c>
      <c r="BM464" s="42">
        <v>0</v>
      </c>
      <c r="BN464" s="42">
        <v>0</v>
      </c>
      <c r="BO464" s="42">
        <v>0</v>
      </c>
      <c r="BP464" s="42">
        <v>0</v>
      </c>
      <c r="BQ464" s="42">
        <v>0</v>
      </c>
      <c r="BR464" s="42">
        <v>0</v>
      </c>
      <c r="BS464" s="42">
        <v>0</v>
      </c>
      <c r="BT464" s="42">
        <v>0</v>
      </c>
      <c r="BU464" s="42">
        <v>0</v>
      </c>
      <c r="BV464" s="42">
        <v>0</v>
      </c>
      <c r="BW464" s="42">
        <v>0</v>
      </c>
      <c r="BX464" s="42">
        <v>0</v>
      </c>
      <c r="BY464" s="42">
        <v>0</v>
      </c>
      <c r="BZ464" s="42">
        <v>0</v>
      </c>
      <c r="CA464" s="42">
        <v>0</v>
      </c>
      <c r="CB464" s="42">
        <v>0</v>
      </c>
      <c r="CC464" s="42">
        <v>0</v>
      </c>
      <c r="CD464" s="42">
        <v>0</v>
      </c>
      <c r="CE464" s="42">
        <v>0</v>
      </c>
      <c r="CF464" s="42">
        <v>0</v>
      </c>
      <c r="CG464" s="42">
        <v>0</v>
      </c>
      <c r="CH464" s="42">
        <v>0</v>
      </c>
      <c r="CI464" s="42">
        <v>0</v>
      </c>
      <c r="CJ464" s="42">
        <v>0</v>
      </c>
      <c r="CK464" s="43">
        <f t="shared" si="58"/>
        <v>3576</v>
      </c>
      <c r="CL464" s="66"/>
      <c r="CM464" s="66">
        <v>0</v>
      </c>
      <c r="CN464" s="66">
        <v>0</v>
      </c>
      <c r="CO464" s="66">
        <v>0</v>
      </c>
      <c r="CP464" s="66">
        <v>0</v>
      </c>
      <c r="CQ464" s="66">
        <v>0</v>
      </c>
      <c r="CR464" s="66">
        <v>0</v>
      </c>
      <c r="CS464" s="66">
        <v>0</v>
      </c>
      <c r="CT464" s="66">
        <v>0</v>
      </c>
      <c r="CU464" s="66">
        <v>0</v>
      </c>
      <c r="CV464" s="66">
        <v>0</v>
      </c>
      <c r="CW464" s="66">
        <v>0</v>
      </c>
      <c r="CX464" s="66">
        <v>0</v>
      </c>
      <c r="CY464" s="66">
        <v>0</v>
      </c>
      <c r="CZ464" s="66">
        <v>0</v>
      </c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>
        <f>SUM(Table1[[#This Row],[01-03 Apr]:[Mar-26]])</f>
        <v>0</v>
      </c>
    </row>
    <row r="465" spans="1:115" hidden="1" x14ac:dyDescent="0.2">
      <c r="A465" s="28" t="s">
        <v>2255</v>
      </c>
      <c r="B465" s="29" t="s">
        <v>878</v>
      </c>
      <c r="C465" s="29" t="s">
        <v>879</v>
      </c>
      <c r="D465" s="30" t="s">
        <v>880</v>
      </c>
      <c r="E465" s="30" t="s">
        <v>203</v>
      </c>
      <c r="F465" s="30"/>
      <c r="G465" s="31" t="s">
        <v>873</v>
      </c>
      <c r="H465" s="30">
        <v>385566</v>
      </c>
      <c r="I465" s="30" t="str">
        <f>IF(Table1[[#This Row],[Centre Status]]="Returned","NA",IF(Table1[[#This Row],[SD]]&gt;19000,"Full Payment",IF(Table1[[#This Row],[SD]]&lt;1,"No Payment","Partial Payment")))</f>
        <v>NA</v>
      </c>
      <c r="J465" s="30" t="s">
        <v>1903</v>
      </c>
      <c r="K465" s="32">
        <v>110000</v>
      </c>
      <c r="L465" s="33">
        <f>Q465+R465+U465+Table1[[#This Row],[Farmer Payment]]</f>
        <v>9865.1009999093039</v>
      </c>
      <c r="M465" s="30"/>
      <c r="N465" s="34"/>
      <c r="O465" s="34"/>
      <c r="P465" s="35">
        <f t="shared" si="55"/>
        <v>100134.89900009069</v>
      </c>
      <c r="Q465" s="33">
        <f>AI465+AV465+CK465+Table1[[#This Row],[FY 25-26]]</f>
        <v>9865.1009999093039</v>
      </c>
      <c r="R465" s="36"/>
      <c r="S465" s="37"/>
      <c r="T465" s="38"/>
      <c r="U465" s="39"/>
      <c r="V465" s="39"/>
      <c r="W465" s="40">
        <v>0</v>
      </c>
      <c r="X465" s="40">
        <v>0</v>
      </c>
      <c r="Y465" s="40">
        <v>0</v>
      </c>
      <c r="Z465" s="40">
        <v>0</v>
      </c>
      <c r="AA465" s="40">
        <v>0</v>
      </c>
      <c r="AB465" s="40">
        <v>0</v>
      </c>
      <c r="AC465" s="40">
        <v>0</v>
      </c>
      <c r="AD465" s="40">
        <v>0</v>
      </c>
      <c r="AE465" s="40">
        <v>0</v>
      </c>
      <c r="AF465" s="40">
        <v>0</v>
      </c>
      <c r="AG465" s="40">
        <v>0</v>
      </c>
      <c r="AH465" s="40">
        <v>0</v>
      </c>
      <c r="AI465" s="41">
        <f t="shared" si="56"/>
        <v>0</v>
      </c>
      <c r="AJ465" s="42">
        <v>1861</v>
      </c>
      <c r="AK465" s="42">
        <v>1861</v>
      </c>
      <c r="AL465" s="42">
        <v>573</v>
      </c>
      <c r="AM465" s="42">
        <v>1050</v>
      </c>
      <c r="AN465" s="42">
        <v>0</v>
      </c>
      <c r="AO465" s="42">
        <v>0</v>
      </c>
      <c r="AP465" s="42">
        <v>0</v>
      </c>
      <c r="AQ465" s="42">
        <v>942</v>
      </c>
      <c r="AR465" s="42">
        <v>1495</v>
      </c>
      <c r="AS465" s="42">
        <v>591</v>
      </c>
      <c r="AT465" s="42">
        <v>1492.1009999093044</v>
      </c>
      <c r="AU465" s="42">
        <v>0</v>
      </c>
      <c r="AV465" s="42">
        <f t="shared" si="57"/>
        <v>9865.1009999093039</v>
      </c>
      <c r="AW465" s="42">
        <v>0</v>
      </c>
      <c r="AX465" s="42">
        <v>0</v>
      </c>
      <c r="AY465" s="42">
        <v>0</v>
      </c>
      <c r="AZ465" s="42">
        <v>0</v>
      </c>
      <c r="BA465" s="42">
        <v>0</v>
      </c>
      <c r="BB465" s="42">
        <v>0</v>
      </c>
      <c r="BC465" s="42">
        <v>0</v>
      </c>
      <c r="BD465" s="42">
        <v>0</v>
      </c>
      <c r="BE465" s="42">
        <v>0</v>
      </c>
      <c r="BF465" s="42">
        <v>0</v>
      </c>
      <c r="BG465" s="42">
        <v>0</v>
      </c>
      <c r="BH465" s="42">
        <v>0</v>
      </c>
      <c r="BI465" s="42">
        <v>0</v>
      </c>
      <c r="BJ465" s="42">
        <v>0</v>
      </c>
      <c r="BK465" s="42">
        <v>0</v>
      </c>
      <c r="BL465" s="42">
        <v>0</v>
      </c>
      <c r="BM465" s="42">
        <v>0</v>
      </c>
      <c r="BN465" s="42">
        <v>0</v>
      </c>
      <c r="BO465" s="42">
        <v>0</v>
      </c>
      <c r="BP465" s="42">
        <v>0</v>
      </c>
      <c r="BQ465" s="42">
        <v>0</v>
      </c>
      <c r="BR465" s="42">
        <v>0</v>
      </c>
      <c r="BS465" s="42">
        <v>0</v>
      </c>
      <c r="BT465" s="42">
        <v>0</v>
      </c>
      <c r="BU465" s="42">
        <v>0</v>
      </c>
      <c r="BV465" s="42">
        <v>0</v>
      </c>
      <c r="BW465" s="42">
        <v>0</v>
      </c>
      <c r="BX465" s="42">
        <v>0</v>
      </c>
      <c r="BY465" s="42">
        <v>0</v>
      </c>
      <c r="BZ465" s="42">
        <v>0</v>
      </c>
      <c r="CA465" s="42">
        <v>0</v>
      </c>
      <c r="CB465" s="42">
        <v>0</v>
      </c>
      <c r="CC465" s="42">
        <v>0</v>
      </c>
      <c r="CD465" s="42">
        <v>0</v>
      </c>
      <c r="CE465" s="42">
        <v>0</v>
      </c>
      <c r="CF465" s="42">
        <v>0</v>
      </c>
      <c r="CG465" s="42">
        <v>0</v>
      </c>
      <c r="CH465" s="42">
        <v>0</v>
      </c>
      <c r="CI465" s="42">
        <v>0</v>
      </c>
      <c r="CJ465" s="42">
        <v>0</v>
      </c>
      <c r="CK465" s="43">
        <f t="shared" si="58"/>
        <v>0</v>
      </c>
      <c r="CL465" s="66"/>
      <c r="CM465" s="66">
        <v>0</v>
      </c>
      <c r="CN465" s="66">
        <v>0</v>
      </c>
      <c r="CO465" s="66">
        <v>0</v>
      </c>
      <c r="CP465" s="66">
        <v>0</v>
      </c>
      <c r="CQ465" s="66">
        <v>0</v>
      </c>
      <c r="CR465" s="66">
        <v>0</v>
      </c>
      <c r="CS465" s="66">
        <v>0</v>
      </c>
      <c r="CT465" s="66">
        <v>0</v>
      </c>
      <c r="CU465" s="66">
        <v>0</v>
      </c>
      <c r="CV465" s="66">
        <v>0</v>
      </c>
      <c r="CW465" s="66">
        <v>0</v>
      </c>
      <c r="CX465" s="66">
        <v>0</v>
      </c>
      <c r="CY465" s="66">
        <v>0</v>
      </c>
      <c r="CZ465" s="66">
        <v>0</v>
      </c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>
        <f>SUM(Table1[[#This Row],[01-03 Apr]:[Mar-26]])</f>
        <v>0</v>
      </c>
    </row>
    <row r="466" spans="1:115" x14ac:dyDescent="0.2">
      <c r="A466" s="28" t="s">
        <v>2255</v>
      </c>
      <c r="B466" s="29" t="s">
        <v>885</v>
      </c>
      <c r="C466" s="29" t="s">
        <v>886</v>
      </c>
      <c r="D466" s="30" t="s">
        <v>887</v>
      </c>
      <c r="E466" s="30" t="s">
        <v>297</v>
      </c>
      <c r="F466" s="30"/>
      <c r="G466" s="31" t="s">
        <v>873</v>
      </c>
      <c r="H466" s="30">
        <v>382424</v>
      </c>
      <c r="I466" s="30" t="str">
        <f>IF(Table1[[#This Row],[Centre Status]]="Returned","NA",IF(Table1[[#This Row],[SD]]&gt;19000,"Full Payment",IF(Table1[[#This Row],[SD]]&lt;1,"No Payment","Partial Payment")))</f>
        <v>Partial Payment</v>
      </c>
      <c r="J466" s="30" t="s">
        <v>58</v>
      </c>
      <c r="K466" s="32">
        <v>110000</v>
      </c>
      <c r="L466" s="33">
        <f>Q466+R466+U466+Table1[[#This Row],[Farmer Payment]]</f>
        <v>37360.057093252697</v>
      </c>
      <c r="M466" s="30"/>
      <c r="N466" s="34"/>
      <c r="O466" s="34"/>
      <c r="P466" s="35">
        <f t="shared" si="55"/>
        <v>72639.94290674731</v>
      </c>
      <c r="Q466" s="33">
        <f>AI466+AV466+CK466+Table1[[#This Row],[FY 25-26]]</f>
        <v>32360.057093252697</v>
      </c>
      <c r="R466" s="36">
        <v>5000</v>
      </c>
      <c r="S466" s="37" t="s">
        <v>888</v>
      </c>
      <c r="T466" s="38">
        <v>45016</v>
      </c>
      <c r="U466" s="39"/>
      <c r="V466" s="39"/>
      <c r="W466" s="40">
        <v>0</v>
      </c>
      <c r="X466" s="40">
        <v>0</v>
      </c>
      <c r="Y466" s="40">
        <v>0</v>
      </c>
      <c r="Z466" s="40">
        <v>0</v>
      </c>
      <c r="AA466" s="40">
        <v>0</v>
      </c>
      <c r="AB466" s="40">
        <v>0</v>
      </c>
      <c r="AC466" s="40">
        <v>0</v>
      </c>
      <c r="AD466" s="40">
        <v>0</v>
      </c>
      <c r="AE466" s="40">
        <v>0</v>
      </c>
      <c r="AF466" s="40">
        <v>0</v>
      </c>
      <c r="AG466" s="40">
        <v>0</v>
      </c>
      <c r="AH466" s="40">
        <v>0</v>
      </c>
      <c r="AI466" s="41">
        <f t="shared" si="56"/>
        <v>0</v>
      </c>
      <c r="AJ466" s="42">
        <v>1112</v>
      </c>
      <c r="AK466" s="42">
        <v>1861</v>
      </c>
      <c r="AL466" s="42">
        <v>0</v>
      </c>
      <c r="AM466" s="42">
        <v>1512</v>
      </c>
      <c r="AN466" s="42">
        <v>1356</v>
      </c>
      <c r="AO466" s="42">
        <v>1861</v>
      </c>
      <c r="AP466" s="42">
        <v>2414.4915999999998</v>
      </c>
      <c r="AQ466" s="42">
        <v>1861</v>
      </c>
      <c r="AR466" s="42">
        <v>0</v>
      </c>
      <c r="AS466" s="42">
        <v>0</v>
      </c>
      <c r="AT466" s="42">
        <v>0</v>
      </c>
      <c r="AU466" s="42">
        <v>70</v>
      </c>
      <c r="AV466" s="42">
        <f t="shared" si="57"/>
        <v>12047.491599999999</v>
      </c>
      <c r="AW466" s="42">
        <v>0</v>
      </c>
      <c r="AX466" s="42">
        <v>425</v>
      </c>
      <c r="AY466" s="42">
        <v>1056</v>
      </c>
      <c r="AZ466" s="42">
        <v>1861</v>
      </c>
      <c r="BA466" s="42">
        <v>1861</v>
      </c>
      <c r="BB466" s="42">
        <v>0</v>
      </c>
      <c r="BC466" s="42">
        <v>2289.5654932526941</v>
      </c>
      <c r="BD466" s="42">
        <v>0</v>
      </c>
      <c r="BE466" s="42">
        <v>0</v>
      </c>
      <c r="BF466" s="42">
        <v>0</v>
      </c>
      <c r="BG466" s="42">
        <v>0</v>
      </c>
      <c r="BH466" s="42">
        <v>0</v>
      </c>
      <c r="BI466" s="42">
        <v>1861</v>
      </c>
      <c r="BJ466" s="42">
        <v>0</v>
      </c>
      <c r="BK466" s="42">
        <v>0</v>
      </c>
      <c r="BL466" s="42">
        <v>0</v>
      </c>
      <c r="BM466" s="42">
        <v>0</v>
      </c>
      <c r="BN466" s="42">
        <v>1300</v>
      </c>
      <c r="BO466" s="42">
        <v>500</v>
      </c>
      <c r="BP466" s="42">
        <v>500</v>
      </c>
      <c r="BQ466" s="42">
        <v>500</v>
      </c>
      <c r="BR466" s="42">
        <v>500</v>
      </c>
      <c r="BS466" s="42">
        <v>0</v>
      </c>
      <c r="BT466" s="42">
        <v>500</v>
      </c>
      <c r="BU466" s="42">
        <v>500</v>
      </c>
      <c r="BV466" s="42">
        <v>0</v>
      </c>
      <c r="BW466" s="42">
        <v>0</v>
      </c>
      <c r="BX466" s="42">
        <v>0</v>
      </c>
      <c r="BY466" s="42">
        <v>1361</v>
      </c>
      <c r="BZ466" s="42">
        <v>0</v>
      </c>
      <c r="CA466" s="42">
        <v>0</v>
      </c>
      <c r="CB466" s="42">
        <v>0</v>
      </c>
      <c r="CC466" s="42">
        <v>0</v>
      </c>
      <c r="CD466" s="42">
        <v>1861</v>
      </c>
      <c r="CE466" s="42">
        <v>0</v>
      </c>
      <c r="CF466" s="42">
        <v>0</v>
      </c>
      <c r="CG466" s="42">
        <v>0</v>
      </c>
      <c r="CH466" s="42">
        <v>0</v>
      </c>
      <c r="CI466" s="42">
        <v>0</v>
      </c>
      <c r="CJ466" s="42">
        <v>1861</v>
      </c>
      <c r="CK466" s="43">
        <f t="shared" si="58"/>
        <v>18736.565493252696</v>
      </c>
      <c r="CL466" s="66"/>
      <c r="CM466" s="66">
        <v>0</v>
      </c>
      <c r="CN466" s="66">
        <v>0</v>
      </c>
      <c r="CO466" s="66">
        <v>0</v>
      </c>
      <c r="CP466" s="66">
        <v>1425</v>
      </c>
      <c r="CQ466" s="66">
        <v>0</v>
      </c>
      <c r="CR466" s="66">
        <v>0</v>
      </c>
      <c r="CS466" s="66">
        <v>0</v>
      </c>
      <c r="CT466" s="66">
        <v>0</v>
      </c>
      <c r="CU466" s="66">
        <v>0</v>
      </c>
      <c r="CV466" s="66">
        <v>151</v>
      </c>
      <c r="CW466" s="66">
        <v>0</v>
      </c>
      <c r="CX466" s="66">
        <v>0</v>
      </c>
      <c r="CY466" s="66">
        <v>0</v>
      </c>
      <c r="CZ466" s="66">
        <v>0</v>
      </c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>
        <f>SUM(Table1[[#This Row],[01-03 Apr]:[Mar-26]])</f>
        <v>1576</v>
      </c>
    </row>
    <row r="467" spans="1:115" x14ac:dyDescent="0.2">
      <c r="A467" s="28" t="s">
        <v>2255</v>
      </c>
      <c r="B467" s="29" t="s">
        <v>889</v>
      </c>
      <c r="C467" s="29" t="s">
        <v>890</v>
      </c>
      <c r="D467" s="30" t="s">
        <v>891</v>
      </c>
      <c r="E467" s="30" t="s">
        <v>203</v>
      </c>
      <c r="F467" s="30"/>
      <c r="G467" s="31">
        <v>45007</v>
      </c>
      <c r="H467" s="30">
        <v>378240</v>
      </c>
      <c r="I467" s="30" t="str">
        <f>IF(Table1[[#This Row],[Centre Status]]="Returned","NA",IF(Table1[[#This Row],[SD]]&gt;19000,"Full Payment",IF(Table1[[#This Row],[SD]]&lt;1,"No Payment","Partial Payment")))</f>
        <v>No Payment</v>
      </c>
      <c r="J467" s="30" t="s">
        <v>58</v>
      </c>
      <c r="K467" s="32">
        <v>110000</v>
      </c>
      <c r="L467" s="33">
        <f>Q467+R467+U467+Table1[[#This Row],[Farmer Payment]]</f>
        <v>63709.942957273335</v>
      </c>
      <c r="M467" s="30"/>
      <c r="N467" s="34"/>
      <c r="O467" s="34"/>
      <c r="P467" s="35">
        <f t="shared" si="55"/>
        <v>46290.057042726665</v>
      </c>
      <c r="Q467" s="33">
        <f>AI467+AV467+CK467+Table1[[#This Row],[FY 25-26]]</f>
        <v>63709.942957273335</v>
      </c>
      <c r="R467" s="36"/>
      <c r="S467" s="37"/>
      <c r="T467" s="38"/>
      <c r="U467" s="39"/>
      <c r="V467" s="39"/>
      <c r="W467" s="40">
        <v>0</v>
      </c>
      <c r="X467" s="40">
        <v>0</v>
      </c>
      <c r="Y467" s="40">
        <v>0</v>
      </c>
      <c r="Z467" s="40">
        <v>0</v>
      </c>
      <c r="AA467" s="40">
        <v>0</v>
      </c>
      <c r="AB467" s="40">
        <v>0</v>
      </c>
      <c r="AC467" s="40">
        <v>0</v>
      </c>
      <c r="AD467" s="40">
        <v>0</v>
      </c>
      <c r="AE467" s="40">
        <v>0</v>
      </c>
      <c r="AF467" s="40">
        <v>0</v>
      </c>
      <c r="AG467" s="40">
        <v>0</v>
      </c>
      <c r="AH467" s="40">
        <v>406</v>
      </c>
      <c r="AI467" s="41">
        <f t="shared" si="56"/>
        <v>406</v>
      </c>
      <c r="AJ467" s="42">
        <v>1861</v>
      </c>
      <c r="AK467" s="42">
        <v>2892.8934000000004</v>
      </c>
      <c r="AL467" s="42">
        <v>2791.8721999999998</v>
      </c>
      <c r="AM467" s="42">
        <v>3491.4371999999998</v>
      </c>
      <c r="AN467" s="42">
        <v>3074.5642000000007</v>
      </c>
      <c r="AO467" s="42">
        <v>3538.6224000000007</v>
      </c>
      <c r="AP467" s="42">
        <v>3970.7948000000001</v>
      </c>
      <c r="AQ467" s="42">
        <v>2369.127</v>
      </c>
      <c r="AR467" s="42">
        <v>2559.6327999999999</v>
      </c>
      <c r="AS467" s="42">
        <v>3669.6852000000003</v>
      </c>
      <c r="AT467" s="42">
        <v>3275.7410000000004</v>
      </c>
      <c r="AU467" s="42">
        <v>3213.6292000000003</v>
      </c>
      <c r="AV467" s="42">
        <f t="shared" si="57"/>
        <v>36708.999400000008</v>
      </c>
      <c r="AW467" s="42">
        <v>2436.6166484810001</v>
      </c>
      <c r="AX467" s="42">
        <v>1861</v>
      </c>
      <c r="AY467" s="42">
        <v>1861</v>
      </c>
      <c r="AZ467" s="42">
        <v>1677</v>
      </c>
      <c r="BA467" s="42">
        <v>1269</v>
      </c>
      <c r="BB467" s="42">
        <v>500</v>
      </c>
      <c r="BC467" s="42">
        <v>861</v>
      </c>
      <c r="BD467" s="42">
        <v>500</v>
      </c>
      <c r="BE467" s="42">
        <v>0</v>
      </c>
      <c r="BF467" s="42">
        <v>0</v>
      </c>
      <c r="BG467" s="42">
        <v>0</v>
      </c>
      <c r="BH467" s="42">
        <v>0</v>
      </c>
      <c r="BI467" s="42">
        <v>1861</v>
      </c>
      <c r="BJ467" s="42">
        <v>0</v>
      </c>
      <c r="BK467" s="42">
        <v>0</v>
      </c>
      <c r="BL467" s="42">
        <v>0</v>
      </c>
      <c r="BM467" s="42">
        <v>0</v>
      </c>
      <c r="BN467" s="42">
        <v>1861</v>
      </c>
      <c r="BO467" s="42">
        <v>0</v>
      </c>
      <c r="BP467" s="42">
        <v>0</v>
      </c>
      <c r="BQ467" s="42">
        <v>0</v>
      </c>
      <c r="BR467" s="42">
        <v>0</v>
      </c>
      <c r="BS467" s="42">
        <v>2162.3047594752002</v>
      </c>
      <c r="BT467" s="42">
        <v>0</v>
      </c>
      <c r="BU467" s="42">
        <v>0</v>
      </c>
      <c r="BV467" s="42">
        <v>0</v>
      </c>
      <c r="BW467" s="42">
        <v>0</v>
      </c>
      <c r="BX467" s="42">
        <v>0</v>
      </c>
      <c r="BY467" s="42">
        <v>2271.5750172672001</v>
      </c>
      <c r="BZ467" s="42">
        <v>0</v>
      </c>
      <c r="CA467" s="42">
        <v>0</v>
      </c>
      <c r="CB467" s="42">
        <v>0</v>
      </c>
      <c r="CC467" s="42">
        <v>0</v>
      </c>
      <c r="CD467" s="42">
        <v>1890.4471320499201</v>
      </c>
      <c r="CE467" s="42">
        <v>0</v>
      </c>
      <c r="CF467" s="42">
        <v>0</v>
      </c>
      <c r="CG467" s="42">
        <v>0</v>
      </c>
      <c r="CH467" s="42">
        <v>0</v>
      </c>
      <c r="CI467" s="42">
        <v>0</v>
      </c>
      <c r="CJ467" s="42">
        <v>1861</v>
      </c>
      <c r="CK467" s="43">
        <f t="shared" si="58"/>
        <v>22872.943557273324</v>
      </c>
      <c r="CL467" s="66"/>
      <c r="CM467" s="66">
        <v>0</v>
      </c>
      <c r="CN467" s="66">
        <v>0</v>
      </c>
      <c r="CO467" s="66">
        <v>0</v>
      </c>
      <c r="CP467" s="66">
        <v>1861</v>
      </c>
      <c r="CQ467" s="66">
        <v>0</v>
      </c>
      <c r="CR467" s="66">
        <v>0</v>
      </c>
      <c r="CS467" s="66">
        <v>0</v>
      </c>
      <c r="CT467" s="66">
        <v>0</v>
      </c>
      <c r="CU467" s="66">
        <v>0</v>
      </c>
      <c r="CV467" s="66">
        <v>1861</v>
      </c>
      <c r="CW467" s="66">
        <v>0</v>
      </c>
      <c r="CX467" s="66">
        <v>0</v>
      </c>
      <c r="CY467" s="66">
        <v>0</v>
      </c>
      <c r="CZ467" s="66">
        <v>0</v>
      </c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>
        <f>SUM(Table1[[#This Row],[01-03 Apr]:[Mar-26]])</f>
        <v>3722</v>
      </c>
    </row>
    <row r="468" spans="1:115" hidden="1" x14ac:dyDescent="0.2">
      <c r="A468" s="28" t="s">
        <v>2255</v>
      </c>
      <c r="B468" s="29" t="s">
        <v>895</v>
      </c>
      <c r="C468" s="29" t="s">
        <v>896</v>
      </c>
      <c r="D468" s="30" t="s">
        <v>897</v>
      </c>
      <c r="E468" s="30" t="s">
        <v>203</v>
      </c>
      <c r="F468" s="30"/>
      <c r="G468" s="31">
        <v>45007</v>
      </c>
      <c r="H468" s="30">
        <v>382433</v>
      </c>
      <c r="I468" s="30" t="str">
        <f>IF(Table1[[#This Row],[Centre Status]]="Returned","NA",IF(Table1[[#This Row],[SD]]&gt;19000,"Full Payment",IF(Table1[[#This Row],[SD]]&lt;1,"No Payment","Partial Payment")))</f>
        <v>NA</v>
      </c>
      <c r="J468" s="30" t="s">
        <v>1903</v>
      </c>
      <c r="K468" s="32">
        <v>110000</v>
      </c>
      <c r="L468" s="33">
        <f>Q468+R468+U468+Table1[[#This Row],[Farmer Payment]]</f>
        <v>35654.218000000001</v>
      </c>
      <c r="M468" s="30">
        <v>10000</v>
      </c>
      <c r="N468" s="34">
        <v>45560</v>
      </c>
      <c r="O468" s="34" t="s">
        <v>2634</v>
      </c>
      <c r="P468" s="35">
        <f t="shared" si="55"/>
        <v>84345.782000000007</v>
      </c>
      <c r="Q468" s="33">
        <f>AI468+AV468+CK468+Table1[[#This Row],[FY 25-26]]</f>
        <v>25654.218000000001</v>
      </c>
      <c r="R468" s="36">
        <v>10000</v>
      </c>
      <c r="S468" s="37" t="s">
        <v>1253</v>
      </c>
      <c r="T468" s="38">
        <v>45028</v>
      </c>
      <c r="U468" s="39"/>
      <c r="V468" s="39"/>
      <c r="W468" s="40">
        <v>0</v>
      </c>
      <c r="X468" s="40">
        <v>0</v>
      </c>
      <c r="Y468" s="40">
        <v>0</v>
      </c>
      <c r="Z468" s="40">
        <v>0</v>
      </c>
      <c r="AA468" s="40">
        <v>0</v>
      </c>
      <c r="AB468" s="40">
        <v>0</v>
      </c>
      <c r="AC468" s="40">
        <v>0</v>
      </c>
      <c r="AD468" s="40">
        <v>0</v>
      </c>
      <c r="AE468" s="40">
        <v>0</v>
      </c>
      <c r="AF468" s="40">
        <v>0</v>
      </c>
      <c r="AG468" s="40">
        <v>0</v>
      </c>
      <c r="AH468" s="40">
        <v>856</v>
      </c>
      <c r="AI468" s="41">
        <f t="shared" si="56"/>
        <v>856</v>
      </c>
      <c r="AJ468" s="42">
        <v>1861</v>
      </c>
      <c r="AK468" s="42">
        <v>1861</v>
      </c>
      <c r="AL468" s="42">
        <v>1861</v>
      </c>
      <c r="AM468" s="42">
        <v>1861</v>
      </c>
      <c r="AN468" s="42">
        <v>1861</v>
      </c>
      <c r="AO468" s="42">
        <v>1861</v>
      </c>
      <c r="AP468" s="42">
        <v>2175.1062000000002</v>
      </c>
      <c r="AQ468" s="42">
        <v>1861</v>
      </c>
      <c r="AR468" s="42">
        <v>1861</v>
      </c>
      <c r="AS468" s="42">
        <v>2001.1118000000004</v>
      </c>
      <c r="AT468" s="42">
        <v>1861</v>
      </c>
      <c r="AU468" s="42">
        <v>1861</v>
      </c>
      <c r="AV468" s="42">
        <f t="shared" si="57"/>
        <v>22786.218000000001</v>
      </c>
      <c r="AW468" s="42">
        <v>758</v>
      </c>
      <c r="AX468" s="42">
        <v>1012</v>
      </c>
      <c r="AY468" s="42">
        <v>242</v>
      </c>
      <c r="AZ468" s="42">
        <v>0</v>
      </c>
      <c r="BA468" s="42">
        <v>0</v>
      </c>
      <c r="BB468" s="42">
        <v>0</v>
      </c>
      <c r="BC468" s="42">
        <v>0</v>
      </c>
      <c r="BD468" s="42">
        <v>0</v>
      </c>
      <c r="BE468" s="42">
        <v>0</v>
      </c>
      <c r="BF468" s="42">
        <v>0</v>
      </c>
      <c r="BG468" s="42">
        <v>0</v>
      </c>
      <c r="BH468" s="42">
        <v>0</v>
      </c>
      <c r="BI468" s="42">
        <v>0</v>
      </c>
      <c r="BJ468" s="42">
        <v>0</v>
      </c>
      <c r="BK468" s="42">
        <v>0</v>
      </c>
      <c r="BL468" s="42">
        <v>0</v>
      </c>
      <c r="BM468" s="42">
        <v>0</v>
      </c>
      <c r="BN468" s="42">
        <v>0</v>
      </c>
      <c r="BO468" s="42">
        <v>0</v>
      </c>
      <c r="BP468" s="42">
        <v>0</v>
      </c>
      <c r="BQ468" s="42">
        <v>0</v>
      </c>
      <c r="BR468" s="42">
        <v>0</v>
      </c>
      <c r="BS468" s="42">
        <v>0</v>
      </c>
      <c r="BT468" s="42">
        <v>0</v>
      </c>
      <c r="BU468" s="42">
        <v>0</v>
      </c>
      <c r="BV468" s="42">
        <v>0</v>
      </c>
      <c r="BW468" s="42">
        <v>0</v>
      </c>
      <c r="BX468" s="42">
        <v>0</v>
      </c>
      <c r="BY468" s="42">
        <v>0</v>
      </c>
      <c r="BZ468" s="42">
        <v>0</v>
      </c>
      <c r="CA468" s="42">
        <v>0</v>
      </c>
      <c r="CB468" s="42">
        <v>0</v>
      </c>
      <c r="CC468" s="42">
        <v>0</v>
      </c>
      <c r="CD468" s="42">
        <v>0</v>
      </c>
      <c r="CE468" s="42">
        <v>0</v>
      </c>
      <c r="CF468" s="42">
        <v>0</v>
      </c>
      <c r="CG468" s="42">
        <v>0</v>
      </c>
      <c r="CH468" s="42">
        <v>0</v>
      </c>
      <c r="CI468" s="42">
        <v>0</v>
      </c>
      <c r="CJ468" s="42">
        <v>0</v>
      </c>
      <c r="CK468" s="43">
        <f t="shared" si="58"/>
        <v>2012</v>
      </c>
      <c r="CL468" s="66"/>
      <c r="CM468" s="66">
        <v>0</v>
      </c>
      <c r="CN468" s="66">
        <v>0</v>
      </c>
      <c r="CO468" s="66">
        <v>0</v>
      </c>
      <c r="CP468" s="66">
        <v>0</v>
      </c>
      <c r="CQ468" s="66">
        <v>0</v>
      </c>
      <c r="CR468" s="66">
        <v>0</v>
      </c>
      <c r="CS468" s="66">
        <v>0</v>
      </c>
      <c r="CT468" s="66">
        <v>0</v>
      </c>
      <c r="CU468" s="66">
        <v>0</v>
      </c>
      <c r="CV468" s="66">
        <v>0</v>
      </c>
      <c r="CW468" s="66">
        <v>0</v>
      </c>
      <c r="CX468" s="66">
        <v>0</v>
      </c>
      <c r="CY468" s="66">
        <v>0</v>
      </c>
      <c r="CZ468" s="66">
        <v>0</v>
      </c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>
        <f>SUM(Table1[[#This Row],[01-03 Apr]:[Mar-26]])</f>
        <v>0</v>
      </c>
    </row>
    <row r="469" spans="1:115" x14ac:dyDescent="0.2">
      <c r="A469" s="28" t="s">
        <v>2255</v>
      </c>
      <c r="B469" s="29" t="s">
        <v>898</v>
      </c>
      <c r="C469" s="29" t="s">
        <v>899</v>
      </c>
      <c r="D469" s="30" t="s">
        <v>129</v>
      </c>
      <c r="E469" s="30" t="s">
        <v>203</v>
      </c>
      <c r="F469" s="30"/>
      <c r="G469" s="31">
        <v>45007</v>
      </c>
      <c r="H469" s="30">
        <v>385568</v>
      </c>
      <c r="I469" s="30" t="str">
        <f>IF(Table1[[#This Row],[Centre Status]]="Returned","NA",IF(Table1[[#This Row],[SD]]&gt;19000,"Full Payment",IF(Table1[[#This Row],[SD]]&lt;1,"No Payment","Partial Payment")))</f>
        <v>No Payment</v>
      </c>
      <c r="J469" s="30" t="s">
        <v>58</v>
      </c>
      <c r="K469" s="32">
        <v>110000</v>
      </c>
      <c r="L469" s="33">
        <f>Q469+R469+U469+Table1[[#This Row],[Farmer Payment]]</f>
        <v>19118</v>
      </c>
      <c r="M469" s="30"/>
      <c r="N469" s="34"/>
      <c r="O469" s="34"/>
      <c r="P469" s="35">
        <f t="shared" si="55"/>
        <v>90882</v>
      </c>
      <c r="Q469" s="33">
        <f>AI469+AV469+CK469+Table1[[#This Row],[FY 25-26]]</f>
        <v>19118</v>
      </c>
      <c r="R469" s="36"/>
      <c r="S469" s="37"/>
      <c r="T469" s="38"/>
      <c r="U469" s="39"/>
      <c r="V469" s="39"/>
      <c r="W469" s="40">
        <v>0</v>
      </c>
      <c r="X469" s="40">
        <v>0</v>
      </c>
      <c r="Y469" s="40">
        <v>0</v>
      </c>
      <c r="Z469" s="40">
        <v>0</v>
      </c>
      <c r="AA469" s="40">
        <v>0</v>
      </c>
      <c r="AB469" s="40">
        <v>0</v>
      </c>
      <c r="AC469" s="40">
        <v>0</v>
      </c>
      <c r="AD469" s="40">
        <v>0</v>
      </c>
      <c r="AE469" s="40">
        <v>0</v>
      </c>
      <c r="AF469" s="40">
        <v>0</v>
      </c>
      <c r="AG469" s="40">
        <v>0</v>
      </c>
      <c r="AH469" s="40">
        <v>190</v>
      </c>
      <c r="AI469" s="41">
        <f t="shared" si="56"/>
        <v>190</v>
      </c>
      <c r="AJ469" s="42">
        <v>1286</v>
      </c>
      <c r="AK469" s="42">
        <v>1576</v>
      </c>
      <c r="AL469" s="42">
        <v>1861</v>
      </c>
      <c r="AM469" s="42">
        <v>860</v>
      </c>
      <c r="AN469" s="42">
        <v>1635</v>
      </c>
      <c r="AO469" s="42">
        <v>1861</v>
      </c>
      <c r="AP469" s="42">
        <v>1653</v>
      </c>
      <c r="AQ469" s="42">
        <v>0</v>
      </c>
      <c r="AR469" s="42">
        <v>0</v>
      </c>
      <c r="AS469" s="42">
        <v>464</v>
      </c>
      <c r="AT469" s="42">
        <v>0</v>
      </c>
      <c r="AU469" s="42">
        <v>0</v>
      </c>
      <c r="AV469" s="42">
        <f t="shared" si="57"/>
        <v>11196</v>
      </c>
      <c r="AW469" s="42">
        <v>232</v>
      </c>
      <c r="AX469" s="42">
        <v>0</v>
      </c>
      <c r="AY469" s="42">
        <v>0</v>
      </c>
      <c r="AZ469" s="42">
        <v>0</v>
      </c>
      <c r="BA469" s="42">
        <v>0</v>
      </c>
      <c r="BB469" s="42">
        <v>500</v>
      </c>
      <c r="BC469" s="42">
        <v>0</v>
      </c>
      <c r="BD469" s="42">
        <v>500</v>
      </c>
      <c r="BE469" s="42">
        <v>500</v>
      </c>
      <c r="BF469" s="42">
        <v>500</v>
      </c>
      <c r="BG469" s="42">
        <v>500</v>
      </c>
      <c r="BH469" s="42">
        <v>500</v>
      </c>
      <c r="BI469" s="42">
        <v>0</v>
      </c>
      <c r="BJ469" s="42">
        <v>500</v>
      </c>
      <c r="BK469" s="42">
        <v>500</v>
      </c>
      <c r="BL469" s="42">
        <v>500</v>
      </c>
      <c r="BM469" s="42">
        <v>500</v>
      </c>
      <c r="BN469" s="42">
        <v>0</v>
      </c>
      <c r="BO469" s="42">
        <v>500</v>
      </c>
      <c r="BP469" s="42">
        <v>500</v>
      </c>
      <c r="BQ469" s="42">
        <v>500</v>
      </c>
      <c r="BR469" s="42">
        <v>500</v>
      </c>
      <c r="BS469" s="42">
        <v>0</v>
      </c>
      <c r="BT469" s="42">
        <v>500</v>
      </c>
      <c r="BU469" s="42">
        <v>0</v>
      </c>
      <c r="BV469" s="42">
        <v>0</v>
      </c>
      <c r="BW469" s="42">
        <v>0</v>
      </c>
      <c r="BX469" s="42">
        <v>0</v>
      </c>
      <c r="BY469" s="42">
        <v>0</v>
      </c>
      <c r="BZ469" s="42">
        <v>0</v>
      </c>
      <c r="CA469" s="42">
        <v>0</v>
      </c>
      <c r="CB469" s="42">
        <v>0</v>
      </c>
      <c r="CC469" s="42">
        <v>0</v>
      </c>
      <c r="CD469" s="42">
        <v>0</v>
      </c>
      <c r="CE469" s="42">
        <v>0</v>
      </c>
      <c r="CF469" s="42">
        <v>0</v>
      </c>
      <c r="CG469" s="42">
        <v>0</v>
      </c>
      <c r="CH469" s="42">
        <v>0</v>
      </c>
      <c r="CI469" s="42">
        <v>0</v>
      </c>
      <c r="CJ469" s="42">
        <v>0</v>
      </c>
      <c r="CK469" s="43">
        <f t="shared" si="58"/>
        <v>7732</v>
      </c>
      <c r="CL469" s="66"/>
      <c r="CM469" s="66">
        <v>0</v>
      </c>
      <c r="CN469" s="66">
        <v>0</v>
      </c>
      <c r="CO469" s="66">
        <v>0</v>
      </c>
      <c r="CP469" s="66">
        <v>0</v>
      </c>
      <c r="CQ469" s="66">
        <v>0</v>
      </c>
      <c r="CR469" s="66">
        <v>0</v>
      </c>
      <c r="CS469" s="66">
        <v>0</v>
      </c>
      <c r="CT469" s="66">
        <v>0</v>
      </c>
      <c r="CU469" s="66">
        <v>0</v>
      </c>
      <c r="CV469" s="66">
        <v>0</v>
      </c>
      <c r="CW469" s="66">
        <v>0</v>
      </c>
      <c r="CX469" s="66">
        <v>0</v>
      </c>
      <c r="CY469" s="66">
        <v>0</v>
      </c>
      <c r="CZ469" s="66">
        <v>0</v>
      </c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>
        <f>SUM(Table1[[#This Row],[01-03 Apr]:[Mar-26]])</f>
        <v>0</v>
      </c>
    </row>
    <row r="470" spans="1:115" x14ac:dyDescent="0.2">
      <c r="A470" s="28" t="s">
        <v>2255</v>
      </c>
      <c r="B470" s="29" t="s">
        <v>900</v>
      </c>
      <c r="C470" s="29" t="s">
        <v>901</v>
      </c>
      <c r="D470" s="30" t="s">
        <v>902</v>
      </c>
      <c r="E470" s="30" t="s">
        <v>203</v>
      </c>
      <c r="F470" s="30"/>
      <c r="G470" s="31">
        <v>45007</v>
      </c>
      <c r="H470" s="30">
        <v>385557</v>
      </c>
      <c r="I470" s="30" t="str">
        <f>IF(Table1[[#This Row],[Centre Status]]="Returned","NA",IF(Table1[[#This Row],[SD]]&gt;19000,"Full Payment",IF(Table1[[#This Row],[SD]]&lt;1,"No Payment","Partial Payment")))</f>
        <v>No Payment</v>
      </c>
      <c r="J470" s="30" t="s">
        <v>58</v>
      </c>
      <c r="K470" s="32">
        <v>110000</v>
      </c>
      <c r="L470" s="33">
        <f>Q470+R470+U470+Table1[[#This Row],[Farmer Payment]]</f>
        <v>2689</v>
      </c>
      <c r="M470" s="30"/>
      <c r="N470" s="34"/>
      <c r="O470" s="34"/>
      <c r="P470" s="35">
        <f t="shared" si="55"/>
        <v>107311</v>
      </c>
      <c r="Q470" s="33">
        <f>AI470+AV470+CK470+Table1[[#This Row],[FY 25-26]]</f>
        <v>2689</v>
      </c>
      <c r="R470" s="36"/>
      <c r="S470" s="37"/>
      <c r="T470" s="38"/>
      <c r="U470" s="39"/>
      <c r="V470" s="39"/>
      <c r="W470" s="40">
        <v>0</v>
      </c>
      <c r="X470" s="40">
        <v>0</v>
      </c>
      <c r="Y470" s="40">
        <v>0</v>
      </c>
      <c r="Z470" s="40">
        <v>0</v>
      </c>
      <c r="AA470" s="40">
        <v>0</v>
      </c>
      <c r="AB470" s="40">
        <v>0</v>
      </c>
      <c r="AC470" s="40">
        <v>0</v>
      </c>
      <c r="AD470" s="40">
        <v>0</v>
      </c>
      <c r="AE470" s="40">
        <v>0</v>
      </c>
      <c r="AF470" s="40">
        <v>0</v>
      </c>
      <c r="AG470" s="40">
        <v>0</v>
      </c>
      <c r="AH470" s="40">
        <v>169</v>
      </c>
      <c r="AI470" s="41">
        <f t="shared" si="56"/>
        <v>169</v>
      </c>
      <c r="AJ470" s="42">
        <v>985</v>
      </c>
      <c r="AK470" s="42">
        <v>872</v>
      </c>
      <c r="AL470" s="42">
        <v>0</v>
      </c>
      <c r="AM470" s="42">
        <v>0</v>
      </c>
      <c r="AN470" s="42">
        <v>0</v>
      </c>
      <c r="AO470" s="42">
        <v>0</v>
      </c>
      <c r="AP470" s="42">
        <v>663</v>
      </c>
      <c r="AQ470" s="42">
        <v>0</v>
      </c>
      <c r="AR470" s="42">
        <v>0</v>
      </c>
      <c r="AS470" s="42">
        <v>0</v>
      </c>
      <c r="AT470" s="42">
        <v>0</v>
      </c>
      <c r="AU470" s="42">
        <v>0</v>
      </c>
      <c r="AV470" s="42">
        <f t="shared" si="57"/>
        <v>2520</v>
      </c>
      <c r="AW470" s="42">
        <v>0</v>
      </c>
      <c r="AX470" s="42">
        <v>0</v>
      </c>
      <c r="AY470" s="42">
        <v>0</v>
      </c>
      <c r="AZ470" s="42">
        <v>0</v>
      </c>
      <c r="BA470" s="42">
        <v>0</v>
      </c>
      <c r="BB470" s="42">
        <v>0</v>
      </c>
      <c r="BC470" s="42">
        <v>0</v>
      </c>
      <c r="BD470" s="42">
        <v>0</v>
      </c>
      <c r="BE470" s="42">
        <v>0</v>
      </c>
      <c r="BF470" s="42">
        <v>0</v>
      </c>
      <c r="BG470" s="42">
        <v>0</v>
      </c>
      <c r="BH470" s="42">
        <v>0</v>
      </c>
      <c r="BI470" s="42">
        <v>0</v>
      </c>
      <c r="BJ470" s="42">
        <v>0</v>
      </c>
      <c r="BK470" s="42">
        <v>0</v>
      </c>
      <c r="BL470" s="42">
        <v>0</v>
      </c>
      <c r="BM470" s="42">
        <v>0</v>
      </c>
      <c r="BN470" s="42">
        <v>0</v>
      </c>
      <c r="BO470" s="42">
        <v>0</v>
      </c>
      <c r="BP470" s="42">
        <v>0</v>
      </c>
      <c r="BQ470" s="42">
        <v>0</v>
      </c>
      <c r="BR470" s="42">
        <v>0</v>
      </c>
      <c r="BS470" s="42">
        <v>0</v>
      </c>
      <c r="BT470" s="42">
        <v>0</v>
      </c>
      <c r="BU470" s="42">
        <v>0</v>
      </c>
      <c r="BV470" s="42">
        <v>0</v>
      </c>
      <c r="BW470" s="42">
        <v>0</v>
      </c>
      <c r="BX470" s="42">
        <v>0</v>
      </c>
      <c r="BY470" s="42">
        <v>0</v>
      </c>
      <c r="BZ470" s="42">
        <v>0</v>
      </c>
      <c r="CA470" s="42">
        <v>0</v>
      </c>
      <c r="CB470" s="42">
        <v>0</v>
      </c>
      <c r="CC470" s="42">
        <v>0</v>
      </c>
      <c r="CD470" s="42">
        <v>0</v>
      </c>
      <c r="CE470" s="42">
        <v>0</v>
      </c>
      <c r="CF470" s="42">
        <v>0</v>
      </c>
      <c r="CG470" s="42">
        <v>0</v>
      </c>
      <c r="CH470" s="42">
        <v>0</v>
      </c>
      <c r="CI470" s="42">
        <v>0</v>
      </c>
      <c r="CJ470" s="42">
        <v>0</v>
      </c>
      <c r="CK470" s="43">
        <f t="shared" si="58"/>
        <v>0</v>
      </c>
      <c r="CL470" s="66"/>
      <c r="CM470" s="66">
        <v>0</v>
      </c>
      <c r="CN470" s="66">
        <v>0</v>
      </c>
      <c r="CO470" s="66">
        <v>0</v>
      </c>
      <c r="CP470" s="66">
        <v>0</v>
      </c>
      <c r="CQ470" s="66">
        <v>0</v>
      </c>
      <c r="CR470" s="66">
        <v>0</v>
      </c>
      <c r="CS470" s="66">
        <v>0</v>
      </c>
      <c r="CT470" s="66">
        <v>0</v>
      </c>
      <c r="CU470" s="66">
        <v>0</v>
      </c>
      <c r="CV470" s="66">
        <v>0</v>
      </c>
      <c r="CW470" s="66">
        <v>0</v>
      </c>
      <c r="CX470" s="66">
        <v>0</v>
      </c>
      <c r="CY470" s="66">
        <v>0</v>
      </c>
      <c r="CZ470" s="66">
        <v>0</v>
      </c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>
        <f>SUM(Table1[[#This Row],[01-03 Apr]:[Mar-26]])</f>
        <v>0</v>
      </c>
    </row>
    <row r="471" spans="1:115" hidden="1" x14ac:dyDescent="0.2">
      <c r="A471" s="28"/>
      <c r="B471" s="29"/>
      <c r="C471" s="29" t="s">
        <v>3245</v>
      </c>
      <c r="D471" s="30" t="s">
        <v>2908</v>
      </c>
      <c r="E471" s="30" t="s">
        <v>906</v>
      </c>
      <c r="F471" s="30"/>
      <c r="G471" s="31">
        <v>45678</v>
      </c>
      <c r="H471" s="30">
        <v>368627</v>
      </c>
      <c r="I471" s="30" t="str">
        <f>IF(Table1[[#This Row],[Centre Status]]="Returned","NA",IF(Table1[[#This Row],[SD]]&gt;19000,"Full Payment",IF(Table1[[#This Row],[SD]]&lt;1,"No Payment","Partial Payment")))</f>
        <v>Full Payment</v>
      </c>
      <c r="J471" s="30" t="s">
        <v>58</v>
      </c>
      <c r="K471" s="32">
        <v>110000</v>
      </c>
      <c r="L471" s="33">
        <f>Q471+R471+U471+Table1[[#This Row],[Farmer Payment]]</f>
        <v>38093.593605324801</v>
      </c>
      <c r="M471" s="30"/>
      <c r="N471" s="34"/>
      <c r="O471" s="34"/>
      <c r="P471" s="35">
        <f>K471-L471+M471</f>
        <v>71906.406394675199</v>
      </c>
      <c r="Q471" s="33">
        <f>AI471+AV471+CK471+Table1[[#This Row],[FY 25-26]]</f>
        <v>18093.593605324801</v>
      </c>
      <c r="R471" s="36">
        <v>20000</v>
      </c>
      <c r="S471" s="37" t="s">
        <v>2913</v>
      </c>
      <c r="T471" s="38">
        <v>45575</v>
      </c>
      <c r="U471" s="39"/>
      <c r="V471" s="39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1">
        <f>SUM(W471:AH471)</f>
        <v>0</v>
      </c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>
        <f>SUM(AJ471:AU471)</f>
        <v>0</v>
      </c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  <c r="BO471" s="42"/>
      <c r="BP471" s="42">
        <v>0</v>
      </c>
      <c r="BQ471" s="42"/>
      <c r="BR471" s="42">
        <v>0</v>
      </c>
      <c r="BS471" s="42"/>
      <c r="BT471" s="42"/>
      <c r="BU471" s="42"/>
      <c r="BV471" s="42">
        <v>0</v>
      </c>
      <c r="BW471" s="42">
        <v>0</v>
      </c>
      <c r="BX471" s="42">
        <v>0</v>
      </c>
      <c r="BY471" s="42">
        <v>0</v>
      </c>
      <c r="BZ471" s="42">
        <v>0</v>
      </c>
      <c r="CA471" s="42">
        <v>0</v>
      </c>
      <c r="CB471" s="42">
        <v>0</v>
      </c>
      <c r="CC471" s="42">
        <v>0</v>
      </c>
      <c r="CD471" s="42">
        <v>0</v>
      </c>
      <c r="CE471" s="42">
        <v>0</v>
      </c>
      <c r="CF471" s="42">
        <v>0</v>
      </c>
      <c r="CG471" s="42">
        <v>0</v>
      </c>
      <c r="CH471" s="42">
        <v>0</v>
      </c>
      <c r="CI471" s="42">
        <v>0</v>
      </c>
      <c r="CJ471" s="42">
        <v>5332.9978093056006</v>
      </c>
      <c r="CK471" s="43">
        <f>SUM(AW471:CJ471)</f>
        <v>5332.9978093056006</v>
      </c>
      <c r="CL471" s="66"/>
      <c r="CM471" s="66">
        <v>0</v>
      </c>
      <c r="CN471" s="66">
        <v>0</v>
      </c>
      <c r="CO471" s="66">
        <v>0</v>
      </c>
      <c r="CP471" s="66">
        <v>6746.4254805503997</v>
      </c>
      <c r="CQ471" s="66">
        <v>0</v>
      </c>
      <c r="CR471" s="66">
        <v>0</v>
      </c>
      <c r="CS471" s="66">
        <v>0</v>
      </c>
      <c r="CT471" s="66">
        <v>0</v>
      </c>
      <c r="CU471" s="66">
        <v>0</v>
      </c>
      <c r="CV471" s="66">
        <v>6014.1703154688003</v>
      </c>
      <c r="CW471" s="66">
        <v>0</v>
      </c>
      <c r="CX471" s="66">
        <v>0</v>
      </c>
      <c r="CY471" s="66">
        <v>0</v>
      </c>
      <c r="CZ471" s="66">
        <v>0</v>
      </c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>
        <f>SUM(Table1[[#This Row],[01-03 Apr]:[Mar-26]])</f>
        <v>12760.595796019199</v>
      </c>
    </row>
    <row r="472" spans="1:115" hidden="1" x14ac:dyDescent="0.2">
      <c r="A472" s="28"/>
      <c r="B472" s="29"/>
      <c r="C472" s="29" t="s">
        <v>3246</v>
      </c>
      <c r="D472" s="30" t="s">
        <v>2909</v>
      </c>
      <c r="E472" s="30" t="s">
        <v>906</v>
      </c>
      <c r="F472" s="30"/>
      <c r="G472" s="31">
        <v>45678</v>
      </c>
      <c r="H472" s="30">
        <v>390552</v>
      </c>
      <c r="I472" s="30" t="str">
        <f>IF(Table1[[#This Row],[Centre Status]]="Returned","NA",IF(Table1[[#This Row],[SD]]&gt;19000,"Full Payment",IF(Table1[[#This Row],[SD]]&lt;1,"No Payment","Partial Payment")))</f>
        <v>Full Payment</v>
      </c>
      <c r="J472" s="30" t="s">
        <v>58</v>
      </c>
      <c r="K472" s="32">
        <v>110000</v>
      </c>
      <c r="L472" s="33">
        <f>Q472+R472+U472+Table1[[#This Row],[Farmer Payment]]</f>
        <v>23408</v>
      </c>
      <c r="M472" s="30"/>
      <c r="N472" s="34"/>
      <c r="O472" s="34"/>
      <c r="P472" s="35">
        <f>K472-L472+M472</f>
        <v>86592</v>
      </c>
      <c r="Q472" s="33">
        <f>AI472+AV472+CK472+Table1[[#This Row],[FY 25-26]]</f>
        <v>3408</v>
      </c>
      <c r="R472" s="36">
        <v>20000</v>
      </c>
      <c r="S472" s="37" t="s">
        <v>2912</v>
      </c>
      <c r="T472" s="38">
        <v>45664</v>
      </c>
      <c r="U472" s="39"/>
      <c r="V472" s="39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1">
        <f>SUM(W472:AH472)</f>
        <v>0</v>
      </c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>
        <f>SUM(AJ472:AU472)</f>
        <v>0</v>
      </c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  <c r="BO472" s="42"/>
      <c r="BP472" s="42">
        <v>0</v>
      </c>
      <c r="BQ472" s="42"/>
      <c r="BR472" s="42">
        <v>0</v>
      </c>
      <c r="BS472" s="42"/>
      <c r="BT472" s="42"/>
      <c r="BU472" s="42"/>
      <c r="BV472" s="42">
        <v>0</v>
      </c>
      <c r="BW472" s="42">
        <v>0</v>
      </c>
      <c r="BX472" s="42">
        <v>0</v>
      </c>
      <c r="BY472" s="42">
        <v>0</v>
      </c>
      <c r="BZ472" s="42">
        <v>0</v>
      </c>
      <c r="CA472" s="42">
        <v>0</v>
      </c>
      <c r="CB472" s="42">
        <v>0</v>
      </c>
      <c r="CC472" s="42">
        <v>0</v>
      </c>
      <c r="CD472" s="42">
        <v>0</v>
      </c>
      <c r="CE472" s="42">
        <v>0</v>
      </c>
      <c r="CF472" s="42">
        <v>0</v>
      </c>
      <c r="CG472" s="42">
        <v>0</v>
      </c>
      <c r="CH472" s="42">
        <v>0</v>
      </c>
      <c r="CI472" s="42">
        <v>0</v>
      </c>
      <c r="CJ472" s="42">
        <v>1861</v>
      </c>
      <c r="CK472" s="43">
        <f>SUM(AW472:CJ472)</f>
        <v>1861</v>
      </c>
      <c r="CL472" s="66"/>
      <c r="CM472" s="66">
        <v>0</v>
      </c>
      <c r="CN472" s="66">
        <v>0</v>
      </c>
      <c r="CO472" s="66">
        <v>0</v>
      </c>
      <c r="CP472" s="66">
        <v>0</v>
      </c>
      <c r="CQ472" s="66">
        <v>0</v>
      </c>
      <c r="CR472" s="66">
        <v>0</v>
      </c>
      <c r="CS472" s="66">
        <v>0</v>
      </c>
      <c r="CT472" s="66">
        <v>0</v>
      </c>
      <c r="CU472" s="66">
        <v>0</v>
      </c>
      <c r="CV472" s="66">
        <v>1547</v>
      </c>
      <c r="CW472" s="66">
        <v>0</v>
      </c>
      <c r="CX472" s="66">
        <v>0</v>
      </c>
      <c r="CY472" s="66">
        <v>0</v>
      </c>
      <c r="CZ472" s="66">
        <v>0</v>
      </c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>
        <f>SUM(Table1[[#This Row],[01-03 Apr]:[Mar-26]])</f>
        <v>1547</v>
      </c>
    </row>
    <row r="473" spans="1:115" hidden="1" x14ac:dyDescent="0.2">
      <c r="A473" s="28"/>
      <c r="B473" s="29"/>
      <c r="C473" s="29" t="s">
        <v>3247</v>
      </c>
      <c r="D473" s="30" t="s">
        <v>2910</v>
      </c>
      <c r="E473" s="30" t="s">
        <v>906</v>
      </c>
      <c r="F473" s="30"/>
      <c r="G473" s="31">
        <v>45678</v>
      </c>
      <c r="H473" s="30">
        <v>195199</v>
      </c>
      <c r="I473" s="30" t="str">
        <f>IF(Table1[[#This Row],[Centre Status]]="Returned","NA",IF(Table1[[#This Row],[SD]]&gt;19000,"Full Payment",IF(Table1[[#This Row],[SD]]&lt;1,"No Payment","Partial Payment")))</f>
        <v>NA</v>
      </c>
      <c r="J473" s="30" t="s">
        <v>1903</v>
      </c>
      <c r="K473" s="32">
        <v>110000</v>
      </c>
      <c r="L473" s="33">
        <f>Q473+R473+U473+Table1[[#This Row],[Farmer Payment]]</f>
        <v>20005</v>
      </c>
      <c r="M473" s="30">
        <v>20000</v>
      </c>
      <c r="N473" s="34">
        <v>45775</v>
      </c>
      <c r="O473" s="34" t="s">
        <v>2429</v>
      </c>
      <c r="P473" s="35">
        <f>K473-L473+M473</f>
        <v>109995</v>
      </c>
      <c r="Q473" s="33">
        <f>AI473+AV473+CK473+Table1[[#This Row],[FY 25-26]]</f>
        <v>5</v>
      </c>
      <c r="R473" s="36">
        <v>20000</v>
      </c>
      <c r="S473" s="37" t="s">
        <v>2911</v>
      </c>
      <c r="T473" s="38">
        <v>45654</v>
      </c>
      <c r="U473" s="39"/>
      <c r="V473" s="39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1">
        <f>SUM(W473:AH473)</f>
        <v>0</v>
      </c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>
        <f>SUM(AJ473:AU473)</f>
        <v>0</v>
      </c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2"/>
      <c r="BP473" s="42">
        <v>0</v>
      </c>
      <c r="BQ473" s="42"/>
      <c r="BR473" s="42">
        <v>0</v>
      </c>
      <c r="BS473" s="42"/>
      <c r="BT473" s="42"/>
      <c r="BU473" s="42"/>
      <c r="BV473" s="42">
        <v>0</v>
      </c>
      <c r="BW473" s="42">
        <v>0</v>
      </c>
      <c r="BX473" s="42">
        <v>0</v>
      </c>
      <c r="BY473" s="42">
        <v>0</v>
      </c>
      <c r="BZ473" s="42">
        <v>0</v>
      </c>
      <c r="CA473" s="42">
        <v>0</v>
      </c>
      <c r="CB473" s="42">
        <v>0</v>
      </c>
      <c r="CC473" s="42">
        <v>0</v>
      </c>
      <c r="CD473" s="42">
        <v>0</v>
      </c>
      <c r="CE473" s="42">
        <v>0</v>
      </c>
      <c r="CF473" s="42">
        <v>0</v>
      </c>
      <c r="CG473" s="42">
        <v>0</v>
      </c>
      <c r="CH473" s="42">
        <v>0</v>
      </c>
      <c r="CI473" s="42">
        <v>0</v>
      </c>
      <c r="CJ473" s="42">
        <v>5</v>
      </c>
      <c r="CK473" s="43">
        <f>SUM(AW473:CJ473)</f>
        <v>5</v>
      </c>
      <c r="CL473" s="66"/>
      <c r="CM473" s="66">
        <v>0</v>
      </c>
      <c r="CN473" s="66">
        <v>0</v>
      </c>
      <c r="CO473" s="66">
        <v>0</v>
      </c>
      <c r="CP473" s="66">
        <v>0</v>
      </c>
      <c r="CQ473" s="66">
        <v>0</v>
      </c>
      <c r="CR473" s="66">
        <v>0</v>
      </c>
      <c r="CS473" s="66">
        <v>0</v>
      </c>
      <c r="CT473" s="66">
        <v>0</v>
      </c>
      <c r="CU473" s="66">
        <v>0</v>
      </c>
      <c r="CV473" s="66">
        <v>0</v>
      </c>
      <c r="CW473" s="66">
        <v>0</v>
      </c>
      <c r="CX473" s="66">
        <v>0</v>
      </c>
      <c r="CY473" s="66">
        <v>0</v>
      </c>
      <c r="CZ473" s="66">
        <v>0</v>
      </c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>
        <f>SUM(Table1[[#This Row],[01-03 Apr]:[Mar-26]])</f>
        <v>0</v>
      </c>
    </row>
    <row r="474" spans="1:115" hidden="1" x14ac:dyDescent="0.2">
      <c r="A474" s="28"/>
      <c r="B474" s="29"/>
      <c r="C474" s="29" t="s">
        <v>2904</v>
      </c>
      <c r="D474" s="30" t="s">
        <v>2902</v>
      </c>
      <c r="E474" s="30" t="s">
        <v>906</v>
      </c>
      <c r="F474" s="30"/>
      <c r="G474" s="31">
        <v>45678</v>
      </c>
      <c r="H474" s="30">
        <v>23120074</v>
      </c>
      <c r="I474" s="30" t="str">
        <f>IF(Table1[[#This Row],[Centre Status]]="Returned","NA",IF(Table1[[#This Row],[SD]]&gt;19000,"Full Payment",IF(Table1[[#This Row],[SD]]&lt;1,"No Payment","Partial Payment")))</f>
        <v>Full Payment</v>
      </c>
      <c r="J474" s="30" t="s">
        <v>58</v>
      </c>
      <c r="K474" s="32">
        <v>110000</v>
      </c>
      <c r="L474" s="33">
        <f>Q474+R474+U474+Table1[[#This Row],[Farmer Payment]]</f>
        <v>20248</v>
      </c>
      <c r="M474" s="30"/>
      <c r="N474" s="34"/>
      <c r="O474" s="34"/>
      <c r="P474" s="35">
        <f>K474-L474+M474</f>
        <v>89752</v>
      </c>
      <c r="Q474" s="33">
        <f>AI474+AV474+CK474+Table1[[#This Row],[FY 25-26]]</f>
        <v>248</v>
      </c>
      <c r="R474" s="36">
        <v>20000</v>
      </c>
      <c r="S474" s="37" t="s">
        <v>2907</v>
      </c>
      <c r="T474" s="38">
        <v>45675</v>
      </c>
      <c r="U474" s="39"/>
      <c r="V474" s="39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1">
        <f>SUM(W474:AH474)</f>
        <v>0</v>
      </c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>
        <f>SUM(AJ474:AU474)</f>
        <v>0</v>
      </c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  <c r="BO474" s="42"/>
      <c r="BP474" s="42">
        <v>0</v>
      </c>
      <c r="BQ474" s="42"/>
      <c r="BR474" s="42">
        <v>0</v>
      </c>
      <c r="BS474" s="42"/>
      <c r="BT474" s="42"/>
      <c r="BU474" s="42"/>
      <c r="BV474" s="42">
        <v>0</v>
      </c>
      <c r="BW474" s="42">
        <v>0</v>
      </c>
      <c r="BX474" s="42">
        <v>0</v>
      </c>
      <c r="BY474" s="42">
        <v>0</v>
      </c>
      <c r="BZ474" s="42">
        <v>0</v>
      </c>
      <c r="CA474" s="42">
        <v>0</v>
      </c>
      <c r="CB474" s="42">
        <v>0</v>
      </c>
      <c r="CC474" s="42">
        <v>0</v>
      </c>
      <c r="CD474" s="42">
        <v>0</v>
      </c>
      <c r="CE474" s="42">
        <v>0</v>
      </c>
      <c r="CF474" s="42">
        <v>0</v>
      </c>
      <c r="CG474" s="42">
        <v>0</v>
      </c>
      <c r="CH474" s="42">
        <v>0</v>
      </c>
      <c r="CI474" s="42">
        <v>0</v>
      </c>
      <c r="CJ474" s="42">
        <v>248</v>
      </c>
      <c r="CK474" s="43">
        <f>SUM(AW474:CJ474)</f>
        <v>248</v>
      </c>
      <c r="CL474" s="66"/>
      <c r="CM474" s="66">
        <v>0</v>
      </c>
      <c r="CN474" s="66">
        <v>0</v>
      </c>
      <c r="CO474" s="66">
        <v>0</v>
      </c>
      <c r="CP474" s="66">
        <v>0</v>
      </c>
      <c r="CQ474" s="66">
        <v>0</v>
      </c>
      <c r="CR474" s="66">
        <v>0</v>
      </c>
      <c r="CS474" s="66">
        <v>0</v>
      </c>
      <c r="CT474" s="66">
        <v>0</v>
      </c>
      <c r="CU474" s="66">
        <v>0</v>
      </c>
      <c r="CV474" s="66">
        <v>0</v>
      </c>
      <c r="CW474" s="66">
        <v>0</v>
      </c>
      <c r="CX474" s="66">
        <v>0</v>
      </c>
      <c r="CY474" s="66">
        <v>0</v>
      </c>
      <c r="CZ474" s="66">
        <v>0</v>
      </c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>
        <f>SUM(Table1[[#This Row],[01-03 Apr]:[Mar-26]])</f>
        <v>0</v>
      </c>
    </row>
    <row r="475" spans="1:115" hidden="1" x14ac:dyDescent="0.2">
      <c r="A475" s="28"/>
      <c r="B475" s="29"/>
      <c r="C475" s="29" t="s">
        <v>2905</v>
      </c>
      <c r="D475" s="30" t="s">
        <v>2903</v>
      </c>
      <c r="E475" s="30" t="s">
        <v>906</v>
      </c>
      <c r="F475" s="30"/>
      <c r="G475" s="31">
        <v>45678</v>
      </c>
      <c r="H475" s="30">
        <v>391374</v>
      </c>
      <c r="I475" s="30" t="str">
        <f>IF(Table1[[#This Row],[Centre Status]]="Returned","NA",IF(Table1[[#This Row],[SD]]&gt;19000,"Full Payment",IF(Table1[[#This Row],[SD]]&lt;1,"No Payment","Partial Payment")))</f>
        <v>Full Payment</v>
      </c>
      <c r="J475" s="30" t="s">
        <v>58</v>
      </c>
      <c r="K475" s="32">
        <v>110000</v>
      </c>
      <c r="L475" s="33">
        <f>Q475+R475+U475+Table1[[#This Row],[Farmer Payment]]</f>
        <v>20000</v>
      </c>
      <c r="M475" s="30"/>
      <c r="N475" s="34"/>
      <c r="O475" s="34"/>
      <c r="P475" s="35">
        <f>K475-L475+M475</f>
        <v>90000</v>
      </c>
      <c r="Q475" s="33">
        <f>AI475+AV475+CK475+Table1[[#This Row],[FY 25-26]]</f>
        <v>0</v>
      </c>
      <c r="R475" s="36">
        <v>20000</v>
      </c>
      <c r="S475" s="37" t="s">
        <v>2906</v>
      </c>
      <c r="T475" s="38">
        <v>45667</v>
      </c>
      <c r="U475" s="39"/>
      <c r="V475" s="39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1">
        <f>SUM(W475:AH475)</f>
        <v>0</v>
      </c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>
        <f>SUM(AJ475:AU475)</f>
        <v>0</v>
      </c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  <c r="BO475" s="42"/>
      <c r="BP475" s="42">
        <v>0</v>
      </c>
      <c r="BQ475" s="42"/>
      <c r="BR475" s="42">
        <v>0</v>
      </c>
      <c r="BS475" s="42"/>
      <c r="BT475" s="42"/>
      <c r="BU475" s="42"/>
      <c r="BV475" s="42">
        <v>0</v>
      </c>
      <c r="BW475" s="42">
        <v>0</v>
      </c>
      <c r="BX475" s="42">
        <v>0</v>
      </c>
      <c r="BY475" s="42">
        <v>0</v>
      </c>
      <c r="BZ475" s="42">
        <v>0</v>
      </c>
      <c r="CA475" s="42">
        <v>0</v>
      </c>
      <c r="CB475" s="42">
        <v>0</v>
      </c>
      <c r="CC475" s="42">
        <v>0</v>
      </c>
      <c r="CD475" s="42">
        <v>0</v>
      </c>
      <c r="CE475" s="42">
        <v>0</v>
      </c>
      <c r="CF475" s="42">
        <v>0</v>
      </c>
      <c r="CG475" s="42">
        <v>0</v>
      </c>
      <c r="CH475" s="42">
        <v>0</v>
      </c>
      <c r="CI475" s="42">
        <v>0</v>
      </c>
      <c r="CJ475" s="42">
        <v>0</v>
      </c>
      <c r="CK475" s="43">
        <f>SUM(AW475:CJ475)</f>
        <v>0</v>
      </c>
      <c r="CL475" s="66"/>
      <c r="CM475" s="66">
        <v>0</v>
      </c>
      <c r="CN475" s="66">
        <v>0</v>
      </c>
      <c r="CO475" s="66">
        <v>0</v>
      </c>
      <c r="CP475" s="66">
        <v>0</v>
      </c>
      <c r="CQ475" s="66">
        <v>0</v>
      </c>
      <c r="CR475" s="66">
        <v>0</v>
      </c>
      <c r="CS475" s="66">
        <v>0</v>
      </c>
      <c r="CT475" s="66">
        <v>0</v>
      </c>
      <c r="CU475" s="66">
        <v>0</v>
      </c>
      <c r="CV475" s="66">
        <v>0</v>
      </c>
      <c r="CW475" s="66">
        <v>0</v>
      </c>
      <c r="CX475" s="66">
        <v>0</v>
      </c>
      <c r="CY475" s="66">
        <v>0</v>
      </c>
      <c r="CZ475" s="66">
        <v>0</v>
      </c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>
        <f>SUM(Table1[[#This Row],[01-03 Apr]:[Mar-26]])</f>
        <v>0</v>
      </c>
    </row>
    <row r="476" spans="1:115" hidden="1" x14ac:dyDescent="0.2">
      <c r="A476" s="28" t="s">
        <v>2255</v>
      </c>
      <c r="B476" s="29" t="s">
        <v>903</v>
      </c>
      <c r="C476" s="29" t="s">
        <v>904</v>
      </c>
      <c r="D476" s="30" t="s">
        <v>905</v>
      </c>
      <c r="E476" s="30" t="s">
        <v>906</v>
      </c>
      <c r="F476" s="30"/>
      <c r="G476" s="31">
        <v>45007</v>
      </c>
      <c r="H476" s="30">
        <v>317793</v>
      </c>
      <c r="I476" s="30" t="str">
        <f>IF(Table1[[#This Row],[Centre Status]]="Returned","NA",IF(Table1[[#This Row],[SD]]&gt;19000,"Full Payment",IF(Table1[[#This Row],[SD]]&lt;1,"No Payment","Partial Payment")))</f>
        <v>NA</v>
      </c>
      <c r="J476" s="30" t="s">
        <v>1903</v>
      </c>
      <c r="K476" s="32">
        <v>110000</v>
      </c>
      <c r="L476" s="33">
        <f>Q476+R476+U476+Table1[[#This Row],[Farmer Payment]]</f>
        <v>49191.752791910396</v>
      </c>
      <c r="M476" s="30">
        <v>10000</v>
      </c>
      <c r="N476" s="34">
        <v>45677</v>
      </c>
      <c r="O476" s="34" t="s">
        <v>2901</v>
      </c>
      <c r="P476" s="35">
        <f t="shared" si="55"/>
        <v>70808.247208089597</v>
      </c>
      <c r="Q476" s="33">
        <f>AI476+AV476+CK476+Table1[[#This Row],[FY 25-26]]</f>
        <v>39191.752791910396</v>
      </c>
      <c r="R476" s="36">
        <v>10000</v>
      </c>
      <c r="S476" s="37" t="s">
        <v>907</v>
      </c>
      <c r="T476" s="38">
        <v>44989</v>
      </c>
      <c r="U476" s="39"/>
      <c r="V476" s="39"/>
      <c r="W476" s="40">
        <v>0</v>
      </c>
      <c r="X476" s="40">
        <v>0</v>
      </c>
      <c r="Y476" s="40">
        <v>0</v>
      </c>
      <c r="Z476" s="40">
        <v>0</v>
      </c>
      <c r="AA476" s="40">
        <v>0</v>
      </c>
      <c r="AB476" s="40">
        <v>0</v>
      </c>
      <c r="AC476" s="40">
        <v>0</v>
      </c>
      <c r="AD476" s="40">
        <v>0</v>
      </c>
      <c r="AE476" s="40">
        <v>0</v>
      </c>
      <c r="AF476" s="40">
        <v>0</v>
      </c>
      <c r="AG476" s="40">
        <v>0</v>
      </c>
      <c r="AH476" s="40">
        <v>538</v>
      </c>
      <c r="AI476" s="41">
        <f t="shared" si="56"/>
        <v>538</v>
      </c>
      <c r="AJ476" s="42">
        <v>1861</v>
      </c>
      <c r="AK476" s="42">
        <v>1861</v>
      </c>
      <c r="AL476" s="42">
        <v>2514.4858000000004</v>
      </c>
      <c r="AM476" s="42">
        <v>4711.4010000000007</v>
      </c>
      <c r="AN476" s="42">
        <v>5004.7093999999997</v>
      </c>
      <c r="AO476" s="42">
        <v>1861</v>
      </c>
      <c r="AP476" s="42">
        <v>3394.5691999999999</v>
      </c>
      <c r="AQ476" s="42">
        <v>2010.3892000000001</v>
      </c>
      <c r="AR476" s="42">
        <v>2180.1129999999998</v>
      </c>
      <c r="AS476" s="42">
        <v>2765.4636</v>
      </c>
      <c r="AT476" s="42">
        <v>2912.0722000000005</v>
      </c>
      <c r="AU476" s="42">
        <v>3491.3342000000007</v>
      </c>
      <c r="AV476" s="42">
        <f t="shared" si="57"/>
        <v>34567.537599999996</v>
      </c>
      <c r="AW476" s="42">
        <v>3198.2151919104003</v>
      </c>
      <c r="AX476" s="42">
        <v>888</v>
      </c>
      <c r="AY476" s="42">
        <v>0</v>
      </c>
      <c r="AZ476" s="42">
        <v>0</v>
      </c>
      <c r="BA476" s="42">
        <v>0</v>
      </c>
      <c r="BB476" s="42">
        <v>0</v>
      </c>
      <c r="BC476" s="42">
        <v>0</v>
      </c>
      <c r="BD476" s="42">
        <v>0</v>
      </c>
      <c r="BE476" s="42">
        <v>0</v>
      </c>
      <c r="BF476" s="42">
        <v>0</v>
      </c>
      <c r="BG476" s="42">
        <v>0</v>
      </c>
      <c r="BH476" s="42">
        <v>0</v>
      </c>
      <c r="BI476" s="42">
        <v>0</v>
      </c>
      <c r="BJ476" s="42">
        <v>0</v>
      </c>
      <c r="BK476" s="42">
        <v>0</v>
      </c>
      <c r="BL476" s="42">
        <v>0</v>
      </c>
      <c r="BM476" s="42">
        <v>0</v>
      </c>
      <c r="BN476" s="42">
        <v>0</v>
      </c>
      <c r="BO476" s="42">
        <v>0</v>
      </c>
      <c r="BP476" s="42">
        <v>0</v>
      </c>
      <c r="BQ476" s="42">
        <v>0</v>
      </c>
      <c r="BR476" s="42">
        <v>0</v>
      </c>
      <c r="BS476" s="42">
        <v>0</v>
      </c>
      <c r="BT476" s="42">
        <v>0</v>
      </c>
      <c r="BU476" s="42">
        <v>0</v>
      </c>
      <c r="BV476" s="42">
        <v>0</v>
      </c>
      <c r="BW476" s="42">
        <v>0</v>
      </c>
      <c r="BX476" s="42">
        <v>0</v>
      </c>
      <c r="BY476" s="42">
        <v>0</v>
      </c>
      <c r="BZ476" s="42">
        <v>0</v>
      </c>
      <c r="CA476" s="42">
        <v>0</v>
      </c>
      <c r="CB476" s="42">
        <v>0</v>
      </c>
      <c r="CC476" s="42">
        <v>0</v>
      </c>
      <c r="CD476" s="42">
        <v>0</v>
      </c>
      <c r="CE476" s="42">
        <v>0</v>
      </c>
      <c r="CF476" s="42">
        <v>0</v>
      </c>
      <c r="CG476" s="42">
        <v>0</v>
      </c>
      <c r="CH476" s="42">
        <v>0</v>
      </c>
      <c r="CI476" s="42">
        <v>0</v>
      </c>
      <c r="CJ476" s="42">
        <v>0</v>
      </c>
      <c r="CK476" s="43">
        <f t="shared" si="58"/>
        <v>4086.2151919104003</v>
      </c>
      <c r="CL476" s="66"/>
      <c r="CM476" s="66">
        <v>0</v>
      </c>
      <c r="CN476" s="66">
        <v>0</v>
      </c>
      <c r="CO476" s="66">
        <v>0</v>
      </c>
      <c r="CP476" s="66">
        <v>0</v>
      </c>
      <c r="CQ476" s="66">
        <v>0</v>
      </c>
      <c r="CR476" s="66">
        <v>0</v>
      </c>
      <c r="CS476" s="66">
        <v>0</v>
      </c>
      <c r="CT476" s="66">
        <v>0</v>
      </c>
      <c r="CU476" s="66">
        <v>0</v>
      </c>
      <c r="CV476" s="66">
        <v>0</v>
      </c>
      <c r="CW476" s="66">
        <v>0</v>
      </c>
      <c r="CX476" s="66">
        <v>0</v>
      </c>
      <c r="CY476" s="66">
        <v>0</v>
      </c>
      <c r="CZ476" s="66">
        <v>0</v>
      </c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>
        <f>SUM(Table1[[#This Row],[01-03 Apr]:[Mar-26]])</f>
        <v>0</v>
      </c>
    </row>
    <row r="477" spans="1:115" x14ac:dyDescent="0.2">
      <c r="A477" s="28" t="s">
        <v>2255</v>
      </c>
      <c r="B477" s="29" t="s">
        <v>908</v>
      </c>
      <c r="C477" s="29" t="s">
        <v>909</v>
      </c>
      <c r="D477" s="30" t="s">
        <v>910</v>
      </c>
      <c r="E477" s="30" t="s">
        <v>906</v>
      </c>
      <c r="F477" s="30"/>
      <c r="G477" s="31">
        <v>45007</v>
      </c>
      <c r="H477" s="30">
        <v>277112</v>
      </c>
      <c r="I477" s="30" t="str">
        <f>IF(Table1[[#This Row],[Centre Status]]="Returned","NA",IF(Table1[[#This Row],[SD]]&gt;19000,"Full Payment",IF(Table1[[#This Row],[SD]]&lt;1,"No Payment","Partial Payment")))</f>
        <v>Partial Payment</v>
      </c>
      <c r="J477" s="30" t="s">
        <v>58</v>
      </c>
      <c r="K477" s="32">
        <v>110000</v>
      </c>
      <c r="L477" s="33">
        <f>Q477+R477+U477+Table1[[#This Row],[Farmer Payment]]</f>
        <v>27797</v>
      </c>
      <c r="M477" s="30"/>
      <c r="N477" s="34"/>
      <c r="O477" s="34"/>
      <c r="P477" s="35">
        <f t="shared" si="55"/>
        <v>82203</v>
      </c>
      <c r="Q477" s="33">
        <f>AI477+AV477+CK477+Table1[[#This Row],[FY 25-26]]</f>
        <v>17797</v>
      </c>
      <c r="R477" s="36">
        <v>10000</v>
      </c>
      <c r="S477" s="37" t="s">
        <v>911</v>
      </c>
      <c r="T477" s="38">
        <v>45002</v>
      </c>
      <c r="U477" s="39"/>
      <c r="V477" s="39"/>
      <c r="W477" s="40">
        <v>0</v>
      </c>
      <c r="X477" s="40">
        <v>0</v>
      </c>
      <c r="Y477" s="40">
        <v>0</v>
      </c>
      <c r="Z477" s="40">
        <v>0</v>
      </c>
      <c r="AA477" s="40">
        <v>0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>
        <v>0</v>
      </c>
      <c r="AH477" s="40">
        <v>31</v>
      </c>
      <c r="AI477" s="41">
        <f t="shared" si="56"/>
        <v>31</v>
      </c>
      <c r="AJ477" s="42">
        <v>476</v>
      </c>
      <c r="AK477" s="42">
        <v>690</v>
      </c>
      <c r="AL477" s="42">
        <v>575</v>
      </c>
      <c r="AM477" s="42">
        <v>1837</v>
      </c>
      <c r="AN477" s="42">
        <v>783</v>
      </c>
      <c r="AO477" s="42">
        <v>638</v>
      </c>
      <c r="AP477" s="42">
        <v>0</v>
      </c>
      <c r="AQ477" s="42">
        <v>0</v>
      </c>
      <c r="AR477" s="42">
        <v>13</v>
      </c>
      <c r="AS477" s="42">
        <v>922</v>
      </c>
      <c r="AT477" s="42">
        <v>1223</v>
      </c>
      <c r="AU477" s="42">
        <v>1721</v>
      </c>
      <c r="AV477" s="42">
        <f t="shared" si="57"/>
        <v>8878</v>
      </c>
      <c r="AW477" s="42">
        <v>1861</v>
      </c>
      <c r="AX477" s="42">
        <v>1812</v>
      </c>
      <c r="AY477" s="42">
        <v>1861</v>
      </c>
      <c r="AZ477" s="42">
        <v>1861</v>
      </c>
      <c r="BA477" s="42">
        <v>0</v>
      </c>
      <c r="BB477" s="42">
        <v>500</v>
      </c>
      <c r="BC477" s="42">
        <v>0</v>
      </c>
      <c r="BD477" s="42">
        <v>493</v>
      </c>
      <c r="BE477" s="42">
        <v>0</v>
      </c>
      <c r="BF477" s="42">
        <v>0</v>
      </c>
      <c r="BG477" s="42">
        <v>0</v>
      </c>
      <c r="BH477" s="42">
        <v>0</v>
      </c>
      <c r="BI477" s="42">
        <v>0</v>
      </c>
      <c r="BJ477" s="42">
        <v>0</v>
      </c>
      <c r="BK477" s="42">
        <v>0</v>
      </c>
      <c r="BL477" s="42">
        <v>0</v>
      </c>
      <c r="BM477" s="42">
        <v>0</v>
      </c>
      <c r="BN477" s="42">
        <v>0</v>
      </c>
      <c r="BO477" s="42">
        <v>0</v>
      </c>
      <c r="BP477" s="42">
        <v>0</v>
      </c>
      <c r="BQ477" s="42">
        <v>0</v>
      </c>
      <c r="BR477" s="42">
        <v>0</v>
      </c>
      <c r="BS477" s="42">
        <v>0</v>
      </c>
      <c r="BT477" s="42">
        <v>0</v>
      </c>
      <c r="BU477" s="42">
        <v>0</v>
      </c>
      <c r="BV477" s="42">
        <v>0</v>
      </c>
      <c r="BW477" s="42">
        <v>0</v>
      </c>
      <c r="BX477" s="42">
        <v>0</v>
      </c>
      <c r="BY477" s="42">
        <v>0</v>
      </c>
      <c r="BZ477" s="42">
        <v>0</v>
      </c>
      <c r="CA477" s="42">
        <v>500</v>
      </c>
      <c r="CB477" s="42">
        <v>0</v>
      </c>
      <c r="CC477" s="42">
        <v>0</v>
      </c>
      <c r="CD477" s="42">
        <v>0</v>
      </c>
      <c r="CE477" s="42">
        <v>0</v>
      </c>
      <c r="CF477" s="42">
        <v>0</v>
      </c>
      <c r="CG477" s="42">
        <v>0</v>
      </c>
      <c r="CH477" s="42">
        <v>0</v>
      </c>
      <c r="CI477" s="42">
        <v>0</v>
      </c>
      <c r="CJ477" s="42">
        <v>0</v>
      </c>
      <c r="CK477" s="43">
        <f t="shared" si="58"/>
        <v>8888</v>
      </c>
      <c r="CL477" s="66"/>
      <c r="CM477" s="66">
        <v>0</v>
      </c>
      <c r="CN477" s="66">
        <v>0</v>
      </c>
      <c r="CO477" s="66">
        <v>0</v>
      </c>
      <c r="CP477" s="66">
        <v>0</v>
      </c>
      <c r="CQ477" s="66">
        <v>0</v>
      </c>
      <c r="CR477" s="66">
        <v>0</v>
      </c>
      <c r="CS477" s="66">
        <v>0</v>
      </c>
      <c r="CT477" s="66">
        <v>0</v>
      </c>
      <c r="CU477" s="66">
        <v>0</v>
      </c>
      <c r="CV477" s="66">
        <v>0</v>
      </c>
      <c r="CW477" s="66">
        <v>0</v>
      </c>
      <c r="CX477" s="66">
        <v>0</v>
      </c>
      <c r="CY477" s="66">
        <v>0</v>
      </c>
      <c r="CZ477" s="66">
        <v>0</v>
      </c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>
        <f>SUM(Table1[[#This Row],[01-03 Apr]:[Mar-26]])</f>
        <v>0</v>
      </c>
    </row>
    <row r="478" spans="1:115" x14ac:dyDescent="0.2">
      <c r="A478" s="28" t="s">
        <v>2255</v>
      </c>
      <c r="B478" s="29" t="s">
        <v>912</v>
      </c>
      <c r="C478" s="29" t="s">
        <v>913</v>
      </c>
      <c r="D478" s="30" t="s">
        <v>914</v>
      </c>
      <c r="E478" s="30" t="s">
        <v>906</v>
      </c>
      <c r="F478" s="30"/>
      <c r="G478" s="31">
        <v>45007</v>
      </c>
      <c r="H478" s="30">
        <v>277008</v>
      </c>
      <c r="I478" s="30" t="str">
        <f>IF(Table1[[#This Row],[Centre Status]]="Returned","NA",IF(Table1[[#This Row],[SD]]&gt;19000,"Full Payment",IF(Table1[[#This Row],[SD]]&lt;1,"No Payment","Partial Payment")))</f>
        <v>Partial Payment</v>
      </c>
      <c r="J478" s="30" t="s">
        <v>58</v>
      </c>
      <c r="K478" s="32">
        <v>110000</v>
      </c>
      <c r="L478" s="33">
        <f>Q478+R478+U478+Table1[[#This Row],[Farmer Payment]]</f>
        <v>35278</v>
      </c>
      <c r="M478" s="30"/>
      <c r="N478" s="34"/>
      <c r="O478" s="34"/>
      <c r="P478" s="35">
        <f t="shared" si="55"/>
        <v>74722</v>
      </c>
      <c r="Q478" s="33">
        <f>AI478+AV478+CK478+Table1[[#This Row],[FY 25-26]]</f>
        <v>25278</v>
      </c>
      <c r="R478" s="36">
        <v>10000</v>
      </c>
      <c r="S478" s="37" t="s">
        <v>915</v>
      </c>
      <c r="T478" s="38">
        <v>45003</v>
      </c>
      <c r="U478" s="39"/>
      <c r="V478" s="39"/>
      <c r="W478" s="40">
        <v>0</v>
      </c>
      <c r="X478" s="40">
        <v>0</v>
      </c>
      <c r="Y478" s="40">
        <v>0</v>
      </c>
      <c r="Z478" s="40">
        <v>0</v>
      </c>
      <c r="AA478" s="40">
        <v>0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>
        <v>0</v>
      </c>
      <c r="AH478" s="40">
        <v>220</v>
      </c>
      <c r="AI478" s="41">
        <f t="shared" si="56"/>
        <v>220</v>
      </c>
      <c r="AJ478" s="42">
        <v>1861</v>
      </c>
      <c r="AK478" s="42">
        <v>1861</v>
      </c>
      <c r="AL478" s="42">
        <v>1861</v>
      </c>
      <c r="AM478" s="42">
        <v>1861</v>
      </c>
      <c r="AN478" s="42">
        <v>1216</v>
      </c>
      <c r="AO478" s="42">
        <v>1861</v>
      </c>
      <c r="AP478" s="42">
        <v>0</v>
      </c>
      <c r="AQ478" s="42">
        <v>0</v>
      </c>
      <c r="AR478" s="42">
        <v>0</v>
      </c>
      <c r="AS478" s="42">
        <v>0</v>
      </c>
      <c r="AT478" s="42">
        <v>0</v>
      </c>
      <c r="AU478" s="42">
        <v>0</v>
      </c>
      <c r="AV478" s="42">
        <f t="shared" si="57"/>
        <v>10521</v>
      </c>
      <c r="AW478" s="42">
        <v>1817</v>
      </c>
      <c r="AX478" s="42">
        <v>1104</v>
      </c>
      <c r="AY478" s="42">
        <v>1861</v>
      </c>
      <c r="AZ478" s="42">
        <v>1709</v>
      </c>
      <c r="BA478" s="42">
        <v>162</v>
      </c>
      <c r="BB478" s="42">
        <v>500</v>
      </c>
      <c r="BC478" s="42">
        <v>0</v>
      </c>
      <c r="BD478" s="42">
        <v>500</v>
      </c>
      <c r="BE478" s="42">
        <v>500</v>
      </c>
      <c r="BF478" s="42">
        <v>500</v>
      </c>
      <c r="BG478" s="42">
        <v>500</v>
      </c>
      <c r="BH478" s="42">
        <v>500</v>
      </c>
      <c r="BI478" s="42">
        <v>0</v>
      </c>
      <c r="BJ478" s="42">
        <v>500</v>
      </c>
      <c r="BK478" s="42">
        <v>500</v>
      </c>
      <c r="BL478" s="42">
        <v>500</v>
      </c>
      <c r="BM478" s="42">
        <v>500</v>
      </c>
      <c r="BN478" s="42">
        <v>0</v>
      </c>
      <c r="BO478" s="42">
        <v>500</v>
      </c>
      <c r="BP478" s="42">
        <v>500</v>
      </c>
      <c r="BQ478" s="42">
        <v>500</v>
      </c>
      <c r="BR478" s="42">
        <v>500</v>
      </c>
      <c r="BS478" s="42">
        <v>0</v>
      </c>
      <c r="BT478" s="42">
        <v>456</v>
      </c>
      <c r="BU478" s="42">
        <v>428</v>
      </c>
      <c r="BV478" s="42">
        <v>0</v>
      </c>
      <c r="BW478" s="42">
        <v>0</v>
      </c>
      <c r="BX478" s="42">
        <v>0</v>
      </c>
      <c r="BY478" s="42">
        <v>0</v>
      </c>
      <c r="BZ478" s="42">
        <v>0</v>
      </c>
      <c r="CA478" s="42">
        <v>0</v>
      </c>
      <c r="CB478" s="42">
        <v>0</v>
      </c>
      <c r="CC478" s="42">
        <v>0</v>
      </c>
      <c r="CD478" s="42">
        <v>0</v>
      </c>
      <c r="CE478" s="42">
        <v>0</v>
      </c>
      <c r="CF478" s="42">
        <v>0</v>
      </c>
      <c r="CG478" s="42">
        <v>0</v>
      </c>
      <c r="CH478" s="42">
        <v>0</v>
      </c>
      <c r="CI478" s="42">
        <v>0</v>
      </c>
      <c r="CJ478" s="42">
        <v>0</v>
      </c>
      <c r="CK478" s="43">
        <f t="shared" si="58"/>
        <v>14537</v>
      </c>
      <c r="CL478" s="66"/>
      <c r="CM478" s="66">
        <v>0</v>
      </c>
      <c r="CN478" s="66">
        <v>0</v>
      </c>
      <c r="CO478" s="66">
        <v>0</v>
      </c>
      <c r="CP478" s="66">
        <v>0</v>
      </c>
      <c r="CQ478" s="66">
        <v>0</v>
      </c>
      <c r="CR478" s="66">
        <v>0</v>
      </c>
      <c r="CS478" s="66">
        <v>0</v>
      </c>
      <c r="CT478" s="66">
        <v>0</v>
      </c>
      <c r="CU478" s="66">
        <v>0</v>
      </c>
      <c r="CV478" s="66">
        <v>0</v>
      </c>
      <c r="CW478" s="66">
        <v>0</v>
      </c>
      <c r="CX478" s="66">
        <v>0</v>
      </c>
      <c r="CY478" s="66">
        <v>0</v>
      </c>
      <c r="CZ478" s="66">
        <v>0</v>
      </c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>
        <f>SUM(Table1[[#This Row],[01-03 Apr]:[Mar-26]])</f>
        <v>0</v>
      </c>
    </row>
    <row r="479" spans="1:115" x14ac:dyDescent="0.2">
      <c r="A479" s="28" t="s">
        <v>2255</v>
      </c>
      <c r="B479" s="29" t="s">
        <v>916</v>
      </c>
      <c r="C479" s="29" t="s">
        <v>917</v>
      </c>
      <c r="D479" s="30" t="s">
        <v>918</v>
      </c>
      <c r="E479" s="30" t="s">
        <v>906</v>
      </c>
      <c r="F479" s="30"/>
      <c r="G479" s="31">
        <v>45007</v>
      </c>
      <c r="H479" s="30">
        <v>385571</v>
      </c>
      <c r="I479" s="30" t="str">
        <f>IF(Table1[[#This Row],[Centre Status]]="Returned","NA",IF(Table1[[#This Row],[SD]]&gt;19000,"Full Payment",IF(Table1[[#This Row],[SD]]&lt;1,"No Payment","Partial Payment")))</f>
        <v>Partial Payment</v>
      </c>
      <c r="J479" s="30" t="s">
        <v>58</v>
      </c>
      <c r="K479" s="32">
        <v>110000</v>
      </c>
      <c r="L479" s="33">
        <f>Q479+R479+U479+Table1[[#This Row],[Farmer Payment]]</f>
        <v>90516.664713842983</v>
      </c>
      <c r="M479" s="30"/>
      <c r="N479" s="34"/>
      <c r="O479" s="34"/>
      <c r="P479" s="35">
        <f t="shared" si="55"/>
        <v>19483.335286157017</v>
      </c>
      <c r="Q479" s="33">
        <f>AI479+AV479+CK479+Table1[[#This Row],[FY 25-26]]</f>
        <v>80516.664713842983</v>
      </c>
      <c r="R479" s="36">
        <v>10000</v>
      </c>
      <c r="S479" s="37" t="s">
        <v>919</v>
      </c>
      <c r="T479" s="38">
        <v>44998</v>
      </c>
      <c r="U479" s="39"/>
      <c r="V479" s="39"/>
      <c r="W479" s="40">
        <v>0</v>
      </c>
      <c r="X479" s="40">
        <v>0</v>
      </c>
      <c r="Y479" s="40">
        <v>0</v>
      </c>
      <c r="Z479" s="40">
        <v>0</v>
      </c>
      <c r="AA479" s="40">
        <v>0</v>
      </c>
      <c r="AB479" s="40">
        <v>0</v>
      </c>
      <c r="AC479" s="40">
        <v>0</v>
      </c>
      <c r="AD479" s="40">
        <v>0</v>
      </c>
      <c r="AE479" s="40">
        <v>0</v>
      </c>
      <c r="AF479" s="40">
        <v>0</v>
      </c>
      <c r="AG479" s="40">
        <v>0</v>
      </c>
      <c r="AH479" s="40">
        <v>469</v>
      </c>
      <c r="AI479" s="41">
        <f t="shared" si="56"/>
        <v>469</v>
      </c>
      <c r="AJ479" s="42">
        <v>1861</v>
      </c>
      <c r="AK479" s="42">
        <v>660</v>
      </c>
      <c r="AL479" s="42">
        <v>0</v>
      </c>
      <c r="AM479" s="42">
        <v>923</v>
      </c>
      <c r="AN479" s="42">
        <v>1861</v>
      </c>
      <c r="AO479" s="42">
        <v>1861</v>
      </c>
      <c r="AP479" s="42">
        <v>1861.3022000000003</v>
      </c>
      <c r="AQ479" s="42">
        <v>1861</v>
      </c>
      <c r="AR479" s="42">
        <v>2140.6925999999999</v>
      </c>
      <c r="AS479" s="42">
        <v>2552.0385999999999</v>
      </c>
      <c r="AT479" s="42">
        <v>3795.5733999999998</v>
      </c>
      <c r="AU479" s="42">
        <v>6156.4049999999988</v>
      </c>
      <c r="AV479" s="42">
        <f t="shared" si="57"/>
        <v>25533.0118</v>
      </c>
      <c r="AW479" s="42">
        <v>4926.5530039382129</v>
      </c>
      <c r="AX479" s="42">
        <v>3167.9660642858739</v>
      </c>
      <c r="AY479" s="42">
        <v>2319.6448979456641</v>
      </c>
      <c r="AZ479" s="42">
        <v>3060.8969700722082</v>
      </c>
      <c r="BA479" s="42">
        <v>2477.4953966539201</v>
      </c>
      <c r="BB479" s="42">
        <v>0</v>
      </c>
      <c r="BC479" s="42">
        <v>3640.7269751578851</v>
      </c>
      <c r="BD479" s="42">
        <v>0</v>
      </c>
      <c r="BE479" s="42">
        <v>0</v>
      </c>
      <c r="BF479" s="42">
        <v>0</v>
      </c>
      <c r="BG479" s="42">
        <v>0</v>
      </c>
      <c r="BH479" s="42">
        <v>0</v>
      </c>
      <c r="BI479" s="42">
        <v>2631.7547803197963</v>
      </c>
      <c r="BJ479" s="42">
        <v>0</v>
      </c>
      <c r="BK479" s="42">
        <v>0</v>
      </c>
      <c r="BL479" s="42">
        <v>0</v>
      </c>
      <c r="BM479" s="42">
        <v>0</v>
      </c>
      <c r="BN479" s="42">
        <v>3092.0705107980043</v>
      </c>
      <c r="BO479" s="42">
        <v>0</v>
      </c>
      <c r="BP479" s="42">
        <v>0</v>
      </c>
      <c r="BQ479" s="42">
        <v>0</v>
      </c>
      <c r="BR479" s="42">
        <v>0</v>
      </c>
      <c r="BS479" s="42">
        <v>3667.0936757460481</v>
      </c>
      <c r="BT479" s="42">
        <v>0</v>
      </c>
      <c r="BU479" s="42">
        <v>0</v>
      </c>
      <c r="BV479" s="42">
        <v>0</v>
      </c>
      <c r="BW479" s="42">
        <v>0</v>
      </c>
      <c r="BX479" s="42">
        <v>0</v>
      </c>
      <c r="BY479" s="42">
        <v>3788.0236112999246</v>
      </c>
      <c r="BZ479" s="42">
        <v>0</v>
      </c>
      <c r="CA479" s="42">
        <v>0</v>
      </c>
      <c r="CB479" s="42">
        <v>0</v>
      </c>
      <c r="CC479" s="42">
        <v>0</v>
      </c>
      <c r="CD479" s="42">
        <v>5178.8814042078802</v>
      </c>
      <c r="CE479" s="42">
        <v>0</v>
      </c>
      <c r="CF479" s="42">
        <v>0</v>
      </c>
      <c r="CG479" s="42">
        <v>0</v>
      </c>
      <c r="CH479" s="42">
        <v>0</v>
      </c>
      <c r="CI479" s="42">
        <v>0</v>
      </c>
      <c r="CJ479" s="42">
        <v>5984.1269107475273</v>
      </c>
      <c r="CK479" s="43">
        <f t="shared" si="58"/>
        <v>43935.234201172949</v>
      </c>
      <c r="CL479" s="66"/>
      <c r="CM479" s="66">
        <v>0</v>
      </c>
      <c r="CN479" s="66">
        <v>0</v>
      </c>
      <c r="CO479" s="66">
        <v>0</v>
      </c>
      <c r="CP479" s="66">
        <v>5690.4947890024951</v>
      </c>
      <c r="CQ479" s="66">
        <v>0</v>
      </c>
      <c r="CR479" s="66">
        <v>0</v>
      </c>
      <c r="CS479" s="66">
        <v>0</v>
      </c>
      <c r="CT479" s="66">
        <v>0</v>
      </c>
      <c r="CU479" s="66">
        <v>0</v>
      </c>
      <c r="CV479" s="66">
        <v>4888.9239236675339</v>
      </c>
      <c r="CW479" s="66">
        <v>0</v>
      </c>
      <c r="CX479" s="66">
        <v>0</v>
      </c>
      <c r="CY479" s="66">
        <v>0</v>
      </c>
      <c r="CZ479" s="66">
        <v>0</v>
      </c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>
        <f>SUM(Table1[[#This Row],[01-03 Apr]:[Mar-26]])</f>
        <v>10579.418712670029</v>
      </c>
    </row>
    <row r="480" spans="1:115" x14ac:dyDescent="0.2">
      <c r="A480" s="28" t="s">
        <v>2255</v>
      </c>
      <c r="B480" s="29" t="s">
        <v>926</v>
      </c>
      <c r="C480" s="29" t="s">
        <v>927</v>
      </c>
      <c r="D480" s="30" t="s">
        <v>928</v>
      </c>
      <c r="E480" s="30" t="s">
        <v>217</v>
      </c>
      <c r="F480" s="30"/>
      <c r="G480" s="31">
        <v>45007</v>
      </c>
      <c r="H480" s="30">
        <v>387845</v>
      </c>
      <c r="I480" s="30" t="str">
        <f>IF(Table1[[#This Row],[Centre Status]]="Returned","NA",IF(Table1[[#This Row],[SD]]&gt;19000,"Full Payment",IF(Table1[[#This Row],[SD]]&lt;1,"No Payment","Partial Payment")))</f>
        <v>Partial Payment</v>
      </c>
      <c r="J480" s="30" t="s">
        <v>58</v>
      </c>
      <c r="K480" s="32">
        <v>110000</v>
      </c>
      <c r="L480" s="33">
        <f>Q480+R480+U480+Table1[[#This Row],[Farmer Payment]]</f>
        <v>82144.245026476507</v>
      </c>
      <c r="M480" s="30"/>
      <c r="N480" s="34"/>
      <c r="O480" s="34"/>
      <c r="P480" s="35">
        <f t="shared" si="55"/>
        <v>27855.754973523493</v>
      </c>
      <c r="Q480" s="33">
        <f>AI480+AV480+CK480+Table1[[#This Row],[FY 25-26]]</f>
        <v>75144.245026476507</v>
      </c>
      <c r="R480" s="36">
        <v>7000</v>
      </c>
      <c r="S480" s="37" t="s">
        <v>929</v>
      </c>
      <c r="T480" s="38">
        <v>45002</v>
      </c>
      <c r="U480" s="39"/>
      <c r="V480" s="39"/>
      <c r="W480" s="40">
        <v>0</v>
      </c>
      <c r="X480" s="40">
        <v>0</v>
      </c>
      <c r="Y480" s="40">
        <v>0</v>
      </c>
      <c r="Z480" s="40">
        <v>0</v>
      </c>
      <c r="AA480" s="40">
        <v>0</v>
      </c>
      <c r="AB480" s="40">
        <v>0</v>
      </c>
      <c r="AC480" s="40">
        <v>0</v>
      </c>
      <c r="AD480" s="40">
        <v>0</v>
      </c>
      <c r="AE480" s="40">
        <v>0</v>
      </c>
      <c r="AF480" s="40">
        <v>0</v>
      </c>
      <c r="AG480" s="40">
        <v>0</v>
      </c>
      <c r="AH480" s="40">
        <v>90</v>
      </c>
      <c r="AI480" s="41">
        <f t="shared" si="56"/>
        <v>90</v>
      </c>
      <c r="AJ480" s="42">
        <v>1263</v>
      </c>
      <c r="AK480" s="42">
        <v>1861</v>
      </c>
      <c r="AL480" s="42">
        <v>2523.6924000000004</v>
      </c>
      <c r="AM480" s="42">
        <v>6673.1342000000013</v>
      </c>
      <c r="AN480" s="42">
        <v>7843.6311999999998</v>
      </c>
      <c r="AO480" s="42">
        <v>4740.9714000000004</v>
      </c>
      <c r="AP480" s="42">
        <v>2204.2399999999998</v>
      </c>
      <c r="AQ480" s="42">
        <v>0</v>
      </c>
      <c r="AR480" s="42">
        <v>1861</v>
      </c>
      <c r="AS480" s="42">
        <v>4581.9612000000006</v>
      </c>
      <c r="AT480" s="42">
        <v>5870.4362000000001</v>
      </c>
      <c r="AU480" s="42">
        <v>6753.119200000001</v>
      </c>
      <c r="AV480" s="42">
        <f t="shared" si="57"/>
        <v>46176.185799999992</v>
      </c>
      <c r="AW480" s="42">
        <v>3324.7629663771281</v>
      </c>
      <c r="AX480" s="42">
        <v>2614.6806356643419</v>
      </c>
      <c r="AY480" s="42">
        <v>3324.6492975296001</v>
      </c>
      <c r="AZ480" s="42">
        <v>3623.7377463459925</v>
      </c>
      <c r="BA480" s="42">
        <v>1940.228580559452</v>
      </c>
      <c r="BB480" s="42">
        <v>0</v>
      </c>
      <c r="BC480" s="42">
        <v>960</v>
      </c>
      <c r="BD480" s="42">
        <v>0</v>
      </c>
      <c r="BE480" s="42">
        <v>500</v>
      </c>
      <c r="BF480" s="42">
        <v>500</v>
      </c>
      <c r="BG480" s="42">
        <v>500</v>
      </c>
      <c r="BH480" s="42">
        <v>500</v>
      </c>
      <c r="BI480" s="42">
        <v>0</v>
      </c>
      <c r="BJ480" s="42">
        <v>0</v>
      </c>
      <c r="BK480" s="42">
        <v>229</v>
      </c>
      <c r="BL480" s="42">
        <v>0</v>
      </c>
      <c r="BM480" s="42">
        <v>0</v>
      </c>
      <c r="BN480" s="42">
        <v>0</v>
      </c>
      <c r="BO480" s="42">
        <v>0</v>
      </c>
      <c r="BP480" s="42">
        <v>0</v>
      </c>
      <c r="BQ480" s="42">
        <v>500</v>
      </c>
      <c r="BR480" s="42">
        <v>500</v>
      </c>
      <c r="BS480" s="42">
        <v>0</v>
      </c>
      <c r="BT480" s="42">
        <v>500</v>
      </c>
      <c r="BU480" s="42">
        <v>500</v>
      </c>
      <c r="BV480" s="42">
        <v>500</v>
      </c>
      <c r="BW480" s="42">
        <v>500</v>
      </c>
      <c r="BX480" s="42">
        <v>500</v>
      </c>
      <c r="BY480" s="42">
        <v>0</v>
      </c>
      <c r="BZ480" s="42">
        <v>500</v>
      </c>
      <c r="CA480" s="42">
        <v>500</v>
      </c>
      <c r="CB480" s="42">
        <v>500</v>
      </c>
      <c r="CC480" s="42">
        <v>500</v>
      </c>
      <c r="CD480" s="42">
        <v>0</v>
      </c>
      <c r="CE480" s="42">
        <v>500</v>
      </c>
      <c r="CF480" s="42">
        <v>500</v>
      </c>
      <c r="CG480" s="42">
        <v>500</v>
      </c>
      <c r="CH480" s="42">
        <v>500</v>
      </c>
      <c r="CI480" s="42">
        <v>500</v>
      </c>
      <c r="CJ480" s="42">
        <v>0</v>
      </c>
      <c r="CK480" s="43">
        <f t="shared" si="58"/>
        <v>26017.059226476515</v>
      </c>
      <c r="CL480" s="66"/>
      <c r="CM480" s="66">
        <v>500</v>
      </c>
      <c r="CN480" s="66">
        <v>500</v>
      </c>
      <c r="CO480" s="66">
        <v>500</v>
      </c>
      <c r="CP480" s="66">
        <v>361</v>
      </c>
      <c r="CQ480" s="66">
        <v>0</v>
      </c>
      <c r="CR480" s="66">
        <v>500</v>
      </c>
      <c r="CS480" s="66">
        <v>0</v>
      </c>
      <c r="CT480" s="66">
        <v>0</v>
      </c>
      <c r="CU480" s="66">
        <v>500</v>
      </c>
      <c r="CV480" s="66">
        <v>0</v>
      </c>
      <c r="CW480" s="66">
        <v>0</v>
      </c>
      <c r="CX480" s="66">
        <v>0</v>
      </c>
      <c r="CY480" s="66">
        <v>0</v>
      </c>
      <c r="CZ480" s="66">
        <v>0</v>
      </c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>
        <f>SUM(Table1[[#This Row],[01-03 Apr]:[Mar-26]])</f>
        <v>2861</v>
      </c>
    </row>
    <row r="481" spans="1:115" hidden="1" x14ac:dyDescent="0.2">
      <c r="A481" s="28" t="s">
        <v>2255</v>
      </c>
      <c r="B481" s="29" t="s">
        <v>930</v>
      </c>
      <c r="C481" s="29" t="s">
        <v>931</v>
      </c>
      <c r="D481" s="30" t="s">
        <v>932</v>
      </c>
      <c r="E481" s="30" t="s">
        <v>217</v>
      </c>
      <c r="F481" s="30"/>
      <c r="G481" s="31">
        <v>45007</v>
      </c>
      <c r="H481" s="30">
        <v>382436</v>
      </c>
      <c r="I481" s="30" t="str">
        <f>IF(Table1[[#This Row],[Centre Status]]="Returned","NA",IF(Table1[[#This Row],[SD]]&gt;19000,"Full Payment",IF(Table1[[#This Row],[SD]]&lt;1,"No Payment","Partial Payment")))</f>
        <v>Full Payment</v>
      </c>
      <c r="J481" s="30" t="s">
        <v>58</v>
      </c>
      <c r="K481" s="32">
        <v>110000</v>
      </c>
      <c r="L481" s="33">
        <f>Q481+R481+U481+Table1[[#This Row],[Farmer Payment]]</f>
        <v>42952.289264373707</v>
      </c>
      <c r="M481" s="30"/>
      <c r="N481" s="34"/>
      <c r="O481" s="34"/>
      <c r="P481" s="35">
        <f t="shared" ref="P481:P544" si="59">K481-L481+M481</f>
        <v>67047.710735626286</v>
      </c>
      <c r="Q481" s="33">
        <f>AI481+AV481+CK481+Table1[[#This Row],[FY 25-26]]</f>
        <v>22952.289264373707</v>
      </c>
      <c r="R481" s="36">
        <v>20000</v>
      </c>
      <c r="S481" s="37" t="s">
        <v>2656</v>
      </c>
      <c r="T481" s="38">
        <v>45335</v>
      </c>
      <c r="U481" s="39"/>
      <c r="V481" s="39"/>
      <c r="W481" s="40">
        <v>0</v>
      </c>
      <c r="X481" s="40">
        <v>0</v>
      </c>
      <c r="Y481" s="40">
        <v>0</v>
      </c>
      <c r="Z481" s="40">
        <v>0</v>
      </c>
      <c r="AA481" s="40">
        <v>0</v>
      </c>
      <c r="AB481" s="40">
        <v>0</v>
      </c>
      <c r="AC481" s="40">
        <v>0</v>
      </c>
      <c r="AD481" s="40">
        <v>0</v>
      </c>
      <c r="AE481" s="40">
        <v>0</v>
      </c>
      <c r="AF481" s="40">
        <v>0</v>
      </c>
      <c r="AG481" s="40">
        <v>0</v>
      </c>
      <c r="AH481" s="40">
        <v>0</v>
      </c>
      <c r="AI481" s="41">
        <f t="shared" ref="AI481:AI544" si="60">SUM(W481:AH481)</f>
        <v>0</v>
      </c>
      <c r="AJ481" s="42">
        <v>0</v>
      </c>
      <c r="AK481" s="42">
        <v>0</v>
      </c>
      <c r="AL481" s="42">
        <v>0</v>
      </c>
      <c r="AM481" s="42">
        <v>0</v>
      </c>
      <c r="AN481" s="42">
        <v>0</v>
      </c>
      <c r="AO481" s="42">
        <v>0</v>
      </c>
      <c r="AP481" s="42">
        <v>0</v>
      </c>
      <c r="AQ481" s="42">
        <v>0</v>
      </c>
      <c r="AR481" s="42">
        <v>0</v>
      </c>
      <c r="AS481" s="42">
        <v>0</v>
      </c>
      <c r="AT481" s="42">
        <v>35.589999999999996</v>
      </c>
      <c r="AU481" s="42">
        <v>1861</v>
      </c>
      <c r="AV481" s="42">
        <f t="shared" ref="AV481:AV544" si="61">SUM(AJ481:AU481)</f>
        <v>1896.59</v>
      </c>
      <c r="AW481" s="42">
        <v>1861</v>
      </c>
      <c r="AX481" s="42">
        <v>1325</v>
      </c>
      <c r="AY481" s="42">
        <v>0</v>
      </c>
      <c r="AZ481" s="42">
        <v>638</v>
      </c>
      <c r="BA481" s="42">
        <v>1226</v>
      </c>
      <c r="BB481" s="42">
        <v>500</v>
      </c>
      <c r="BC481" s="42">
        <v>1568.1406046089983</v>
      </c>
      <c r="BD481" s="42">
        <v>500</v>
      </c>
      <c r="BE481" s="42">
        <v>0</v>
      </c>
      <c r="BF481" s="42">
        <v>0</v>
      </c>
      <c r="BG481" s="42">
        <v>0</v>
      </c>
      <c r="BH481" s="42">
        <v>0</v>
      </c>
      <c r="BI481" s="42">
        <v>1861</v>
      </c>
      <c r="BJ481" s="42">
        <v>0</v>
      </c>
      <c r="BK481" s="42">
        <v>0</v>
      </c>
      <c r="BL481" s="42">
        <v>500</v>
      </c>
      <c r="BM481" s="42">
        <v>500</v>
      </c>
      <c r="BN481" s="42">
        <v>10</v>
      </c>
      <c r="BO481" s="42">
        <v>500</v>
      </c>
      <c r="BP481" s="42">
        <v>500</v>
      </c>
      <c r="BQ481" s="42">
        <v>0</v>
      </c>
      <c r="BR481" s="42">
        <v>500</v>
      </c>
      <c r="BS481" s="42">
        <v>303.70886331387601</v>
      </c>
      <c r="BT481" s="42">
        <v>0</v>
      </c>
      <c r="BU481" s="42">
        <v>0</v>
      </c>
      <c r="BV481" s="42">
        <v>0</v>
      </c>
      <c r="BW481" s="42">
        <v>0</v>
      </c>
      <c r="BX481" s="42">
        <v>0</v>
      </c>
      <c r="BY481" s="42">
        <v>1361</v>
      </c>
      <c r="BZ481" s="42">
        <v>0</v>
      </c>
      <c r="CA481" s="42">
        <v>0</v>
      </c>
      <c r="CB481" s="42">
        <v>0</v>
      </c>
      <c r="CC481" s="42">
        <v>0</v>
      </c>
      <c r="CD481" s="42">
        <v>2345.8805882227152</v>
      </c>
      <c r="CE481" s="42">
        <v>0</v>
      </c>
      <c r="CF481" s="42">
        <v>0</v>
      </c>
      <c r="CG481" s="42">
        <v>0</v>
      </c>
      <c r="CH481" s="42">
        <v>0</v>
      </c>
      <c r="CI481" s="42">
        <v>0</v>
      </c>
      <c r="CJ481" s="42">
        <v>2704.9692082281185</v>
      </c>
      <c r="CK481" s="43">
        <f t="shared" ref="CK481:CK544" si="62">SUM(AW481:CJ481)</f>
        <v>18704.699264373707</v>
      </c>
      <c r="CL481" s="66"/>
      <c r="CM481" s="66">
        <v>0</v>
      </c>
      <c r="CN481" s="66">
        <v>0</v>
      </c>
      <c r="CO481" s="66">
        <v>0</v>
      </c>
      <c r="CP481" s="66">
        <v>1861</v>
      </c>
      <c r="CQ481" s="66">
        <v>0</v>
      </c>
      <c r="CR481" s="66">
        <v>0</v>
      </c>
      <c r="CS481" s="66">
        <v>0</v>
      </c>
      <c r="CT481" s="66">
        <v>0</v>
      </c>
      <c r="CU481" s="66">
        <v>0</v>
      </c>
      <c r="CV481" s="66">
        <v>490</v>
      </c>
      <c r="CW481" s="66">
        <v>0</v>
      </c>
      <c r="CX481" s="66">
        <v>0</v>
      </c>
      <c r="CY481" s="66">
        <v>0</v>
      </c>
      <c r="CZ481" s="66">
        <v>0</v>
      </c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>
        <f>SUM(Table1[[#This Row],[01-03 Apr]:[Mar-26]])</f>
        <v>2351</v>
      </c>
    </row>
    <row r="482" spans="1:115" x14ac:dyDescent="0.2">
      <c r="A482" s="28" t="s">
        <v>2255</v>
      </c>
      <c r="B482" s="29" t="s">
        <v>933</v>
      </c>
      <c r="C482" s="29" t="s">
        <v>934</v>
      </c>
      <c r="D482" s="30" t="s">
        <v>935</v>
      </c>
      <c r="E482" s="30" t="s">
        <v>217</v>
      </c>
      <c r="F482" s="30"/>
      <c r="G482" s="31">
        <v>45007</v>
      </c>
      <c r="H482" s="30">
        <v>387863</v>
      </c>
      <c r="I482" s="30" t="str">
        <f>IF(Table1[[#This Row],[Centre Status]]="Returned","NA",IF(Table1[[#This Row],[SD]]&gt;19000,"Full Payment",IF(Table1[[#This Row],[SD]]&lt;1,"No Payment","Partial Payment")))</f>
        <v>Partial Payment</v>
      </c>
      <c r="J482" s="30" t="s">
        <v>58</v>
      </c>
      <c r="K482" s="32">
        <v>110000</v>
      </c>
      <c r="L482" s="33">
        <f>Q482+R482+U482+Table1[[#This Row],[Farmer Payment]]</f>
        <v>45426.413277110143</v>
      </c>
      <c r="M482" s="30"/>
      <c r="N482" s="34"/>
      <c r="O482" s="34"/>
      <c r="P482" s="35">
        <f t="shared" si="59"/>
        <v>64573.586722889857</v>
      </c>
      <c r="Q482" s="33">
        <f>AI482+AV482+CK482+Table1[[#This Row],[FY 25-26]]</f>
        <v>35426.413277110143</v>
      </c>
      <c r="R482" s="36">
        <v>10000</v>
      </c>
      <c r="S482" s="37" t="s">
        <v>936</v>
      </c>
      <c r="T482" s="38">
        <v>44996</v>
      </c>
      <c r="U482" s="39"/>
      <c r="V482" s="39"/>
      <c r="W482" s="40">
        <v>0</v>
      </c>
      <c r="X482" s="40">
        <v>0</v>
      </c>
      <c r="Y482" s="40">
        <v>0</v>
      </c>
      <c r="Z482" s="40">
        <v>0</v>
      </c>
      <c r="AA482" s="40">
        <v>0</v>
      </c>
      <c r="AB482" s="40">
        <v>0</v>
      </c>
      <c r="AC482" s="40">
        <v>0</v>
      </c>
      <c r="AD482" s="40">
        <v>0</v>
      </c>
      <c r="AE482" s="40">
        <v>0</v>
      </c>
      <c r="AF482" s="40">
        <v>0</v>
      </c>
      <c r="AG482" s="40">
        <v>0</v>
      </c>
      <c r="AH482" s="40">
        <v>418</v>
      </c>
      <c r="AI482" s="41">
        <f t="shared" si="60"/>
        <v>418</v>
      </c>
      <c r="AJ482" s="42">
        <v>2330.4452000000001</v>
      </c>
      <c r="AK482" s="42">
        <v>2584.9173999999998</v>
      </c>
      <c r="AL482" s="42">
        <v>2296.8190000000004</v>
      </c>
      <c r="AM482" s="42">
        <v>2828.1202000000003</v>
      </c>
      <c r="AN482" s="42">
        <v>2254.6232</v>
      </c>
      <c r="AO482" s="42">
        <v>1882.8348000000001</v>
      </c>
      <c r="AP482" s="42">
        <v>1861</v>
      </c>
      <c r="AQ482" s="42">
        <v>7</v>
      </c>
      <c r="AR482" s="42">
        <v>1861</v>
      </c>
      <c r="AS482" s="42">
        <v>671</v>
      </c>
      <c r="AT482" s="42">
        <v>1155.6534771101433</v>
      </c>
      <c r="AU482" s="42">
        <v>234</v>
      </c>
      <c r="AV482" s="42">
        <f t="shared" si="61"/>
        <v>19967.413277110143</v>
      </c>
      <c r="AW482" s="42">
        <v>0</v>
      </c>
      <c r="AX482" s="42">
        <v>219</v>
      </c>
      <c r="AY482" s="42">
        <v>682</v>
      </c>
      <c r="AZ482" s="42">
        <v>1044</v>
      </c>
      <c r="BA482" s="42">
        <v>955</v>
      </c>
      <c r="BB482" s="42">
        <v>500</v>
      </c>
      <c r="BC482" s="42">
        <v>853</v>
      </c>
      <c r="BD482" s="42">
        <v>500</v>
      </c>
      <c r="BE482" s="42">
        <v>500</v>
      </c>
      <c r="BF482" s="42">
        <v>500</v>
      </c>
      <c r="BG482" s="42">
        <v>500</v>
      </c>
      <c r="BH482" s="42">
        <v>500</v>
      </c>
      <c r="BI482" s="42">
        <v>0</v>
      </c>
      <c r="BJ482" s="42">
        <v>500</v>
      </c>
      <c r="BK482" s="42">
        <v>500</v>
      </c>
      <c r="BL482" s="42">
        <v>500</v>
      </c>
      <c r="BM482" s="42">
        <v>500</v>
      </c>
      <c r="BN482" s="42">
        <v>0</v>
      </c>
      <c r="BO482" s="42">
        <v>500</v>
      </c>
      <c r="BP482" s="42">
        <v>500</v>
      </c>
      <c r="BQ482" s="42">
        <v>500</v>
      </c>
      <c r="BR482" s="42">
        <v>500</v>
      </c>
      <c r="BS482" s="42">
        <v>0</v>
      </c>
      <c r="BT482" s="42">
        <v>500</v>
      </c>
      <c r="BU482" s="42">
        <v>500</v>
      </c>
      <c r="BV482" s="42">
        <v>0</v>
      </c>
      <c r="BW482" s="42">
        <v>0</v>
      </c>
      <c r="BX482" s="42">
        <v>0</v>
      </c>
      <c r="BY482" s="42">
        <v>0</v>
      </c>
      <c r="BZ482" s="42">
        <v>0</v>
      </c>
      <c r="CA482" s="42">
        <v>500</v>
      </c>
      <c r="CB482" s="42">
        <v>0</v>
      </c>
      <c r="CC482" s="42">
        <v>0</v>
      </c>
      <c r="CD482" s="42">
        <v>1361</v>
      </c>
      <c r="CE482" s="42">
        <v>0</v>
      </c>
      <c r="CF482" s="42">
        <v>0</v>
      </c>
      <c r="CG482" s="42">
        <v>0</v>
      </c>
      <c r="CH482" s="42">
        <v>0</v>
      </c>
      <c r="CI482" s="42">
        <v>0</v>
      </c>
      <c r="CJ482" s="42">
        <v>734</v>
      </c>
      <c r="CK482" s="43">
        <f t="shared" si="62"/>
        <v>14348</v>
      </c>
      <c r="CL482" s="66"/>
      <c r="CM482" s="66">
        <v>0</v>
      </c>
      <c r="CN482" s="66">
        <v>0</v>
      </c>
      <c r="CO482" s="66">
        <v>0</v>
      </c>
      <c r="CP482" s="66">
        <v>693</v>
      </c>
      <c r="CQ482" s="66">
        <v>0</v>
      </c>
      <c r="CR482" s="66">
        <v>0</v>
      </c>
      <c r="CS482" s="66">
        <v>0</v>
      </c>
      <c r="CT482" s="66">
        <v>0</v>
      </c>
      <c r="CU482" s="66">
        <v>0</v>
      </c>
      <c r="CV482" s="66">
        <v>0</v>
      </c>
      <c r="CW482" s="66">
        <v>0</v>
      </c>
      <c r="CX482" s="66">
        <v>0</v>
      </c>
      <c r="CY482" s="66">
        <v>0</v>
      </c>
      <c r="CZ482" s="66">
        <v>0</v>
      </c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>
        <f>SUM(Table1[[#This Row],[01-03 Apr]:[Mar-26]])</f>
        <v>693</v>
      </c>
    </row>
    <row r="483" spans="1:115" hidden="1" x14ac:dyDescent="0.2">
      <c r="A483" s="28" t="s">
        <v>2255</v>
      </c>
      <c r="B483" s="29" t="s">
        <v>937</v>
      </c>
      <c r="C483" s="29" t="s">
        <v>938</v>
      </c>
      <c r="D483" s="30" t="s">
        <v>939</v>
      </c>
      <c r="E483" s="30" t="s">
        <v>217</v>
      </c>
      <c r="F483" s="30"/>
      <c r="G483" s="31">
        <v>45007</v>
      </c>
      <c r="H483" s="30">
        <v>378188</v>
      </c>
      <c r="I483" s="30" t="str">
        <f>IF(Table1[[#This Row],[Centre Status]]="Returned","NA",IF(Table1[[#This Row],[SD]]&gt;19000,"Full Payment",IF(Table1[[#This Row],[SD]]&lt;1,"No Payment","Partial Payment")))</f>
        <v>NA</v>
      </c>
      <c r="J483" s="30" t="s">
        <v>1903</v>
      </c>
      <c r="K483" s="32">
        <v>110000</v>
      </c>
      <c r="L483" s="33">
        <f>Q483+R483+U483+Table1[[#This Row],[Farmer Payment]]</f>
        <v>13513</v>
      </c>
      <c r="M483" s="30"/>
      <c r="N483" s="34"/>
      <c r="O483" s="34"/>
      <c r="P483" s="35">
        <f t="shared" si="59"/>
        <v>96487</v>
      </c>
      <c r="Q483" s="33">
        <f>AI483+AV483+CK483+Table1[[#This Row],[FY 25-26]]</f>
        <v>3513</v>
      </c>
      <c r="R483" s="36">
        <v>10000</v>
      </c>
      <c r="S483" s="37" t="s">
        <v>940</v>
      </c>
      <c r="T483" s="38">
        <v>44998</v>
      </c>
      <c r="U483" s="39"/>
      <c r="V483" s="39"/>
      <c r="W483" s="40">
        <v>0</v>
      </c>
      <c r="X483" s="40">
        <v>0</v>
      </c>
      <c r="Y483" s="40">
        <v>0</v>
      </c>
      <c r="Z483" s="40">
        <v>0</v>
      </c>
      <c r="AA483" s="40">
        <v>0</v>
      </c>
      <c r="AB483" s="40">
        <v>0</v>
      </c>
      <c r="AC483" s="40">
        <v>0</v>
      </c>
      <c r="AD483" s="40">
        <v>0</v>
      </c>
      <c r="AE483" s="40">
        <v>0</v>
      </c>
      <c r="AF483" s="40">
        <v>0</v>
      </c>
      <c r="AG483" s="40">
        <v>0</v>
      </c>
      <c r="AH483" s="40">
        <v>5</v>
      </c>
      <c r="AI483" s="41">
        <f t="shared" si="60"/>
        <v>5</v>
      </c>
      <c r="AJ483" s="42">
        <v>526</v>
      </c>
      <c r="AK483" s="42">
        <v>1861</v>
      </c>
      <c r="AL483" s="42">
        <v>963</v>
      </c>
      <c r="AM483" s="42">
        <v>158</v>
      </c>
      <c r="AN483" s="42">
        <v>0</v>
      </c>
      <c r="AO483" s="42">
        <v>0</v>
      </c>
      <c r="AP483" s="42">
        <v>0</v>
      </c>
      <c r="AQ483" s="42">
        <v>0</v>
      </c>
      <c r="AR483" s="42">
        <v>0</v>
      </c>
      <c r="AS483" s="42">
        <v>0</v>
      </c>
      <c r="AT483" s="42">
        <v>0</v>
      </c>
      <c r="AU483" s="42">
        <v>0</v>
      </c>
      <c r="AV483" s="42">
        <f t="shared" si="61"/>
        <v>3508</v>
      </c>
      <c r="AW483" s="42">
        <v>0</v>
      </c>
      <c r="AX483" s="42">
        <v>0</v>
      </c>
      <c r="AY483" s="42">
        <v>0</v>
      </c>
      <c r="AZ483" s="42">
        <v>0</v>
      </c>
      <c r="BA483" s="42">
        <v>0</v>
      </c>
      <c r="BB483" s="42">
        <v>0</v>
      </c>
      <c r="BC483" s="42">
        <v>0</v>
      </c>
      <c r="BD483" s="42">
        <v>0</v>
      </c>
      <c r="BE483" s="42">
        <v>0</v>
      </c>
      <c r="BF483" s="42">
        <v>0</v>
      </c>
      <c r="BG483" s="42">
        <v>0</v>
      </c>
      <c r="BH483" s="42">
        <v>0</v>
      </c>
      <c r="BI483" s="42">
        <v>0</v>
      </c>
      <c r="BJ483" s="42">
        <v>0</v>
      </c>
      <c r="BK483" s="42">
        <v>0</v>
      </c>
      <c r="BL483" s="42">
        <v>0</v>
      </c>
      <c r="BM483" s="42">
        <v>0</v>
      </c>
      <c r="BN483" s="42">
        <v>0</v>
      </c>
      <c r="BO483" s="42">
        <v>0</v>
      </c>
      <c r="BP483" s="42">
        <v>0</v>
      </c>
      <c r="BQ483" s="42">
        <v>0</v>
      </c>
      <c r="BR483" s="42">
        <v>0</v>
      </c>
      <c r="BS483" s="42">
        <v>0</v>
      </c>
      <c r="BT483" s="42">
        <v>0</v>
      </c>
      <c r="BU483" s="42">
        <v>0</v>
      </c>
      <c r="BV483" s="42">
        <v>0</v>
      </c>
      <c r="BW483" s="42">
        <v>0</v>
      </c>
      <c r="BX483" s="42">
        <v>0</v>
      </c>
      <c r="BY483" s="42">
        <v>0</v>
      </c>
      <c r="BZ483" s="42">
        <v>0</v>
      </c>
      <c r="CA483" s="42">
        <v>0</v>
      </c>
      <c r="CB483" s="42">
        <v>0</v>
      </c>
      <c r="CC483" s="42">
        <v>0</v>
      </c>
      <c r="CD483" s="42">
        <v>0</v>
      </c>
      <c r="CE483" s="42">
        <v>0</v>
      </c>
      <c r="CF483" s="42">
        <v>0</v>
      </c>
      <c r="CG483" s="42">
        <v>0</v>
      </c>
      <c r="CH483" s="42">
        <v>0</v>
      </c>
      <c r="CI483" s="42">
        <v>0</v>
      </c>
      <c r="CJ483" s="42">
        <v>0</v>
      </c>
      <c r="CK483" s="43">
        <f t="shared" si="62"/>
        <v>0</v>
      </c>
      <c r="CL483" s="66"/>
      <c r="CM483" s="66">
        <v>0</v>
      </c>
      <c r="CN483" s="66">
        <v>0</v>
      </c>
      <c r="CO483" s="66">
        <v>0</v>
      </c>
      <c r="CP483" s="66">
        <v>0</v>
      </c>
      <c r="CQ483" s="66">
        <v>0</v>
      </c>
      <c r="CR483" s="66">
        <v>0</v>
      </c>
      <c r="CS483" s="66">
        <v>0</v>
      </c>
      <c r="CT483" s="66">
        <v>0</v>
      </c>
      <c r="CU483" s="66">
        <v>0</v>
      </c>
      <c r="CV483" s="66">
        <v>0</v>
      </c>
      <c r="CW483" s="66">
        <v>0</v>
      </c>
      <c r="CX483" s="66">
        <v>0</v>
      </c>
      <c r="CY483" s="66">
        <v>0</v>
      </c>
      <c r="CZ483" s="66">
        <v>0</v>
      </c>
      <c r="DA483" s="66"/>
      <c r="DB483" s="66"/>
      <c r="DC483" s="66"/>
      <c r="DD483" s="66"/>
      <c r="DE483" s="66"/>
      <c r="DF483" s="66"/>
      <c r="DG483" s="66"/>
      <c r="DH483" s="66"/>
      <c r="DI483" s="66"/>
      <c r="DJ483" s="66"/>
      <c r="DK483" s="66">
        <f>SUM(Table1[[#This Row],[01-03 Apr]:[Mar-26]])</f>
        <v>0</v>
      </c>
    </row>
    <row r="484" spans="1:115" hidden="1" x14ac:dyDescent="0.2">
      <c r="A484" s="28" t="s">
        <v>2255</v>
      </c>
      <c r="B484" s="29" t="s">
        <v>945</v>
      </c>
      <c r="C484" s="29" t="s">
        <v>946</v>
      </c>
      <c r="D484" s="30" t="s">
        <v>947</v>
      </c>
      <c r="E484" s="30" t="s">
        <v>57</v>
      </c>
      <c r="F484" s="30"/>
      <c r="G484" s="31">
        <v>45008</v>
      </c>
      <c r="H484" s="30">
        <v>378197</v>
      </c>
      <c r="I484" s="30" t="str">
        <f>IF(Table1[[#This Row],[Centre Status]]="Returned","NA",IF(Table1[[#This Row],[SD]]&gt;19000,"Full Payment",IF(Table1[[#This Row],[SD]]&lt;1,"No Payment","Partial Payment")))</f>
        <v>Full Payment</v>
      </c>
      <c r="J484" s="30" t="s">
        <v>58</v>
      </c>
      <c r="K484" s="32">
        <v>110000</v>
      </c>
      <c r="L484" s="33">
        <f>Q484+R484+U484+Table1[[#This Row],[Farmer Payment]]</f>
        <v>110000</v>
      </c>
      <c r="M484" s="30"/>
      <c r="N484" s="34"/>
      <c r="O484" s="34"/>
      <c r="P484" s="35">
        <f t="shared" si="59"/>
        <v>0</v>
      </c>
      <c r="Q484" s="33">
        <f>AI484+AV484+CK484+Table1[[#This Row],[FY 25-26]]</f>
        <v>90000</v>
      </c>
      <c r="R484" s="36">
        <v>20000</v>
      </c>
      <c r="S484" s="37" t="s">
        <v>948</v>
      </c>
      <c r="T484" s="38">
        <v>45003</v>
      </c>
      <c r="U484" s="39"/>
      <c r="V484" s="39"/>
      <c r="W484" s="40">
        <v>0</v>
      </c>
      <c r="X484" s="40">
        <v>0</v>
      </c>
      <c r="Y484" s="40">
        <v>0</v>
      </c>
      <c r="Z484" s="40">
        <v>0</v>
      </c>
      <c r="AA484" s="40">
        <v>0</v>
      </c>
      <c r="AB484" s="40">
        <v>0</v>
      </c>
      <c r="AC484" s="40">
        <v>0</v>
      </c>
      <c r="AD484" s="40">
        <v>0</v>
      </c>
      <c r="AE484" s="40">
        <v>0</v>
      </c>
      <c r="AF484" s="40">
        <v>0</v>
      </c>
      <c r="AG484" s="40">
        <v>0</v>
      </c>
      <c r="AH484" s="40">
        <v>0</v>
      </c>
      <c r="AI484" s="41">
        <f t="shared" si="60"/>
        <v>0</v>
      </c>
      <c r="AJ484" s="42">
        <v>1887.8691999999999</v>
      </c>
      <c r="AK484" s="42">
        <v>4090.3015999999998</v>
      </c>
      <c r="AL484" s="42">
        <v>2694.4037999999996</v>
      </c>
      <c r="AM484" s="42">
        <v>2865.1453999999999</v>
      </c>
      <c r="AN484" s="42">
        <v>2858.7564000000002</v>
      </c>
      <c r="AO484" s="42">
        <v>3609.5958000000001</v>
      </c>
      <c r="AP484" s="42">
        <v>5490.1864000000005</v>
      </c>
      <c r="AQ484" s="42">
        <v>4955.0284000000011</v>
      </c>
      <c r="AR484" s="42">
        <v>5671.4017999999996</v>
      </c>
      <c r="AS484" s="42">
        <v>7467.6010000000015</v>
      </c>
      <c r="AT484" s="42">
        <v>8936.9300000000021</v>
      </c>
      <c r="AU484" s="42">
        <v>9981.5695999999989</v>
      </c>
      <c r="AV484" s="42">
        <f t="shared" si="61"/>
        <v>60508.789400000009</v>
      </c>
      <c r="AW484" s="42">
        <v>9815.8985603184155</v>
      </c>
      <c r="AX484" s="42">
        <v>8439.4177396698251</v>
      </c>
      <c r="AY484" s="42">
        <v>7314.1902710156746</v>
      </c>
      <c r="AZ484" s="42">
        <v>3921.7040289960714</v>
      </c>
      <c r="BA484" s="42">
        <v>0</v>
      </c>
      <c r="BB484" s="42">
        <v>0</v>
      </c>
      <c r="BC484" s="42">
        <v>0</v>
      </c>
      <c r="BD484" s="42">
        <v>0</v>
      </c>
      <c r="BE484" s="42">
        <v>0</v>
      </c>
      <c r="BF484" s="42">
        <v>0</v>
      </c>
      <c r="BG484" s="42">
        <v>0</v>
      </c>
      <c r="BH484" s="42">
        <v>0</v>
      </c>
      <c r="BI484" s="42">
        <v>0</v>
      </c>
      <c r="BJ484" s="42">
        <v>0</v>
      </c>
      <c r="BK484" s="42">
        <v>0</v>
      </c>
      <c r="BL484" s="42">
        <v>0</v>
      </c>
      <c r="BM484" s="42">
        <v>0</v>
      </c>
      <c r="BN484" s="42">
        <v>0</v>
      </c>
      <c r="BO484" s="42">
        <v>0</v>
      </c>
      <c r="BP484" s="42">
        <v>0</v>
      </c>
      <c r="BQ484" s="42">
        <v>0</v>
      </c>
      <c r="BR484" s="42">
        <v>0</v>
      </c>
      <c r="BS484" s="42">
        <v>0</v>
      </c>
      <c r="BT484" s="42">
        <v>0</v>
      </c>
      <c r="BU484" s="42">
        <v>0</v>
      </c>
      <c r="BV484" s="42">
        <v>0</v>
      </c>
      <c r="BW484" s="42">
        <v>0</v>
      </c>
      <c r="BX484" s="42">
        <v>0</v>
      </c>
      <c r="BY484" s="42">
        <v>0</v>
      </c>
      <c r="BZ484" s="42">
        <v>0</v>
      </c>
      <c r="CA484" s="42">
        <v>0</v>
      </c>
      <c r="CB484" s="42">
        <v>0</v>
      </c>
      <c r="CC484" s="42">
        <v>0</v>
      </c>
      <c r="CD484" s="42">
        <v>0</v>
      </c>
      <c r="CE484" s="42">
        <v>0</v>
      </c>
      <c r="CF484" s="42">
        <v>0</v>
      </c>
      <c r="CG484" s="42">
        <v>0</v>
      </c>
      <c r="CH484" s="42">
        <v>0</v>
      </c>
      <c r="CI484" s="42">
        <v>0</v>
      </c>
      <c r="CJ484" s="42">
        <v>0</v>
      </c>
      <c r="CK484" s="43">
        <f t="shared" si="62"/>
        <v>29491.210599999988</v>
      </c>
      <c r="CL484" s="66"/>
      <c r="CM484" s="66">
        <v>0</v>
      </c>
      <c r="CN484" s="66">
        <v>0</v>
      </c>
      <c r="CO484" s="66">
        <v>0</v>
      </c>
      <c r="CP484" s="66">
        <v>0</v>
      </c>
      <c r="CQ484" s="66">
        <v>0</v>
      </c>
      <c r="CR484" s="66">
        <v>0</v>
      </c>
      <c r="CS484" s="66">
        <v>0</v>
      </c>
      <c r="CT484" s="66">
        <v>0</v>
      </c>
      <c r="CU484" s="66">
        <v>0</v>
      </c>
      <c r="CV484" s="66">
        <v>0</v>
      </c>
      <c r="CW484" s="66">
        <v>0</v>
      </c>
      <c r="CX484" s="66">
        <v>0</v>
      </c>
      <c r="CY484" s="66">
        <v>0</v>
      </c>
      <c r="CZ484" s="66">
        <v>0</v>
      </c>
      <c r="DA484" s="66"/>
      <c r="DB484" s="66"/>
      <c r="DC484" s="66"/>
      <c r="DD484" s="66"/>
      <c r="DE484" s="66"/>
      <c r="DF484" s="66"/>
      <c r="DG484" s="66"/>
      <c r="DH484" s="66"/>
      <c r="DI484" s="66"/>
      <c r="DJ484" s="66"/>
      <c r="DK484" s="66">
        <f>SUM(Table1[[#This Row],[01-03 Apr]:[Mar-26]])</f>
        <v>0</v>
      </c>
    </row>
    <row r="485" spans="1:115" hidden="1" x14ac:dyDescent="0.2">
      <c r="A485" s="28" t="s">
        <v>2255</v>
      </c>
      <c r="B485" s="29" t="s">
        <v>949</v>
      </c>
      <c r="C485" s="29" t="s">
        <v>950</v>
      </c>
      <c r="D485" s="30" t="s">
        <v>951</v>
      </c>
      <c r="E485" s="30" t="s">
        <v>57</v>
      </c>
      <c r="F485" s="30"/>
      <c r="G485" s="31">
        <v>45008</v>
      </c>
      <c r="H485" s="30">
        <v>388119</v>
      </c>
      <c r="I485" s="30" t="str">
        <f>IF(Table1[[#This Row],[Centre Status]]="Returned","NA",IF(Table1[[#This Row],[SD]]&gt;19000,"Full Payment",IF(Table1[[#This Row],[SD]]&lt;1,"No Payment","Partial Payment")))</f>
        <v>Full Payment</v>
      </c>
      <c r="J485" s="30" t="s">
        <v>58</v>
      </c>
      <c r="K485" s="32">
        <v>110000</v>
      </c>
      <c r="L485" s="33">
        <f>Q485+R485+U485+Table1[[#This Row],[Farmer Payment]]</f>
        <v>49922.976152265357</v>
      </c>
      <c r="M485" s="30"/>
      <c r="N485" s="34"/>
      <c r="O485" s="34"/>
      <c r="P485" s="35">
        <f t="shared" si="59"/>
        <v>60077.023847734643</v>
      </c>
      <c r="Q485" s="33">
        <f>AI485+AV485+CK485+Table1[[#This Row],[FY 25-26]]</f>
        <v>29922.976152265357</v>
      </c>
      <c r="R485" s="36">
        <v>20000</v>
      </c>
      <c r="S485" s="37" t="s">
        <v>952</v>
      </c>
      <c r="T485" s="38">
        <v>45003</v>
      </c>
      <c r="U485" s="39"/>
      <c r="V485" s="39"/>
      <c r="W485" s="40">
        <v>0</v>
      </c>
      <c r="X485" s="40">
        <v>0</v>
      </c>
      <c r="Y485" s="40">
        <v>0</v>
      </c>
      <c r="Z485" s="40">
        <v>0</v>
      </c>
      <c r="AA485" s="40">
        <v>0</v>
      </c>
      <c r="AB485" s="40">
        <v>0</v>
      </c>
      <c r="AC485" s="40">
        <v>0</v>
      </c>
      <c r="AD485" s="40">
        <v>0</v>
      </c>
      <c r="AE485" s="40">
        <v>0</v>
      </c>
      <c r="AF485" s="40">
        <v>0</v>
      </c>
      <c r="AG485" s="40">
        <v>0</v>
      </c>
      <c r="AH485" s="40">
        <v>0</v>
      </c>
      <c r="AI485" s="41">
        <f t="shared" si="60"/>
        <v>0</v>
      </c>
      <c r="AJ485" s="42">
        <v>898</v>
      </c>
      <c r="AK485" s="42">
        <v>1723</v>
      </c>
      <c r="AL485" s="42">
        <v>574</v>
      </c>
      <c r="AM485" s="42">
        <v>0</v>
      </c>
      <c r="AN485" s="42">
        <v>1861</v>
      </c>
      <c r="AO485" s="42">
        <v>1589</v>
      </c>
      <c r="AP485" s="42">
        <v>1034</v>
      </c>
      <c r="AQ485" s="42">
        <v>313</v>
      </c>
      <c r="AR485" s="42">
        <v>1861</v>
      </c>
      <c r="AS485" s="42">
        <v>1967.5652000000002</v>
      </c>
      <c r="AT485" s="42">
        <v>1933.5121999999997</v>
      </c>
      <c r="AU485" s="42">
        <v>2559.9114000000004</v>
      </c>
      <c r="AV485" s="42">
        <f t="shared" si="61"/>
        <v>16313.988800000001</v>
      </c>
      <c r="AW485" s="42">
        <v>2351.9873522653575</v>
      </c>
      <c r="AX485" s="42">
        <v>1861</v>
      </c>
      <c r="AY485" s="42">
        <v>1858</v>
      </c>
      <c r="AZ485" s="42">
        <v>677</v>
      </c>
      <c r="BA485" s="42">
        <v>909</v>
      </c>
      <c r="BB485" s="42">
        <v>500</v>
      </c>
      <c r="BC485" s="42">
        <v>634</v>
      </c>
      <c r="BD485" s="42">
        <v>500</v>
      </c>
      <c r="BE485" s="42">
        <v>500</v>
      </c>
      <c r="BF485" s="42">
        <v>500</v>
      </c>
      <c r="BG485" s="42">
        <v>500</v>
      </c>
      <c r="BH485" s="42">
        <v>500</v>
      </c>
      <c r="BI485" s="42">
        <v>0</v>
      </c>
      <c r="BJ485" s="42">
        <v>500</v>
      </c>
      <c r="BK485" s="42">
        <v>500</v>
      </c>
      <c r="BL485" s="42">
        <v>500</v>
      </c>
      <c r="BM485" s="42">
        <v>500</v>
      </c>
      <c r="BN485" s="42">
        <v>-682</v>
      </c>
      <c r="BO485" s="42">
        <v>500</v>
      </c>
      <c r="BP485" s="42">
        <v>500</v>
      </c>
      <c r="BQ485" s="42">
        <v>0</v>
      </c>
      <c r="BR485" s="42">
        <v>0</v>
      </c>
      <c r="BS485" s="42">
        <v>0</v>
      </c>
      <c r="BT485" s="42">
        <v>0</v>
      </c>
      <c r="BU485" s="42">
        <v>0</v>
      </c>
      <c r="BV485" s="42">
        <v>0</v>
      </c>
      <c r="BW485" s="42">
        <v>0</v>
      </c>
      <c r="BX485" s="42">
        <v>0</v>
      </c>
      <c r="BY485" s="42">
        <v>0</v>
      </c>
      <c r="BZ485" s="42">
        <v>0</v>
      </c>
      <c r="CA485" s="42">
        <v>0</v>
      </c>
      <c r="CB485" s="42">
        <v>0</v>
      </c>
      <c r="CC485" s="42">
        <v>0</v>
      </c>
      <c r="CD485" s="42">
        <v>0</v>
      </c>
      <c r="CE485" s="42">
        <v>0</v>
      </c>
      <c r="CF485" s="42">
        <v>0</v>
      </c>
      <c r="CG485" s="42">
        <v>0</v>
      </c>
      <c r="CH485" s="42">
        <v>0</v>
      </c>
      <c r="CI485" s="42">
        <v>0</v>
      </c>
      <c r="CJ485" s="42">
        <v>0</v>
      </c>
      <c r="CK485" s="43">
        <f t="shared" si="62"/>
        <v>13608.987352265358</v>
      </c>
      <c r="CL485" s="66"/>
      <c r="CM485" s="66">
        <v>0</v>
      </c>
      <c r="CN485" s="66">
        <v>0</v>
      </c>
      <c r="CO485" s="66">
        <v>0</v>
      </c>
      <c r="CP485" s="66">
        <v>0</v>
      </c>
      <c r="CQ485" s="66">
        <v>0</v>
      </c>
      <c r="CR485" s="66">
        <v>0</v>
      </c>
      <c r="CS485" s="66">
        <v>0</v>
      </c>
      <c r="CT485" s="66">
        <v>0</v>
      </c>
      <c r="CU485" s="66">
        <v>0</v>
      </c>
      <c r="CV485" s="66">
        <v>0</v>
      </c>
      <c r="CW485" s="66">
        <v>0</v>
      </c>
      <c r="CX485" s="66">
        <v>0</v>
      </c>
      <c r="CY485" s="66">
        <v>0</v>
      </c>
      <c r="CZ485" s="66">
        <v>0</v>
      </c>
      <c r="DA485" s="66"/>
      <c r="DB485" s="66"/>
      <c r="DC485" s="66"/>
      <c r="DD485" s="66"/>
      <c r="DE485" s="66"/>
      <c r="DF485" s="66"/>
      <c r="DG485" s="66"/>
      <c r="DH485" s="66"/>
      <c r="DI485" s="66"/>
      <c r="DJ485" s="66"/>
      <c r="DK485" s="66">
        <f>SUM(Table1[[#This Row],[01-03 Apr]:[Mar-26]])</f>
        <v>0</v>
      </c>
    </row>
    <row r="486" spans="1:115" hidden="1" x14ac:dyDescent="0.2">
      <c r="A486" s="28" t="s">
        <v>2255</v>
      </c>
      <c r="B486" s="29" t="s">
        <v>955</v>
      </c>
      <c r="C486" s="29" t="s">
        <v>956</v>
      </c>
      <c r="D486" s="30" t="s">
        <v>957</v>
      </c>
      <c r="E486" s="30" t="s">
        <v>203</v>
      </c>
      <c r="F486" s="30"/>
      <c r="G486" s="31">
        <v>45010</v>
      </c>
      <c r="H486" s="30">
        <v>378196</v>
      </c>
      <c r="I486" s="30" t="str">
        <f>IF(Table1[[#This Row],[Centre Status]]="Returned","NA",IF(Table1[[#This Row],[SD]]&gt;19000,"Full Payment",IF(Table1[[#This Row],[SD]]&lt;1,"No Payment","Partial Payment")))</f>
        <v>NA</v>
      </c>
      <c r="J486" s="30" t="s">
        <v>1903</v>
      </c>
      <c r="K486" s="32">
        <v>110000</v>
      </c>
      <c r="L486" s="33">
        <f>Q486+R486+U486+Table1[[#This Row],[Farmer Payment]]</f>
        <v>39328.444000000003</v>
      </c>
      <c r="M486" s="30">
        <v>10000</v>
      </c>
      <c r="N486" s="34">
        <v>45665</v>
      </c>
      <c r="O486" s="34" t="s">
        <v>2861</v>
      </c>
      <c r="P486" s="35">
        <f t="shared" si="59"/>
        <v>80671.555999999997</v>
      </c>
      <c r="Q486" s="33">
        <f>AI486+AV486+CK486+Table1[[#This Row],[FY 25-26]]</f>
        <v>29327.444</v>
      </c>
      <c r="R486" s="36">
        <v>10001</v>
      </c>
      <c r="S486" s="37" t="s">
        <v>958</v>
      </c>
      <c r="T486" s="38">
        <v>45010</v>
      </c>
      <c r="U486" s="39"/>
      <c r="V486" s="39"/>
      <c r="W486" s="40">
        <v>0</v>
      </c>
      <c r="X486" s="40">
        <v>0</v>
      </c>
      <c r="Y486" s="40">
        <v>0</v>
      </c>
      <c r="Z486" s="40">
        <v>0</v>
      </c>
      <c r="AA486" s="40">
        <v>0</v>
      </c>
      <c r="AB486" s="40">
        <v>0</v>
      </c>
      <c r="AC486" s="40">
        <v>0</v>
      </c>
      <c r="AD486" s="40">
        <v>0</v>
      </c>
      <c r="AE486" s="40">
        <v>0</v>
      </c>
      <c r="AF486" s="40">
        <v>0</v>
      </c>
      <c r="AG486" s="40">
        <v>0</v>
      </c>
      <c r="AH486" s="40">
        <v>99</v>
      </c>
      <c r="AI486" s="41">
        <f t="shared" si="60"/>
        <v>99</v>
      </c>
      <c r="AJ486" s="42">
        <v>1861</v>
      </c>
      <c r="AK486" s="42">
        <v>3336.9170000000004</v>
      </c>
      <c r="AL486" s="42">
        <v>3234.6407999999997</v>
      </c>
      <c r="AM486" s="42">
        <v>2888.1338000000001</v>
      </c>
      <c r="AN486" s="42">
        <v>1861</v>
      </c>
      <c r="AO486" s="42">
        <v>1861</v>
      </c>
      <c r="AP486" s="42">
        <v>1861</v>
      </c>
      <c r="AQ486" s="42">
        <v>1861</v>
      </c>
      <c r="AR486" s="42">
        <v>1861</v>
      </c>
      <c r="AS486" s="42">
        <v>2353.2722000000003</v>
      </c>
      <c r="AT486" s="42">
        <v>2299.9962</v>
      </c>
      <c r="AU486" s="42">
        <v>2126.4839999999999</v>
      </c>
      <c r="AV486" s="42">
        <f t="shared" si="61"/>
        <v>27405.444</v>
      </c>
      <c r="AW486" s="42">
        <v>1823</v>
      </c>
      <c r="AX486" s="42">
        <v>0</v>
      </c>
      <c r="AY486" s="42">
        <v>0</v>
      </c>
      <c r="AZ486" s="42">
        <v>0</v>
      </c>
      <c r="BA486" s="42">
        <v>0</v>
      </c>
      <c r="BB486" s="42">
        <v>0</v>
      </c>
      <c r="BC486" s="42">
        <v>0</v>
      </c>
      <c r="BD486" s="42">
        <v>0</v>
      </c>
      <c r="BE486" s="42">
        <v>0</v>
      </c>
      <c r="BF486" s="42">
        <v>0</v>
      </c>
      <c r="BG486" s="42">
        <v>0</v>
      </c>
      <c r="BH486" s="42">
        <v>0</v>
      </c>
      <c r="BI486" s="42">
        <v>0</v>
      </c>
      <c r="BJ486" s="42">
        <v>0</v>
      </c>
      <c r="BK486" s="42">
        <v>0</v>
      </c>
      <c r="BL486" s="42">
        <v>0</v>
      </c>
      <c r="BM486" s="42">
        <v>0</v>
      </c>
      <c r="BN486" s="42">
        <v>0</v>
      </c>
      <c r="BO486" s="42">
        <v>0</v>
      </c>
      <c r="BP486" s="42">
        <v>0</v>
      </c>
      <c r="BQ486" s="42">
        <v>0</v>
      </c>
      <c r="BR486" s="42">
        <v>0</v>
      </c>
      <c r="BS486" s="42">
        <v>0</v>
      </c>
      <c r="BT486" s="42">
        <v>0</v>
      </c>
      <c r="BU486" s="42">
        <v>0</v>
      </c>
      <c r="BV486" s="42">
        <v>0</v>
      </c>
      <c r="BW486" s="42">
        <v>0</v>
      </c>
      <c r="BX486" s="42">
        <v>0</v>
      </c>
      <c r="BY486" s="42">
        <v>0</v>
      </c>
      <c r="BZ486" s="42">
        <v>0</v>
      </c>
      <c r="CA486" s="42">
        <v>0</v>
      </c>
      <c r="CB486" s="42">
        <v>0</v>
      </c>
      <c r="CC486" s="42">
        <v>0</v>
      </c>
      <c r="CD486" s="42">
        <v>0</v>
      </c>
      <c r="CE486" s="42">
        <v>0</v>
      </c>
      <c r="CF486" s="42">
        <v>0</v>
      </c>
      <c r="CG486" s="42">
        <v>0</v>
      </c>
      <c r="CH486" s="42">
        <v>0</v>
      </c>
      <c r="CI486" s="42">
        <v>0</v>
      </c>
      <c r="CJ486" s="42">
        <v>0</v>
      </c>
      <c r="CK486" s="43">
        <f t="shared" si="62"/>
        <v>1823</v>
      </c>
      <c r="CL486" s="66"/>
      <c r="CM486" s="66">
        <v>0</v>
      </c>
      <c r="CN486" s="66">
        <v>0</v>
      </c>
      <c r="CO486" s="66">
        <v>0</v>
      </c>
      <c r="CP486" s="66">
        <v>0</v>
      </c>
      <c r="CQ486" s="66">
        <v>0</v>
      </c>
      <c r="CR486" s="66">
        <v>0</v>
      </c>
      <c r="CS486" s="66">
        <v>0</v>
      </c>
      <c r="CT486" s="66">
        <v>0</v>
      </c>
      <c r="CU486" s="66">
        <v>0</v>
      </c>
      <c r="CV486" s="66">
        <v>0</v>
      </c>
      <c r="CW486" s="66">
        <v>0</v>
      </c>
      <c r="CX486" s="66">
        <v>0</v>
      </c>
      <c r="CY486" s="66">
        <v>0</v>
      </c>
      <c r="CZ486" s="66">
        <v>0</v>
      </c>
      <c r="DA486" s="66"/>
      <c r="DB486" s="66"/>
      <c r="DC486" s="66"/>
      <c r="DD486" s="66"/>
      <c r="DE486" s="66"/>
      <c r="DF486" s="66"/>
      <c r="DG486" s="66"/>
      <c r="DH486" s="66"/>
      <c r="DI486" s="66"/>
      <c r="DJ486" s="66"/>
      <c r="DK486" s="66">
        <f>SUM(Table1[[#This Row],[01-03 Apr]:[Mar-26]])</f>
        <v>0</v>
      </c>
    </row>
    <row r="487" spans="1:115" x14ac:dyDescent="0.2">
      <c r="A487" s="28" t="s">
        <v>2255</v>
      </c>
      <c r="B487" s="29" t="s">
        <v>965</v>
      </c>
      <c r="C487" s="29" t="s">
        <v>966</v>
      </c>
      <c r="D487" s="30" t="s">
        <v>967</v>
      </c>
      <c r="E487" s="30" t="s">
        <v>203</v>
      </c>
      <c r="F487" s="30"/>
      <c r="G487" s="31" t="s">
        <v>968</v>
      </c>
      <c r="H487" s="30">
        <v>391010</v>
      </c>
      <c r="I487" s="30" t="str">
        <f>IF(Table1[[#This Row],[Centre Status]]="Returned","NA",IF(Table1[[#This Row],[SD]]&gt;19000,"Full Payment",IF(Table1[[#This Row],[SD]]&lt;1,"No Payment","Partial Payment")))</f>
        <v>Partial Payment</v>
      </c>
      <c r="J487" s="30" t="s">
        <v>58</v>
      </c>
      <c r="K487" s="32">
        <v>110000</v>
      </c>
      <c r="L487" s="33">
        <f>Q487+R487+U487+Table1[[#This Row],[Farmer Payment]]</f>
        <v>23818</v>
      </c>
      <c r="M487" s="30"/>
      <c r="N487" s="34"/>
      <c r="O487" s="34"/>
      <c r="P487" s="35">
        <f t="shared" si="59"/>
        <v>86182</v>
      </c>
      <c r="Q487" s="33">
        <f>AI487+AV487+CK487+Table1[[#This Row],[FY 25-26]]</f>
        <v>13818</v>
      </c>
      <c r="R487" s="36">
        <v>10000</v>
      </c>
      <c r="S487" s="37" t="s">
        <v>969</v>
      </c>
      <c r="T487" s="38">
        <v>45070</v>
      </c>
      <c r="U487" s="39"/>
      <c r="V487" s="39"/>
      <c r="W487" s="40">
        <v>0</v>
      </c>
      <c r="X487" s="40">
        <v>0</v>
      </c>
      <c r="Y487" s="40">
        <v>0</v>
      </c>
      <c r="Z487" s="40">
        <v>0</v>
      </c>
      <c r="AA487" s="40">
        <v>0</v>
      </c>
      <c r="AB487" s="40">
        <v>0</v>
      </c>
      <c r="AC487" s="40">
        <v>0</v>
      </c>
      <c r="AD487" s="40">
        <v>0</v>
      </c>
      <c r="AE487" s="40">
        <v>0</v>
      </c>
      <c r="AF487" s="40">
        <v>0</v>
      </c>
      <c r="AG487" s="40">
        <v>0</v>
      </c>
      <c r="AH487" s="40">
        <v>33</v>
      </c>
      <c r="AI487" s="41">
        <f t="shared" si="60"/>
        <v>33</v>
      </c>
      <c r="AJ487" s="42">
        <v>956</v>
      </c>
      <c r="AK487" s="42">
        <v>1861</v>
      </c>
      <c r="AL487" s="42">
        <v>1861</v>
      </c>
      <c r="AM487" s="42">
        <v>1861</v>
      </c>
      <c r="AN487" s="42">
        <v>1861</v>
      </c>
      <c r="AO487" s="42">
        <v>1861</v>
      </c>
      <c r="AP487" s="42">
        <v>1861</v>
      </c>
      <c r="AQ487" s="42">
        <v>611</v>
      </c>
      <c r="AR487" s="42">
        <v>52</v>
      </c>
      <c r="AS487" s="42">
        <v>0</v>
      </c>
      <c r="AT487" s="42">
        <v>0</v>
      </c>
      <c r="AU487" s="42">
        <v>0</v>
      </c>
      <c r="AV487" s="42">
        <f t="shared" si="61"/>
        <v>12785</v>
      </c>
      <c r="AW487" s="42">
        <v>0</v>
      </c>
      <c r="AX487" s="42">
        <v>0</v>
      </c>
      <c r="AY487" s="42">
        <v>0</v>
      </c>
      <c r="AZ487" s="42">
        <v>0</v>
      </c>
      <c r="BA487" s="42">
        <v>0</v>
      </c>
      <c r="BB487" s="42">
        <v>500</v>
      </c>
      <c r="BC487" s="42">
        <v>0</v>
      </c>
      <c r="BD487" s="42">
        <v>500</v>
      </c>
      <c r="BE487" s="42">
        <v>0</v>
      </c>
      <c r="BF487" s="42">
        <v>0</v>
      </c>
      <c r="BG487" s="42">
        <v>0</v>
      </c>
      <c r="BH487" s="42">
        <v>0</v>
      </c>
      <c r="BI487" s="42">
        <v>0</v>
      </c>
      <c r="BJ487" s="42">
        <v>0</v>
      </c>
      <c r="BK487" s="42">
        <v>0</v>
      </c>
      <c r="BL487" s="42">
        <v>0</v>
      </c>
      <c r="BM487" s="42">
        <v>0</v>
      </c>
      <c r="BN487" s="42">
        <v>0</v>
      </c>
      <c r="BO487" s="42">
        <v>0</v>
      </c>
      <c r="BP487" s="42">
        <v>0</v>
      </c>
      <c r="BQ487" s="42">
        <v>0</v>
      </c>
      <c r="BR487" s="42">
        <v>0</v>
      </c>
      <c r="BS487" s="42">
        <v>0</v>
      </c>
      <c r="BT487" s="42">
        <v>0</v>
      </c>
      <c r="BU487" s="42">
        <v>0</v>
      </c>
      <c r="BV487" s="42">
        <v>0</v>
      </c>
      <c r="BW487" s="42">
        <v>0</v>
      </c>
      <c r="BX487" s="42">
        <v>0</v>
      </c>
      <c r="BY487" s="42">
        <v>0</v>
      </c>
      <c r="BZ487" s="42">
        <v>0</v>
      </c>
      <c r="CA487" s="42">
        <v>0</v>
      </c>
      <c r="CB487" s="42">
        <v>0</v>
      </c>
      <c r="CC487" s="42">
        <v>0</v>
      </c>
      <c r="CD487" s="42">
        <v>0</v>
      </c>
      <c r="CE487" s="42">
        <v>0</v>
      </c>
      <c r="CF487" s="42">
        <v>0</v>
      </c>
      <c r="CG487" s="42">
        <v>0</v>
      </c>
      <c r="CH487" s="42">
        <v>0</v>
      </c>
      <c r="CI487" s="42">
        <v>0</v>
      </c>
      <c r="CJ487" s="42">
        <v>0</v>
      </c>
      <c r="CK487" s="43">
        <f t="shared" si="62"/>
        <v>1000</v>
      </c>
      <c r="CL487" s="66"/>
      <c r="CM487" s="66">
        <v>0</v>
      </c>
      <c r="CN487" s="66">
        <v>0</v>
      </c>
      <c r="CO487" s="66">
        <v>0</v>
      </c>
      <c r="CP487" s="66">
        <v>0</v>
      </c>
      <c r="CQ487" s="66">
        <v>0</v>
      </c>
      <c r="CR487" s="66">
        <v>0</v>
      </c>
      <c r="CS487" s="66">
        <v>0</v>
      </c>
      <c r="CT487" s="66">
        <v>0</v>
      </c>
      <c r="CU487" s="66">
        <v>0</v>
      </c>
      <c r="CV487" s="66">
        <v>0</v>
      </c>
      <c r="CW487" s="66">
        <v>0</v>
      </c>
      <c r="CX487" s="66">
        <v>0</v>
      </c>
      <c r="CY487" s="66">
        <v>0</v>
      </c>
      <c r="CZ487" s="66">
        <v>0</v>
      </c>
      <c r="DA487" s="66"/>
      <c r="DB487" s="66"/>
      <c r="DC487" s="66"/>
      <c r="DD487" s="66"/>
      <c r="DE487" s="66"/>
      <c r="DF487" s="66"/>
      <c r="DG487" s="66"/>
      <c r="DH487" s="66"/>
      <c r="DI487" s="66"/>
      <c r="DJ487" s="66"/>
      <c r="DK487" s="66">
        <f>SUM(Table1[[#This Row],[01-03 Apr]:[Mar-26]])</f>
        <v>0</v>
      </c>
    </row>
    <row r="488" spans="1:115" x14ac:dyDescent="0.2">
      <c r="A488" s="28" t="s">
        <v>2255</v>
      </c>
      <c r="B488" s="29" t="s">
        <v>970</v>
      </c>
      <c r="C488" s="29" t="s">
        <v>2271</v>
      </c>
      <c r="D488" s="30" t="s">
        <v>971</v>
      </c>
      <c r="E488" s="30" t="s">
        <v>906</v>
      </c>
      <c r="F488" s="30"/>
      <c r="G488" s="31" t="s">
        <v>968</v>
      </c>
      <c r="H488" s="30">
        <v>388111</v>
      </c>
      <c r="I488" s="30" t="str">
        <f>IF(Table1[[#This Row],[Centre Status]]="Returned","NA",IF(Table1[[#This Row],[SD]]&gt;19000,"Full Payment",IF(Table1[[#This Row],[SD]]&lt;1,"No Payment","Partial Payment")))</f>
        <v>Partial Payment</v>
      </c>
      <c r="J488" s="30" t="s">
        <v>58</v>
      </c>
      <c r="K488" s="32">
        <v>110000</v>
      </c>
      <c r="L488" s="33">
        <f>Q488+R488+U488+Table1[[#This Row],[Farmer Payment]]</f>
        <v>14386</v>
      </c>
      <c r="M488" s="30"/>
      <c r="N488" s="34"/>
      <c r="O488" s="34"/>
      <c r="P488" s="35">
        <f t="shared" si="59"/>
        <v>95614</v>
      </c>
      <c r="Q488" s="33">
        <f>AI488+AV488+CK488+Table1[[#This Row],[FY 25-26]]</f>
        <v>9386</v>
      </c>
      <c r="R488" s="36">
        <v>5000</v>
      </c>
      <c r="S488" s="37" t="s">
        <v>972</v>
      </c>
      <c r="T488" s="38">
        <v>45015</v>
      </c>
      <c r="U488" s="39"/>
      <c r="V488" s="39"/>
      <c r="W488" s="40">
        <v>0</v>
      </c>
      <c r="X488" s="40">
        <v>0</v>
      </c>
      <c r="Y488" s="40">
        <v>0</v>
      </c>
      <c r="Z488" s="40">
        <v>0</v>
      </c>
      <c r="AA488" s="40">
        <v>0</v>
      </c>
      <c r="AB488" s="40">
        <v>0</v>
      </c>
      <c r="AC488" s="40">
        <v>0</v>
      </c>
      <c r="AD488" s="40">
        <v>0</v>
      </c>
      <c r="AE488" s="40">
        <v>0</v>
      </c>
      <c r="AF488" s="40">
        <v>0</v>
      </c>
      <c r="AG488" s="40">
        <v>0</v>
      </c>
      <c r="AH488" s="40">
        <v>232</v>
      </c>
      <c r="AI488" s="41">
        <f t="shared" si="60"/>
        <v>232</v>
      </c>
      <c r="AJ488" s="42">
        <v>969</v>
      </c>
      <c r="AK488" s="42">
        <v>1861</v>
      </c>
      <c r="AL488" s="42">
        <v>1861</v>
      </c>
      <c r="AM488" s="42">
        <v>1774</v>
      </c>
      <c r="AN488" s="42">
        <v>1861</v>
      </c>
      <c r="AO488" s="42">
        <v>828</v>
      </c>
      <c r="AP488" s="42">
        <v>0</v>
      </c>
      <c r="AQ488" s="42">
        <v>0</v>
      </c>
      <c r="AR488" s="42">
        <v>0</v>
      </c>
      <c r="AS488" s="42">
        <v>0</v>
      </c>
      <c r="AT488" s="42">
        <v>0</v>
      </c>
      <c r="AU488" s="42">
        <v>0</v>
      </c>
      <c r="AV488" s="42">
        <f t="shared" si="61"/>
        <v>9154</v>
      </c>
      <c r="AW488" s="42">
        <v>0</v>
      </c>
      <c r="AX488" s="42">
        <v>0</v>
      </c>
      <c r="AY488" s="42">
        <v>0</v>
      </c>
      <c r="AZ488" s="42">
        <v>0</v>
      </c>
      <c r="BA488" s="42">
        <v>0</v>
      </c>
      <c r="BB488" s="42">
        <v>0</v>
      </c>
      <c r="BC488" s="42">
        <v>0</v>
      </c>
      <c r="BD488" s="42">
        <v>0</v>
      </c>
      <c r="BE488" s="42">
        <v>0</v>
      </c>
      <c r="BF488" s="42">
        <v>0</v>
      </c>
      <c r="BG488" s="42">
        <v>0</v>
      </c>
      <c r="BH488" s="42">
        <v>0</v>
      </c>
      <c r="BI488" s="42">
        <v>0</v>
      </c>
      <c r="BJ488" s="42">
        <v>0</v>
      </c>
      <c r="BK488" s="42">
        <v>0</v>
      </c>
      <c r="BL488" s="42">
        <v>0</v>
      </c>
      <c r="BM488" s="42">
        <v>0</v>
      </c>
      <c r="BN488" s="42">
        <v>0</v>
      </c>
      <c r="BO488" s="42">
        <v>0</v>
      </c>
      <c r="BP488" s="42">
        <v>0</v>
      </c>
      <c r="BQ488" s="42">
        <v>0</v>
      </c>
      <c r="BR488" s="42">
        <v>0</v>
      </c>
      <c r="BS488" s="42">
        <v>0</v>
      </c>
      <c r="BT488" s="42">
        <v>0</v>
      </c>
      <c r="BU488" s="42">
        <v>0</v>
      </c>
      <c r="BV488" s="42">
        <v>0</v>
      </c>
      <c r="BW488" s="42">
        <v>0</v>
      </c>
      <c r="BX488" s="42">
        <v>0</v>
      </c>
      <c r="BY488" s="42">
        <v>0</v>
      </c>
      <c r="BZ488" s="42">
        <v>0</v>
      </c>
      <c r="CA488" s="42">
        <v>0</v>
      </c>
      <c r="CB488" s="42">
        <v>0</v>
      </c>
      <c r="CC488" s="42">
        <v>0</v>
      </c>
      <c r="CD488" s="42">
        <v>0</v>
      </c>
      <c r="CE488" s="42">
        <v>0</v>
      </c>
      <c r="CF488" s="42">
        <v>0</v>
      </c>
      <c r="CG488" s="42">
        <v>0</v>
      </c>
      <c r="CH488" s="42">
        <v>0</v>
      </c>
      <c r="CI488" s="42">
        <v>0</v>
      </c>
      <c r="CJ488" s="42">
        <v>0</v>
      </c>
      <c r="CK488" s="43">
        <f t="shared" si="62"/>
        <v>0</v>
      </c>
      <c r="CL488" s="66"/>
      <c r="CM488" s="66">
        <v>0</v>
      </c>
      <c r="CN488" s="66">
        <v>0</v>
      </c>
      <c r="CO488" s="66">
        <v>0</v>
      </c>
      <c r="CP488" s="66">
        <v>0</v>
      </c>
      <c r="CQ488" s="66">
        <v>0</v>
      </c>
      <c r="CR488" s="66">
        <v>0</v>
      </c>
      <c r="CS488" s="66">
        <v>0</v>
      </c>
      <c r="CT488" s="66">
        <v>0</v>
      </c>
      <c r="CU488" s="66">
        <v>0</v>
      </c>
      <c r="CV488" s="66">
        <v>0</v>
      </c>
      <c r="CW488" s="66">
        <v>0</v>
      </c>
      <c r="CX488" s="66">
        <v>0</v>
      </c>
      <c r="CY488" s="66">
        <v>0</v>
      </c>
      <c r="CZ488" s="66">
        <v>0</v>
      </c>
      <c r="DA488" s="66"/>
      <c r="DB488" s="66"/>
      <c r="DC488" s="66"/>
      <c r="DD488" s="66"/>
      <c r="DE488" s="66"/>
      <c r="DF488" s="66"/>
      <c r="DG488" s="66"/>
      <c r="DH488" s="66"/>
      <c r="DI488" s="66"/>
      <c r="DJ488" s="66"/>
      <c r="DK488" s="66">
        <f>SUM(Table1[[#This Row],[01-03 Apr]:[Mar-26]])</f>
        <v>0</v>
      </c>
    </row>
    <row r="489" spans="1:115" x14ac:dyDescent="0.2">
      <c r="A489" s="28" t="s">
        <v>2255</v>
      </c>
      <c r="B489" s="29" t="s">
        <v>973</v>
      </c>
      <c r="C489" s="29" t="s">
        <v>974</v>
      </c>
      <c r="D489" s="30" t="s">
        <v>975</v>
      </c>
      <c r="E489" s="30" t="s">
        <v>906</v>
      </c>
      <c r="F489" s="30"/>
      <c r="G489" s="31" t="s">
        <v>968</v>
      </c>
      <c r="H489" s="30">
        <v>387868</v>
      </c>
      <c r="I489" s="30" t="str">
        <f>IF(Table1[[#This Row],[Centre Status]]="Returned","NA",IF(Table1[[#This Row],[SD]]&gt;19000,"Full Payment",IF(Table1[[#This Row],[SD]]&lt;1,"No Payment","Partial Payment")))</f>
        <v>Partial Payment</v>
      </c>
      <c r="J489" s="30" t="s">
        <v>58</v>
      </c>
      <c r="K489" s="32">
        <v>110000</v>
      </c>
      <c r="L489" s="33">
        <f>Q489+R489+U489+Table1[[#This Row],[Farmer Payment]]</f>
        <v>65447.81157273108</v>
      </c>
      <c r="M489" s="30"/>
      <c r="N489" s="34"/>
      <c r="O489" s="34"/>
      <c r="P489" s="35">
        <f t="shared" si="59"/>
        <v>44552.18842726892</v>
      </c>
      <c r="Q489" s="33">
        <f>AI489+AV489+CK489+Table1[[#This Row],[FY 25-26]]</f>
        <v>55447.81157273108</v>
      </c>
      <c r="R489" s="36">
        <v>10000</v>
      </c>
      <c r="S489" s="37" t="s">
        <v>976</v>
      </c>
      <c r="T489" s="38">
        <v>45015</v>
      </c>
      <c r="U489" s="39"/>
      <c r="V489" s="39"/>
      <c r="W489" s="40">
        <v>0</v>
      </c>
      <c r="X489" s="40">
        <v>0</v>
      </c>
      <c r="Y489" s="40">
        <v>0</v>
      </c>
      <c r="Z489" s="40">
        <v>0</v>
      </c>
      <c r="AA489" s="40">
        <v>0</v>
      </c>
      <c r="AB489" s="40">
        <v>0</v>
      </c>
      <c r="AC489" s="40">
        <v>0</v>
      </c>
      <c r="AD489" s="40">
        <v>0</v>
      </c>
      <c r="AE489" s="40">
        <v>0</v>
      </c>
      <c r="AF489" s="40">
        <v>0</v>
      </c>
      <c r="AG489" s="40">
        <v>0</v>
      </c>
      <c r="AH489" s="40">
        <v>105</v>
      </c>
      <c r="AI489" s="41">
        <f t="shared" si="60"/>
        <v>105</v>
      </c>
      <c r="AJ489" s="42">
        <v>1861</v>
      </c>
      <c r="AK489" s="42">
        <v>1861</v>
      </c>
      <c r="AL489" s="42">
        <v>1861</v>
      </c>
      <c r="AM489" s="42">
        <v>1851</v>
      </c>
      <c r="AN489" s="42">
        <v>1861</v>
      </c>
      <c r="AO489" s="42">
        <v>1861</v>
      </c>
      <c r="AP489" s="42">
        <v>1970.2804000000001</v>
      </c>
      <c r="AQ489" s="42">
        <v>1830</v>
      </c>
      <c r="AR489" s="42">
        <v>2340.2156000000004</v>
      </c>
      <c r="AS489" s="42">
        <v>3361.7071999999998</v>
      </c>
      <c r="AT489" s="42">
        <v>3790.2327999999998</v>
      </c>
      <c r="AU489" s="42">
        <v>5031.2949999999992</v>
      </c>
      <c r="AV489" s="42">
        <f t="shared" si="61"/>
        <v>29479.731</v>
      </c>
      <c r="AW489" s="42">
        <v>3288.7587296831307</v>
      </c>
      <c r="AX489" s="42">
        <v>1990.7334875890185</v>
      </c>
      <c r="AY489" s="42">
        <v>2230.9049848776999</v>
      </c>
      <c r="AZ489" s="42">
        <v>2418.4660823793001</v>
      </c>
      <c r="BA489" s="42">
        <v>1861</v>
      </c>
      <c r="BB489" s="42">
        <v>0</v>
      </c>
      <c r="BC489" s="42">
        <v>2155.1276722915222</v>
      </c>
      <c r="BD489" s="42">
        <v>0</v>
      </c>
      <c r="BE489" s="42">
        <v>0</v>
      </c>
      <c r="BF489" s="42">
        <v>0</v>
      </c>
      <c r="BG489" s="42">
        <v>0</v>
      </c>
      <c r="BH489" s="42">
        <v>0</v>
      </c>
      <c r="BI489" s="42">
        <v>550</v>
      </c>
      <c r="BJ489" s="42">
        <v>0</v>
      </c>
      <c r="BK489" s="42">
        <v>0</v>
      </c>
      <c r="BL489" s="42">
        <v>500</v>
      </c>
      <c r="BM489" s="42">
        <v>500</v>
      </c>
      <c r="BN489" s="42">
        <v>672</v>
      </c>
      <c r="BO489" s="42">
        <v>0</v>
      </c>
      <c r="BP489" s="42">
        <v>0</v>
      </c>
      <c r="BQ489" s="42">
        <v>0</v>
      </c>
      <c r="BR489" s="42">
        <v>0</v>
      </c>
      <c r="BS489" s="42">
        <v>0</v>
      </c>
      <c r="BT489" s="42">
        <v>0</v>
      </c>
      <c r="BU489" s="42">
        <v>0</v>
      </c>
      <c r="BV489" s="42">
        <v>0</v>
      </c>
      <c r="BW489" s="42">
        <v>0</v>
      </c>
      <c r="BX489" s="42">
        <v>0</v>
      </c>
      <c r="BY489" s="42">
        <v>0</v>
      </c>
      <c r="BZ489" s="42">
        <v>0</v>
      </c>
      <c r="CA489" s="42">
        <v>0</v>
      </c>
      <c r="CB489" s="42">
        <v>0</v>
      </c>
      <c r="CC489" s="42">
        <v>0</v>
      </c>
      <c r="CD489" s="42">
        <v>3072.5845957248002</v>
      </c>
      <c r="CE489" s="42">
        <v>0</v>
      </c>
      <c r="CF489" s="42">
        <v>0</v>
      </c>
      <c r="CG489" s="42">
        <v>0</v>
      </c>
      <c r="CH489" s="42">
        <v>0</v>
      </c>
      <c r="CI489" s="42">
        <v>0</v>
      </c>
      <c r="CJ489" s="42">
        <v>3508.5422294016003</v>
      </c>
      <c r="CK489" s="43">
        <f t="shared" si="62"/>
        <v>22748.117781947072</v>
      </c>
      <c r="CL489" s="66"/>
      <c r="CM489" s="66">
        <v>0</v>
      </c>
      <c r="CN489" s="66">
        <v>0</v>
      </c>
      <c r="CO489" s="66">
        <v>0</v>
      </c>
      <c r="CP489" s="66">
        <v>2531.9627907840004</v>
      </c>
      <c r="CQ489" s="66">
        <v>0</v>
      </c>
      <c r="CR489" s="66">
        <v>0</v>
      </c>
      <c r="CS489" s="66">
        <v>0</v>
      </c>
      <c r="CT489" s="66">
        <v>0</v>
      </c>
      <c r="CU489" s="66">
        <v>0</v>
      </c>
      <c r="CV489" s="66">
        <v>583</v>
      </c>
      <c r="CW489" s="66">
        <v>0</v>
      </c>
      <c r="CX489" s="66">
        <v>0</v>
      </c>
      <c r="CY489" s="66">
        <v>0</v>
      </c>
      <c r="CZ489" s="66">
        <v>0</v>
      </c>
      <c r="DA489" s="66"/>
      <c r="DB489" s="66"/>
      <c r="DC489" s="66"/>
      <c r="DD489" s="66"/>
      <c r="DE489" s="66"/>
      <c r="DF489" s="66"/>
      <c r="DG489" s="66"/>
      <c r="DH489" s="66"/>
      <c r="DI489" s="66"/>
      <c r="DJ489" s="66"/>
      <c r="DK489" s="66">
        <f>SUM(Table1[[#This Row],[01-03 Apr]:[Mar-26]])</f>
        <v>3114.9627907840004</v>
      </c>
    </row>
    <row r="490" spans="1:115" x14ac:dyDescent="0.2">
      <c r="A490" s="28" t="s">
        <v>2255</v>
      </c>
      <c r="B490" s="29" t="s">
        <v>977</v>
      </c>
      <c r="C490" s="29" t="s">
        <v>978</v>
      </c>
      <c r="D490" s="30" t="s">
        <v>979</v>
      </c>
      <c r="E490" s="30" t="s">
        <v>906</v>
      </c>
      <c r="F490" s="30"/>
      <c r="G490" s="31" t="s">
        <v>968</v>
      </c>
      <c r="H490" s="30">
        <v>388116</v>
      </c>
      <c r="I490" s="30" t="str">
        <f>IF(Table1[[#This Row],[Centre Status]]="Returned","NA",IF(Table1[[#This Row],[SD]]&gt;19000,"Full Payment",IF(Table1[[#This Row],[SD]]&lt;1,"No Payment","Partial Payment")))</f>
        <v>Partial Payment</v>
      </c>
      <c r="J490" s="30" t="s">
        <v>58</v>
      </c>
      <c r="K490" s="32">
        <v>110000</v>
      </c>
      <c r="L490" s="33">
        <f>Q490+R490+U490+Table1[[#This Row],[Farmer Payment]]</f>
        <v>75390.385229166714</v>
      </c>
      <c r="M490" s="30"/>
      <c r="N490" s="34"/>
      <c r="O490" s="34"/>
      <c r="P490" s="35">
        <f t="shared" si="59"/>
        <v>34609.614770833286</v>
      </c>
      <c r="Q490" s="33">
        <f>AI490+AV490+CK490+Table1[[#This Row],[FY 25-26]]</f>
        <v>65390.385229166714</v>
      </c>
      <c r="R490" s="36">
        <v>10000</v>
      </c>
      <c r="S490" s="37" t="s">
        <v>980</v>
      </c>
      <c r="T490" s="38">
        <v>45015</v>
      </c>
      <c r="U490" s="39"/>
      <c r="V490" s="39"/>
      <c r="W490" s="40">
        <v>0</v>
      </c>
      <c r="X490" s="40">
        <v>0</v>
      </c>
      <c r="Y490" s="40">
        <v>0</v>
      </c>
      <c r="Z490" s="40">
        <v>0</v>
      </c>
      <c r="AA490" s="40">
        <v>0</v>
      </c>
      <c r="AB490" s="40">
        <v>0</v>
      </c>
      <c r="AC490" s="40">
        <v>0</v>
      </c>
      <c r="AD490" s="40">
        <v>0</v>
      </c>
      <c r="AE490" s="40">
        <v>0</v>
      </c>
      <c r="AF490" s="40">
        <v>0</v>
      </c>
      <c r="AG490" s="40">
        <v>0</v>
      </c>
      <c r="AH490" s="40">
        <v>1032</v>
      </c>
      <c r="AI490" s="41">
        <f t="shared" si="60"/>
        <v>1032</v>
      </c>
      <c r="AJ490" s="42">
        <v>1861</v>
      </c>
      <c r="AK490" s="42">
        <v>469</v>
      </c>
      <c r="AL490" s="42">
        <v>1861</v>
      </c>
      <c r="AM490" s="42">
        <v>1861</v>
      </c>
      <c r="AN490" s="42">
        <v>2719.3240000000001</v>
      </c>
      <c r="AO490" s="42">
        <v>3007.5488</v>
      </c>
      <c r="AP490" s="42">
        <v>4209.4704000000002</v>
      </c>
      <c r="AQ490" s="42">
        <v>2839.2234000000003</v>
      </c>
      <c r="AR490" s="42">
        <v>4798.5406000000003</v>
      </c>
      <c r="AS490" s="42">
        <v>6025.1345999999994</v>
      </c>
      <c r="AT490" s="42">
        <v>5568.0738000000001</v>
      </c>
      <c r="AU490" s="42">
        <v>5419.4538000000002</v>
      </c>
      <c r="AV490" s="42">
        <f t="shared" si="61"/>
        <v>40638.769400000005</v>
      </c>
      <c r="AW490" s="42">
        <v>4407.4684990816686</v>
      </c>
      <c r="AX490" s="42">
        <v>1861</v>
      </c>
      <c r="AY490" s="42">
        <v>950</v>
      </c>
      <c r="AZ490" s="42">
        <v>0</v>
      </c>
      <c r="BA490" s="42">
        <v>0</v>
      </c>
      <c r="BB490" s="42">
        <v>500</v>
      </c>
      <c r="BC490" s="42">
        <v>499</v>
      </c>
      <c r="BD490" s="42">
        <v>500</v>
      </c>
      <c r="BE490" s="42">
        <v>500</v>
      </c>
      <c r="BF490" s="42">
        <v>500</v>
      </c>
      <c r="BG490" s="42">
        <v>500</v>
      </c>
      <c r="BH490" s="42">
        <v>500</v>
      </c>
      <c r="BI490" s="42">
        <v>0</v>
      </c>
      <c r="BJ490" s="42">
        <v>500</v>
      </c>
      <c r="BK490" s="42">
        <v>500</v>
      </c>
      <c r="BL490" s="42">
        <v>0</v>
      </c>
      <c r="BM490" s="42">
        <v>0</v>
      </c>
      <c r="BN490" s="42">
        <v>1079.0604137205441</v>
      </c>
      <c r="BO490" s="42">
        <v>0</v>
      </c>
      <c r="BP490" s="42">
        <v>0</v>
      </c>
      <c r="BQ490" s="42">
        <v>0</v>
      </c>
      <c r="BR490" s="42">
        <v>0</v>
      </c>
      <c r="BS490" s="42">
        <v>2667.086916364492</v>
      </c>
      <c r="BT490" s="42">
        <v>0</v>
      </c>
      <c r="BU490" s="42">
        <v>0</v>
      </c>
      <c r="BV490" s="42">
        <v>0</v>
      </c>
      <c r="BW490" s="42">
        <v>0</v>
      </c>
      <c r="BX490" s="42">
        <v>0</v>
      </c>
      <c r="BY490" s="42">
        <v>1861</v>
      </c>
      <c r="BZ490" s="42">
        <v>0</v>
      </c>
      <c r="CA490" s="42">
        <v>0</v>
      </c>
      <c r="CB490" s="42">
        <v>0</v>
      </c>
      <c r="CC490" s="42">
        <v>0</v>
      </c>
      <c r="CD490" s="42">
        <v>1861</v>
      </c>
      <c r="CE490" s="42">
        <v>0</v>
      </c>
      <c r="CF490" s="42">
        <v>0</v>
      </c>
      <c r="CG490" s="42">
        <v>0</v>
      </c>
      <c r="CH490" s="42">
        <v>0</v>
      </c>
      <c r="CI490" s="42">
        <v>0</v>
      </c>
      <c r="CJ490" s="42">
        <v>1861</v>
      </c>
      <c r="CK490" s="43">
        <f t="shared" si="62"/>
        <v>21046.615829166705</v>
      </c>
      <c r="CL490" s="66"/>
      <c r="CM490" s="66">
        <v>0</v>
      </c>
      <c r="CN490" s="66">
        <v>0</v>
      </c>
      <c r="CO490" s="66">
        <v>0</v>
      </c>
      <c r="CP490" s="66">
        <v>812</v>
      </c>
      <c r="CQ490" s="66">
        <v>0</v>
      </c>
      <c r="CR490" s="66">
        <v>0</v>
      </c>
      <c r="CS490" s="66">
        <v>0</v>
      </c>
      <c r="CT490" s="66">
        <v>0</v>
      </c>
      <c r="CU490" s="66">
        <v>0</v>
      </c>
      <c r="CV490" s="66">
        <v>1861</v>
      </c>
      <c r="CW490" s="66">
        <v>0</v>
      </c>
      <c r="CX490" s="66">
        <v>0</v>
      </c>
      <c r="CY490" s="66">
        <v>0</v>
      </c>
      <c r="CZ490" s="66">
        <v>0</v>
      </c>
      <c r="DA490" s="66"/>
      <c r="DB490" s="66"/>
      <c r="DC490" s="66"/>
      <c r="DD490" s="66"/>
      <c r="DE490" s="66"/>
      <c r="DF490" s="66"/>
      <c r="DG490" s="66"/>
      <c r="DH490" s="66"/>
      <c r="DI490" s="66"/>
      <c r="DJ490" s="66"/>
      <c r="DK490" s="66">
        <f>SUM(Table1[[#This Row],[01-03 Apr]:[Mar-26]])</f>
        <v>2673</v>
      </c>
    </row>
    <row r="491" spans="1:115" hidden="1" x14ac:dyDescent="0.2">
      <c r="A491" s="28" t="s">
        <v>2255</v>
      </c>
      <c r="B491" s="29" t="s">
        <v>981</v>
      </c>
      <c r="C491" s="29" t="s">
        <v>982</v>
      </c>
      <c r="D491" s="30" t="s">
        <v>983</v>
      </c>
      <c r="E491" s="30" t="s">
        <v>906</v>
      </c>
      <c r="F491" s="30"/>
      <c r="G491" s="31" t="s">
        <v>968</v>
      </c>
      <c r="H491" s="30">
        <v>387874</v>
      </c>
      <c r="I491" s="30" t="str">
        <f>IF(Table1[[#This Row],[Centre Status]]="Returned","NA",IF(Table1[[#This Row],[SD]]&gt;19000,"Full Payment",IF(Table1[[#This Row],[SD]]&lt;1,"No Payment","Partial Payment")))</f>
        <v>Full Payment</v>
      </c>
      <c r="J491" s="30" t="s">
        <v>58</v>
      </c>
      <c r="K491" s="32">
        <v>110000</v>
      </c>
      <c r="L491" s="33">
        <f>Q491+R491+U491+Table1[[#This Row],[Farmer Payment]]</f>
        <v>50892.681905048281</v>
      </c>
      <c r="M491" s="30"/>
      <c r="N491" s="34"/>
      <c r="O491" s="34"/>
      <c r="P491" s="35">
        <f t="shared" si="59"/>
        <v>59107.318094951719</v>
      </c>
      <c r="Q491" s="33">
        <f>AI491+AV491+CK491+Table1[[#This Row],[FY 25-26]]</f>
        <v>30892.681905048281</v>
      </c>
      <c r="R491" s="36">
        <v>20000</v>
      </c>
      <c r="S491" s="37"/>
      <c r="T491" s="38">
        <v>45015</v>
      </c>
      <c r="U491" s="39"/>
      <c r="V491" s="39"/>
      <c r="W491" s="40">
        <v>0</v>
      </c>
      <c r="X491" s="40">
        <v>0</v>
      </c>
      <c r="Y491" s="40">
        <v>0</v>
      </c>
      <c r="Z491" s="40">
        <v>0</v>
      </c>
      <c r="AA491" s="40">
        <v>0</v>
      </c>
      <c r="AB491" s="40">
        <v>0</v>
      </c>
      <c r="AC491" s="40">
        <v>0</v>
      </c>
      <c r="AD491" s="40">
        <v>0</v>
      </c>
      <c r="AE491" s="40">
        <v>0</v>
      </c>
      <c r="AF491" s="40">
        <v>0</v>
      </c>
      <c r="AG491" s="40">
        <v>0</v>
      </c>
      <c r="AH491" s="40">
        <v>17</v>
      </c>
      <c r="AI491" s="41">
        <f t="shared" si="60"/>
        <v>17</v>
      </c>
      <c r="AJ491" s="42">
        <v>2126.4657999999995</v>
      </c>
      <c r="AK491" s="42">
        <v>2001.394</v>
      </c>
      <c r="AL491" s="42">
        <v>1861</v>
      </c>
      <c r="AM491" s="42">
        <v>1352</v>
      </c>
      <c r="AN491" s="42">
        <v>0</v>
      </c>
      <c r="AO491" s="42">
        <v>0</v>
      </c>
      <c r="AP491" s="42">
        <v>20</v>
      </c>
      <c r="AQ491" s="42">
        <v>0</v>
      </c>
      <c r="AR491" s="42">
        <v>41</v>
      </c>
      <c r="AS491" s="42">
        <v>269</v>
      </c>
      <c r="AT491" s="42">
        <v>547.82210504828186</v>
      </c>
      <c r="AU491" s="42">
        <v>1599</v>
      </c>
      <c r="AV491" s="42">
        <f t="shared" si="61"/>
        <v>9817.6819050482809</v>
      </c>
      <c r="AW491" s="42">
        <v>701</v>
      </c>
      <c r="AX491" s="42">
        <v>202</v>
      </c>
      <c r="AY491" s="42">
        <v>725</v>
      </c>
      <c r="AZ491" s="42">
        <v>281</v>
      </c>
      <c r="BA491" s="42">
        <v>0</v>
      </c>
      <c r="BB491" s="42">
        <v>500</v>
      </c>
      <c r="BC491" s="42">
        <v>0</v>
      </c>
      <c r="BD491" s="42">
        <v>500</v>
      </c>
      <c r="BE491" s="42">
        <v>500</v>
      </c>
      <c r="BF491" s="42">
        <v>500</v>
      </c>
      <c r="BG491" s="42">
        <v>500</v>
      </c>
      <c r="BH491" s="42">
        <v>500</v>
      </c>
      <c r="BI491" s="42">
        <v>0</v>
      </c>
      <c r="BJ491" s="42">
        <v>500</v>
      </c>
      <c r="BK491" s="42">
        <v>500</v>
      </c>
      <c r="BL491" s="42">
        <v>500</v>
      </c>
      <c r="BM491" s="42">
        <v>149</v>
      </c>
      <c r="BN491" s="42">
        <v>0</v>
      </c>
      <c r="BO491" s="42">
        <v>500</v>
      </c>
      <c r="BP491" s="42">
        <v>500</v>
      </c>
      <c r="BQ491" s="42">
        <v>500</v>
      </c>
      <c r="BR491" s="42">
        <v>500</v>
      </c>
      <c r="BS491" s="42">
        <v>0</v>
      </c>
      <c r="BT491" s="42">
        <v>500</v>
      </c>
      <c r="BU491" s="42">
        <v>500</v>
      </c>
      <c r="BV491" s="42">
        <v>500</v>
      </c>
      <c r="BW491" s="42">
        <v>500</v>
      </c>
      <c r="BX491" s="42">
        <v>500</v>
      </c>
      <c r="BY491" s="42">
        <v>0</v>
      </c>
      <c r="BZ491" s="42">
        <v>500</v>
      </c>
      <c r="CA491" s="42">
        <v>500</v>
      </c>
      <c r="CB491" s="42">
        <v>500</v>
      </c>
      <c r="CC491" s="42">
        <v>500</v>
      </c>
      <c r="CD491" s="42">
        <v>0</v>
      </c>
      <c r="CE491" s="42">
        <v>500</v>
      </c>
      <c r="CF491" s="42">
        <v>500</v>
      </c>
      <c r="CG491" s="42">
        <v>500</v>
      </c>
      <c r="CH491" s="42">
        <v>500</v>
      </c>
      <c r="CI491" s="42">
        <v>500</v>
      </c>
      <c r="CJ491" s="42">
        <v>0</v>
      </c>
      <c r="CK491" s="43">
        <f t="shared" si="62"/>
        <v>15558</v>
      </c>
      <c r="CL491" s="66"/>
      <c r="CM491" s="66">
        <v>500</v>
      </c>
      <c r="CN491" s="66">
        <v>500</v>
      </c>
      <c r="CO491" s="66">
        <v>500</v>
      </c>
      <c r="CP491" s="66">
        <v>0</v>
      </c>
      <c r="CQ491" s="66">
        <v>500</v>
      </c>
      <c r="CR491" s="66">
        <v>500</v>
      </c>
      <c r="CS491" s="66">
        <v>500</v>
      </c>
      <c r="CT491" s="66">
        <v>500</v>
      </c>
      <c r="CU491" s="66">
        <v>0</v>
      </c>
      <c r="CV491" s="66">
        <v>0</v>
      </c>
      <c r="CW491" s="66">
        <v>500</v>
      </c>
      <c r="CX491" s="66">
        <v>500</v>
      </c>
      <c r="CY491" s="66">
        <v>500</v>
      </c>
      <c r="CZ491" s="66">
        <v>500</v>
      </c>
      <c r="DA491" s="66"/>
      <c r="DB491" s="66"/>
      <c r="DC491" s="66"/>
      <c r="DD491" s="66"/>
      <c r="DE491" s="66"/>
      <c r="DF491" s="66"/>
      <c r="DG491" s="66"/>
      <c r="DH491" s="66"/>
      <c r="DI491" s="66"/>
      <c r="DJ491" s="66"/>
      <c r="DK491" s="66">
        <f>SUM(Table1[[#This Row],[01-03 Apr]:[Mar-26]])</f>
        <v>5500</v>
      </c>
    </row>
    <row r="492" spans="1:115" hidden="1" x14ac:dyDescent="0.2">
      <c r="A492" s="28" t="s">
        <v>2255</v>
      </c>
      <c r="B492" s="29" t="s">
        <v>987</v>
      </c>
      <c r="C492" s="29" t="s">
        <v>988</v>
      </c>
      <c r="D492" s="30" t="s">
        <v>989</v>
      </c>
      <c r="E492" s="30" t="s">
        <v>57</v>
      </c>
      <c r="F492" s="30"/>
      <c r="G492" s="31" t="s">
        <v>371</v>
      </c>
      <c r="H492" s="30">
        <v>387370</v>
      </c>
      <c r="I492" s="30" t="str">
        <f>IF(Table1[[#This Row],[Centre Status]]="Returned","NA",IF(Table1[[#This Row],[SD]]&gt;19000,"Full Payment",IF(Table1[[#This Row],[SD]]&lt;1,"No Payment","Partial Payment")))</f>
        <v>Full Payment</v>
      </c>
      <c r="J492" s="30" t="s">
        <v>58</v>
      </c>
      <c r="K492" s="32">
        <v>110000</v>
      </c>
      <c r="L492" s="33">
        <f>Q492+R492+U492+Table1[[#This Row],[Farmer Payment]]</f>
        <v>89549.606526376636</v>
      </c>
      <c r="M492" s="30"/>
      <c r="N492" s="34"/>
      <c r="O492" s="34"/>
      <c r="P492" s="35">
        <f t="shared" si="59"/>
        <v>20450.393473623364</v>
      </c>
      <c r="Q492" s="33">
        <f>AI492+AV492+CK492+Table1[[#This Row],[FY 25-26]]</f>
        <v>69549.606526376636</v>
      </c>
      <c r="R492" s="36">
        <v>20000</v>
      </c>
      <c r="S492" s="37" t="s">
        <v>990</v>
      </c>
      <c r="T492" s="38">
        <v>44909</v>
      </c>
      <c r="U492" s="39"/>
      <c r="V492" s="39"/>
      <c r="W492" s="40">
        <v>0</v>
      </c>
      <c r="X492" s="40">
        <v>0</v>
      </c>
      <c r="Y492" s="40">
        <v>0</v>
      </c>
      <c r="Z492" s="40">
        <v>0</v>
      </c>
      <c r="AA492" s="40">
        <v>0</v>
      </c>
      <c r="AB492" s="40">
        <v>0</v>
      </c>
      <c r="AC492" s="40">
        <v>0</v>
      </c>
      <c r="AD492" s="40">
        <v>0</v>
      </c>
      <c r="AE492" s="40">
        <v>0</v>
      </c>
      <c r="AF492" s="40">
        <v>0</v>
      </c>
      <c r="AG492" s="40">
        <v>1861</v>
      </c>
      <c r="AH492" s="40">
        <v>2000</v>
      </c>
      <c r="AI492" s="41">
        <f t="shared" si="60"/>
        <v>3861</v>
      </c>
      <c r="AJ492" s="42">
        <v>2000</v>
      </c>
      <c r="AK492" s="42">
        <v>2000</v>
      </c>
      <c r="AL492" s="42">
        <v>2000</v>
      </c>
      <c r="AM492" s="42">
        <v>2000</v>
      </c>
      <c r="AN492" s="42">
        <v>2000</v>
      </c>
      <c r="AO492" s="42">
        <v>2000</v>
      </c>
      <c r="AP492" s="42">
        <v>2000</v>
      </c>
      <c r="AQ492" s="42">
        <v>2000</v>
      </c>
      <c r="AR492" s="42">
        <v>2000</v>
      </c>
      <c r="AS492" s="42">
        <v>2000</v>
      </c>
      <c r="AT492" s="42">
        <v>2000</v>
      </c>
      <c r="AU492" s="42">
        <v>2000</v>
      </c>
      <c r="AV492" s="42">
        <f t="shared" si="61"/>
        <v>24000</v>
      </c>
      <c r="AW492" s="42">
        <v>2000</v>
      </c>
      <c r="AX492" s="42">
        <v>2000</v>
      </c>
      <c r="AY492" s="42">
        <v>3183.3301344768006</v>
      </c>
      <c r="AZ492" s="42">
        <v>3851.1808728576011</v>
      </c>
      <c r="BA492" s="42">
        <v>2389.0849092702806</v>
      </c>
      <c r="BB492" s="42">
        <v>0</v>
      </c>
      <c r="BC492" s="42">
        <v>4085.498955563427</v>
      </c>
      <c r="BD492" s="42">
        <v>0</v>
      </c>
      <c r="BE492" s="42">
        <v>0</v>
      </c>
      <c r="BF492" s="42">
        <v>0</v>
      </c>
      <c r="BG492" s="42">
        <v>0</v>
      </c>
      <c r="BH492" s="42">
        <v>0</v>
      </c>
      <c r="BI492" s="42">
        <v>3778.6428716427599</v>
      </c>
      <c r="BJ492" s="42">
        <v>0</v>
      </c>
      <c r="BK492" s="42">
        <v>0</v>
      </c>
      <c r="BL492" s="42">
        <v>0</v>
      </c>
      <c r="BM492" s="42">
        <v>0</v>
      </c>
      <c r="BN492" s="42">
        <v>3154.4729264964699</v>
      </c>
      <c r="BO492" s="42">
        <v>0</v>
      </c>
      <c r="BP492" s="42">
        <v>0</v>
      </c>
      <c r="BQ492" s="42">
        <v>0</v>
      </c>
      <c r="BR492" s="42">
        <v>0</v>
      </c>
      <c r="BS492" s="42">
        <v>3976.2970214841316</v>
      </c>
      <c r="BT492" s="42">
        <v>0</v>
      </c>
      <c r="BU492" s="42">
        <v>0</v>
      </c>
      <c r="BV492" s="42">
        <v>0</v>
      </c>
      <c r="BW492" s="42">
        <v>0</v>
      </c>
      <c r="BX492" s="42">
        <v>0</v>
      </c>
      <c r="BY492" s="42">
        <v>2869.4916628775059</v>
      </c>
      <c r="BZ492" s="42">
        <v>0</v>
      </c>
      <c r="CA492" s="42">
        <v>0</v>
      </c>
      <c r="CB492" s="42">
        <v>0</v>
      </c>
      <c r="CC492" s="42">
        <v>0</v>
      </c>
      <c r="CD492" s="42">
        <v>3052.1862591140084</v>
      </c>
      <c r="CE492" s="42">
        <v>0</v>
      </c>
      <c r="CF492" s="42">
        <v>0</v>
      </c>
      <c r="CG492" s="42">
        <v>0</v>
      </c>
      <c r="CH492" s="42">
        <v>0</v>
      </c>
      <c r="CI492" s="42">
        <v>0</v>
      </c>
      <c r="CJ492" s="42">
        <v>3088.967072184576</v>
      </c>
      <c r="CK492" s="43">
        <f t="shared" si="62"/>
        <v>37429.152685967558</v>
      </c>
      <c r="CL492" s="66"/>
      <c r="CM492" s="66">
        <v>0</v>
      </c>
      <c r="CN492" s="66">
        <v>0</v>
      </c>
      <c r="CO492" s="66">
        <v>0</v>
      </c>
      <c r="CP492" s="66">
        <v>2287.5098372630241</v>
      </c>
      <c r="CQ492" s="66">
        <v>0</v>
      </c>
      <c r="CR492" s="66">
        <v>0</v>
      </c>
      <c r="CS492" s="66">
        <v>0</v>
      </c>
      <c r="CT492" s="66">
        <v>0</v>
      </c>
      <c r="CU492" s="66">
        <v>0</v>
      </c>
      <c r="CV492" s="66">
        <v>1971.9440031460601</v>
      </c>
      <c r="CW492" s="66">
        <v>0</v>
      </c>
      <c r="CX492" s="66">
        <v>0</v>
      </c>
      <c r="CY492" s="66">
        <v>0</v>
      </c>
      <c r="CZ492" s="66">
        <v>0</v>
      </c>
      <c r="DA492" s="66"/>
      <c r="DB492" s="66"/>
      <c r="DC492" s="66"/>
      <c r="DD492" s="66"/>
      <c r="DE492" s="66"/>
      <c r="DF492" s="66"/>
      <c r="DG492" s="66"/>
      <c r="DH492" s="66"/>
      <c r="DI492" s="66"/>
      <c r="DJ492" s="66"/>
      <c r="DK492" s="66">
        <f>SUM(Table1[[#This Row],[01-03 Apr]:[Mar-26]])</f>
        <v>4259.4538404090845</v>
      </c>
    </row>
    <row r="493" spans="1:115" hidden="1" x14ac:dyDescent="0.2">
      <c r="A493" s="28" t="s">
        <v>2365</v>
      </c>
      <c r="B493" s="29" t="s">
        <v>991</v>
      </c>
      <c r="C493" s="29" t="s">
        <v>992</v>
      </c>
      <c r="D493" s="30" t="s">
        <v>993</v>
      </c>
      <c r="E493" s="30" t="s">
        <v>85</v>
      </c>
      <c r="F493" s="30"/>
      <c r="G493" s="31" t="s">
        <v>371</v>
      </c>
      <c r="H493" s="30">
        <v>360017</v>
      </c>
      <c r="I493" s="30" t="str">
        <f>IF(Table1[[#This Row],[Centre Status]]="Returned","NA",IF(Table1[[#This Row],[SD]]&gt;19000,"Full Payment",IF(Table1[[#This Row],[SD]]&lt;1,"No Payment","Partial Payment")))</f>
        <v>Full Payment</v>
      </c>
      <c r="J493" s="30" t="s">
        <v>58</v>
      </c>
      <c r="K493" s="32">
        <v>110000</v>
      </c>
      <c r="L493" s="33">
        <f>Q493+R493+U493+Table1[[#This Row],[Farmer Payment]]</f>
        <v>82858.600649090629</v>
      </c>
      <c r="M493" s="30"/>
      <c r="N493" s="34"/>
      <c r="O493" s="34"/>
      <c r="P493" s="35">
        <f t="shared" si="59"/>
        <v>27141.399350909371</v>
      </c>
      <c r="Q493" s="33">
        <f>AI493+AV493+CK493+Table1[[#This Row],[FY 25-26]]</f>
        <v>62858.600649090629</v>
      </c>
      <c r="R493" s="36">
        <v>20000</v>
      </c>
      <c r="S493" s="37" t="s">
        <v>994</v>
      </c>
      <c r="T493" s="38">
        <v>44958</v>
      </c>
      <c r="U493" s="39"/>
      <c r="V493" s="39"/>
      <c r="W493" s="40">
        <v>0</v>
      </c>
      <c r="X493" s="40">
        <v>0</v>
      </c>
      <c r="Y493" s="40">
        <v>0</v>
      </c>
      <c r="Z493" s="40">
        <v>0</v>
      </c>
      <c r="AA493" s="40">
        <v>0</v>
      </c>
      <c r="AB493" s="40">
        <v>0</v>
      </c>
      <c r="AC493" s="40">
        <v>0</v>
      </c>
      <c r="AD493" s="40">
        <v>0</v>
      </c>
      <c r="AE493" s="40">
        <v>0</v>
      </c>
      <c r="AF493" s="40">
        <v>0</v>
      </c>
      <c r="AG493" s="40">
        <v>0</v>
      </c>
      <c r="AH493" s="40">
        <v>1861</v>
      </c>
      <c r="AI493" s="41">
        <f t="shared" si="60"/>
        <v>1861</v>
      </c>
      <c r="AJ493" s="42">
        <v>1861</v>
      </c>
      <c r="AK493" s="42">
        <v>1861</v>
      </c>
      <c r="AL493" s="42">
        <v>894</v>
      </c>
      <c r="AM493" s="42">
        <v>510</v>
      </c>
      <c r="AN493" s="42">
        <v>1861</v>
      </c>
      <c r="AO493" s="42">
        <v>1861</v>
      </c>
      <c r="AP493" s="42">
        <v>4986.3866000000007</v>
      </c>
      <c r="AQ493" s="42">
        <v>2166.3879999999999</v>
      </c>
      <c r="AR493" s="42">
        <v>2667.3532</v>
      </c>
      <c r="AS493" s="42">
        <v>3850.5998</v>
      </c>
      <c r="AT493" s="42">
        <v>5376.1607999999997</v>
      </c>
      <c r="AU493" s="42">
        <v>4499.8011999999999</v>
      </c>
      <c r="AV493" s="42">
        <f t="shared" si="61"/>
        <v>32394.689600000005</v>
      </c>
      <c r="AW493" s="42">
        <v>2558.0897437132799</v>
      </c>
      <c r="AX493" s="42">
        <v>1861</v>
      </c>
      <c r="AY493" s="42">
        <v>1861</v>
      </c>
      <c r="AZ493" s="42">
        <v>1777</v>
      </c>
      <c r="BA493" s="42">
        <v>0</v>
      </c>
      <c r="BB493" s="42">
        <v>0</v>
      </c>
      <c r="BC493" s="42">
        <v>695</v>
      </c>
      <c r="BD493" s="42">
        <v>0</v>
      </c>
      <c r="BE493" s="42">
        <v>500</v>
      </c>
      <c r="BF493" s="42">
        <v>500</v>
      </c>
      <c r="BG493" s="42">
        <v>500</v>
      </c>
      <c r="BH493" s="42">
        <v>500</v>
      </c>
      <c r="BI493" s="42">
        <v>0</v>
      </c>
      <c r="BJ493" s="42">
        <v>500</v>
      </c>
      <c r="BK493" s="42">
        <v>500</v>
      </c>
      <c r="BL493" s="42">
        <v>0</v>
      </c>
      <c r="BM493" s="42">
        <v>0</v>
      </c>
      <c r="BN493" s="42">
        <v>327</v>
      </c>
      <c r="BO493" s="42">
        <v>500</v>
      </c>
      <c r="BP493" s="42">
        <v>500</v>
      </c>
      <c r="BQ493" s="42">
        <v>500</v>
      </c>
      <c r="BR493" s="42">
        <v>500</v>
      </c>
      <c r="BS493" s="42">
        <v>0</v>
      </c>
      <c r="BT493" s="42">
        <v>500</v>
      </c>
      <c r="BU493" s="42">
        <v>500</v>
      </c>
      <c r="BV493" s="42">
        <v>500</v>
      </c>
      <c r="BW493" s="42">
        <v>500</v>
      </c>
      <c r="BX493" s="42">
        <v>500</v>
      </c>
      <c r="BY493" s="42">
        <v>0</v>
      </c>
      <c r="BZ493" s="42">
        <v>500</v>
      </c>
      <c r="CA493" s="42">
        <v>0</v>
      </c>
      <c r="CB493" s="42">
        <v>500</v>
      </c>
      <c r="CC493" s="42">
        <v>500</v>
      </c>
      <c r="CD493" s="42">
        <v>1624.9416271923378</v>
      </c>
      <c r="CE493" s="42">
        <v>500</v>
      </c>
      <c r="CF493" s="42">
        <v>500</v>
      </c>
      <c r="CG493" s="42">
        <v>500</v>
      </c>
      <c r="CH493" s="42">
        <v>500</v>
      </c>
      <c r="CI493" s="42">
        <v>500</v>
      </c>
      <c r="CJ493" s="42">
        <v>398.87967818501056</v>
      </c>
      <c r="CK493" s="43">
        <f t="shared" si="62"/>
        <v>22602.911049090628</v>
      </c>
      <c r="CL493" s="66"/>
      <c r="CM493" s="66">
        <v>500</v>
      </c>
      <c r="CN493" s="66">
        <v>500</v>
      </c>
      <c r="CO493" s="66">
        <v>500</v>
      </c>
      <c r="CP493" s="66">
        <v>0</v>
      </c>
      <c r="CQ493" s="66">
        <v>500</v>
      </c>
      <c r="CR493" s="66">
        <v>500</v>
      </c>
      <c r="CS493" s="66">
        <v>500</v>
      </c>
      <c r="CT493" s="66">
        <v>500</v>
      </c>
      <c r="CU493" s="66">
        <v>500</v>
      </c>
      <c r="CV493" s="66">
        <v>0</v>
      </c>
      <c r="CW493" s="66">
        <v>500</v>
      </c>
      <c r="CX493" s="66">
        <v>500</v>
      </c>
      <c r="CY493" s="66">
        <v>500</v>
      </c>
      <c r="CZ493" s="66">
        <v>500</v>
      </c>
      <c r="DA493" s="66"/>
      <c r="DB493" s="66"/>
      <c r="DC493" s="66"/>
      <c r="DD493" s="66"/>
      <c r="DE493" s="66"/>
      <c r="DF493" s="66"/>
      <c r="DG493" s="66"/>
      <c r="DH493" s="66"/>
      <c r="DI493" s="66"/>
      <c r="DJ493" s="66"/>
      <c r="DK493" s="66">
        <f>SUM(Table1[[#This Row],[01-03 Apr]:[Mar-26]])</f>
        <v>6000</v>
      </c>
    </row>
    <row r="494" spans="1:115" x14ac:dyDescent="0.2">
      <c r="A494" s="28" t="s">
        <v>2365</v>
      </c>
      <c r="B494" s="29" t="s">
        <v>999</v>
      </c>
      <c r="C494" s="29" t="s">
        <v>1000</v>
      </c>
      <c r="D494" s="30" t="s">
        <v>1001</v>
      </c>
      <c r="E494" s="30" t="s">
        <v>85</v>
      </c>
      <c r="F494" s="30"/>
      <c r="G494" s="31" t="s">
        <v>371</v>
      </c>
      <c r="H494" s="30">
        <v>359314</v>
      </c>
      <c r="I494" s="30" t="str">
        <f>IF(Table1[[#This Row],[Centre Status]]="Returned","NA",IF(Table1[[#This Row],[SD]]&gt;19000,"Full Payment",IF(Table1[[#This Row],[SD]]&lt;1,"No Payment","Partial Payment")))</f>
        <v>Partial Payment</v>
      </c>
      <c r="J494" s="30" t="s">
        <v>58</v>
      </c>
      <c r="K494" s="32">
        <v>110000</v>
      </c>
      <c r="L494" s="33">
        <f>Q494+R494+U494+Table1[[#This Row],[Farmer Payment]]</f>
        <v>84123.21621400975</v>
      </c>
      <c r="M494" s="30"/>
      <c r="N494" s="34"/>
      <c r="O494" s="34"/>
      <c r="P494" s="35">
        <f t="shared" si="59"/>
        <v>25876.78378599025</v>
      </c>
      <c r="Q494" s="33">
        <f>AI494+AV494+CK494+Table1[[#This Row],[FY 25-26]]</f>
        <v>74123.21621400975</v>
      </c>
      <c r="R494" s="36">
        <v>10000</v>
      </c>
      <c r="S494" s="37" t="s">
        <v>1002</v>
      </c>
      <c r="T494" s="38">
        <v>45063</v>
      </c>
      <c r="U494" s="39"/>
      <c r="V494" s="39"/>
      <c r="W494" s="40">
        <v>0</v>
      </c>
      <c r="X494" s="40">
        <v>0</v>
      </c>
      <c r="Y494" s="40">
        <v>0</v>
      </c>
      <c r="Z494" s="40">
        <v>0</v>
      </c>
      <c r="AA494" s="40">
        <v>0</v>
      </c>
      <c r="AB494" s="40">
        <v>0</v>
      </c>
      <c r="AC494" s="40">
        <v>0</v>
      </c>
      <c r="AD494" s="40">
        <v>0</v>
      </c>
      <c r="AE494" s="40">
        <v>0</v>
      </c>
      <c r="AF494" s="40">
        <v>0</v>
      </c>
      <c r="AG494" s="40">
        <v>0</v>
      </c>
      <c r="AH494" s="40">
        <v>0</v>
      </c>
      <c r="AI494" s="41">
        <f t="shared" si="60"/>
        <v>0</v>
      </c>
      <c r="AJ494" s="42">
        <v>0</v>
      </c>
      <c r="AK494" s="42">
        <v>207</v>
      </c>
      <c r="AL494" s="42">
        <v>1861</v>
      </c>
      <c r="AM494" s="42">
        <v>1861</v>
      </c>
      <c r="AN494" s="42">
        <v>743</v>
      </c>
      <c r="AO494" s="42">
        <v>1318</v>
      </c>
      <c r="AP494" s="42">
        <v>2327.7134000000001</v>
      </c>
      <c r="AQ494" s="42">
        <v>1861</v>
      </c>
      <c r="AR494" s="42">
        <v>1479</v>
      </c>
      <c r="AS494" s="42">
        <v>2992.3955999999998</v>
      </c>
      <c r="AT494" s="42">
        <v>2915.8892000000001</v>
      </c>
      <c r="AU494" s="42">
        <v>5083.1725999999999</v>
      </c>
      <c r="AV494" s="42">
        <f t="shared" si="61"/>
        <v>22649.1708</v>
      </c>
      <c r="AW494" s="42">
        <v>3825.881259565881</v>
      </c>
      <c r="AX494" s="42">
        <v>3628.6859004098551</v>
      </c>
      <c r="AY494" s="42">
        <v>2896.2388347910487</v>
      </c>
      <c r="AZ494" s="42">
        <v>3763.0125514712981</v>
      </c>
      <c r="BA494" s="42">
        <v>2957.018484913538</v>
      </c>
      <c r="BB494" s="42">
        <v>0</v>
      </c>
      <c r="BC494" s="42">
        <v>3602.1666255991017</v>
      </c>
      <c r="BD494" s="42">
        <v>0</v>
      </c>
      <c r="BE494" s="42">
        <v>0</v>
      </c>
      <c r="BF494" s="42">
        <v>0</v>
      </c>
      <c r="BG494" s="42">
        <v>0</v>
      </c>
      <c r="BH494" s="42">
        <v>0</v>
      </c>
      <c r="BI494" s="42">
        <v>3507.3037267068762</v>
      </c>
      <c r="BJ494" s="42">
        <v>0</v>
      </c>
      <c r="BK494" s="42">
        <v>0</v>
      </c>
      <c r="BL494" s="42">
        <v>0</v>
      </c>
      <c r="BM494" s="42">
        <v>0</v>
      </c>
      <c r="BN494" s="42">
        <v>3060.9852970265447</v>
      </c>
      <c r="BO494" s="42">
        <v>0</v>
      </c>
      <c r="BP494" s="42">
        <v>0</v>
      </c>
      <c r="BQ494" s="42">
        <v>0</v>
      </c>
      <c r="BR494" s="42">
        <v>0</v>
      </c>
      <c r="BS494" s="42">
        <v>5184.9494034240861</v>
      </c>
      <c r="BT494" s="42">
        <v>0</v>
      </c>
      <c r="BU494" s="42">
        <v>0</v>
      </c>
      <c r="BV494" s="42">
        <v>0</v>
      </c>
      <c r="BW494" s="42">
        <v>0</v>
      </c>
      <c r="BX494" s="42">
        <v>0</v>
      </c>
      <c r="BY494" s="42">
        <v>4454.5437658796091</v>
      </c>
      <c r="BZ494" s="42">
        <v>0</v>
      </c>
      <c r="CA494" s="42">
        <v>0</v>
      </c>
      <c r="CB494" s="42">
        <v>0</v>
      </c>
      <c r="CC494" s="42">
        <v>0</v>
      </c>
      <c r="CD494" s="42">
        <v>4725.7158494534506</v>
      </c>
      <c r="CE494" s="42">
        <v>0</v>
      </c>
      <c r="CF494" s="42">
        <v>0</v>
      </c>
      <c r="CG494" s="42">
        <v>0</v>
      </c>
      <c r="CH494" s="42">
        <v>0</v>
      </c>
      <c r="CI494" s="42">
        <v>0</v>
      </c>
      <c r="CJ494" s="42">
        <v>4300.4249339307025</v>
      </c>
      <c r="CK494" s="43">
        <f t="shared" si="62"/>
        <v>45906.926633171985</v>
      </c>
      <c r="CL494" s="66"/>
      <c r="CM494" s="66">
        <v>0</v>
      </c>
      <c r="CN494" s="66">
        <v>0</v>
      </c>
      <c r="CO494" s="66">
        <v>0</v>
      </c>
      <c r="CP494" s="66">
        <v>2968.9812122116227</v>
      </c>
      <c r="CQ494" s="66">
        <v>0</v>
      </c>
      <c r="CR494" s="66">
        <v>0</v>
      </c>
      <c r="CS494" s="66">
        <v>0</v>
      </c>
      <c r="CT494" s="66">
        <v>0</v>
      </c>
      <c r="CU494" s="66">
        <v>0</v>
      </c>
      <c r="CV494" s="66">
        <v>2598.1375686261399</v>
      </c>
      <c r="CW494" s="66">
        <v>0</v>
      </c>
      <c r="CX494" s="66">
        <v>0</v>
      </c>
      <c r="CY494" s="66">
        <v>0</v>
      </c>
      <c r="CZ494" s="66">
        <v>0</v>
      </c>
      <c r="DA494" s="66"/>
      <c r="DB494" s="66"/>
      <c r="DC494" s="66"/>
      <c r="DD494" s="66"/>
      <c r="DE494" s="66"/>
      <c r="DF494" s="66"/>
      <c r="DG494" s="66"/>
      <c r="DH494" s="66"/>
      <c r="DI494" s="66"/>
      <c r="DJ494" s="66"/>
      <c r="DK494" s="66">
        <f>SUM(Table1[[#This Row],[01-03 Apr]:[Mar-26]])</f>
        <v>5567.1187808377626</v>
      </c>
    </row>
    <row r="495" spans="1:115" hidden="1" x14ac:dyDescent="0.2">
      <c r="A495" s="28" t="s">
        <v>2253</v>
      </c>
      <c r="B495" s="29" t="s">
        <v>1003</v>
      </c>
      <c r="C495" s="29" t="s">
        <v>1004</v>
      </c>
      <c r="D495" s="30" t="s">
        <v>2631</v>
      </c>
      <c r="E495" s="30" t="s">
        <v>85</v>
      </c>
      <c r="F495" s="30"/>
      <c r="G495" s="31" t="s">
        <v>371</v>
      </c>
      <c r="H495" s="30">
        <v>360133</v>
      </c>
      <c r="I495" s="30" t="str">
        <f>IF(Table1[[#This Row],[Centre Status]]="Returned","NA",IF(Table1[[#This Row],[SD]]&gt;19000,"Full Payment",IF(Table1[[#This Row],[SD]]&lt;1,"No Payment","Partial Payment")))</f>
        <v>Full Payment</v>
      </c>
      <c r="J495" s="30" t="s">
        <v>58</v>
      </c>
      <c r="K495" s="32">
        <v>110000</v>
      </c>
      <c r="L495" s="33">
        <f>Q495+R495+U495+Table1[[#This Row],[Farmer Payment]]</f>
        <v>65897.735888933545</v>
      </c>
      <c r="M495" s="30"/>
      <c r="N495" s="34"/>
      <c r="O495" s="34"/>
      <c r="P495" s="35">
        <f t="shared" si="59"/>
        <v>44102.264111066455</v>
      </c>
      <c r="Q495" s="33">
        <f>AI495+AV495+CK495+Table1[[#This Row],[FY 25-26]]</f>
        <v>45897.735888933545</v>
      </c>
      <c r="R495" s="36">
        <f>10000+10000</f>
        <v>20000</v>
      </c>
      <c r="S495" s="37" t="s">
        <v>2632</v>
      </c>
      <c r="T495" s="38">
        <v>45063</v>
      </c>
      <c r="U495" s="39"/>
      <c r="V495" s="39"/>
      <c r="W495" s="40">
        <v>0</v>
      </c>
      <c r="X495" s="40">
        <v>0</v>
      </c>
      <c r="Y495" s="40">
        <v>0</v>
      </c>
      <c r="Z495" s="40">
        <v>0</v>
      </c>
      <c r="AA495" s="40">
        <v>0</v>
      </c>
      <c r="AB495" s="40">
        <v>0</v>
      </c>
      <c r="AC495" s="40">
        <v>0</v>
      </c>
      <c r="AD495" s="40">
        <v>0</v>
      </c>
      <c r="AE495" s="40">
        <v>0</v>
      </c>
      <c r="AF495" s="40">
        <v>0</v>
      </c>
      <c r="AG495" s="40">
        <v>0</v>
      </c>
      <c r="AH495" s="40">
        <v>0</v>
      </c>
      <c r="AI495" s="41">
        <f t="shared" si="60"/>
        <v>0</v>
      </c>
      <c r="AJ495" s="42">
        <v>0</v>
      </c>
      <c r="AK495" s="42">
        <v>0</v>
      </c>
      <c r="AL495" s="42">
        <v>0</v>
      </c>
      <c r="AM495" s="42">
        <v>1989.4221999999997</v>
      </c>
      <c r="AN495" s="42">
        <v>3573.6633999999999</v>
      </c>
      <c r="AO495" s="42">
        <v>3200.1820000000002</v>
      </c>
      <c r="AP495" s="42">
        <v>4783.0818000000008</v>
      </c>
      <c r="AQ495" s="42">
        <v>2859.6164000000003</v>
      </c>
      <c r="AR495" s="42">
        <v>2745.3888000000002</v>
      </c>
      <c r="AS495" s="42">
        <v>2392.5536000000002</v>
      </c>
      <c r="AT495" s="42">
        <v>2435.2896000000001</v>
      </c>
      <c r="AU495" s="42">
        <v>2385.4310000000005</v>
      </c>
      <c r="AV495" s="42">
        <f t="shared" si="61"/>
        <v>26364.628799999999</v>
      </c>
      <c r="AW495" s="42">
        <v>1861</v>
      </c>
      <c r="AX495" s="42">
        <v>1396</v>
      </c>
      <c r="AY495" s="42">
        <v>823</v>
      </c>
      <c r="AZ495" s="42">
        <v>972</v>
      </c>
      <c r="BA495" s="42">
        <v>1861</v>
      </c>
      <c r="BB495" s="42">
        <v>0</v>
      </c>
      <c r="BC495" s="42">
        <v>1463</v>
      </c>
      <c r="BD495" s="42">
        <v>0</v>
      </c>
      <c r="BE495" s="42">
        <v>0</v>
      </c>
      <c r="BF495" s="42">
        <v>0</v>
      </c>
      <c r="BG495" s="42">
        <v>0</v>
      </c>
      <c r="BH495" s="42">
        <v>0</v>
      </c>
      <c r="BI495" s="42">
        <v>1861</v>
      </c>
      <c r="BJ495" s="42">
        <v>0</v>
      </c>
      <c r="BK495" s="42">
        <v>0</v>
      </c>
      <c r="BL495" s="42">
        <v>0</v>
      </c>
      <c r="BM495" s="42">
        <v>0</v>
      </c>
      <c r="BN495" s="42">
        <v>230</v>
      </c>
      <c r="BO495" s="42">
        <v>500</v>
      </c>
      <c r="BP495" s="42">
        <v>500</v>
      </c>
      <c r="BQ495" s="42">
        <v>500</v>
      </c>
      <c r="BR495" s="42">
        <v>500</v>
      </c>
      <c r="BS495" s="42">
        <v>0</v>
      </c>
      <c r="BT495" s="42">
        <v>500</v>
      </c>
      <c r="BU495" s="42">
        <v>500</v>
      </c>
      <c r="BV495" s="42">
        <v>0</v>
      </c>
      <c r="BW495" s="42">
        <v>0</v>
      </c>
      <c r="BX495" s="42">
        <v>0</v>
      </c>
      <c r="BY495" s="42">
        <v>1538.9229559986763</v>
      </c>
      <c r="BZ495" s="42">
        <v>0</v>
      </c>
      <c r="CA495" s="42">
        <v>0</v>
      </c>
      <c r="CB495" s="42">
        <v>0</v>
      </c>
      <c r="CC495" s="42">
        <v>0</v>
      </c>
      <c r="CD495" s="42">
        <v>1861</v>
      </c>
      <c r="CE495" s="42">
        <v>0</v>
      </c>
      <c r="CF495" s="42">
        <v>0</v>
      </c>
      <c r="CG495" s="42">
        <v>0</v>
      </c>
      <c r="CH495" s="42">
        <v>0</v>
      </c>
      <c r="CI495" s="42">
        <v>0</v>
      </c>
      <c r="CJ495" s="42">
        <v>2109.184132934864</v>
      </c>
      <c r="CK495" s="43">
        <f t="shared" si="62"/>
        <v>18976.107088933542</v>
      </c>
      <c r="CL495" s="66"/>
      <c r="CM495" s="66">
        <v>0</v>
      </c>
      <c r="CN495" s="66">
        <v>0</v>
      </c>
      <c r="CO495" s="66">
        <v>0</v>
      </c>
      <c r="CP495" s="66">
        <v>557</v>
      </c>
      <c r="CQ495" s="66">
        <v>0</v>
      </c>
      <c r="CR495" s="66">
        <v>0</v>
      </c>
      <c r="CS495" s="66">
        <v>0</v>
      </c>
      <c r="CT495" s="66">
        <v>0</v>
      </c>
      <c r="CU495" s="66">
        <v>0</v>
      </c>
      <c r="CV495" s="66">
        <v>0</v>
      </c>
      <c r="CW495" s="66">
        <v>0</v>
      </c>
      <c r="CX495" s="66">
        <v>0</v>
      </c>
      <c r="CY495" s="66">
        <v>0</v>
      </c>
      <c r="CZ495" s="66">
        <v>0</v>
      </c>
      <c r="DA495" s="66"/>
      <c r="DB495" s="66"/>
      <c r="DC495" s="66"/>
      <c r="DD495" s="66"/>
      <c r="DE495" s="66"/>
      <c r="DF495" s="66"/>
      <c r="DG495" s="66"/>
      <c r="DH495" s="66"/>
      <c r="DI495" s="66"/>
      <c r="DJ495" s="66"/>
      <c r="DK495" s="66">
        <f>SUM(Table1[[#This Row],[01-03 Apr]:[Mar-26]])</f>
        <v>557</v>
      </c>
    </row>
    <row r="496" spans="1:115" x14ac:dyDescent="0.2">
      <c r="A496" s="28" t="s">
        <v>2255</v>
      </c>
      <c r="B496" s="29" t="s">
        <v>1005</v>
      </c>
      <c r="C496" s="29" t="s">
        <v>1006</v>
      </c>
      <c r="D496" s="30" t="s">
        <v>1007</v>
      </c>
      <c r="E496" s="30" t="s">
        <v>177</v>
      </c>
      <c r="F496" s="30"/>
      <c r="G496" s="31" t="s">
        <v>371</v>
      </c>
      <c r="H496" s="30">
        <v>277217</v>
      </c>
      <c r="I496" s="30" t="str">
        <f>IF(Table1[[#This Row],[Centre Status]]="Returned","NA",IF(Table1[[#This Row],[SD]]&gt;19000,"Full Payment",IF(Table1[[#This Row],[SD]]&lt;1,"No Payment","Partial Payment")))</f>
        <v>Partial Payment</v>
      </c>
      <c r="J496" s="30" t="s">
        <v>58</v>
      </c>
      <c r="K496" s="32">
        <v>64000</v>
      </c>
      <c r="L496" s="33">
        <f>Q496+R496+U496+Table1[[#This Row],[Farmer Payment]]</f>
        <v>37390.547999999995</v>
      </c>
      <c r="M496" s="30"/>
      <c r="N496" s="34"/>
      <c r="O496" s="34"/>
      <c r="P496" s="35">
        <f t="shared" si="59"/>
        <v>26609.452000000005</v>
      </c>
      <c r="Q496" s="33">
        <f>AI496+AV496+CK496+Table1[[#This Row],[FY 25-26]]</f>
        <v>32390.547999999999</v>
      </c>
      <c r="R496" s="36">
        <v>5000</v>
      </c>
      <c r="S496" s="37" t="s">
        <v>1008</v>
      </c>
      <c r="T496" s="38">
        <v>44966</v>
      </c>
      <c r="U496" s="39"/>
      <c r="V496" s="39"/>
      <c r="W496" s="40">
        <v>0</v>
      </c>
      <c r="X496" s="40">
        <v>0</v>
      </c>
      <c r="Y496" s="40">
        <v>0</v>
      </c>
      <c r="Z496" s="40">
        <v>0</v>
      </c>
      <c r="AA496" s="40">
        <v>0</v>
      </c>
      <c r="AB496" s="40">
        <v>0</v>
      </c>
      <c r="AC496" s="40">
        <v>0</v>
      </c>
      <c r="AD496" s="40">
        <v>0</v>
      </c>
      <c r="AE496" s="40">
        <v>0</v>
      </c>
      <c r="AF496" s="40">
        <v>0</v>
      </c>
      <c r="AG496" s="40">
        <v>0</v>
      </c>
      <c r="AH496" s="40">
        <v>876</v>
      </c>
      <c r="AI496" s="41">
        <f t="shared" si="60"/>
        <v>876</v>
      </c>
      <c r="AJ496" s="42">
        <v>1054</v>
      </c>
      <c r="AK496" s="42">
        <v>465</v>
      </c>
      <c r="AL496" s="42">
        <v>0</v>
      </c>
      <c r="AM496" s="42">
        <v>0</v>
      </c>
      <c r="AN496" s="42">
        <v>0</v>
      </c>
      <c r="AO496" s="42">
        <v>0</v>
      </c>
      <c r="AP496" s="42">
        <v>188</v>
      </c>
      <c r="AQ496" s="42">
        <v>684</v>
      </c>
      <c r="AR496" s="42">
        <v>1861</v>
      </c>
      <c r="AS496" s="42">
        <v>1895.548</v>
      </c>
      <c r="AT496" s="42">
        <v>1861</v>
      </c>
      <c r="AU496" s="42">
        <v>1861</v>
      </c>
      <c r="AV496" s="42">
        <f t="shared" si="61"/>
        <v>9869.5479999999989</v>
      </c>
      <c r="AW496" s="42">
        <v>1861</v>
      </c>
      <c r="AX496" s="42">
        <v>1861</v>
      </c>
      <c r="AY496" s="42">
        <v>1637</v>
      </c>
      <c r="AZ496" s="42">
        <v>1443</v>
      </c>
      <c r="BA496" s="42">
        <v>0</v>
      </c>
      <c r="BB496" s="42">
        <v>500</v>
      </c>
      <c r="BC496" s="42">
        <v>861</v>
      </c>
      <c r="BD496" s="42">
        <v>500</v>
      </c>
      <c r="BE496" s="42">
        <v>0</v>
      </c>
      <c r="BF496" s="42">
        <v>0</v>
      </c>
      <c r="BG496" s="42">
        <v>0</v>
      </c>
      <c r="BH496" s="42">
        <v>0</v>
      </c>
      <c r="BI496" s="42">
        <v>1861</v>
      </c>
      <c r="BJ496" s="42">
        <v>0</v>
      </c>
      <c r="BK496" s="42">
        <v>0</v>
      </c>
      <c r="BL496" s="42">
        <v>0</v>
      </c>
      <c r="BM496" s="42">
        <v>0</v>
      </c>
      <c r="BN496" s="42">
        <v>1861</v>
      </c>
      <c r="BO496" s="42">
        <v>0</v>
      </c>
      <c r="BP496" s="42">
        <v>0</v>
      </c>
      <c r="BQ496" s="42">
        <v>0</v>
      </c>
      <c r="BR496" s="42">
        <v>0</v>
      </c>
      <c r="BS496" s="42">
        <v>1861</v>
      </c>
      <c r="BT496" s="42">
        <v>0</v>
      </c>
      <c r="BU496" s="42">
        <v>0</v>
      </c>
      <c r="BV496" s="42">
        <v>0</v>
      </c>
      <c r="BW496" s="42">
        <v>0</v>
      </c>
      <c r="BX496" s="42">
        <v>0</v>
      </c>
      <c r="BY496" s="42">
        <v>1861</v>
      </c>
      <c r="BZ496" s="42">
        <v>0</v>
      </c>
      <c r="CA496" s="42">
        <v>500</v>
      </c>
      <c r="CB496" s="42">
        <v>0</v>
      </c>
      <c r="CC496" s="42">
        <v>0</v>
      </c>
      <c r="CD496" s="42">
        <v>1361</v>
      </c>
      <c r="CE496" s="42">
        <v>0</v>
      </c>
      <c r="CF496" s="42">
        <v>0</v>
      </c>
      <c r="CG496" s="42">
        <v>0</v>
      </c>
      <c r="CH496" s="42">
        <v>0</v>
      </c>
      <c r="CI496" s="42">
        <v>0</v>
      </c>
      <c r="CJ496" s="42">
        <v>1861</v>
      </c>
      <c r="CK496" s="43">
        <f t="shared" si="62"/>
        <v>19829</v>
      </c>
      <c r="CL496" s="66"/>
      <c r="CM496" s="66">
        <v>0</v>
      </c>
      <c r="CN496" s="66">
        <v>0</v>
      </c>
      <c r="CO496" s="66">
        <v>0</v>
      </c>
      <c r="CP496" s="66">
        <v>1380</v>
      </c>
      <c r="CQ496" s="66">
        <v>0</v>
      </c>
      <c r="CR496" s="66">
        <v>0</v>
      </c>
      <c r="CS496" s="66">
        <v>0</v>
      </c>
      <c r="CT496" s="66">
        <v>0</v>
      </c>
      <c r="CU496" s="66">
        <v>0</v>
      </c>
      <c r="CV496" s="66">
        <v>436</v>
      </c>
      <c r="CW496" s="66">
        <v>0</v>
      </c>
      <c r="CX496" s="66">
        <v>0</v>
      </c>
      <c r="CY496" s="66">
        <v>0</v>
      </c>
      <c r="CZ496" s="66">
        <v>0</v>
      </c>
      <c r="DA496" s="66"/>
      <c r="DB496" s="66"/>
      <c r="DC496" s="66"/>
      <c r="DD496" s="66"/>
      <c r="DE496" s="66"/>
      <c r="DF496" s="66"/>
      <c r="DG496" s="66"/>
      <c r="DH496" s="66"/>
      <c r="DI496" s="66"/>
      <c r="DJ496" s="66"/>
      <c r="DK496" s="66">
        <f>SUM(Table1[[#This Row],[01-03 Apr]:[Mar-26]])</f>
        <v>1816</v>
      </c>
    </row>
    <row r="497" spans="1:115" hidden="1" x14ac:dyDescent="0.2">
      <c r="A497" s="28" t="s">
        <v>2255</v>
      </c>
      <c r="B497" s="29" t="s">
        <v>1009</v>
      </c>
      <c r="C497" s="29" t="s">
        <v>1010</v>
      </c>
      <c r="D497" s="30" t="s">
        <v>1011</v>
      </c>
      <c r="E497" s="30" t="s">
        <v>297</v>
      </c>
      <c r="F497" s="30"/>
      <c r="G497" s="31" t="s">
        <v>371</v>
      </c>
      <c r="H497" s="30">
        <v>385574</v>
      </c>
      <c r="I497" s="30" t="str">
        <f>IF(Table1[[#This Row],[Centre Status]]="Returned","NA",IF(Table1[[#This Row],[SD]]&gt;19000,"Full Payment",IF(Table1[[#This Row],[SD]]&lt;1,"No Payment","Partial Payment")))</f>
        <v>NA</v>
      </c>
      <c r="J497" s="30" t="s">
        <v>1903</v>
      </c>
      <c r="K497" s="32">
        <v>110000</v>
      </c>
      <c r="L497" s="33">
        <f>Q497+R497+U497+Table1[[#This Row],[Farmer Payment]]</f>
        <v>6264.2682303536194</v>
      </c>
      <c r="M497" s="30">
        <v>6264</v>
      </c>
      <c r="N497" s="34">
        <v>45666</v>
      </c>
      <c r="O497" s="34" t="s">
        <v>2888</v>
      </c>
      <c r="P497" s="35">
        <f t="shared" si="59"/>
        <v>109999.73176964639</v>
      </c>
      <c r="Q497" s="33">
        <f>AI497+AV497+CK497+Table1[[#This Row],[FY 25-26]]</f>
        <v>6264.2682303536194</v>
      </c>
      <c r="R497" s="36"/>
      <c r="S497" s="37"/>
      <c r="T497" s="38"/>
      <c r="U497" s="39"/>
      <c r="V497" s="39"/>
      <c r="W497" s="40">
        <v>0</v>
      </c>
      <c r="X497" s="40">
        <v>0</v>
      </c>
      <c r="Y497" s="40">
        <v>0</v>
      </c>
      <c r="Z497" s="40">
        <v>0</v>
      </c>
      <c r="AA497" s="40">
        <v>0</v>
      </c>
      <c r="AB497" s="40">
        <v>0</v>
      </c>
      <c r="AC497" s="40">
        <v>0</v>
      </c>
      <c r="AD497" s="40">
        <v>0</v>
      </c>
      <c r="AE497" s="40">
        <v>0</v>
      </c>
      <c r="AF497" s="40">
        <v>0</v>
      </c>
      <c r="AG497" s="40">
        <v>0</v>
      </c>
      <c r="AH497" s="40">
        <v>0</v>
      </c>
      <c r="AI497" s="41">
        <f t="shared" si="60"/>
        <v>0</v>
      </c>
      <c r="AJ497" s="42">
        <v>0</v>
      </c>
      <c r="AK497" s="42">
        <v>15</v>
      </c>
      <c r="AL497" s="42">
        <v>495</v>
      </c>
      <c r="AM497" s="42">
        <v>1861</v>
      </c>
      <c r="AN497" s="42">
        <v>464</v>
      </c>
      <c r="AO497" s="42">
        <v>322</v>
      </c>
      <c r="AP497" s="42">
        <v>0</v>
      </c>
      <c r="AQ497" s="42">
        <v>0</v>
      </c>
      <c r="AR497" s="42">
        <v>1006</v>
      </c>
      <c r="AS497" s="42">
        <v>1861</v>
      </c>
      <c r="AT497" s="42">
        <v>240.26823035361963</v>
      </c>
      <c r="AU497" s="42">
        <v>0</v>
      </c>
      <c r="AV497" s="42">
        <f t="shared" si="61"/>
        <v>6264.2682303536194</v>
      </c>
      <c r="AW497" s="42">
        <v>0</v>
      </c>
      <c r="AX497" s="42">
        <v>0</v>
      </c>
      <c r="AY497" s="42">
        <v>0</v>
      </c>
      <c r="AZ497" s="42">
        <v>0</v>
      </c>
      <c r="BA497" s="42">
        <v>0</v>
      </c>
      <c r="BB497" s="42">
        <v>0</v>
      </c>
      <c r="BC497" s="42">
        <v>0</v>
      </c>
      <c r="BD497" s="42">
        <v>0</v>
      </c>
      <c r="BE497" s="42">
        <v>0</v>
      </c>
      <c r="BF497" s="42">
        <v>0</v>
      </c>
      <c r="BG497" s="42">
        <v>0</v>
      </c>
      <c r="BH497" s="42">
        <v>0</v>
      </c>
      <c r="BI497" s="42">
        <v>0</v>
      </c>
      <c r="BJ497" s="42">
        <v>0</v>
      </c>
      <c r="BK497" s="42">
        <v>0</v>
      </c>
      <c r="BL497" s="42">
        <v>0</v>
      </c>
      <c r="BM497" s="42">
        <v>0</v>
      </c>
      <c r="BN497" s="42">
        <v>0</v>
      </c>
      <c r="BO497" s="42">
        <v>0</v>
      </c>
      <c r="BP497" s="42">
        <v>0</v>
      </c>
      <c r="BQ497" s="42">
        <v>0</v>
      </c>
      <c r="BR497" s="42">
        <v>0</v>
      </c>
      <c r="BS497" s="42">
        <v>0</v>
      </c>
      <c r="BT497" s="42">
        <v>0</v>
      </c>
      <c r="BU497" s="42">
        <v>0</v>
      </c>
      <c r="BV497" s="42">
        <v>0</v>
      </c>
      <c r="BW497" s="42">
        <v>0</v>
      </c>
      <c r="BX497" s="42">
        <v>0</v>
      </c>
      <c r="BY497" s="42">
        <v>0</v>
      </c>
      <c r="BZ497" s="42">
        <v>0</v>
      </c>
      <c r="CA497" s="42">
        <v>0</v>
      </c>
      <c r="CB497" s="42">
        <v>0</v>
      </c>
      <c r="CC497" s="42">
        <v>0</v>
      </c>
      <c r="CD497" s="42">
        <v>0</v>
      </c>
      <c r="CE497" s="42">
        <v>0</v>
      </c>
      <c r="CF497" s="42">
        <v>0</v>
      </c>
      <c r="CG497" s="42">
        <v>0</v>
      </c>
      <c r="CH497" s="42">
        <v>0</v>
      </c>
      <c r="CI497" s="42">
        <v>0</v>
      </c>
      <c r="CJ497" s="42">
        <v>0</v>
      </c>
      <c r="CK497" s="43">
        <f t="shared" si="62"/>
        <v>0</v>
      </c>
      <c r="CL497" s="66"/>
      <c r="CM497" s="66">
        <v>0</v>
      </c>
      <c r="CN497" s="66">
        <v>0</v>
      </c>
      <c r="CO497" s="66">
        <v>0</v>
      </c>
      <c r="CP497" s="66">
        <v>0</v>
      </c>
      <c r="CQ497" s="66">
        <v>0</v>
      </c>
      <c r="CR497" s="66">
        <v>0</v>
      </c>
      <c r="CS497" s="66">
        <v>0</v>
      </c>
      <c r="CT497" s="66">
        <v>0</v>
      </c>
      <c r="CU497" s="66">
        <v>0</v>
      </c>
      <c r="CV497" s="66">
        <v>0</v>
      </c>
      <c r="CW497" s="66">
        <v>0</v>
      </c>
      <c r="CX497" s="66">
        <v>0</v>
      </c>
      <c r="CY497" s="66">
        <v>0</v>
      </c>
      <c r="CZ497" s="66">
        <v>0</v>
      </c>
      <c r="DA497" s="66"/>
      <c r="DB497" s="66"/>
      <c r="DC497" s="66"/>
      <c r="DD497" s="66"/>
      <c r="DE497" s="66"/>
      <c r="DF497" s="66"/>
      <c r="DG497" s="66"/>
      <c r="DH497" s="66"/>
      <c r="DI497" s="66"/>
      <c r="DJ497" s="66"/>
      <c r="DK497" s="66">
        <f>SUM(Table1[[#This Row],[01-03 Apr]:[Mar-26]])</f>
        <v>0</v>
      </c>
    </row>
    <row r="498" spans="1:115" x14ac:dyDescent="0.2">
      <c r="A498" s="28" t="s">
        <v>2255</v>
      </c>
      <c r="B498" s="29" t="s">
        <v>1012</v>
      </c>
      <c r="C498" s="29" t="s">
        <v>1013</v>
      </c>
      <c r="D498" s="30" t="s">
        <v>1014</v>
      </c>
      <c r="E498" s="30" t="s">
        <v>203</v>
      </c>
      <c r="F498" s="30"/>
      <c r="G498" s="31" t="s">
        <v>371</v>
      </c>
      <c r="H498" s="30">
        <v>378189</v>
      </c>
      <c r="I498" s="30" t="str">
        <f>IF(Table1[[#This Row],[Centre Status]]="Returned","NA",IF(Table1[[#This Row],[SD]]&gt;19000,"Full Payment",IF(Table1[[#This Row],[SD]]&lt;1,"No Payment","Partial Payment")))</f>
        <v>Partial Payment</v>
      </c>
      <c r="J498" s="30" t="s">
        <v>58</v>
      </c>
      <c r="K498" s="32">
        <v>110000</v>
      </c>
      <c r="L498" s="33">
        <f>Q498+R498+U498+Table1[[#This Row],[Farmer Payment]]</f>
        <v>36568.858451120381</v>
      </c>
      <c r="M498" s="30"/>
      <c r="N498" s="34"/>
      <c r="O498" s="34"/>
      <c r="P498" s="35">
        <f t="shared" si="59"/>
        <v>73431.141548879619</v>
      </c>
      <c r="Q498" s="33">
        <f>AI498+AV498+CK498+Table1[[#This Row],[FY 25-26]]</f>
        <v>31568.858451120381</v>
      </c>
      <c r="R498" s="36">
        <v>5000</v>
      </c>
      <c r="S498" s="37" t="s">
        <v>1015</v>
      </c>
      <c r="T498" s="38">
        <v>45027</v>
      </c>
      <c r="U498" s="39"/>
      <c r="V498" s="39"/>
      <c r="W498" s="40">
        <v>0</v>
      </c>
      <c r="X498" s="40">
        <v>0</v>
      </c>
      <c r="Y498" s="40">
        <v>0</v>
      </c>
      <c r="Z498" s="40">
        <v>0</v>
      </c>
      <c r="AA498" s="40">
        <v>0</v>
      </c>
      <c r="AB498" s="40">
        <v>0</v>
      </c>
      <c r="AC498" s="40">
        <v>0</v>
      </c>
      <c r="AD498" s="40">
        <v>0</v>
      </c>
      <c r="AE498" s="40">
        <v>0</v>
      </c>
      <c r="AF498" s="40">
        <v>0</v>
      </c>
      <c r="AG498" s="40">
        <v>0</v>
      </c>
      <c r="AH498" s="40">
        <v>0</v>
      </c>
      <c r="AI498" s="41">
        <f t="shared" si="60"/>
        <v>0</v>
      </c>
      <c r="AJ498" s="42">
        <v>21</v>
      </c>
      <c r="AK498" s="42">
        <v>697</v>
      </c>
      <c r="AL498" s="42">
        <v>515</v>
      </c>
      <c r="AM498" s="42">
        <v>137</v>
      </c>
      <c r="AN498" s="42">
        <v>166</v>
      </c>
      <c r="AO498" s="42">
        <v>241</v>
      </c>
      <c r="AP498" s="42">
        <v>1861</v>
      </c>
      <c r="AQ498" s="42">
        <v>671</v>
      </c>
      <c r="AR498" s="42">
        <v>1861</v>
      </c>
      <c r="AS498" s="42">
        <v>370</v>
      </c>
      <c r="AT498" s="42">
        <v>1452.8584511203806</v>
      </c>
      <c r="AU498" s="42">
        <v>1135</v>
      </c>
      <c r="AV498" s="42">
        <f t="shared" si="61"/>
        <v>9127.8584511203808</v>
      </c>
      <c r="AW498" s="42">
        <v>314</v>
      </c>
      <c r="AX498" s="42">
        <v>1118</v>
      </c>
      <c r="AY498" s="42">
        <v>382</v>
      </c>
      <c r="AZ498" s="42">
        <v>0</v>
      </c>
      <c r="BA498" s="42">
        <v>627</v>
      </c>
      <c r="BB498" s="42">
        <v>500</v>
      </c>
      <c r="BC498" s="42">
        <v>0</v>
      </c>
      <c r="BD498" s="42">
        <v>500</v>
      </c>
      <c r="BE498" s="42">
        <v>500</v>
      </c>
      <c r="BF498" s="42">
        <v>500</v>
      </c>
      <c r="BG498" s="42">
        <v>500</v>
      </c>
      <c r="BH498" s="42">
        <v>500</v>
      </c>
      <c r="BI498" s="42">
        <v>0</v>
      </c>
      <c r="BJ498" s="42">
        <v>500</v>
      </c>
      <c r="BK498" s="42">
        <v>500</v>
      </c>
      <c r="BL498" s="42">
        <v>500</v>
      </c>
      <c r="BM498" s="42">
        <v>500</v>
      </c>
      <c r="BN498" s="42">
        <v>0</v>
      </c>
      <c r="BO498" s="42">
        <v>500</v>
      </c>
      <c r="BP498" s="42">
        <v>500</v>
      </c>
      <c r="BQ498" s="42">
        <v>500</v>
      </c>
      <c r="BR498" s="42">
        <v>500</v>
      </c>
      <c r="BS498" s="42">
        <v>0</v>
      </c>
      <c r="BT498" s="42">
        <v>500</v>
      </c>
      <c r="BU498" s="42">
        <v>500</v>
      </c>
      <c r="BV498" s="42">
        <v>500</v>
      </c>
      <c r="BW498" s="42">
        <v>500</v>
      </c>
      <c r="BX498" s="42">
        <v>500</v>
      </c>
      <c r="BY498" s="42">
        <v>0</v>
      </c>
      <c r="BZ498" s="42">
        <v>500</v>
      </c>
      <c r="CA498" s="42">
        <v>500</v>
      </c>
      <c r="CB498" s="42">
        <v>500</v>
      </c>
      <c r="CC498" s="42">
        <v>500</v>
      </c>
      <c r="CD498" s="42">
        <v>0</v>
      </c>
      <c r="CE498" s="42">
        <v>500</v>
      </c>
      <c r="CF498" s="42">
        <v>500</v>
      </c>
      <c r="CG498" s="42">
        <v>500</v>
      </c>
      <c r="CH498" s="42">
        <v>500</v>
      </c>
      <c r="CI498" s="42">
        <v>500</v>
      </c>
      <c r="CJ498" s="42">
        <v>0</v>
      </c>
      <c r="CK498" s="43">
        <f t="shared" si="62"/>
        <v>16441</v>
      </c>
      <c r="CL498" s="66"/>
      <c r="CM498" s="66">
        <v>500</v>
      </c>
      <c r="CN498" s="66">
        <v>500</v>
      </c>
      <c r="CO498" s="66">
        <v>500</v>
      </c>
      <c r="CP498" s="66">
        <v>0</v>
      </c>
      <c r="CQ498" s="66">
        <v>500</v>
      </c>
      <c r="CR498" s="66">
        <v>500</v>
      </c>
      <c r="CS498" s="66">
        <v>500</v>
      </c>
      <c r="CT498" s="66">
        <v>500</v>
      </c>
      <c r="CU498" s="66">
        <v>500</v>
      </c>
      <c r="CV498" s="66">
        <v>0</v>
      </c>
      <c r="CW498" s="66">
        <v>500</v>
      </c>
      <c r="CX498" s="66">
        <v>500</v>
      </c>
      <c r="CY498" s="66">
        <v>500</v>
      </c>
      <c r="CZ498" s="66">
        <v>500</v>
      </c>
      <c r="DA498" s="66"/>
      <c r="DB498" s="66"/>
      <c r="DC498" s="66"/>
      <c r="DD498" s="66"/>
      <c r="DE498" s="66"/>
      <c r="DF498" s="66"/>
      <c r="DG498" s="66"/>
      <c r="DH498" s="66"/>
      <c r="DI498" s="66"/>
      <c r="DJ498" s="66"/>
      <c r="DK498" s="66">
        <f>SUM(Table1[[#This Row],[01-03 Apr]:[Mar-26]])</f>
        <v>6000</v>
      </c>
    </row>
    <row r="499" spans="1:115" x14ac:dyDescent="0.2">
      <c r="A499" s="28" t="s">
        <v>2255</v>
      </c>
      <c r="B499" s="29" t="s">
        <v>1016</v>
      </c>
      <c r="C499" s="29" t="s">
        <v>1017</v>
      </c>
      <c r="D499" s="30" t="s">
        <v>1018</v>
      </c>
      <c r="E499" s="30" t="s">
        <v>203</v>
      </c>
      <c r="F499" s="30"/>
      <c r="G499" s="31" t="s">
        <v>371</v>
      </c>
      <c r="H499" s="30">
        <v>382426</v>
      </c>
      <c r="I499" s="30" t="str">
        <f>IF(Table1[[#This Row],[Centre Status]]="Returned","NA",IF(Table1[[#This Row],[SD]]&gt;19000,"Full Payment",IF(Table1[[#This Row],[SD]]&lt;1,"No Payment","Partial Payment")))</f>
        <v>No Payment</v>
      </c>
      <c r="J499" s="30" t="s">
        <v>58</v>
      </c>
      <c r="K499" s="32">
        <v>110000</v>
      </c>
      <c r="L499" s="33">
        <f>Q499+R499+U499+Table1[[#This Row],[Farmer Payment]]</f>
        <v>54096.149776674596</v>
      </c>
      <c r="M499" s="30"/>
      <c r="N499" s="34"/>
      <c r="O499" s="34"/>
      <c r="P499" s="35">
        <f t="shared" si="59"/>
        <v>55903.850223325404</v>
      </c>
      <c r="Q499" s="33">
        <f>AI499+AV499+CK499+Table1[[#This Row],[FY 25-26]]</f>
        <v>54096.149776674596</v>
      </c>
      <c r="R499" s="36"/>
      <c r="S499" s="37"/>
      <c r="T499" s="38"/>
      <c r="U499" s="39"/>
      <c r="V499" s="39"/>
      <c r="W499" s="40">
        <v>0</v>
      </c>
      <c r="X499" s="40">
        <v>0</v>
      </c>
      <c r="Y499" s="40">
        <v>0</v>
      </c>
      <c r="Z499" s="40">
        <v>0</v>
      </c>
      <c r="AA499" s="40">
        <v>0</v>
      </c>
      <c r="AB499" s="40">
        <v>0</v>
      </c>
      <c r="AC499" s="40">
        <v>0</v>
      </c>
      <c r="AD499" s="40">
        <v>0</v>
      </c>
      <c r="AE499" s="40">
        <v>0</v>
      </c>
      <c r="AF499" s="40">
        <v>0</v>
      </c>
      <c r="AG499" s="40">
        <v>0</v>
      </c>
      <c r="AH499" s="40">
        <v>0</v>
      </c>
      <c r="AI499" s="41">
        <f t="shared" si="60"/>
        <v>0</v>
      </c>
      <c r="AJ499" s="42">
        <v>166</v>
      </c>
      <c r="AK499" s="42">
        <v>1861</v>
      </c>
      <c r="AL499" s="42">
        <v>1861</v>
      </c>
      <c r="AM499" s="42">
        <v>1283</v>
      </c>
      <c r="AN499" s="42">
        <v>1783</v>
      </c>
      <c r="AO499" s="42">
        <v>1861</v>
      </c>
      <c r="AP499" s="42">
        <v>1861</v>
      </c>
      <c r="AQ499" s="42">
        <v>2699.7049999999999</v>
      </c>
      <c r="AR499" s="42">
        <v>1861</v>
      </c>
      <c r="AS499" s="42">
        <v>1861</v>
      </c>
      <c r="AT499" s="42">
        <v>2015.1373999999998</v>
      </c>
      <c r="AU499" s="42">
        <v>2688.9285999999997</v>
      </c>
      <c r="AV499" s="42">
        <f t="shared" si="61"/>
        <v>21801.771000000001</v>
      </c>
      <c r="AW499" s="42">
        <v>2872.9395893836804</v>
      </c>
      <c r="AX499" s="42">
        <v>2212.56254017536</v>
      </c>
      <c r="AY499" s="42">
        <v>2416.9366959066001</v>
      </c>
      <c r="AZ499" s="42">
        <v>3290.24103069696</v>
      </c>
      <c r="BA499" s="42">
        <v>2442.3496810982401</v>
      </c>
      <c r="BB499" s="42">
        <v>0</v>
      </c>
      <c r="BC499" s="42">
        <v>1861</v>
      </c>
      <c r="BD499" s="42">
        <v>0</v>
      </c>
      <c r="BE499" s="42">
        <v>0</v>
      </c>
      <c r="BF499" s="42">
        <v>0</v>
      </c>
      <c r="BG499" s="42">
        <v>0</v>
      </c>
      <c r="BH499" s="42">
        <v>0</v>
      </c>
      <c r="BI499" s="42">
        <v>1861</v>
      </c>
      <c r="BJ499" s="42">
        <v>0</v>
      </c>
      <c r="BK499" s="42">
        <v>0</v>
      </c>
      <c r="BL499" s="42">
        <v>0</v>
      </c>
      <c r="BM499" s="42">
        <v>0</v>
      </c>
      <c r="BN499" s="42">
        <v>1959.3612577843203</v>
      </c>
      <c r="BO499" s="42">
        <v>0</v>
      </c>
      <c r="BP499" s="42">
        <v>0</v>
      </c>
      <c r="BQ499" s="42">
        <v>0</v>
      </c>
      <c r="BR499" s="42">
        <v>0</v>
      </c>
      <c r="BS499" s="42">
        <v>2525.7799618560002</v>
      </c>
      <c r="BT499" s="42">
        <v>0</v>
      </c>
      <c r="BU499" s="42">
        <v>0</v>
      </c>
      <c r="BV499" s="42">
        <v>0</v>
      </c>
      <c r="BW499" s="42">
        <v>0</v>
      </c>
      <c r="BX499" s="42">
        <v>0</v>
      </c>
      <c r="BY499" s="42">
        <v>1887.1746125568002</v>
      </c>
      <c r="BZ499" s="42">
        <v>0</v>
      </c>
      <c r="CA499" s="42">
        <v>0</v>
      </c>
      <c r="CB499" s="42">
        <v>0</v>
      </c>
      <c r="CC499" s="42">
        <v>0</v>
      </c>
      <c r="CD499" s="42">
        <v>2339.8462781798403</v>
      </c>
      <c r="CE499" s="42">
        <v>0</v>
      </c>
      <c r="CF499" s="42">
        <v>0</v>
      </c>
      <c r="CG499" s="42">
        <v>0</v>
      </c>
      <c r="CH499" s="42">
        <v>0</v>
      </c>
      <c r="CI499" s="42">
        <v>0</v>
      </c>
      <c r="CJ499" s="42">
        <v>2430.446902272</v>
      </c>
      <c r="CK499" s="43">
        <f t="shared" si="62"/>
        <v>28099.638549909796</v>
      </c>
      <c r="CL499" s="66"/>
      <c r="CM499" s="66">
        <v>0</v>
      </c>
      <c r="CN499" s="66">
        <v>0</v>
      </c>
      <c r="CO499" s="66">
        <v>0</v>
      </c>
      <c r="CP499" s="66">
        <v>2333.7402267648004</v>
      </c>
      <c r="CQ499" s="66">
        <v>0</v>
      </c>
      <c r="CR499" s="66">
        <v>0</v>
      </c>
      <c r="CS499" s="66">
        <v>0</v>
      </c>
      <c r="CT499" s="66">
        <v>0</v>
      </c>
      <c r="CU499" s="66">
        <v>0</v>
      </c>
      <c r="CV499" s="66">
        <v>1861</v>
      </c>
      <c r="CW499" s="66">
        <v>0</v>
      </c>
      <c r="CX499" s="66">
        <v>0</v>
      </c>
      <c r="CY499" s="66">
        <v>0</v>
      </c>
      <c r="CZ499" s="66">
        <v>0</v>
      </c>
      <c r="DA499" s="66"/>
      <c r="DB499" s="66"/>
      <c r="DC499" s="66"/>
      <c r="DD499" s="66"/>
      <c r="DE499" s="66"/>
      <c r="DF499" s="66"/>
      <c r="DG499" s="66"/>
      <c r="DH499" s="66"/>
      <c r="DI499" s="66"/>
      <c r="DJ499" s="66"/>
      <c r="DK499" s="66">
        <f>SUM(Table1[[#This Row],[01-03 Apr]:[Mar-26]])</f>
        <v>4194.7402267648004</v>
      </c>
    </row>
    <row r="500" spans="1:115" x14ac:dyDescent="0.2">
      <c r="A500" s="28" t="s">
        <v>2255</v>
      </c>
      <c r="B500" s="29" t="s">
        <v>1021</v>
      </c>
      <c r="C500" s="29" t="s">
        <v>1022</v>
      </c>
      <c r="D500" s="30" t="s">
        <v>1023</v>
      </c>
      <c r="E500" s="30" t="s">
        <v>906</v>
      </c>
      <c r="F500" s="30"/>
      <c r="G500" s="31">
        <v>45045</v>
      </c>
      <c r="H500" s="30">
        <v>387849</v>
      </c>
      <c r="I500" s="30" t="str">
        <f>IF(Table1[[#This Row],[Centre Status]]="Returned","NA",IF(Table1[[#This Row],[SD]]&gt;19000,"Full Payment",IF(Table1[[#This Row],[SD]]&lt;1,"No Payment","Partial Payment")))</f>
        <v>Partial Payment</v>
      </c>
      <c r="J500" s="30" t="s">
        <v>58</v>
      </c>
      <c r="K500" s="32">
        <v>110000</v>
      </c>
      <c r="L500" s="33">
        <f>Q500+R500+U500+Table1[[#This Row],[Farmer Payment]]</f>
        <v>43929</v>
      </c>
      <c r="M500" s="30"/>
      <c r="N500" s="34"/>
      <c r="O500" s="34"/>
      <c r="P500" s="35">
        <f t="shared" si="59"/>
        <v>66071</v>
      </c>
      <c r="Q500" s="33">
        <f>AI500+AV500+CK500+Table1[[#This Row],[FY 25-26]]</f>
        <v>33929</v>
      </c>
      <c r="R500" s="36">
        <v>10000</v>
      </c>
      <c r="S500" s="37" t="s">
        <v>1024</v>
      </c>
      <c r="T500" s="38">
        <v>45044</v>
      </c>
      <c r="U500" s="39"/>
      <c r="V500" s="39"/>
      <c r="W500" s="40">
        <v>0</v>
      </c>
      <c r="X500" s="40">
        <v>0</v>
      </c>
      <c r="Y500" s="40">
        <v>0</v>
      </c>
      <c r="Z500" s="40">
        <v>0</v>
      </c>
      <c r="AA500" s="40">
        <v>0</v>
      </c>
      <c r="AB500" s="40">
        <v>0</v>
      </c>
      <c r="AC500" s="40">
        <v>0</v>
      </c>
      <c r="AD500" s="40">
        <v>0</v>
      </c>
      <c r="AE500" s="40">
        <v>0</v>
      </c>
      <c r="AF500" s="40">
        <v>0</v>
      </c>
      <c r="AG500" s="40">
        <v>0</v>
      </c>
      <c r="AH500" s="40">
        <v>0</v>
      </c>
      <c r="AI500" s="41">
        <f t="shared" si="60"/>
        <v>0</v>
      </c>
      <c r="AJ500" s="42">
        <v>0</v>
      </c>
      <c r="AK500" s="42">
        <v>1228</v>
      </c>
      <c r="AL500" s="42">
        <v>1861</v>
      </c>
      <c r="AM500" s="42">
        <v>1861</v>
      </c>
      <c r="AN500" s="42">
        <v>1339</v>
      </c>
      <c r="AO500" s="42">
        <v>590</v>
      </c>
      <c r="AP500" s="42">
        <v>1040</v>
      </c>
      <c r="AQ500" s="42">
        <v>194</v>
      </c>
      <c r="AR500" s="42">
        <v>39</v>
      </c>
      <c r="AS500" s="42">
        <v>1840</v>
      </c>
      <c r="AT500" s="42">
        <v>1016</v>
      </c>
      <c r="AU500" s="42">
        <v>1861</v>
      </c>
      <c r="AV500" s="42">
        <f t="shared" si="61"/>
        <v>12869</v>
      </c>
      <c r="AW500" s="42">
        <v>772</v>
      </c>
      <c r="AX500" s="42">
        <v>544</v>
      </c>
      <c r="AY500" s="42">
        <v>1060</v>
      </c>
      <c r="AZ500" s="42">
        <v>1861</v>
      </c>
      <c r="BA500" s="42">
        <v>0</v>
      </c>
      <c r="BB500" s="42">
        <v>500</v>
      </c>
      <c r="BC500" s="42">
        <v>0</v>
      </c>
      <c r="BD500" s="42">
        <v>500</v>
      </c>
      <c r="BE500" s="42">
        <v>500</v>
      </c>
      <c r="BF500" s="42">
        <v>500</v>
      </c>
      <c r="BG500" s="42">
        <v>500</v>
      </c>
      <c r="BH500" s="42">
        <v>500</v>
      </c>
      <c r="BI500" s="42">
        <v>0</v>
      </c>
      <c r="BJ500" s="42">
        <v>0</v>
      </c>
      <c r="BK500" s="42">
        <v>323</v>
      </c>
      <c r="BL500" s="42">
        <v>0</v>
      </c>
      <c r="BM500" s="42">
        <v>0</v>
      </c>
      <c r="BN500" s="42">
        <v>0</v>
      </c>
      <c r="BO500" s="42">
        <v>0</v>
      </c>
      <c r="BP500" s="42">
        <v>0</v>
      </c>
      <c r="BQ500" s="42">
        <v>500</v>
      </c>
      <c r="BR500" s="42">
        <v>500</v>
      </c>
      <c r="BS500" s="42">
        <v>0</v>
      </c>
      <c r="BT500" s="42">
        <v>500</v>
      </c>
      <c r="BU500" s="42">
        <v>500</v>
      </c>
      <c r="BV500" s="42">
        <v>500</v>
      </c>
      <c r="BW500" s="42">
        <v>500</v>
      </c>
      <c r="BX500" s="42">
        <v>500</v>
      </c>
      <c r="BY500" s="42">
        <v>0</v>
      </c>
      <c r="BZ500" s="42">
        <v>500</v>
      </c>
      <c r="CA500" s="42">
        <v>500</v>
      </c>
      <c r="CB500" s="42">
        <v>500</v>
      </c>
      <c r="CC500" s="42">
        <v>500</v>
      </c>
      <c r="CD500" s="42">
        <v>0</v>
      </c>
      <c r="CE500" s="42">
        <v>500</v>
      </c>
      <c r="CF500" s="42">
        <v>500</v>
      </c>
      <c r="CG500" s="42">
        <v>500</v>
      </c>
      <c r="CH500" s="42">
        <v>500</v>
      </c>
      <c r="CI500" s="42">
        <v>500</v>
      </c>
      <c r="CJ500" s="42">
        <v>0</v>
      </c>
      <c r="CK500" s="43">
        <f t="shared" si="62"/>
        <v>15560</v>
      </c>
      <c r="CL500" s="66"/>
      <c r="CM500" s="66">
        <v>500</v>
      </c>
      <c r="CN500" s="66">
        <v>500</v>
      </c>
      <c r="CO500" s="66">
        <v>500</v>
      </c>
      <c r="CP500" s="66">
        <v>0</v>
      </c>
      <c r="CQ500" s="66">
        <v>500</v>
      </c>
      <c r="CR500" s="66">
        <v>500</v>
      </c>
      <c r="CS500" s="66">
        <v>0</v>
      </c>
      <c r="CT500" s="66">
        <v>500</v>
      </c>
      <c r="CU500" s="66">
        <v>500</v>
      </c>
      <c r="CV500" s="66">
        <v>0</v>
      </c>
      <c r="CW500" s="66">
        <v>500</v>
      </c>
      <c r="CX500" s="66">
        <v>500</v>
      </c>
      <c r="CY500" s="66">
        <v>500</v>
      </c>
      <c r="CZ500" s="66">
        <v>500</v>
      </c>
      <c r="DA500" s="66"/>
      <c r="DB500" s="66"/>
      <c r="DC500" s="66"/>
      <c r="DD500" s="66"/>
      <c r="DE500" s="66"/>
      <c r="DF500" s="66"/>
      <c r="DG500" s="66"/>
      <c r="DH500" s="66"/>
      <c r="DI500" s="66"/>
      <c r="DJ500" s="66"/>
      <c r="DK500" s="66">
        <f>SUM(Table1[[#This Row],[01-03 Apr]:[Mar-26]])</f>
        <v>5500</v>
      </c>
    </row>
    <row r="501" spans="1:115" hidden="1" x14ac:dyDescent="0.2">
      <c r="A501" s="28" t="s">
        <v>2255</v>
      </c>
      <c r="B501" s="29" t="s">
        <v>1025</v>
      </c>
      <c r="C501" s="29" t="s">
        <v>1026</v>
      </c>
      <c r="D501" s="30" t="s">
        <v>1027</v>
      </c>
      <c r="E501" s="30" t="s">
        <v>63</v>
      </c>
      <c r="F501" s="30"/>
      <c r="G501" s="31">
        <v>45045</v>
      </c>
      <c r="H501" s="30">
        <v>385561</v>
      </c>
      <c r="I501" s="30" t="str">
        <f>IF(Table1[[#This Row],[Centre Status]]="Returned","NA",IF(Table1[[#This Row],[SD]]&gt;19000,"Full Payment",IF(Table1[[#This Row],[SD]]&lt;1,"No Payment","Partial Payment")))</f>
        <v>Full Payment</v>
      </c>
      <c r="J501" s="30" t="s">
        <v>58</v>
      </c>
      <c r="K501" s="32">
        <v>110000</v>
      </c>
      <c r="L501" s="33">
        <f>Q501+R501+U501+Table1[[#This Row],[Farmer Payment]]</f>
        <v>110000</v>
      </c>
      <c r="M501" s="30"/>
      <c r="N501" s="34"/>
      <c r="O501" s="34"/>
      <c r="P501" s="35">
        <f t="shared" si="59"/>
        <v>0</v>
      </c>
      <c r="Q501" s="33">
        <f>AI501+AV501+CK501+Table1[[#This Row],[FY 25-26]]</f>
        <v>90000</v>
      </c>
      <c r="R501" s="36">
        <v>20000</v>
      </c>
      <c r="S501" s="37" t="s">
        <v>1028</v>
      </c>
      <c r="T501" s="38">
        <v>45036</v>
      </c>
      <c r="U501" s="39"/>
      <c r="V501" s="39"/>
      <c r="W501" s="40">
        <v>0</v>
      </c>
      <c r="X501" s="40">
        <v>0</v>
      </c>
      <c r="Y501" s="40">
        <v>0</v>
      </c>
      <c r="Z501" s="40">
        <v>0</v>
      </c>
      <c r="AA501" s="40">
        <v>0</v>
      </c>
      <c r="AB501" s="40">
        <v>0</v>
      </c>
      <c r="AC501" s="40">
        <v>0</v>
      </c>
      <c r="AD501" s="40">
        <v>0</v>
      </c>
      <c r="AE501" s="40">
        <v>0</v>
      </c>
      <c r="AF501" s="40">
        <v>0</v>
      </c>
      <c r="AG501" s="40">
        <v>0</v>
      </c>
      <c r="AH501" s="40">
        <v>0</v>
      </c>
      <c r="AI501" s="41">
        <f t="shared" si="60"/>
        <v>0</v>
      </c>
      <c r="AJ501" s="42">
        <v>0</v>
      </c>
      <c r="AK501" s="42">
        <v>1432</v>
      </c>
      <c r="AL501" s="42">
        <v>2840.0398</v>
      </c>
      <c r="AM501" s="42">
        <v>5107.3382000000011</v>
      </c>
      <c r="AN501" s="42">
        <v>4821.6831999999995</v>
      </c>
      <c r="AO501" s="42">
        <v>5156.3702000000003</v>
      </c>
      <c r="AP501" s="42">
        <v>7449.3402000000006</v>
      </c>
      <c r="AQ501" s="42">
        <v>6185.8134</v>
      </c>
      <c r="AR501" s="42">
        <v>6983.5257999999985</v>
      </c>
      <c r="AS501" s="42">
        <v>8444.0357999999997</v>
      </c>
      <c r="AT501" s="42">
        <v>7123.6299999999992</v>
      </c>
      <c r="AU501" s="42">
        <v>6476.6249999999991</v>
      </c>
      <c r="AV501" s="42">
        <f t="shared" si="61"/>
        <v>62020.40159999999</v>
      </c>
      <c r="AW501" s="42">
        <v>5113.3295211072127</v>
      </c>
      <c r="AX501" s="42">
        <v>3714.6419690265134</v>
      </c>
      <c r="AY501" s="42">
        <v>3263.2744999768383</v>
      </c>
      <c r="AZ501" s="42">
        <v>4195.0824471386204</v>
      </c>
      <c r="BA501" s="42">
        <v>3531.8708818080963</v>
      </c>
      <c r="BB501" s="42">
        <v>0</v>
      </c>
      <c r="BC501" s="42">
        <v>4791.4904473048591</v>
      </c>
      <c r="BD501" s="42">
        <v>0</v>
      </c>
      <c r="BE501" s="42">
        <v>0</v>
      </c>
      <c r="BF501" s="42">
        <v>0</v>
      </c>
      <c r="BG501" s="42">
        <v>0</v>
      </c>
      <c r="BH501" s="42">
        <v>0</v>
      </c>
      <c r="BI501" s="42">
        <v>3369.9086336378678</v>
      </c>
      <c r="BJ501" s="42">
        <v>0</v>
      </c>
      <c r="BK501" s="42">
        <v>0</v>
      </c>
      <c r="BL501" s="42">
        <v>0</v>
      </c>
      <c r="BM501" s="42">
        <v>0</v>
      </c>
      <c r="BN501" s="42">
        <v>0</v>
      </c>
      <c r="BO501" s="42">
        <v>0</v>
      </c>
      <c r="BP501" s="42">
        <v>0</v>
      </c>
      <c r="BQ501" s="42">
        <v>0</v>
      </c>
      <c r="BR501" s="42">
        <v>0</v>
      </c>
      <c r="BS501" s="42">
        <v>0</v>
      </c>
      <c r="BT501" s="42">
        <v>0</v>
      </c>
      <c r="BU501" s="42">
        <v>0</v>
      </c>
      <c r="BV501" s="42">
        <v>0</v>
      </c>
      <c r="BW501" s="42">
        <v>0</v>
      </c>
      <c r="BX501" s="42">
        <v>0</v>
      </c>
      <c r="BY501" s="42">
        <v>0</v>
      </c>
      <c r="BZ501" s="42">
        <v>0</v>
      </c>
      <c r="CA501" s="42">
        <v>0</v>
      </c>
      <c r="CB501" s="42">
        <v>0</v>
      </c>
      <c r="CC501" s="42">
        <v>0</v>
      </c>
      <c r="CD501" s="42">
        <v>0</v>
      </c>
      <c r="CE501" s="42">
        <v>0</v>
      </c>
      <c r="CF501" s="42">
        <v>0</v>
      </c>
      <c r="CG501" s="42">
        <v>0</v>
      </c>
      <c r="CH501" s="42">
        <v>0</v>
      </c>
      <c r="CI501" s="42">
        <v>0</v>
      </c>
      <c r="CJ501" s="42">
        <v>0</v>
      </c>
      <c r="CK501" s="43">
        <f t="shared" si="62"/>
        <v>27979.59840000001</v>
      </c>
      <c r="CL501" s="66"/>
      <c r="CM501" s="66">
        <v>0</v>
      </c>
      <c r="CN501" s="66">
        <v>0</v>
      </c>
      <c r="CO501" s="66">
        <v>0</v>
      </c>
      <c r="CP501" s="66">
        <v>0</v>
      </c>
      <c r="CQ501" s="66">
        <v>0</v>
      </c>
      <c r="CR501" s="66">
        <v>0</v>
      </c>
      <c r="CS501" s="66">
        <v>0</v>
      </c>
      <c r="CT501" s="66">
        <v>0</v>
      </c>
      <c r="CU501" s="66">
        <v>0</v>
      </c>
      <c r="CV501" s="66">
        <v>0</v>
      </c>
      <c r="CW501" s="66">
        <v>0</v>
      </c>
      <c r="CX501" s="66">
        <v>0</v>
      </c>
      <c r="CY501" s="66">
        <v>0</v>
      </c>
      <c r="CZ501" s="66">
        <v>0</v>
      </c>
      <c r="DA501" s="66"/>
      <c r="DB501" s="66"/>
      <c r="DC501" s="66"/>
      <c r="DD501" s="66"/>
      <c r="DE501" s="66"/>
      <c r="DF501" s="66"/>
      <c r="DG501" s="66"/>
      <c r="DH501" s="66"/>
      <c r="DI501" s="66"/>
      <c r="DJ501" s="66"/>
      <c r="DK501" s="66">
        <f>SUM(Table1[[#This Row],[01-03 Apr]:[Mar-26]])</f>
        <v>0</v>
      </c>
    </row>
    <row r="502" spans="1:115" hidden="1" x14ac:dyDescent="0.2">
      <c r="A502" s="28" t="s">
        <v>2255</v>
      </c>
      <c r="B502" s="29" t="s">
        <v>1029</v>
      </c>
      <c r="C502" s="29" t="s">
        <v>1030</v>
      </c>
      <c r="D502" s="30" t="s">
        <v>1031</v>
      </c>
      <c r="E502" s="30" t="s">
        <v>57</v>
      </c>
      <c r="F502" s="30"/>
      <c r="G502" s="31">
        <v>45045</v>
      </c>
      <c r="H502" s="30">
        <v>382457</v>
      </c>
      <c r="I502" s="30" t="str">
        <f>IF(Table1[[#This Row],[Centre Status]]="Returned","NA",IF(Table1[[#This Row],[SD]]&gt;19000,"Full Payment",IF(Table1[[#This Row],[SD]]&lt;1,"No Payment","Partial Payment")))</f>
        <v>Full Payment</v>
      </c>
      <c r="J502" s="30" t="s">
        <v>58</v>
      </c>
      <c r="K502" s="32">
        <v>110000</v>
      </c>
      <c r="L502" s="33">
        <f>Q502+R502+U502+Table1[[#This Row],[Farmer Payment]]</f>
        <v>86250.286450659085</v>
      </c>
      <c r="M502" s="30"/>
      <c r="N502" s="34"/>
      <c r="O502" s="34"/>
      <c r="P502" s="35">
        <f t="shared" si="59"/>
        <v>23749.713549340915</v>
      </c>
      <c r="Q502" s="33">
        <f>AI502+AV502+CK502+Table1[[#This Row],[FY 25-26]]</f>
        <v>66250.286450659085</v>
      </c>
      <c r="R502" s="36">
        <v>20000</v>
      </c>
      <c r="S502" s="37" t="s">
        <v>1032</v>
      </c>
      <c r="T502" s="38">
        <v>45034</v>
      </c>
      <c r="U502" s="39"/>
      <c r="V502" s="39"/>
      <c r="W502" s="40">
        <v>0</v>
      </c>
      <c r="X502" s="40">
        <v>0</v>
      </c>
      <c r="Y502" s="40">
        <v>0</v>
      </c>
      <c r="Z502" s="40">
        <v>0</v>
      </c>
      <c r="AA502" s="40">
        <v>0</v>
      </c>
      <c r="AB502" s="40">
        <v>0</v>
      </c>
      <c r="AC502" s="40">
        <v>0</v>
      </c>
      <c r="AD502" s="40">
        <v>0</v>
      </c>
      <c r="AE502" s="40">
        <v>0</v>
      </c>
      <c r="AF502" s="40">
        <v>0</v>
      </c>
      <c r="AG502" s="40">
        <v>0</v>
      </c>
      <c r="AH502" s="40">
        <v>0</v>
      </c>
      <c r="AI502" s="41">
        <f t="shared" si="60"/>
        <v>0</v>
      </c>
      <c r="AJ502" s="42">
        <v>0</v>
      </c>
      <c r="AK502" s="42">
        <v>2436.0108</v>
      </c>
      <c r="AL502" s="42">
        <v>2327.4243999999999</v>
      </c>
      <c r="AM502" s="42">
        <v>3294.1102000000001</v>
      </c>
      <c r="AN502" s="42">
        <v>2624.8855999999996</v>
      </c>
      <c r="AO502" s="42">
        <v>3043.8953999999999</v>
      </c>
      <c r="AP502" s="42">
        <v>4082.9720000000002</v>
      </c>
      <c r="AQ502" s="42">
        <v>3816.5750000000007</v>
      </c>
      <c r="AR502" s="42">
        <v>4845.3393999999998</v>
      </c>
      <c r="AS502" s="42">
        <v>4479.8559999999998</v>
      </c>
      <c r="AT502" s="42">
        <v>3040.415</v>
      </c>
      <c r="AU502" s="42">
        <v>3093.9530000000004</v>
      </c>
      <c r="AV502" s="42">
        <f t="shared" si="61"/>
        <v>37085.436800000003</v>
      </c>
      <c r="AW502" s="42">
        <v>2533.766501087106</v>
      </c>
      <c r="AX502" s="42">
        <v>2333.3889557660482</v>
      </c>
      <c r="AY502" s="42">
        <v>2027.2005235742224</v>
      </c>
      <c r="AZ502" s="42">
        <v>2158.1305892774881</v>
      </c>
      <c r="BA502" s="42">
        <v>1861</v>
      </c>
      <c r="BB502" s="42">
        <v>0</v>
      </c>
      <c r="BC502" s="42">
        <v>1894.1601195274893</v>
      </c>
      <c r="BD502" s="42">
        <v>0</v>
      </c>
      <c r="BE502" s="42">
        <v>0</v>
      </c>
      <c r="BF502" s="42">
        <v>0</v>
      </c>
      <c r="BG502" s="42">
        <v>0</v>
      </c>
      <c r="BH502" s="42">
        <v>0</v>
      </c>
      <c r="BI502" s="42">
        <v>1861</v>
      </c>
      <c r="BJ502" s="42">
        <v>0</v>
      </c>
      <c r="BK502" s="42">
        <v>0</v>
      </c>
      <c r="BL502" s="42">
        <v>0</v>
      </c>
      <c r="BM502" s="42">
        <v>0</v>
      </c>
      <c r="BN502" s="42">
        <v>1658</v>
      </c>
      <c r="BO502" s="42">
        <v>0</v>
      </c>
      <c r="BP502" s="42">
        <v>0</v>
      </c>
      <c r="BQ502" s="42">
        <v>0</v>
      </c>
      <c r="BR502" s="42">
        <v>0</v>
      </c>
      <c r="BS502" s="42">
        <v>930</v>
      </c>
      <c r="BT502" s="42">
        <v>0</v>
      </c>
      <c r="BU502" s="42">
        <v>0</v>
      </c>
      <c r="BV502" s="42">
        <v>500</v>
      </c>
      <c r="BW502" s="42">
        <v>500</v>
      </c>
      <c r="BX502" s="42">
        <v>500</v>
      </c>
      <c r="BY502" s="42">
        <v>361</v>
      </c>
      <c r="BZ502" s="42">
        <v>500</v>
      </c>
      <c r="CA502" s="42">
        <v>500</v>
      </c>
      <c r="CB502" s="42">
        <v>500</v>
      </c>
      <c r="CC502" s="42">
        <v>500</v>
      </c>
      <c r="CD502" s="42">
        <v>0</v>
      </c>
      <c r="CE502" s="42">
        <v>500</v>
      </c>
      <c r="CF502" s="42">
        <v>500</v>
      </c>
      <c r="CG502" s="42">
        <v>500</v>
      </c>
      <c r="CH502" s="42">
        <v>500</v>
      </c>
      <c r="CI502" s="42">
        <v>500</v>
      </c>
      <c r="CJ502" s="42">
        <v>0</v>
      </c>
      <c r="CK502" s="43">
        <f t="shared" si="62"/>
        <v>23617.646689232351</v>
      </c>
      <c r="CL502" s="66"/>
      <c r="CM502" s="66">
        <v>500</v>
      </c>
      <c r="CN502" s="66">
        <v>500</v>
      </c>
      <c r="CO502" s="66">
        <v>500</v>
      </c>
      <c r="CP502" s="66">
        <v>536.08593187659426</v>
      </c>
      <c r="CQ502" s="66">
        <v>500</v>
      </c>
      <c r="CR502" s="66">
        <v>0</v>
      </c>
      <c r="CS502" s="66">
        <v>0</v>
      </c>
      <c r="CT502" s="66">
        <v>500</v>
      </c>
      <c r="CU502" s="66">
        <v>0</v>
      </c>
      <c r="CV502" s="66">
        <v>1511.1170295501361</v>
      </c>
      <c r="CW502" s="66">
        <v>0</v>
      </c>
      <c r="CX502" s="66">
        <v>500</v>
      </c>
      <c r="CY502" s="66">
        <v>500</v>
      </c>
      <c r="CZ502" s="66">
        <v>0</v>
      </c>
      <c r="DA502" s="66"/>
      <c r="DB502" s="66"/>
      <c r="DC502" s="66"/>
      <c r="DD502" s="66"/>
      <c r="DE502" s="66"/>
      <c r="DF502" s="66"/>
      <c r="DG502" s="66"/>
      <c r="DH502" s="66"/>
      <c r="DI502" s="66"/>
      <c r="DJ502" s="66"/>
      <c r="DK502" s="66">
        <f>SUM(Table1[[#This Row],[01-03 Apr]:[Mar-26]])</f>
        <v>5547.2029614267303</v>
      </c>
    </row>
    <row r="503" spans="1:115" x14ac:dyDescent="0.2">
      <c r="A503" s="28" t="s">
        <v>2255</v>
      </c>
      <c r="B503" s="29" t="s">
        <v>1033</v>
      </c>
      <c r="C503" s="29" t="s">
        <v>1034</v>
      </c>
      <c r="D503" s="30" t="s">
        <v>1035</v>
      </c>
      <c r="E503" s="30" t="s">
        <v>1321</v>
      </c>
      <c r="F503" s="30"/>
      <c r="G503" s="31">
        <v>45045</v>
      </c>
      <c r="H503" s="30">
        <v>387864</v>
      </c>
      <c r="I503" s="30" t="str">
        <f>IF(Table1[[#This Row],[Centre Status]]="Returned","NA",IF(Table1[[#This Row],[SD]]&gt;19000,"Full Payment",IF(Table1[[#This Row],[SD]]&lt;1,"No Payment","Partial Payment")))</f>
        <v>Partial Payment</v>
      </c>
      <c r="J503" s="30" t="s">
        <v>58</v>
      </c>
      <c r="K503" s="32">
        <v>110000</v>
      </c>
      <c r="L503" s="33">
        <f>Q503+R503+U503+Table1[[#This Row],[Farmer Payment]]</f>
        <v>64737.074200000003</v>
      </c>
      <c r="M503" s="30"/>
      <c r="N503" s="34"/>
      <c r="O503" s="34"/>
      <c r="P503" s="35">
        <f t="shared" si="59"/>
        <v>45262.925799999997</v>
      </c>
      <c r="Q503" s="33">
        <f>AI503+AV503+CK503+Table1[[#This Row],[FY 25-26]]</f>
        <v>49737.074200000003</v>
      </c>
      <c r="R503" s="36">
        <v>15000</v>
      </c>
      <c r="S503" s="37" t="s">
        <v>90</v>
      </c>
      <c r="T503" s="38">
        <v>45042</v>
      </c>
      <c r="U503" s="39"/>
      <c r="V503" s="39"/>
      <c r="W503" s="40">
        <v>0</v>
      </c>
      <c r="X503" s="40">
        <v>0</v>
      </c>
      <c r="Y503" s="40">
        <v>0</v>
      </c>
      <c r="Z503" s="40">
        <v>0</v>
      </c>
      <c r="AA503" s="40">
        <v>0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0</v>
      </c>
      <c r="AH503" s="40">
        <v>0</v>
      </c>
      <c r="AI503" s="41">
        <f t="shared" si="60"/>
        <v>0</v>
      </c>
      <c r="AJ503" s="42">
        <v>0</v>
      </c>
      <c r="AK503" s="42">
        <v>1861</v>
      </c>
      <c r="AL503" s="42">
        <v>1861</v>
      </c>
      <c r="AM503" s="42">
        <v>1861</v>
      </c>
      <c r="AN503" s="42">
        <v>1861.7964000000002</v>
      </c>
      <c r="AO503" s="42">
        <v>2154.4153999999999</v>
      </c>
      <c r="AP503" s="42">
        <v>2658.5410000000006</v>
      </c>
      <c r="AQ503" s="42">
        <v>2255.7152000000001</v>
      </c>
      <c r="AR503" s="42">
        <v>2328.8242</v>
      </c>
      <c r="AS503" s="42">
        <v>3225.5198</v>
      </c>
      <c r="AT503" s="42">
        <v>2822.2253999999998</v>
      </c>
      <c r="AU503" s="42">
        <v>2082.0368000000003</v>
      </c>
      <c r="AV503" s="42">
        <f t="shared" si="61"/>
        <v>24972.074200000006</v>
      </c>
      <c r="AW503" s="42">
        <v>1861</v>
      </c>
      <c r="AX503" s="42">
        <v>1684</v>
      </c>
      <c r="AY503" s="42">
        <v>1178</v>
      </c>
      <c r="AZ503" s="42">
        <v>891</v>
      </c>
      <c r="BA503" s="42">
        <v>0</v>
      </c>
      <c r="BB503" s="42">
        <v>500</v>
      </c>
      <c r="BC503" s="42">
        <v>151</v>
      </c>
      <c r="BD503" s="42">
        <v>500</v>
      </c>
      <c r="BE503" s="42">
        <v>500</v>
      </c>
      <c r="BF503" s="42">
        <v>500</v>
      </c>
      <c r="BG503" s="42">
        <v>500</v>
      </c>
      <c r="BH503" s="42">
        <v>500</v>
      </c>
      <c r="BI503" s="42">
        <v>0</v>
      </c>
      <c r="BJ503" s="42">
        <v>500</v>
      </c>
      <c r="BK503" s="42">
        <v>500</v>
      </c>
      <c r="BL503" s="42">
        <v>500</v>
      </c>
      <c r="BM503" s="42">
        <v>500</v>
      </c>
      <c r="BN503" s="42">
        <v>0</v>
      </c>
      <c r="BO503" s="42">
        <v>500</v>
      </c>
      <c r="BP503" s="42">
        <v>500</v>
      </c>
      <c r="BQ503" s="42">
        <v>500</v>
      </c>
      <c r="BR503" s="42">
        <v>500</v>
      </c>
      <c r="BS503" s="42">
        <v>0</v>
      </c>
      <c r="BT503" s="42">
        <v>500</v>
      </c>
      <c r="BU503" s="42">
        <v>500</v>
      </c>
      <c r="BV503" s="42">
        <v>500</v>
      </c>
      <c r="BW503" s="42">
        <v>500</v>
      </c>
      <c r="BX503" s="42">
        <v>500</v>
      </c>
      <c r="BY503" s="42">
        <v>0</v>
      </c>
      <c r="BZ503" s="42">
        <v>500</v>
      </c>
      <c r="CA503" s="42">
        <v>500</v>
      </c>
      <c r="CB503" s="42">
        <v>500</v>
      </c>
      <c r="CC503" s="42">
        <v>500</v>
      </c>
      <c r="CD503" s="42">
        <v>0</v>
      </c>
      <c r="CE503" s="42">
        <v>500</v>
      </c>
      <c r="CF503" s="42">
        <v>500</v>
      </c>
      <c r="CG503" s="42">
        <v>500</v>
      </c>
      <c r="CH503" s="42">
        <v>500</v>
      </c>
      <c r="CI503" s="42">
        <v>500</v>
      </c>
      <c r="CJ503" s="42">
        <v>0</v>
      </c>
      <c r="CK503" s="43">
        <f t="shared" si="62"/>
        <v>19765</v>
      </c>
      <c r="CL503" s="66"/>
      <c r="CM503" s="66">
        <v>500</v>
      </c>
      <c r="CN503" s="66">
        <v>500</v>
      </c>
      <c r="CO503" s="66">
        <v>500</v>
      </c>
      <c r="CP503" s="66">
        <v>0</v>
      </c>
      <c r="CQ503" s="66">
        <v>500</v>
      </c>
      <c r="CR503" s="66">
        <v>500</v>
      </c>
      <c r="CS503" s="66">
        <v>500</v>
      </c>
      <c r="CT503" s="66">
        <v>500</v>
      </c>
      <c r="CU503" s="66">
        <v>0</v>
      </c>
      <c r="CV503" s="66">
        <v>0</v>
      </c>
      <c r="CW503" s="66">
        <v>500</v>
      </c>
      <c r="CX503" s="66">
        <v>500</v>
      </c>
      <c r="CY503" s="66">
        <v>500</v>
      </c>
      <c r="CZ503" s="66">
        <v>0</v>
      </c>
      <c r="DA503" s="66"/>
      <c r="DB503" s="66"/>
      <c r="DC503" s="66"/>
      <c r="DD503" s="66"/>
      <c r="DE503" s="66"/>
      <c r="DF503" s="66"/>
      <c r="DG503" s="66"/>
      <c r="DH503" s="66"/>
      <c r="DI503" s="66"/>
      <c r="DJ503" s="66"/>
      <c r="DK503" s="66">
        <f>SUM(Table1[[#This Row],[01-03 Apr]:[Mar-26]])</f>
        <v>5000</v>
      </c>
    </row>
    <row r="504" spans="1:115" hidden="1" x14ac:dyDescent="0.2">
      <c r="A504" s="28" t="s">
        <v>2255</v>
      </c>
      <c r="B504" s="29" t="s">
        <v>1036</v>
      </c>
      <c r="C504" s="29" t="s">
        <v>1037</v>
      </c>
      <c r="D504" s="30" t="s">
        <v>1038</v>
      </c>
      <c r="E504" s="30" t="s">
        <v>1321</v>
      </c>
      <c r="F504" s="30"/>
      <c r="G504" s="31">
        <v>45045</v>
      </c>
      <c r="H504" s="30">
        <v>378198</v>
      </c>
      <c r="I504" s="30" t="str">
        <f>IF(Table1[[#This Row],[Centre Status]]="Returned","NA",IF(Table1[[#This Row],[SD]]&gt;19000,"Full Payment",IF(Table1[[#This Row],[SD]]&lt;1,"No Payment","Partial Payment")))</f>
        <v>Full Payment</v>
      </c>
      <c r="J504" s="30" t="s">
        <v>58</v>
      </c>
      <c r="K504" s="32">
        <v>110000</v>
      </c>
      <c r="L504" s="33">
        <f>Q504+R504+U504+Table1[[#This Row],[Farmer Payment]]</f>
        <v>130000</v>
      </c>
      <c r="M504" s="30"/>
      <c r="N504" s="34"/>
      <c r="O504" s="34"/>
      <c r="P504" s="35">
        <f t="shared" si="59"/>
        <v>-20000</v>
      </c>
      <c r="Q504" s="33">
        <f>AI504+AV504+CK504+Table1[[#This Row],[FY 25-26]]</f>
        <v>110000</v>
      </c>
      <c r="R504" s="36">
        <v>20000</v>
      </c>
      <c r="S504" s="37" t="s">
        <v>2549</v>
      </c>
      <c r="T504" s="38">
        <v>45013</v>
      </c>
      <c r="U504" s="39"/>
      <c r="V504" s="39"/>
      <c r="W504" s="40">
        <v>0</v>
      </c>
      <c r="X504" s="40">
        <v>0</v>
      </c>
      <c r="Y504" s="40">
        <v>0</v>
      </c>
      <c r="Z504" s="40">
        <v>0</v>
      </c>
      <c r="AA504" s="40">
        <v>0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>
        <v>0</v>
      </c>
      <c r="AH504" s="40">
        <v>0</v>
      </c>
      <c r="AI504" s="41">
        <f t="shared" si="60"/>
        <v>0</v>
      </c>
      <c r="AJ504" s="42">
        <v>0</v>
      </c>
      <c r="AK504" s="42">
        <v>1861</v>
      </c>
      <c r="AL504" s="42">
        <v>2270.1606000000002</v>
      </c>
      <c r="AM504" s="42">
        <v>4521.0540000000001</v>
      </c>
      <c r="AN504" s="42">
        <v>4115.5878000000002</v>
      </c>
      <c r="AO504" s="42">
        <v>5277.0843999999997</v>
      </c>
      <c r="AP504" s="42">
        <v>6983.0081999999993</v>
      </c>
      <c r="AQ504" s="42">
        <v>5213.1562000000004</v>
      </c>
      <c r="AR504" s="42">
        <v>6167.8910000000014</v>
      </c>
      <c r="AS504" s="42">
        <v>8179.861600000002</v>
      </c>
      <c r="AT504" s="42">
        <v>7588.9630000000006</v>
      </c>
      <c r="AU504" s="42">
        <v>6949.6383999999998</v>
      </c>
      <c r="AV504" s="42">
        <f t="shared" si="61"/>
        <v>59127.405200000008</v>
      </c>
      <c r="AW504" s="42">
        <v>5981.1999916301393</v>
      </c>
      <c r="AX504" s="42">
        <v>4724.3471206884115</v>
      </c>
      <c r="AY504" s="42">
        <v>4885.3597709571277</v>
      </c>
      <c r="AZ504" s="42">
        <v>7045.167216926423</v>
      </c>
      <c r="BA504" s="42">
        <v>5081.3448359823551</v>
      </c>
      <c r="BB504" s="42">
        <v>0</v>
      </c>
      <c r="BC504" s="42">
        <v>7690.5511504493925</v>
      </c>
      <c r="BD504" s="42">
        <v>0</v>
      </c>
      <c r="BE504" s="42">
        <v>0</v>
      </c>
      <c r="BF504" s="42">
        <v>0</v>
      </c>
      <c r="BG504" s="42">
        <v>0</v>
      </c>
      <c r="BH504" s="42">
        <v>0</v>
      </c>
      <c r="BI504" s="42">
        <v>6064.6036040362587</v>
      </c>
      <c r="BJ504" s="42">
        <v>0</v>
      </c>
      <c r="BK504" s="42">
        <v>0</v>
      </c>
      <c r="BL504" s="42">
        <v>0</v>
      </c>
      <c r="BM504" s="42">
        <v>0</v>
      </c>
      <c r="BN504" s="42">
        <v>5707.0921708505239</v>
      </c>
      <c r="BO504" s="42">
        <v>0</v>
      </c>
      <c r="BP504" s="42">
        <v>0</v>
      </c>
      <c r="BQ504" s="42">
        <v>0</v>
      </c>
      <c r="BR504" s="42">
        <v>0</v>
      </c>
      <c r="BS504" s="42">
        <v>3692.9289384793519</v>
      </c>
      <c r="BT504" s="42">
        <v>0</v>
      </c>
      <c r="BU504" s="42">
        <v>0</v>
      </c>
      <c r="BV504" s="42">
        <v>0</v>
      </c>
      <c r="BW504" s="42">
        <v>0</v>
      </c>
      <c r="BX504" s="42">
        <v>0</v>
      </c>
      <c r="BY504" s="42">
        <v>0</v>
      </c>
      <c r="BZ504" s="42">
        <v>0</v>
      </c>
      <c r="CA504" s="42">
        <v>0</v>
      </c>
      <c r="CB504" s="42">
        <v>0</v>
      </c>
      <c r="CC504" s="42">
        <v>0</v>
      </c>
      <c r="CD504" s="42">
        <v>0</v>
      </c>
      <c r="CE504" s="42">
        <v>0</v>
      </c>
      <c r="CF504" s="42">
        <v>0</v>
      </c>
      <c r="CG504" s="42">
        <v>0</v>
      </c>
      <c r="CH504" s="42">
        <v>0</v>
      </c>
      <c r="CI504" s="42">
        <v>0</v>
      </c>
      <c r="CJ504" s="42">
        <v>0</v>
      </c>
      <c r="CK504" s="43">
        <f t="shared" si="62"/>
        <v>50872.594799999992</v>
      </c>
      <c r="CL504" s="66"/>
      <c r="CM504" s="66">
        <v>0</v>
      </c>
      <c r="CN504" s="66">
        <v>0</v>
      </c>
      <c r="CO504" s="66">
        <v>0</v>
      </c>
      <c r="CP504" s="66">
        <v>0</v>
      </c>
      <c r="CQ504" s="66">
        <v>0</v>
      </c>
      <c r="CR504" s="66">
        <v>0</v>
      </c>
      <c r="CS504" s="66">
        <v>0</v>
      </c>
      <c r="CT504" s="66">
        <v>0</v>
      </c>
      <c r="CU504" s="66">
        <v>0</v>
      </c>
      <c r="CV504" s="66">
        <v>0</v>
      </c>
      <c r="CW504" s="66">
        <v>0</v>
      </c>
      <c r="CX504" s="66">
        <v>0</v>
      </c>
      <c r="CY504" s="66">
        <v>0</v>
      </c>
      <c r="CZ504" s="66">
        <v>0</v>
      </c>
      <c r="DA504" s="66"/>
      <c r="DB504" s="66"/>
      <c r="DC504" s="66"/>
      <c r="DD504" s="66"/>
      <c r="DE504" s="66"/>
      <c r="DF504" s="66"/>
      <c r="DG504" s="66"/>
      <c r="DH504" s="66"/>
      <c r="DI504" s="66"/>
      <c r="DJ504" s="66"/>
      <c r="DK504" s="66">
        <f>SUM(Table1[[#This Row],[01-03 Apr]:[Mar-26]])</f>
        <v>0</v>
      </c>
    </row>
    <row r="505" spans="1:115" hidden="1" x14ac:dyDescent="0.2">
      <c r="A505" s="28" t="s">
        <v>2255</v>
      </c>
      <c r="B505" s="29" t="s">
        <v>1039</v>
      </c>
      <c r="C505" s="29" t="s">
        <v>1040</v>
      </c>
      <c r="D505" s="30" t="s">
        <v>1041</v>
      </c>
      <c r="E505" s="30" t="s">
        <v>203</v>
      </c>
      <c r="F505" s="30"/>
      <c r="G505" s="31">
        <v>45061</v>
      </c>
      <c r="H505" s="30">
        <v>388117</v>
      </c>
      <c r="I505" s="30" t="str">
        <f>IF(Table1[[#This Row],[Centre Status]]="Returned","NA",IF(Table1[[#This Row],[SD]]&gt;19000,"Full Payment",IF(Table1[[#This Row],[SD]]&lt;1,"No Payment","Partial Payment")))</f>
        <v>NA</v>
      </c>
      <c r="J505" s="30" t="s">
        <v>1903</v>
      </c>
      <c r="K505" s="32">
        <v>110000</v>
      </c>
      <c r="L505" s="33">
        <f>Q505+R505+U505+Table1[[#This Row],[Farmer Payment]]</f>
        <v>15989.298409619401</v>
      </c>
      <c r="M505" s="30">
        <v>10000</v>
      </c>
      <c r="N505" s="34">
        <v>45694</v>
      </c>
      <c r="O505" s="34" t="s">
        <v>2861</v>
      </c>
      <c r="P505" s="35">
        <f t="shared" si="59"/>
        <v>104010.7015903806</v>
      </c>
      <c r="Q505" s="33">
        <f>AI505+AV505+CK505+Table1[[#This Row],[FY 25-26]]</f>
        <v>15989.298409619401</v>
      </c>
      <c r="R505" s="36"/>
      <c r="S505" s="37"/>
      <c r="T505" s="38"/>
      <c r="U505" s="39"/>
      <c r="V505" s="39"/>
      <c r="W505" s="40">
        <v>0</v>
      </c>
      <c r="X505" s="40">
        <v>0</v>
      </c>
      <c r="Y505" s="40">
        <v>0</v>
      </c>
      <c r="Z505" s="40">
        <v>0</v>
      </c>
      <c r="AA505" s="40">
        <v>0</v>
      </c>
      <c r="AB505" s="40">
        <v>0</v>
      </c>
      <c r="AC505" s="40">
        <v>0</v>
      </c>
      <c r="AD505" s="40">
        <v>0</v>
      </c>
      <c r="AE505" s="40">
        <v>0</v>
      </c>
      <c r="AF505" s="40">
        <v>0</v>
      </c>
      <c r="AG505" s="40">
        <v>0</v>
      </c>
      <c r="AH505" s="40">
        <v>0</v>
      </c>
      <c r="AI505" s="41">
        <f t="shared" si="60"/>
        <v>0</v>
      </c>
      <c r="AJ505" s="42">
        <v>0</v>
      </c>
      <c r="AK505" s="42">
        <v>136</v>
      </c>
      <c r="AL505" s="42">
        <v>753</v>
      </c>
      <c r="AM505" s="42">
        <v>1742</v>
      </c>
      <c r="AN505" s="42">
        <v>0</v>
      </c>
      <c r="AO505" s="42">
        <v>306</v>
      </c>
      <c r="AP505" s="42">
        <v>1665</v>
      </c>
      <c r="AQ505" s="42">
        <v>1609</v>
      </c>
      <c r="AR505" s="42">
        <v>1266</v>
      </c>
      <c r="AS505" s="42">
        <v>1861</v>
      </c>
      <c r="AT505" s="42">
        <v>1813.2984096194018</v>
      </c>
      <c r="AU505" s="42">
        <v>1490</v>
      </c>
      <c r="AV505" s="42">
        <f t="shared" si="61"/>
        <v>12641.298409619401</v>
      </c>
      <c r="AW505" s="42">
        <v>349</v>
      </c>
      <c r="AX505" s="42">
        <v>737</v>
      </c>
      <c r="AY505" s="42">
        <v>1244</v>
      </c>
      <c r="AZ505" s="42">
        <v>1018</v>
      </c>
      <c r="BA505" s="42">
        <v>0</v>
      </c>
      <c r="BB505" s="42">
        <v>0</v>
      </c>
      <c r="BC505" s="42">
        <v>0</v>
      </c>
      <c r="BD505" s="42">
        <v>0</v>
      </c>
      <c r="BE505" s="42">
        <v>0</v>
      </c>
      <c r="BF505" s="42">
        <v>0</v>
      </c>
      <c r="BG505" s="42">
        <v>0</v>
      </c>
      <c r="BH505" s="42">
        <v>0</v>
      </c>
      <c r="BI505" s="42">
        <v>0</v>
      </c>
      <c r="BJ505" s="42">
        <v>0</v>
      </c>
      <c r="BK505" s="42">
        <v>0</v>
      </c>
      <c r="BL505" s="42">
        <v>0</v>
      </c>
      <c r="BM505" s="42">
        <v>0</v>
      </c>
      <c r="BN505" s="42">
        <v>0</v>
      </c>
      <c r="BO505" s="42">
        <v>0</v>
      </c>
      <c r="BP505" s="42">
        <v>0</v>
      </c>
      <c r="BQ505" s="42">
        <v>0</v>
      </c>
      <c r="BR505" s="42">
        <v>0</v>
      </c>
      <c r="BS505" s="42">
        <v>0</v>
      </c>
      <c r="BT505" s="42">
        <v>0</v>
      </c>
      <c r="BU505" s="42">
        <v>0</v>
      </c>
      <c r="BV505" s="42">
        <v>0</v>
      </c>
      <c r="BW505" s="42">
        <v>0</v>
      </c>
      <c r="BX505" s="42">
        <v>0</v>
      </c>
      <c r="BY505" s="42">
        <v>0</v>
      </c>
      <c r="BZ505" s="42">
        <v>0</v>
      </c>
      <c r="CA505" s="42">
        <v>0</v>
      </c>
      <c r="CB505" s="42">
        <v>0</v>
      </c>
      <c r="CC505" s="42">
        <v>0</v>
      </c>
      <c r="CD505" s="42">
        <v>0</v>
      </c>
      <c r="CE505" s="42">
        <v>0</v>
      </c>
      <c r="CF505" s="42">
        <v>0</v>
      </c>
      <c r="CG505" s="42">
        <v>0</v>
      </c>
      <c r="CH505" s="42">
        <v>0</v>
      </c>
      <c r="CI505" s="42">
        <v>0</v>
      </c>
      <c r="CJ505" s="42">
        <v>0</v>
      </c>
      <c r="CK505" s="43">
        <f t="shared" si="62"/>
        <v>3348</v>
      </c>
      <c r="CL505" s="66"/>
      <c r="CM505" s="66">
        <v>0</v>
      </c>
      <c r="CN505" s="66">
        <v>0</v>
      </c>
      <c r="CO505" s="66">
        <v>0</v>
      </c>
      <c r="CP505" s="66">
        <v>0</v>
      </c>
      <c r="CQ505" s="66">
        <v>0</v>
      </c>
      <c r="CR505" s="66">
        <v>0</v>
      </c>
      <c r="CS505" s="66">
        <v>0</v>
      </c>
      <c r="CT505" s="66">
        <v>0</v>
      </c>
      <c r="CU505" s="66">
        <v>0</v>
      </c>
      <c r="CV505" s="66">
        <v>0</v>
      </c>
      <c r="CW505" s="66">
        <v>0</v>
      </c>
      <c r="CX505" s="66">
        <v>0</v>
      </c>
      <c r="CY505" s="66">
        <v>0</v>
      </c>
      <c r="CZ505" s="66">
        <v>0</v>
      </c>
      <c r="DA505" s="66"/>
      <c r="DB505" s="66"/>
      <c r="DC505" s="66"/>
      <c r="DD505" s="66"/>
      <c r="DE505" s="66"/>
      <c r="DF505" s="66"/>
      <c r="DG505" s="66"/>
      <c r="DH505" s="66"/>
      <c r="DI505" s="66"/>
      <c r="DJ505" s="66"/>
      <c r="DK505" s="66">
        <f>SUM(Table1[[#This Row],[01-03 Apr]:[Mar-26]])</f>
        <v>0</v>
      </c>
    </row>
    <row r="506" spans="1:115" x14ac:dyDescent="0.2">
      <c r="A506" s="28" t="s">
        <v>2255</v>
      </c>
      <c r="B506" s="29" t="s">
        <v>1051</v>
      </c>
      <c r="C506" s="29" t="s">
        <v>1052</v>
      </c>
      <c r="D506" s="30" t="s">
        <v>1053</v>
      </c>
      <c r="E506" s="30" t="s">
        <v>906</v>
      </c>
      <c r="F506" s="30"/>
      <c r="G506" s="31">
        <v>45044</v>
      </c>
      <c r="H506" s="30">
        <v>388112</v>
      </c>
      <c r="I506" s="30" t="str">
        <f>IF(Table1[[#This Row],[Centre Status]]="Returned","NA",IF(Table1[[#This Row],[SD]]&gt;19000,"Full Payment",IF(Table1[[#This Row],[SD]]&lt;1,"No Payment","Partial Payment")))</f>
        <v>Partial Payment</v>
      </c>
      <c r="J506" s="30" t="s">
        <v>58</v>
      </c>
      <c r="K506" s="32">
        <v>110000</v>
      </c>
      <c r="L506" s="33">
        <f>Q506+R506+U506+Table1[[#This Row],[Farmer Payment]]</f>
        <v>85711.552779102378</v>
      </c>
      <c r="M506" s="30"/>
      <c r="N506" s="34"/>
      <c r="O506" s="34"/>
      <c r="P506" s="35">
        <f t="shared" si="59"/>
        <v>24288.447220897622</v>
      </c>
      <c r="Q506" s="33">
        <f>AI506+AV506+CK506+Table1[[#This Row],[FY 25-26]]</f>
        <v>75711.552779102378</v>
      </c>
      <c r="R506" s="36">
        <v>10000</v>
      </c>
      <c r="S506" s="37" t="s">
        <v>1054</v>
      </c>
      <c r="T506" s="38">
        <v>45043</v>
      </c>
      <c r="U506" s="39"/>
      <c r="V506" s="39"/>
      <c r="W506" s="40">
        <v>0</v>
      </c>
      <c r="X506" s="40">
        <v>0</v>
      </c>
      <c r="Y506" s="40">
        <v>0</v>
      </c>
      <c r="Z506" s="40">
        <v>0</v>
      </c>
      <c r="AA506" s="40">
        <v>0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0</v>
      </c>
      <c r="AH506" s="40">
        <v>0</v>
      </c>
      <c r="AI506" s="41">
        <f t="shared" si="60"/>
        <v>0</v>
      </c>
      <c r="AJ506" s="42">
        <v>0</v>
      </c>
      <c r="AK506" s="42">
        <v>1861</v>
      </c>
      <c r="AL506" s="42">
        <v>1887.4122</v>
      </c>
      <c r="AM506" s="42">
        <v>2294.1768000000002</v>
      </c>
      <c r="AN506" s="42">
        <v>2002.8240000000003</v>
      </c>
      <c r="AO506" s="42">
        <v>2739.9916000000003</v>
      </c>
      <c r="AP506" s="42">
        <v>3196.6633999999999</v>
      </c>
      <c r="AQ506" s="42">
        <v>2430.1907999999999</v>
      </c>
      <c r="AR506" s="42">
        <v>3311.338600000001</v>
      </c>
      <c r="AS506" s="42">
        <v>3940.4363999999996</v>
      </c>
      <c r="AT506" s="42">
        <v>2694.4515999999999</v>
      </c>
      <c r="AU506" s="42">
        <v>2725.5534000000002</v>
      </c>
      <c r="AV506" s="42">
        <f t="shared" si="61"/>
        <v>29084.038799999998</v>
      </c>
      <c r="AW506" s="42">
        <v>1861</v>
      </c>
      <c r="AX506" s="42">
        <v>1861</v>
      </c>
      <c r="AY506" s="42">
        <v>1712</v>
      </c>
      <c r="AZ506" s="42">
        <v>1861</v>
      </c>
      <c r="BA506" s="42">
        <v>0</v>
      </c>
      <c r="BB506" s="42">
        <v>500</v>
      </c>
      <c r="BC506" s="42">
        <v>1657.1519127096503</v>
      </c>
      <c r="BD506" s="42">
        <v>500</v>
      </c>
      <c r="BE506" s="42">
        <v>0</v>
      </c>
      <c r="BF506" s="42">
        <v>0</v>
      </c>
      <c r="BG506" s="42">
        <v>0</v>
      </c>
      <c r="BH506" s="42">
        <v>0</v>
      </c>
      <c r="BI506" s="42">
        <v>4104.5548361998717</v>
      </c>
      <c r="BJ506" s="42">
        <v>0</v>
      </c>
      <c r="BK506" s="42">
        <v>0</v>
      </c>
      <c r="BL506" s="42">
        <v>0</v>
      </c>
      <c r="BM506" s="42">
        <v>0</v>
      </c>
      <c r="BN506" s="42">
        <v>5390.4955133350722</v>
      </c>
      <c r="BO506" s="42">
        <v>0</v>
      </c>
      <c r="BP506" s="42">
        <v>0</v>
      </c>
      <c r="BQ506" s="42">
        <v>0</v>
      </c>
      <c r="BR506" s="42">
        <v>0</v>
      </c>
      <c r="BS506" s="42">
        <v>6990.3866744314973</v>
      </c>
      <c r="BT506" s="42">
        <v>0</v>
      </c>
      <c r="BU506" s="42">
        <v>0</v>
      </c>
      <c r="BV506" s="42">
        <v>0</v>
      </c>
      <c r="BW506" s="42">
        <v>0</v>
      </c>
      <c r="BX506" s="42">
        <v>0</v>
      </c>
      <c r="BY506" s="42">
        <v>4506.494764431809</v>
      </c>
      <c r="BZ506" s="42">
        <v>0</v>
      </c>
      <c r="CA506" s="42">
        <v>0</v>
      </c>
      <c r="CB506" s="42">
        <v>0</v>
      </c>
      <c r="CC506" s="42">
        <v>0</v>
      </c>
      <c r="CD506" s="42">
        <v>4952.7637867801659</v>
      </c>
      <c r="CE506" s="42">
        <v>0</v>
      </c>
      <c r="CF506" s="42">
        <v>0</v>
      </c>
      <c r="CG506" s="42">
        <v>0</v>
      </c>
      <c r="CH506" s="42">
        <v>0</v>
      </c>
      <c r="CI506" s="42">
        <v>0</v>
      </c>
      <c r="CJ506" s="42">
        <v>5178.6650484546399</v>
      </c>
      <c r="CK506" s="43">
        <f t="shared" si="62"/>
        <v>41075.512536342707</v>
      </c>
      <c r="CL506" s="66"/>
      <c r="CM506" s="66">
        <v>0</v>
      </c>
      <c r="CN506" s="66">
        <v>0</v>
      </c>
      <c r="CO506" s="66">
        <v>0</v>
      </c>
      <c r="CP506" s="66">
        <v>3206.4875111116794</v>
      </c>
      <c r="CQ506" s="66">
        <v>0</v>
      </c>
      <c r="CR506" s="66">
        <v>0</v>
      </c>
      <c r="CS506" s="66">
        <v>0</v>
      </c>
      <c r="CT506" s="66">
        <v>0</v>
      </c>
      <c r="CU506" s="66">
        <v>0</v>
      </c>
      <c r="CV506" s="66">
        <v>2345.5139316480004</v>
      </c>
      <c r="CW506" s="66">
        <v>0</v>
      </c>
      <c r="CX506" s="66">
        <v>0</v>
      </c>
      <c r="CY506" s="66">
        <v>0</v>
      </c>
      <c r="CZ506" s="66">
        <v>0</v>
      </c>
      <c r="DA506" s="66"/>
      <c r="DB506" s="66"/>
      <c r="DC506" s="66"/>
      <c r="DD506" s="66"/>
      <c r="DE506" s="66"/>
      <c r="DF506" s="66"/>
      <c r="DG506" s="66"/>
      <c r="DH506" s="66"/>
      <c r="DI506" s="66"/>
      <c r="DJ506" s="66"/>
      <c r="DK506" s="66">
        <f>SUM(Table1[[#This Row],[01-03 Apr]:[Mar-26]])</f>
        <v>5552.0014427596798</v>
      </c>
    </row>
    <row r="507" spans="1:115" hidden="1" x14ac:dyDescent="0.2">
      <c r="A507" s="28" t="s">
        <v>2255</v>
      </c>
      <c r="B507" s="29" t="s">
        <v>1064</v>
      </c>
      <c r="C507" s="29" t="s">
        <v>1065</v>
      </c>
      <c r="D507" s="30" t="s">
        <v>1066</v>
      </c>
      <c r="E507" s="30" t="s">
        <v>584</v>
      </c>
      <c r="F507" s="30"/>
      <c r="G507" s="31">
        <v>45075</v>
      </c>
      <c r="H507" s="30">
        <v>387857</v>
      </c>
      <c r="I507" s="30" t="str">
        <f>IF(Table1[[#This Row],[Centre Status]]="Returned","NA",IF(Table1[[#This Row],[SD]]&gt;19000,"Full Payment",IF(Table1[[#This Row],[SD]]&lt;1,"No Payment","Partial Payment")))</f>
        <v>Full Payment</v>
      </c>
      <c r="J507" s="30" t="s">
        <v>58</v>
      </c>
      <c r="K507" s="32">
        <v>110000</v>
      </c>
      <c r="L507" s="33">
        <f>Q507+R507+U507+Table1[[#This Row],[Farmer Payment]]</f>
        <v>109697.09684898413</v>
      </c>
      <c r="M507" s="30"/>
      <c r="N507" s="34"/>
      <c r="O507" s="34"/>
      <c r="P507" s="35">
        <f t="shared" si="59"/>
        <v>302.90315101586748</v>
      </c>
      <c r="Q507" s="33">
        <f>AI507+AV507+CK507+Table1[[#This Row],[FY 25-26]]</f>
        <v>89697.096848984133</v>
      </c>
      <c r="R507" s="36">
        <v>20000</v>
      </c>
      <c r="S507" s="37" t="s">
        <v>1067</v>
      </c>
      <c r="T507" s="38">
        <v>45063</v>
      </c>
      <c r="U507" s="39"/>
      <c r="V507" s="39"/>
      <c r="W507" s="40">
        <v>0</v>
      </c>
      <c r="X507" s="40">
        <v>0</v>
      </c>
      <c r="Y507" s="40">
        <v>0</v>
      </c>
      <c r="Z507" s="40">
        <v>0</v>
      </c>
      <c r="AA507" s="40">
        <v>0</v>
      </c>
      <c r="AB507" s="40">
        <v>0</v>
      </c>
      <c r="AC507" s="40">
        <v>0</v>
      </c>
      <c r="AD507" s="40">
        <v>0</v>
      </c>
      <c r="AE507" s="40">
        <v>0</v>
      </c>
      <c r="AF507" s="40">
        <v>0</v>
      </c>
      <c r="AG507" s="40">
        <v>0</v>
      </c>
      <c r="AH507" s="40">
        <v>0</v>
      </c>
      <c r="AI507" s="41">
        <f t="shared" si="60"/>
        <v>0</v>
      </c>
      <c r="AJ507" s="42">
        <v>0</v>
      </c>
      <c r="AK507" s="42">
        <v>0</v>
      </c>
      <c r="AL507" s="42">
        <v>1027</v>
      </c>
      <c r="AM507" s="42">
        <v>2086.0214000000001</v>
      </c>
      <c r="AN507" s="42">
        <v>1861</v>
      </c>
      <c r="AO507" s="42">
        <v>1950.2646</v>
      </c>
      <c r="AP507" s="42">
        <v>2259.248</v>
      </c>
      <c r="AQ507" s="42">
        <v>1861</v>
      </c>
      <c r="AR507" s="42">
        <v>2680.9769999999994</v>
      </c>
      <c r="AS507" s="42">
        <v>4195.2452000000003</v>
      </c>
      <c r="AT507" s="42">
        <v>5205.2852000000003</v>
      </c>
      <c r="AU507" s="42">
        <v>5758.4487999999992</v>
      </c>
      <c r="AV507" s="42">
        <f t="shared" si="61"/>
        <v>28884.4902</v>
      </c>
      <c r="AW507" s="42">
        <v>5470.1778205440005</v>
      </c>
      <c r="AX507" s="42">
        <v>5643.0513310646766</v>
      </c>
      <c r="AY507" s="42">
        <v>5233.1673785641451</v>
      </c>
      <c r="AZ507" s="42">
        <v>5177.8959888520012</v>
      </c>
      <c r="BA507" s="42">
        <v>3471.2424759552005</v>
      </c>
      <c r="BB507" s="42">
        <v>0</v>
      </c>
      <c r="BC507" s="42">
        <v>4426.4839933803314</v>
      </c>
      <c r="BD507" s="42">
        <v>0</v>
      </c>
      <c r="BE507" s="42">
        <v>0</v>
      </c>
      <c r="BF507" s="42">
        <v>0</v>
      </c>
      <c r="BG507" s="42">
        <v>0</v>
      </c>
      <c r="BH507" s="42">
        <v>0</v>
      </c>
      <c r="BI507" s="42">
        <v>3422.3944194815999</v>
      </c>
      <c r="BJ507" s="42">
        <v>0</v>
      </c>
      <c r="BK507" s="42">
        <v>0</v>
      </c>
      <c r="BL507" s="42">
        <v>0</v>
      </c>
      <c r="BM507" s="42">
        <v>0</v>
      </c>
      <c r="BN507" s="42">
        <v>2855.3159453183994</v>
      </c>
      <c r="BO507" s="42">
        <v>0</v>
      </c>
      <c r="BP507" s="42">
        <v>0</v>
      </c>
      <c r="BQ507" s="42">
        <v>0</v>
      </c>
      <c r="BR507" s="42">
        <v>0</v>
      </c>
      <c r="BS507" s="42">
        <v>4326.2280323865607</v>
      </c>
      <c r="BT507" s="42">
        <v>0</v>
      </c>
      <c r="BU507" s="42">
        <v>0</v>
      </c>
      <c r="BV507" s="42">
        <v>0</v>
      </c>
      <c r="BW507" s="42">
        <v>0</v>
      </c>
      <c r="BX507" s="42">
        <v>0</v>
      </c>
      <c r="BY507" s="42">
        <v>3570.1259701248005</v>
      </c>
      <c r="BZ507" s="42">
        <v>0</v>
      </c>
      <c r="CA507" s="42">
        <v>0</v>
      </c>
      <c r="CB507" s="42">
        <v>0</v>
      </c>
      <c r="CC507" s="42">
        <v>0</v>
      </c>
      <c r="CD507" s="42">
        <v>3988.8591966719996</v>
      </c>
      <c r="CE507" s="42">
        <v>0</v>
      </c>
      <c r="CF507" s="42">
        <v>0</v>
      </c>
      <c r="CG507" s="42">
        <v>0</v>
      </c>
      <c r="CH507" s="42">
        <v>0</v>
      </c>
      <c r="CI507" s="42">
        <v>0</v>
      </c>
      <c r="CJ507" s="42">
        <v>4468.0239170496006</v>
      </c>
      <c r="CK507" s="43">
        <f t="shared" si="62"/>
        <v>52052.966469393315</v>
      </c>
      <c r="CL507" s="66"/>
      <c r="CM507" s="66">
        <v>0</v>
      </c>
      <c r="CN507" s="66">
        <v>0</v>
      </c>
      <c r="CO507" s="66">
        <v>0</v>
      </c>
      <c r="CP507" s="66">
        <v>4835.927557555201</v>
      </c>
      <c r="CQ507" s="66">
        <v>0</v>
      </c>
      <c r="CR507" s="66">
        <v>0</v>
      </c>
      <c r="CS507" s="66">
        <v>0</v>
      </c>
      <c r="CT507" s="66">
        <v>0</v>
      </c>
      <c r="CU507" s="66">
        <v>0</v>
      </c>
      <c r="CV507" s="66">
        <v>3923.7126220356204</v>
      </c>
      <c r="CW507" s="66">
        <v>0</v>
      </c>
      <c r="CX507" s="66">
        <v>0</v>
      </c>
      <c r="CY507" s="66">
        <v>0</v>
      </c>
      <c r="CZ507" s="66">
        <v>0</v>
      </c>
      <c r="DA507" s="66"/>
      <c r="DB507" s="66"/>
      <c r="DC507" s="66"/>
      <c r="DD507" s="66"/>
      <c r="DE507" s="66"/>
      <c r="DF507" s="66"/>
      <c r="DG507" s="66"/>
      <c r="DH507" s="66"/>
      <c r="DI507" s="66"/>
      <c r="DJ507" s="66"/>
      <c r="DK507" s="66">
        <f>SUM(Table1[[#This Row],[01-03 Apr]:[Mar-26]])</f>
        <v>8759.6401795908205</v>
      </c>
    </row>
    <row r="508" spans="1:115" hidden="1" x14ac:dyDescent="0.2">
      <c r="A508" s="28" t="s">
        <v>2255</v>
      </c>
      <c r="B508" s="29" t="s">
        <v>1068</v>
      </c>
      <c r="C508" s="29" t="s">
        <v>1069</v>
      </c>
      <c r="D508" s="30" t="s">
        <v>1070</v>
      </c>
      <c r="E508" s="30" t="s">
        <v>584</v>
      </c>
      <c r="F508" s="30"/>
      <c r="G508" s="31">
        <v>45075</v>
      </c>
      <c r="H508" s="30">
        <v>388118</v>
      </c>
      <c r="I508" s="30" t="str">
        <f>IF(Table1[[#This Row],[Centre Status]]="Returned","NA",IF(Table1[[#This Row],[SD]]&gt;19000,"Full Payment",IF(Table1[[#This Row],[SD]]&lt;1,"No Payment","Partial Payment")))</f>
        <v>Full Payment</v>
      </c>
      <c r="J508" s="30" t="s">
        <v>58</v>
      </c>
      <c r="K508" s="32">
        <v>110000</v>
      </c>
      <c r="L508" s="33">
        <f>Q508+R508+U508+Table1[[#This Row],[Farmer Payment]]</f>
        <v>97311.35830241043</v>
      </c>
      <c r="M508" s="30"/>
      <c r="N508" s="34"/>
      <c r="O508" s="34"/>
      <c r="P508" s="35">
        <f t="shared" si="59"/>
        <v>12688.64169758957</v>
      </c>
      <c r="Q508" s="33">
        <f>AI508+AV508+CK508+Table1[[#This Row],[FY 25-26]]</f>
        <v>77311.35830241043</v>
      </c>
      <c r="R508" s="36">
        <v>20000</v>
      </c>
      <c r="S508" s="37" t="s">
        <v>1071</v>
      </c>
      <c r="T508" s="38">
        <v>45069</v>
      </c>
      <c r="U508" s="39"/>
      <c r="V508" s="39"/>
      <c r="W508" s="40">
        <v>0</v>
      </c>
      <c r="X508" s="40">
        <v>0</v>
      </c>
      <c r="Y508" s="40">
        <v>0</v>
      </c>
      <c r="Z508" s="40">
        <v>0</v>
      </c>
      <c r="AA508" s="40">
        <v>0</v>
      </c>
      <c r="AB508" s="40">
        <v>0</v>
      </c>
      <c r="AC508" s="40">
        <v>0</v>
      </c>
      <c r="AD508" s="40">
        <v>0</v>
      </c>
      <c r="AE508" s="40">
        <v>0</v>
      </c>
      <c r="AF508" s="40">
        <v>0</v>
      </c>
      <c r="AG508" s="40">
        <v>0</v>
      </c>
      <c r="AH508" s="40">
        <v>0</v>
      </c>
      <c r="AI508" s="41">
        <f t="shared" si="60"/>
        <v>0</v>
      </c>
      <c r="AJ508" s="42">
        <v>0</v>
      </c>
      <c r="AK508" s="42">
        <v>0</v>
      </c>
      <c r="AL508" s="42">
        <v>1861</v>
      </c>
      <c r="AM508" s="42">
        <v>2854.9720000000002</v>
      </c>
      <c r="AN508" s="42">
        <v>1945.5736000000004</v>
      </c>
      <c r="AO508" s="42">
        <v>1861</v>
      </c>
      <c r="AP508" s="42">
        <v>2432.6053999999999</v>
      </c>
      <c r="AQ508" s="42">
        <v>2282.9172000000003</v>
      </c>
      <c r="AR508" s="42">
        <v>2738.6142000000004</v>
      </c>
      <c r="AS508" s="42">
        <v>3502.3389999999999</v>
      </c>
      <c r="AT508" s="42">
        <v>3956.6379999999999</v>
      </c>
      <c r="AU508" s="42">
        <v>4200.0330000000004</v>
      </c>
      <c r="AV508" s="42">
        <f t="shared" si="61"/>
        <v>27635.6924</v>
      </c>
      <c r="AW508" s="42">
        <v>3985.0166930638006</v>
      </c>
      <c r="AX508" s="42">
        <v>3618.2239999558888</v>
      </c>
      <c r="AY508" s="42">
        <v>3698.5412397171199</v>
      </c>
      <c r="AZ508" s="42">
        <v>4036.0022694775685</v>
      </c>
      <c r="BA508" s="42">
        <v>2521.2875088406804</v>
      </c>
      <c r="BB508" s="42">
        <v>0</v>
      </c>
      <c r="BC508" s="42">
        <v>3040.025653583592</v>
      </c>
      <c r="BD508" s="42">
        <v>0</v>
      </c>
      <c r="BE508" s="42">
        <v>0</v>
      </c>
      <c r="BF508" s="42">
        <v>0</v>
      </c>
      <c r="BG508" s="42">
        <v>0</v>
      </c>
      <c r="BH508" s="42">
        <v>0</v>
      </c>
      <c r="BI508" s="42">
        <v>2591.5868482017704</v>
      </c>
      <c r="BJ508" s="42">
        <v>0</v>
      </c>
      <c r="BK508" s="42">
        <v>0</v>
      </c>
      <c r="BL508" s="42">
        <v>0</v>
      </c>
      <c r="BM508" s="42">
        <v>0</v>
      </c>
      <c r="BN508" s="42">
        <v>2617.6734430996362</v>
      </c>
      <c r="BO508" s="42">
        <v>0</v>
      </c>
      <c r="BP508" s="42">
        <v>0</v>
      </c>
      <c r="BQ508" s="42">
        <v>0</v>
      </c>
      <c r="BR508" s="42">
        <v>0</v>
      </c>
      <c r="BS508" s="42">
        <v>4120.2870663954318</v>
      </c>
      <c r="BT508" s="42">
        <v>0</v>
      </c>
      <c r="BU508" s="42">
        <v>0</v>
      </c>
      <c r="BV508" s="42">
        <v>0</v>
      </c>
      <c r="BW508" s="42">
        <v>0</v>
      </c>
      <c r="BX508" s="42">
        <v>0</v>
      </c>
      <c r="BY508" s="42">
        <v>3258.9616190802808</v>
      </c>
      <c r="BZ508" s="42">
        <v>0</v>
      </c>
      <c r="CA508" s="42">
        <v>0</v>
      </c>
      <c r="CB508" s="42">
        <v>0</v>
      </c>
      <c r="CC508" s="42">
        <v>0</v>
      </c>
      <c r="CD508" s="42">
        <v>3844.933906482961</v>
      </c>
      <c r="CE508" s="42">
        <v>0</v>
      </c>
      <c r="CF508" s="42">
        <v>0</v>
      </c>
      <c r="CG508" s="42">
        <v>0</v>
      </c>
      <c r="CH508" s="42">
        <v>0</v>
      </c>
      <c r="CI508" s="42">
        <v>0</v>
      </c>
      <c r="CJ508" s="42">
        <v>4214.2225596286107</v>
      </c>
      <c r="CK508" s="43">
        <f t="shared" si="62"/>
        <v>41546.762807527339</v>
      </c>
      <c r="CL508" s="66"/>
      <c r="CM508" s="66">
        <v>0</v>
      </c>
      <c r="CN508" s="66">
        <v>0</v>
      </c>
      <c r="CO508" s="66">
        <v>0</v>
      </c>
      <c r="CP508" s="66">
        <v>4369.9448045935187</v>
      </c>
      <c r="CQ508" s="66">
        <v>0</v>
      </c>
      <c r="CR508" s="66">
        <v>0</v>
      </c>
      <c r="CS508" s="66">
        <v>0</v>
      </c>
      <c r="CT508" s="66">
        <v>0</v>
      </c>
      <c r="CU508" s="66">
        <v>0</v>
      </c>
      <c r="CV508" s="66">
        <v>3758.9582902895709</v>
      </c>
      <c r="CW508" s="66">
        <v>0</v>
      </c>
      <c r="CX508" s="66">
        <v>0</v>
      </c>
      <c r="CY508" s="66">
        <v>0</v>
      </c>
      <c r="CZ508" s="66">
        <v>0</v>
      </c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>
        <f>SUM(Table1[[#This Row],[01-03 Apr]:[Mar-26]])</f>
        <v>8128.9030948830896</v>
      </c>
    </row>
    <row r="509" spans="1:115" hidden="1" x14ac:dyDescent="0.2">
      <c r="A509" s="28" t="s">
        <v>2255</v>
      </c>
      <c r="B509" s="29" t="s">
        <v>1072</v>
      </c>
      <c r="C509" s="29" t="s">
        <v>1073</v>
      </c>
      <c r="D509" s="30" t="s">
        <v>1074</v>
      </c>
      <c r="E509" s="30" t="s">
        <v>584</v>
      </c>
      <c r="F509" s="30"/>
      <c r="G509" s="31">
        <v>45075</v>
      </c>
      <c r="H509" s="30">
        <v>387871</v>
      </c>
      <c r="I509" s="30" t="str">
        <f>IF(Table1[[#This Row],[Centre Status]]="Returned","NA",IF(Table1[[#This Row],[SD]]&gt;19000,"Full Payment",IF(Table1[[#This Row],[SD]]&lt;1,"No Payment","Partial Payment")))</f>
        <v>Full Payment</v>
      </c>
      <c r="J509" s="30" t="s">
        <v>58</v>
      </c>
      <c r="K509" s="32">
        <v>110000</v>
      </c>
      <c r="L509" s="33">
        <f>Q509+R509+U509+Table1[[#This Row],[Farmer Payment]]</f>
        <v>65391.158625536002</v>
      </c>
      <c r="M509" s="30"/>
      <c r="N509" s="34"/>
      <c r="O509" s="34"/>
      <c r="P509" s="35">
        <f t="shared" si="59"/>
        <v>44608.841374463998</v>
      </c>
      <c r="Q509" s="33">
        <f>AI509+AV509+CK509+Table1[[#This Row],[FY 25-26]]</f>
        <v>45391.158625536002</v>
      </c>
      <c r="R509" s="36">
        <v>20000</v>
      </c>
      <c r="S509" s="37" t="s">
        <v>1075</v>
      </c>
      <c r="T509" s="38">
        <v>45068</v>
      </c>
      <c r="U509" s="39"/>
      <c r="V509" s="39"/>
      <c r="W509" s="40">
        <v>0</v>
      </c>
      <c r="X509" s="40">
        <v>0</v>
      </c>
      <c r="Y509" s="40">
        <v>0</v>
      </c>
      <c r="Z509" s="40">
        <v>0</v>
      </c>
      <c r="AA509" s="40">
        <v>0</v>
      </c>
      <c r="AB509" s="40">
        <v>0</v>
      </c>
      <c r="AC509" s="40">
        <v>0</v>
      </c>
      <c r="AD509" s="40">
        <v>0</v>
      </c>
      <c r="AE509" s="40">
        <v>0</v>
      </c>
      <c r="AF509" s="40">
        <v>0</v>
      </c>
      <c r="AG509" s="40">
        <v>0</v>
      </c>
      <c r="AH509" s="40">
        <v>0</v>
      </c>
      <c r="AI509" s="41">
        <f t="shared" si="60"/>
        <v>0</v>
      </c>
      <c r="AJ509" s="42">
        <v>0</v>
      </c>
      <c r="AK509" s="42">
        <v>0</v>
      </c>
      <c r="AL509" s="42">
        <v>1861</v>
      </c>
      <c r="AM509" s="42">
        <v>1861</v>
      </c>
      <c r="AN509" s="42">
        <v>1861</v>
      </c>
      <c r="AO509" s="42">
        <v>1861</v>
      </c>
      <c r="AP509" s="42">
        <v>1861</v>
      </c>
      <c r="AQ509" s="42">
        <v>1861</v>
      </c>
      <c r="AR509" s="42">
        <v>1861</v>
      </c>
      <c r="AS509" s="42">
        <v>1861</v>
      </c>
      <c r="AT509" s="42">
        <v>1861</v>
      </c>
      <c r="AU509" s="42">
        <v>2158.2516000000001</v>
      </c>
      <c r="AV509" s="42">
        <f t="shared" si="61"/>
        <v>18907.2516</v>
      </c>
      <c r="AW509" s="42">
        <v>1861</v>
      </c>
      <c r="AX509" s="42">
        <v>1861</v>
      </c>
      <c r="AY509" s="42">
        <v>1861</v>
      </c>
      <c r="AZ509" s="42">
        <v>1858</v>
      </c>
      <c r="BA509" s="42">
        <v>221</v>
      </c>
      <c r="BB509" s="42">
        <v>500</v>
      </c>
      <c r="BC509" s="42">
        <v>11</v>
      </c>
      <c r="BD509" s="42">
        <v>500</v>
      </c>
      <c r="BE509" s="42">
        <v>500</v>
      </c>
      <c r="BF509" s="42">
        <v>500</v>
      </c>
      <c r="BG509" s="42">
        <v>500</v>
      </c>
      <c r="BH509" s="42">
        <v>500</v>
      </c>
      <c r="BI509" s="42">
        <v>0</v>
      </c>
      <c r="BJ509" s="42">
        <v>500</v>
      </c>
      <c r="BK509" s="42">
        <v>500</v>
      </c>
      <c r="BL509" s="42">
        <v>500</v>
      </c>
      <c r="BM509" s="42">
        <v>500</v>
      </c>
      <c r="BN509" s="42">
        <v>0</v>
      </c>
      <c r="BO509" s="42">
        <v>500</v>
      </c>
      <c r="BP509" s="42">
        <v>500</v>
      </c>
      <c r="BQ509" s="42">
        <v>500</v>
      </c>
      <c r="BR509" s="42">
        <v>500</v>
      </c>
      <c r="BS509" s="42">
        <v>0</v>
      </c>
      <c r="BT509" s="42">
        <v>500</v>
      </c>
      <c r="BU509" s="42">
        <v>500</v>
      </c>
      <c r="BV509" s="42">
        <v>500</v>
      </c>
      <c r="BW509" s="42">
        <v>500</v>
      </c>
      <c r="BX509" s="42">
        <v>500</v>
      </c>
      <c r="BY509" s="42">
        <v>0</v>
      </c>
      <c r="BZ509" s="42">
        <v>500</v>
      </c>
      <c r="CA509" s="42">
        <v>500</v>
      </c>
      <c r="CB509" s="42">
        <v>500</v>
      </c>
      <c r="CC509" s="42">
        <v>500</v>
      </c>
      <c r="CD509" s="42">
        <v>98.479758476800271</v>
      </c>
      <c r="CE509" s="42">
        <v>500</v>
      </c>
      <c r="CF509" s="42">
        <v>500</v>
      </c>
      <c r="CG509" s="42">
        <v>500</v>
      </c>
      <c r="CH509" s="42">
        <v>500</v>
      </c>
      <c r="CI509" s="42">
        <v>500</v>
      </c>
      <c r="CJ509" s="42">
        <v>351.42726705919995</v>
      </c>
      <c r="CK509" s="43">
        <f t="shared" si="62"/>
        <v>22122.907025536002</v>
      </c>
      <c r="CL509" s="66"/>
      <c r="CM509" s="66">
        <v>500</v>
      </c>
      <c r="CN509" s="66">
        <v>500</v>
      </c>
      <c r="CO509" s="66">
        <v>500</v>
      </c>
      <c r="CP509" s="66">
        <v>0</v>
      </c>
      <c r="CQ509" s="66">
        <v>500</v>
      </c>
      <c r="CR509" s="66">
        <v>0</v>
      </c>
      <c r="CS509" s="66">
        <v>0</v>
      </c>
      <c r="CT509" s="66">
        <v>500</v>
      </c>
      <c r="CU509" s="66">
        <v>500</v>
      </c>
      <c r="CV509" s="66">
        <v>861</v>
      </c>
      <c r="CW509" s="66">
        <v>0</v>
      </c>
      <c r="CX509" s="66">
        <v>0</v>
      </c>
      <c r="CY509" s="66">
        <v>0</v>
      </c>
      <c r="CZ509" s="66">
        <v>500</v>
      </c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>
        <f>SUM(Table1[[#This Row],[01-03 Apr]:[Mar-26]])</f>
        <v>4361</v>
      </c>
    </row>
    <row r="510" spans="1:115" hidden="1" x14ac:dyDescent="0.2">
      <c r="A510" s="28" t="s">
        <v>2255</v>
      </c>
      <c r="B510" s="29" t="s">
        <v>1076</v>
      </c>
      <c r="C510" s="29" t="s">
        <v>1077</v>
      </c>
      <c r="D510" s="30" t="s">
        <v>1078</v>
      </c>
      <c r="E510" s="30" t="s">
        <v>63</v>
      </c>
      <c r="F510" s="30"/>
      <c r="G510" s="31">
        <v>45075</v>
      </c>
      <c r="H510" s="30">
        <v>387853</v>
      </c>
      <c r="I510" s="30" t="str">
        <f>IF(Table1[[#This Row],[Centre Status]]="Returned","NA",IF(Table1[[#This Row],[SD]]&gt;19000,"Full Payment",IF(Table1[[#This Row],[SD]]&lt;1,"No Payment","Partial Payment")))</f>
        <v>NA</v>
      </c>
      <c r="J510" s="30" t="s">
        <v>1903</v>
      </c>
      <c r="K510" s="32">
        <v>110000</v>
      </c>
      <c r="L510" s="33">
        <f>Q510+R510+U510+Table1[[#This Row],[Farmer Payment]]</f>
        <v>34367.335200000001</v>
      </c>
      <c r="M510" s="30">
        <v>34367</v>
      </c>
      <c r="N510" s="34">
        <v>45610</v>
      </c>
      <c r="O510" s="34"/>
      <c r="P510" s="35">
        <f t="shared" si="59"/>
        <v>109999.6648</v>
      </c>
      <c r="Q510" s="33">
        <f>AI510+AV510+CK510+Table1[[#This Row],[FY 25-26]]</f>
        <v>19367.335199999998</v>
      </c>
      <c r="R510" s="36">
        <v>15000</v>
      </c>
      <c r="S510" s="37" t="s">
        <v>1079</v>
      </c>
      <c r="T510" s="38">
        <v>45047</v>
      </c>
      <c r="U510" s="39"/>
      <c r="V510" s="39"/>
      <c r="W510" s="40">
        <v>0</v>
      </c>
      <c r="X510" s="40">
        <v>0</v>
      </c>
      <c r="Y510" s="40">
        <v>0</v>
      </c>
      <c r="Z510" s="40">
        <v>0</v>
      </c>
      <c r="AA510" s="40">
        <v>0</v>
      </c>
      <c r="AB510" s="40">
        <v>0</v>
      </c>
      <c r="AC510" s="40">
        <v>0</v>
      </c>
      <c r="AD510" s="40">
        <v>0</v>
      </c>
      <c r="AE510" s="40">
        <v>0</v>
      </c>
      <c r="AF510" s="40">
        <v>0</v>
      </c>
      <c r="AG510" s="40">
        <v>0</v>
      </c>
      <c r="AH510" s="40">
        <v>0</v>
      </c>
      <c r="AI510" s="41">
        <f t="shared" si="60"/>
        <v>0</v>
      </c>
      <c r="AJ510" s="42">
        <v>0</v>
      </c>
      <c r="AK510" s="42">
        <v>0</v>
      </c>
      <c r="AL510" s="42">
        <v>59</v>
      </c>
      <c r="AM510" s="42">
        <v>1861</v>
      </c>
      <c r="AN510" s="42">
        <v>1861</v>
      </c>
      <c r="AO510" s="42">
        <v>1861</v>
      </c>
      <c r="AP510" s="42">
        <v>3086.2245999999996</v>
      </c>
      <c r="AQ510" s="42">
        <v>2352.9812000000002</v>
      </c>
      <c r="AR510" s="42">
        <v>2136.1704</v>
      </c>
      <c r="AS510" s="42">
        <v>2558.2858000000001</v>
      </c>
      <c r="AT510" s="42">
        <v>2006.6731999999997</v>
      </c>
      <c r="AU510" s="42">
        <v>1266</v>
      </c>
      <c r="AV510" s="42">
        <f t="shared" si="61"/>
        <v>19048.335199999998</v>
      </c>
      <c r="AW510" s="42">
        <v>319</v>
      </c>
      <c r="AX510" s="42">
        <v>0</v>
      </c>
      <c r="AY510" s="42">
        <v>0</v>
      </c>
      <c r="AZ510" s="42">
        <v>0</v>
      </c>
      <c r="BA510" s="42">
        <v>0</v>
      </c>
      <c r="BB510" s="42">
        <v>0</v>
      </c>
      <c r="BC510" s="42">
        <v>0</v>
      </c>
      <c r="BD510" s="42">
        <v>0</v>
      </c>
      <c r="BE510" s="42">
        <v>0</v>
      </c>
      <c r="BF510" s="42">
        <v>0</v>
      </c>
      <c r="BG510" s="42">
        <v>0</v>
      </c>
      <c r="BH510" s="42">
        <v>0</v>
      </c>
      <c r="BI510" s="42">
        <v>0</v>
      </c>
      <c r="BJ510" s="42">
        <v>0</v>
      </c>
      <c r="BK510" s="42">
        <v>0</v>
      </c>
      <c r="BL510" s="42">
        <v>0</v>
      </c>
      <c r="BM510" s="42">
        <v>0</v>
      </c>
      <c r="BN510" s="42">
        <v>0</v>
      </c>
      <c r="BO510" s="42">
        <v>0</v>
      </c>
      <c r="BP510" s="42">
        <v>0</v>
      </c>
      <c r="BQ510" s="42">
        <v>0</v>
      </c>
      <c r="BR510" s="42">
        <v>0</v>
      </c>
      <c r="BS510" s="42">
        <v>0</v>
      </c>
      <c r="BT510" s="42">
        <v>0</v>
      </c>
      <c r="BU510" s="42">
        <v>0</v>
      </c>
      <c r="BV510" s="42">
        <v>0</v>
      </c>
      <c r="BW510" s="42">
        <v>0</v>
      </c>
      <c r="BX510" s="42">
        <v>0</v>
      </c>
      <c r="BY510" s="42">
        <v>0</v>
      </c>
      <c r="BZ510" s="42">
        <v>0</v>
      </c>
      <c r="CA510" s="42">
        <v>0</v>
      </c>
      <c r="CB510" s="42">
        <v>0</v>
      </c>
      <c r="CC510" s="42">
        <v>0</v>
      </c>
      <c r="CD510" s="42">
        <v>0</v>
      </c>
      <c r="CE510" s="42">
        <v>0</v>
      </c>
      <c r="CF510" s="42">
        <v>0</v>
      </c>
      <c r="CG510" s="42">
        <v>0</v>
      </c>
      <c r="CH510" s="42">
        <v>0</v>
      </c>
      <c r="CI510" s="42">
        <v>0</v>
      </c>
      <c r="CJ510" s="42">
        <v>0</v>
      </c>
      <c r="CK510" s="43">
        <f t="shared" si="62"/>
        <v>319</v>
      </c>
      <c r="CL510" s="66"/>
      <c r="CM510" s="66">
        <v>0</v>
      </c>
      <c r="CN510" s="66">
        <v>0</v>
      </c>
      <c r="CO510" s="66">
        <v>0</v>
      </c>
      <c r="CP510" s="66">
        <v>0</v>
      </c>
      <c r="CQ510" s="66">
        <v>0</v>
      </c>
      <c r="CR510" s="66">
        <v>0</v>
      </c>
      <c r="CS510" s="66">
        <v>0</v>
      </c>
      <c r="CT510" s="66">
        <v>0</v>
      </c>
      <c r="CU510" s="66">
        <v>0</v>
      </c>
      <c r="CV510" s="66">
        <v>0</v>
      </c>
      <c r="CW510" s="66">
        <v>0</v>
      </c>
      <c r="CX510" s="66">
        <v>0</v>
      </c>
      <c r="CY510" s="66">
        <v>0</v>
      </c>
      <c r="CZ510" s="66">
        <v>0</v>
      </c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>
        <f>SUM(Table1[[#This Row],[01-03 Apr]:[Mar-26]])</f>
        <v>0</v>
      </c>
    </row>
    <row r="511" spans="1:115" hidden="1" x14ac:dyDescent="0.2">
      <c r="A511" s="28" t="s">
        <v>2255</v>
      </c>
      <c r="B511" s="29" t="s">
        <v>1080</v>
      </c>
      <c r="C511" s="29" t="s">
        <v>1081</v>
      </c>
      <c r="D511" s="30" t="s">
        <v>1082</v>
      </c>
      <c r="E511" s="30" t="s">
        <v>57</v>
      </c>
      <c r="F511" s="30"/>
      <c r="G511" s="31">
        <v>45075</v>
      </c>
      <c r="H511" s="30">
        <v>382398</v>
      </c>
      <c r="I511" s="30" t="str">
        <f>IF(Table1[[#This Row],[Centre Status]]="Returned","NA",IF(Table1[[#This Row],[SD]]&gt;19000,"Full Payment",IF(Table1[[#This Row],[SD]]&lt;1,"No Payment","Partial Payment")))</f>
        <v>Full Payment</v>
      </c>
      <c r="J511" s="30" t="s">
        <v>58</v>
      </c>
      <c r="K511" s="32">
        <v>110000</v>
      </c>
      <c r="L511" s="33">
        <f>Q511+R511+U511+Table1[[#This Row],[Farmer Payment]]</f>
        <v>107906.45751252992</v>
      </c>
      <c r="M511" s="30"/>
      <c r="N511" s="34"/>
      <c r="O511" s="34"/>
      <c r="P511" s="35">
        <f t="shared" si="59"/>
        <v>2093.5424874700839</v>
      </c>
      <c r="Q511" s="33">
        <f>AI511+AV511+CK511+Table1[[#This Row],[FY 25-26]]</f>
        <v>87906.457512529916</v>
      </c>
      <c r="R511" s="36">
        <v>20000</v>
      </c>
      <c r="S511" s="37" t="s">
        <v>1083</v>
      </c>
      <c r="T511" s="38">
        <v>45071</v>
      </c>
      <c r="U511" s="39"/>
      <c r="V511" s="39"/>
      <c r="W511" s="40">
        <v>0</v>
      </c>
      <c r="X511" s="40">
        <v>0</v>
      </c>
      <c r="Y511" s="40">
        <v>0</v>
      </c>
      <c r="Z511" s="40">
        <v>0</v>
      </c>
      <c r="AA511" s="40">
        <v>0</v>
      </c>
      <c r="AB511" s="40">
        <v>0</v>
      </c>
      <c r="AC511" s="40">
        <v>0</v>
      </c>
      <c r="AD511" s="40">
        <v>0</v>
      </c>
      <c r="AE511" s="40">
        <v>0</v>
      </c>
      <c r="AF511" s="40">
        <v>0</v>
      </c>
      <c r="AG511" s="40">
        <v>0</v>
      </c>
      <c r="AH511" s="40">
        <v>0</v>
      </c>
      <c r="AI511" s="41">
        <f t="shared" si="60"/>
        <v>0</v>
      </c>
      <c r="AJ511" s="42">
        <v>0</v>
      </c>
      <c r="AK511" s="42">
        <v>0</v>
      </c>
      <c r="AL511" s="42">
        <v>0</v>
      </c>
      <c r="AM511" s="42">
        <v>1861</v>
      </c>
      <c r="AN511" s="42">
        <v>1861</v>
      </c>
      <c r="AO511" s="42">
        <v>1861</v>
      </c>
      <c r="AP511" s="42">
        <v>2462.1432</v>
      </c>
      <c r="AQ511" s="42">
        <v>2772.4764</v>
      </c>
      <c r="AR511" s="42">
        <v>2722.6033999999995</v>
      </c>
      <c r="AS511" s="42">
        <v>4391.2921999999999</v>
      </c>
      <c r="AT511" s="42">
        <v>4950.5232000000005</v>
      </c>
      <c r="AU511" s="42">
        <v>6041.4328000000005</v>
      </c>
      <c r="AV511" s="42">
        <f t="shared" si="61"/>
        <v>28923.4712</v>
      </c>
      <c r="AW511" s="42">
        <v>5434.5592913039336</v>
      </c>
      <c r="AX511" s="42">
        <v>3631.9094708647422</v>
      </c>
      <c r="AY511" s="42">
        <v>3732.6445143759797</v>
      </c>
      <c r="AZ511" s="42">
        <v>4394.0345640579126</v>
      </c>
      <c r="BA511" s="42">
        <v>3026.933585236784</v>
      </c>
      <c r="BB511" s="42">
        <v>0</v>
      </c>
      <c r="BC511" s="42">
        <v>4174.0188176177626</v>
      </c>
      <c r="BD511" s="42">
        <v>0</v>
      </c>
      <c r="BE511" s="42">
        <v>0</v>
      </c>
      <c r="BF511" s="42">
        <v>0</v>
      </c>
      <c r="BG511" s="42">
        <v>0</v>
      </c>
      <c r="BH511" s="42">
        <v>0</v>
      </c>
      <c r="BI511" s="42">
        <v>2999.5380683792941</v>
      </c>
      <c r="BJ511" s="42">
        <v>0</v>
      </c>
      <c r="BK511" s="42">
        <v>0</v>
      </c>
      <c r="BL511" s="42">
        <v>0</v>
      </c>
      <c r="BM511" s="42">
        <v>0</v>
      </c>
      <c r="BN511" s="42">
        <v>3667.975635594707</v>
      </c>
      <c r="BO511" s="42">
        <v>0</v>
      </c>
      <c r="BP511" s="42">
        <v>0</v>
      </c>
      <c r="BQ511" s="42">
        <v>0</v>
      </c>
      <c r="BR511" s="42">
        <v>0</v>
      </c>
      <c r="BS511" s="42">
        <v>5319.1825206630365</v>
      </c>
      <c r="BT511" s="42">
        <v>0</v>
      </c>
      <c r="BU511" s="42">
        <v>0</v>
      </c>
      <c r="BV511" s="42">
        <v>0</v>
      </c>
      <c r="BW511" s="42">
        <v>0</v>
      </c>
      <c r="BX511" s="42">
        <v>0</v>
      </c>
      <c r="BY511" s="42">
        <v>4138.467287592056</v>
      </c>
      <c r="BZ511" s="42">
        <v>0</v>
      </c>
      <c r="CA511" s="42">
        <v>0</v>
      </c>
      <c r="CB511" s="42">
        <v>0</v>
      </c>
      <c r="CC511" s="42">
        <v>0</v>
      </c>
      <c r="CD511" s="42">
        <v>5608.8206787368381</v>
      </c>
      <c r="CE511" s="42">
        <v>0</v>
      </c>
      <c r="CF511" s="42">
        <v>0</v>
      </c>
      <c r="CG511" s="42">
        <v>0</v>
      </c>
      <c r="CH511" s="42">
        <v>0</v>
      </c>
      <c r="CI511" s="42">
        <v>0</v>
      </c>
      <c r="CJ511" s="42">
        <v>5512.8274675720377</v>
      </c>
      <c r="CK511" s="43">
        <f t="shared" si="62"/>
        <v>51640.911901995089</v>
      </c>
      <c r="CL511" s="66"/>
      <c r="CM511" s="66">
        <v>0</v>
      </c>
      <c r="CN511" s="66">
        <v>0</v>
      </c>
      <c r="CO511" s="66">
        <v>0</v>
      </c>
      <c r="CP511" s="66">
        <v>4222.8263826553957</v>
      </c>
      <c r="CQ511" s="66">
        <v>0</v>
      </c>
      <c r="CR511" s="66">
        <v>0</v>
      </c>
      <c r="CS511" s="66">
        <v>0</v>
      </c>
      <c r="CT511" s="66">
        <v>0</v>
      </c>
      <c r="CU511" s="66">
        <v>0</v>
      </c>
      <c r="CV511" s="66">
        <v>3119.2480278794342</v>
      </c>
      <c r="CW511" s="66">
        <v>0</v>
      </c>
      <c r="CX511" s="66">
        <v>0</v>
      </c>
      <c r="CY511" s="66">
        <v>0</v>
      </c>
      <c r="CZ511" s="66">
        <v>0</v>
      </c>
      <c r="DA511" s="66"/>
      <c r="DB511" s="66"/>
      <c r="DC511" s="66"/>
      <c r="DD511" s="66"/>
      <c r="DE511" s="66"/>
      <c r="DF511" s="66"/>
      <c r="DG511" s="66"/>
      <c r="DH511" s="66"/>
      <c r="DI511" s="66"/>
      <c r="DJ511" s="66"/>
      <c r="DK511" s="66">
        <f>SUM(Table1[[#This Row],[01-03 Apr]:[Mar-26]])</f>
        <v>7342.0744105348294</v>
      </c>
    </row>
    <row r="512" spans="1:115" hidden="1" x14ac:dyDescent="0.2">
      <c r="A512" s="28" t="s">
        <v>2255</v>
      </c>
      <c r="B512" s="29" t="s">
        <v>1084</v>
      </c>
      <c r="C512" s="29" t="s">
        <v>1085</v>
      </c>
      <c r="D512" s="30" t="s">
        <v>1086</v>
      </c>
      <c r="E512" s="30" t="s">
        <v>57</v>
      </c>
      <c r="F512" s="30"/>
      <c r="G512" s="31">
        <v>45075</v>
      </c>
      <c r="H512" s="30">
        <v>387856</v>
      </c>
      <c r="I512" s="30" t="str">
        <f>IF(Table1[[#This Row],[Centre Status]]="Returned","NA",IF(Table1[[#This Row],[SD]]&gt;19000,"Full Payment",IF(Table1[[#This Row],[SD]]&lt;1,"No Payment","Partial Payment")))</f>
        <v>Full Payment</v>
      </c>
      <c r="J512" s="30" t="s">
        <v>58</v>
      </c>
      <c r="K512" s="32">
        <v>110000</v>
      </c>
      <c r="L512" s="33">
        <f>Q512+R512+U512+Table1[[#This Row],[Farmer Payment]]</f>
        <v>51033.887316183303</v>
      </c>
      <c r="M512" s="30"/>
      <c r="N512" s="34"/>
      <c r="O512" s="34"/>
      <c r="P512" s="35">
        <f t="shared" si="59"/>
        <v>58966.112683816697</v>
      </c>
      <c r="Q512" s="33">
        <f>AI512+AV512+CK512+Table1[[#This Row],[FY 25-26]]</f>
        <v>31033.887316183303</v>
      </c>
      <c r="R512" s="36">
        <v>20000</v>
      </c>
      <c r="S512" s="37" t="s">
        <v>1087</v>
      </c>
      <c r="T512" s="38">
        <v>45062</v>
      </c>
      <c r="U512" s="39"/>
      <c r="V512" s="39"/>
      <c r="W512" s="40">
        <v>0</v>
      </c>
      <c r="X512" s="40">
        <v>0</v>
      </c>
      <c r="Y512" s="40">
        <v>0</v>
      </c>
      <c r="Z512" s="40">
        <v>0</v>
      </c>
      <c r="AA512" s="40">
        <v>0</v>
      </c>
      <c r="AB512" s="40">
        <v>0</v>
      </c>
      <c r="AC512" s="40">
        <v>0</v>
      </c>
      <c r="AD512" s="40">
        <v>0</v>
      </c>
      <c r="AE512" s="40">
        <v>0</v>
      </c>
      <c r="AF512" s="40">
        <v>0</v>
      </c>
      <c r="AG512" s="40">
        <v>0</v>
      </c>
      <c r="AH512" s="40">
        <v>0</v>
      </c>
      <c r="AI512" s="41">
        <f t="shared" si="60"/>
        <v>0</v>
      </c>
      <c r="AJ512" s="42">
        <v>0</v>
      </c>
      <c r="AK512" s="42">
        <v>0</v>
      </c>
      <c r="AL512" s="42">
        <v>0</v>
      </c>
      <c r="AM512" s="42">
        <v>1861</v>
      </c>
      <c r="AN512" s="42">
        <v>1846</v>
      </c>
      <c r="AO512" s="42">
        <v>1861</v>
      </c>
      <c r="AP512" s="42">
        <v>1861</v>
      </c>
      <c r="AQ512" s="42">
        <v>617</v>
      </c>
      <c r="AR512" s="42">
        <v>1268</v>
      </c>
      <c r="AS512" s="42">
        <v>611</v>
      </c>
      <c r="AT512" s="42">
        <v>1216</v>
      </c>
      <c r="AU512" s="42">
        <v>984</v>
      </c>
      <c r="AV512" s="42">
        <f t="shared" si="61"/>
        <v>12125</v>
      </c>
      <c r="AW512" s="42">
        <v>0</v>
      </c>
      <c r="AX512" s="42">
        <v>0</v>
      </c>
      <c r="AY512" s="42">
        <v>0</v>
      </c>
      <c r="AZ512" s="42">
        <v>483</v>
      </c>
      <c r="BA512" s="42">
        <v>612</v>
      </c>
      <c r="BB512" s="42">
        <v>500</v>
      </c>
      <c r="BC512" s="42">
        <v>861</v>
      </c>
      <c r="BD512" s="42">
        <v>500</v>
      </c>
      <c r="BE512" s="42">
        <v>0</v>
      </c>
      <c r="BF512" s="42">
        <v>0</v>
      </c>
      <c r="BG512" s="42">
        <v>0</v>
      </c>
      <c r="BH512" s="42">
        <v>0</v>
      </c>
      <c r="BI512" s="42">
        <v>1861</v>
      </c>
      <c r="BJ512" s="42">
        <v>0</v>
      </c>
      <c r="BK512" s="42">
        <v>0</v>
      </c>
      <c r="BL512" s="42">
        <v>0</v>
      </c>
      <c r="BM512" s="42">
        <v>0</v>
      </c>
      <c r="BN512" s="42">
        <v>2018.6381511014624</v>
      </c>
      <c r="BO512" s="42">
        <v>0</v>
      </c>
      <c r="BP512" s="42">
        <v>0</v>
      </c>
      <c r="BQ512" s="42">
        <v>0</v>
      </c>
      <c r="BR512" s="42">
        <v>0</v>
      </c>
      <c r="BS512" s="42">
        <v>2349.7210662104821</v>
      </c>
      <c r="BT512" s="42">
        <v>0</v>
      </c>
      <c r="BU512" s="42">
        <v>0</v>
      </c>
      <c r="BV512" s="42">
        <v>0</v>
      </c>
      <c r="BW512" s="42">
        <v>0</v>
      </c>
      <c r="BX512" s="42">
        <v>0</v>
      </c>
      <c r="BY512" s="42">
        <v>1861</v>
      </c>
      <c r="BZ512" s="42">
        <v>0</v>
      </c>
      <c r="CA512" s="42">
        <v>0</v>
      </c>
      <c r="CB512" s="42">
        <v>0</v>
      </c>
      <c r="CC512" s="42">
        <v>0</v>
      </c>
      <c r="CD512" s="42">
        <v>2088.597299207996</v>
      </c>
      <c r="CE512" s="42">
        <v>0</v>
      </c>
      <c r="CF512" s="42">
        <v>0</v>
      </c>
      <c r="CG512" s="42">
        <v>0</v>
      </c>
      <c r="CH512" s="42">
        <v>0</v>
      </c>
      <c r="CI512" s="42">
        <v>0</v>
      </c>
      <c r="CJ512" s="42">
        <v>2051.9307996633602</v>
      </c>
      <c r="CK512" s="43">
        <f t="shared" si="62"/>
        <v>15186.887316183302</v>
      </c>
      <c r="CL512" s="66"/>
      <c r="CM512" s="66">
        <v>0</v>
      </c>
      <c r="CN512" s="66">
        <v>0</v>
      </c>
      <c r="CO512" s="66">
        <v>0</v>
      </c>
      <c r="CP512" s="66">
        <v>1861</v>
      </c>
      <c r="CQ512" s="66">
        <v>0</v>
      </c>
      <c r="CR512" s="66">
        <v>0</v>
      </c>
      <c r="CS512" s="66">
        <v>0</v>
      </c>
      <c r="CT512" s="66">
        <v>0</v>
      </c>
      <c r="CU512" s="66">
        <v>0</v>
      </c>
      <c r="CV512" s="66">
        <v>1861</v>
      </c>
      <c r="CW512" s="66">
        <v>0</v>
      </c>
      <c r="CX512" s="66">
        <v>0</v>
      </c>
      <c r="CY512" s="66">
        <v>0</v>
      </c>
      <c r="CZ512" s="66">
        <v>0</v>
      </c>
      <c r="DA512" s="66"/>
      <c r="DB512" s="66"/>
      <c r="DC512" s="66"/>
      <c r="DD512" s="66"/>
      <c r="DE512" s="66"/>
      <c r="DF512" s="66"/>
      <c r="DG512" s="66"/>
      <c r="DH512" s="66"/>
      <c r="DI512" s="66"/>
      <c r="DJ512" s="66"/>
      <c r="DK512" s="66">
        <f>SUM(Table1[[#This Row],[01-03 Apr]:[Mar-26]])</f>
        <v>3722</v>
      </c>
    </row>
    <row r="513" spans="1:115" hidden="1" x14ac:dyDescent="0.2">
      <c r="A513" s="28" t="s">
        <v>2255</v>
      </c>
      <c r="B513" s="29" t="s">
        <v>1088</v>
      </c>
      <c r="C513" s="29" t="s">
        <v>1089</v>
      </c>
      <c r="D513" s="30" t="s">
        <v>1090</v>
      </c>
      <c r="E513" s="30" t="s">
        <v>584</v>
      </c>
      <c r="F513" s="30"/>
      <c r="G513" s="31">
        <v>45075</v>
      </c>
      <c r="H513" s="30">
        <v>382435</v>
      </c>
      <c r="I513" s="30" t="str">
        <f>IF(Table1[[#This Row],[Centre Status]]="Returned","NA",IF(Table1[[#This Row],[SD]]&gt;19000,"Full Payment",IF(Table1[[#This Row],[SD]]&lt;1,"No Payment","Partial Payment")))</f>
        <v>NA</v>
      </c>
      <c r="J513" s="30" t="s">
        <v>1903</v>
      </c>
      <c r="K513" s="32">
        <v>110000</v>
      </c>
      <c r="L513" s="33">
        <f>Q513+R513+U513+Table1[[#This Row],[Farmer Payment]]</f>
        <v>55110.605140951709</v>
      </c>
      <c r="M513" s="30">
        <v>20000</v>
      </c>
      <c r="N513" s="34">
        <v>45713</v>
      </c>
      <c r="O513" s="34" t="s">
        <v>3150</v>
      </c>
      <c r="P513" s="35">
        <f t="shared" si="59"/>
        <v>74889.394859048291</v>
      </c>
      <c r="Q513" s="33">
        <f>AI513+AV513+CK513+Table1[[#This Row],[FY 25-26]]</f>
        <v>35110.605140951709</v>
      </c>
      <c r="R513" s="36">
        <v>20000</v>
      </c>
      <c r="S513" s="37" t="s">
        <v>1091</v>
      </c>
      <c r="T513" s="38">
        <v>45036</v>
      </c>
      <c r="U513" s="39"/>
      <c r="V513" s="39"/>
      <c r="W513" s="40">
        <v>0</v>
      </c>
      <c r="X513" s="40">
        <v>0</v>
      </c>
      <c r="Y513" s="40">
        <v>0</v>
      </c>
      <c r="Z513" s="40">
        <v>0</v>
      </c>
      <c r="AA513" s="40">
        <v>0</v>
      </c>
      <c r="AB513" s="40">
        <v>0</v>
      </c>
      <c r="AC513" s="40">
        <v>0</v>
      </c>
      <c r="AD513" s="40">
        <v>0</v>
      </c>
      <c r="AE513" s="40">
        <v>0</v>
      </c>
      <c r="AF513" s="40">
        <v>0</v>
      </c>
      <c r="AG513" s="40">
        <v>0</v>
      </c>
      <c r="AH513" s="40">
        <v>0</v>
      </c>
      <c r="AI513" s="41">
        <f t="shared" si="60"/>
        <v>0</v>
      </c>
      <c r="AJ513" s="42">
        <v>0</v>
      </c>
      <c r="AK513" s="42">
        <v>0</v>
      </c>
      <c r="AL513" s="42">
        <v>160</v>
      </c>
      <c r="AM513" s="42">
        <v>1861</v>
      </c>
      <c r="AN513" s="42">
        <v>1861</v>
      </c>
      <c r="AO513" s="42">
        <v>2833.7266000000004</v>
      </c>
      <c r="AP513" s="42">
        <v>3267.4432000000002</v>
      </c>
      <c r="AQ513" s="42">
        <v>1936.1412</v>
      </c>
      <c r="AR513" s="42">
        <v>1861</v>
      </c>
      <c r="AS513" s="42">
        <v>2248.8276000000001</v>
      </c>
      <c r="AT513" s="42">
        <v>2327.5214000000001</v>
      </c>
      <c r="AU513" s="42">
        <v>2223.3018000000002</v>
      </c>
      <c r="AV513" s="42">
        <f t="shared" si="61"/>
        <v>20579.961800000001</v>
      </c>
      <c r="AW513" s="42">
        <v>2198.6433409517122</v>
      </c>
      <c r="AX513" s="42">
        <v>1861</v>
      </c>
      <c r="AY513" s="42">
        <v>1315</v>
      </c>
      <c r="AZ513" s="42">
        <v>686</v>
      </c>
      <c r="BA513" s="42">
        <v>156</v>
      </c>
      <c r="BB513" s="42">
        <v>500</v>
      </c>
      <c r="BC513" s="42">
        <v>861</v>
      </c>
      <c r="BD513" s="42">
        <v>500</v>
      </c>
      <c r="BE513" s="42">
        <v>0</v>
      </c>
      <c r="BF513" s="42">
        <v>0</v>
      </c>
      <c r="BG513" s="42">
        <v>0</v>
      </c>
      <c r="BH513" s="42">
        <v>0</v>
      </c>
      <c r="BI513" s="42">
        <v>1300</v>
      </c>
      <c r="BJ513" s="42">
        <v>0</v>
      </c>
      <c r="BK513" s="42">
        <v>0</v>
      </c>
      <c r="BL513" s="42">
        <v>500</v>
      </c>
      <c r="BM513" s="42">
        <v>500</v>
      </c>
      <c r="BN513" s="42">
        <v>153</v>
      </c>
      <c r="BO513" s="42">
        <v>500</v>
      </c>
      <c r="BP513" s="42">
        <v>500</v>
      </c>
      <c r="BQ513" s="42">
        <v>500</v>
      </c>
      <c r="BR513" s="42">
        <v>500</v>
      </c>
      <c r="BS513" s="42">
        <v>0</v>
      </c>
      <c r="BT513" s="42">
        <v>500</v>
      </c>
      <c r="BU513" s="42">
        <v>500</v>
      </c>
      <c r="BV513" s="42">
        <v>500</v>
      </c>
      <c r="BW513" s="42">
        <v>500</v>
      </c>
      <c r="BX513" s="42">
        <v>0</v>
      </c>
      <c r="BY513" s="42">
        <v>0</v>
      </c>
      <c r="BZ513" s="42">
        <v>0</v>
      </c>
      <c r="CA513" s="42">
        <v>0</v>
      </c>
      <c r="CB513" s="42">
        <v>0</v>
      </c>
      <c r="CC513" s="42">
        <v>0</v>
      </c>
      <c r="CD513" s="42">
        <v>0</v>
      </c>
      <c r="CE513" s="42">
        <v>0</v>
      </c>
      <c r="CF513" s="42">
        <v>0</v>
      </c>
      <c r="CG513" s="42">
        <v>0</v>
      </c>
      <c r="CH513" s="42">
        <v>0</v>
      </c>
      <c r="CI513" s="42">
        <v>0</v>
      </c>
      <c r="CJ513" s="42">
        <v>0</v>
      </c>
      <c r="CK513" s="43">
        <f t="shared" si="62"/>
        <v>14530.643340951712</v>
      </c>
      <c r="CL513" s="66"/>
      <c r="CM513" s="66">
        <v>0</v>
      </c>
      <c r="CN513" s="66">
        <v>0</v>
      </c>
      <c r="CO513" s="66">
        <v>0</v>
      </c>
      <c r="CP513" s="66">
        <v>0</v>
      </c>
      <c r="CQ513" s="66">
        <v>0</v>
      </c>
      <c r="CR513" s="66">
        <v>0</v>
      </c>
      <c r="CS513" s="66">
        <v>0</v>
      </c>
      <c r="CT513" s="66">
        <v>0</v>
      </c>
      <c r="CU513" s="66">
        <v>0</v>
      </c>
      <c r="CV513" s="66">
        <v>0</v>
      </c>
      <c r="CW513" s="66">
        <v>0</v>
      </c>
      <c r="CX513" s="66">
        <v>0</v>
      </c>
      <c r="CY513" s="66">
        <v>0</v>
      </c>
      <c r="CZ513" s="66">
        <v>0</v>
      </c>
      <c r="DA513" s="66"/>
      <c r="DB513" s="66"/>
      <c r="DC513" s="66"/>
      <c r="DD513" s="66"/>
      <c r="DE513" s="66"/>
      <c r="DF513" s="66"/>
      <c r="DG513" s="66"/>
      <c r="DH513" s="66"/>
      <c r="DI513" s="66"/>
      <c r="DJ513" s="66"/>
      <c r="DK513" s="66">
        <f>SUM(Table1[[#This Row],[01-03 Apr]:[Mar-26]])</f>
        <v>0</v>
      </c>
    </row>
    <row r="514" spans="1:115" x14ac:dyDescent="0.2">
      <c r="A514" s="28" t="s">
        <v>2255</v>
      </c>
      <c r="B514" s="29" t="s">
        <v>1092</v>
      </c>
      <c r="C514" s="29" t="s">
        <v>1093</v>
      </c>
      <c r="D514" s="30" t="s">
        <v>1094</v>
      </c>
      <c r="E514" s="30" t="s">
        <v>2257</v>
      </c>
      <c r="F514" s="30"/>
      <c r="G514" s="31">
        <v>45045</v>
      </c>
      <c r="H514" s="30">
        <v>378187</v>
      </c>
      <c r="I514" s="30" t="str">
        <f>IF(Table1[[#This Row],[Centre Status]]="Returned","NA",IF(Table1[[#This Row],[SD]]&gt;19000,"Full Payment",IF(Table1[[#This Row],[SD]]&lt;1,"No Payment","Partial Payment")))</f>
        <v>Partial Payment</v>
      </c>
      <c r="J514" s="30" t="s">
        <v>58</v>
      </c>
      <c r="K514" s="32">
        <v>110000</v>
      </c>
      <c r="L514" s="33">
        <f>Q514+R514+U514+Table1[[#This Row],[Farmer Payment]]</f>
        <v>51835.218568627199</v>
      </c>
      <c r="M514" s="30"/>
      <c r="N514" s="34"/>
      <c r="O514" s="34"/>
      <c r="P514" s="35">
        <f t="shared" si="59"/>
        <v>58164.781431372801</v>
      </c>
      <c r="Q514" s="33">
        <f>AI514+AV514+CK514+Table1[[#This Row],[FY 25-26]]</f>
        <v>46835.218568627199</v>
      </c>
      <c r="R514" s="36">
        <v>5000</v>
      </c>
      <c r="S514" s="37" t="s">
        <v>1095</v>
      </c>
      <c r="T514" s="38">
        <v>45068</v>
      </c>
      <c r="U514" s="39"/>
      <c r="V514" s="39"/>
      <c r="W514" s="40">
        <v>0</v>
      </c>
      <c r="X514" s="40">
        <v>0</v>
      </c>
      <c r="Y514" s="40">
        <v>0</v>
      </c>
      <c r="Z514" s="40">
        <v>0</v>
      </c>
      <c r="AA514" s="40">
        <v>0</v>
      </c>
      <c r="AB514" s="40">
        <v>0</v>
      </c>
      <c r="AC514" s="40">
        <v>0</v>
      </c>
      <c r="AD514" s="40">
        <v>0</v>
      </c>
      <c r="AE514" s="40">
        <v>0</v>
      </c>
      <c r="AF514" s="40">
        <v>0</v>
      </c>
      <c r="AG514" s="40">
        <v>0</v>
      </c>
      <c r="AH514" s="40">
        <v>0</v>
      </c>
      <c r="AI514" s="41">
        <f t="shared" si="60"/>
        <v>0</v>
      </c>
      <c r="AJ514" s="42">
        <v>0</v>
      </c>
      <c r="AK514" s="42">
        <v>0</v>
      </c>
      <c r="AL514" s="42">
        <v>1861</v>
      </c>
      <c r="AM514" s="42">
        <v>1861</v>
      </c>
      <c r="AN514" s="42">
        <v>1861</v>
      </c>
      <c r="AO514" s="42">
        <v>1861</v>
      </c>
      <c r="AP514" s="42">
        <v>2542.3593999999998</v>
      </c>
      <c r="AQ514" s="42">
        <v>1861</v>
      </c>
      <c r="AR514" s="42">
        <v>1861</v>
      </c>
      <c r="AS514" s="42">
        <v>2556.1862000000001</v>
      </c>
      <c r="AT514" s="42">
        <v>3000.4900000000002</v>
      </c>
      <c r="AU514" s="42">
        <v>3350.4191999999998</v>
      </c>
      <c r="AV514" s="42">
        <f t="shared" si="61"/>
        <v>22615.4548</v>
      </c>
      <c r="AW514" s="42">
        <v>2625.6533289369604</v>
      </c>
      <c r="AX514" s="42">
        <v>1971.1104396902401</v>
      </c>
      <c r="AY514" s="42">
        <v>1861</v>
      </c>
      <c r="AZ514" s="42">
        <v>1861</v>
      </c>
      <c r="BA514" s="42">
        <v>767</v>
      </c>
      <c r="BB514" s="42">
        <v>500</v>
      </c>
      <c r="BC514" s="42">
        <v>229</v>
      </c>
      <c r="BD514" s="42">
        <v>500</v>
      </c>
      <c r="BE514" s="42">
        <v>500</v>
      </c>
      <c r="BF514" s="42">
        <v>500</v>
      </c>
      <c r="BG514" s="42">
        <v>500</v>
      </c>
      <c r="BH514" s="42">
        <v>500</v>
      </c>
      <c r="BI514" s="42">
        <v>0</v>
      </c>
      <c r="BJ514" s="42">
        <v>500</v>
      </c>
      <c r="BK514" s="42">
        <v>500</v>
      </c>
      <c r="BL514" s="42">
        <v>500</v>
      </c>
      <c r="BM514" s="42">
        <v>500</v>
      </c>
      <c r="BN514" s="42">
        <v>0</v>
      </c>
      <c r="BO514" s="42">
        <v>500</v>
      </c>
      <c r="BP514" s="42">
        <v>500</v>
      </c>
      <c r="BQ514" s="42">
        <v>500</v>
      </c>
      <c r="BR514" s="42">
        <v>500</v>
      </c>
      <c r="BS514" s="42">
        <v>0</v>
      </c>
      <c r="BT514" s="42">
        <v>500</v>
      </c>
      <c r="BU514" s="42">
        <v>500</v>
      </c>
      <c r="BV514" s="42">
        <v>0</v>
      </c>
      <c r="BW514" s="42">
        <v>0</v>
      </c>
      <c r="BX514" s="42">
        <v>0</v>
      </c>
      <c r="BY514" s="42">
        <v>1361</v>
      </c>
      <c r="BZ514" s="42">
        <v>0</v>
      </c>
      <c r="CA514" s="42">
        <v>0</v>
      </c>
      <c r="CB514" s="42">
        <v>0</v>
      </c>
      <c r="CC514" s="42">
        <v>0</v>
      </c>
      <c r="CD514" s="42">
        <v>0</v>
      </c>
      <c r="CE514" s="42">
        <v>0</v>
      </c>
      <c r="CF514" s="42">
        <v>0</v>
      </c>
      <c r="CG514" s="42">
        <v>0</v>
      </c>
      <c r="CH514" s="42">
        <v>0</v>
      </c>
      <c r="CI514" s="42">
        <v>0</v>
      </c>
      <c r="CJ514" s="42">
        <v>1861</v>
      </c>
      <c r="CK514" s="43">
        <f t="shared" si="62"/>
        <v>20536.763768627199</v>
      </c>
      <c r="CL514" s="66"/>
      <c r="CM514" s="66">
        <v>0</v>
      </c>
      <c r="CN514" s="66">
        <v>0</v>
      </c>
      <c r="CO514" s="66">
        <v>0</v>
      </c>
      <c r="CP514" s="66">
        <v>1822</v>
      </c>
      <c r="CQ514" s="66">
        <v>0</v>
      </c>
      <c r="CR514" s="66">
        <v>0</v>
      </c>
      <c r="CS514" s="66">
        <v>0</v>
      </c>
      <c r="CT514" s="66">
        <v>0</v>
      </c>
      <c r="CU514" s="66">
        <v>0</v>
      </c>
      <c r="CV514" s="66">
        <v>1861</v>
      </c>
      <c r="CW514" s="66">
        <v>0</v>
      </c>
      <c r="CX514" s="66">
        <v>0</v>
      </c>
      <c r="CY514" s="66">
        <v>0</v>
      </c>
      <c r="CZ514" s="66">
        <v>0</v>
      </c>
      <c r="DA514" s="66"/>
      <c r="DB514" s="66"/>
      <c r="DC514" s="66"/>
      <c r="DD514" s="66"/>
      <c r="DE514" s="66"/>
      <c r="DF514" s="66"/>
      <c r="DG514" s="66"/>
      <c r="DH514" s="66"/>
      <c r="DI514" s="66"/>
      <c r="DJ514" s="66"/>
      <c r="DK514" s="66">
        <f>SUM(Table1[[#This Row],[01-03 Apr]:[Mar-26]])</f>
        <v>3683</v>
      </c>
    </row>
    <row r="515" spans="1:115" x14ac:dyDescent="0.2">
      <c r="A515" s="28" t="s">
        <v>2367</v>
      </c>
      <c r="B515" s="29" t="s">
        <v>1096</v>
      </c>
      <c r="C515" s="29" t="s">
        <v>1097</v>
      </c>
      <c r="D515" s="30" t="s">
        <v>1098</v>
      </c>
      <c r="E515" s="30" t="s">
        <v>906</v>
      </c>
      <c r="F515" s="30"/>
      <c r="G515" s="31">
        <v>45045</v>
      </c>
      <c r="H515" s="30">
        <v>383998</v>
      </c>
      <c r="I515" s="30" t="str">
        <f>IF(Table1[[#This Row],[Centre Status]]="Returned","NA",IF(Table1[[#This Row],[SD]]&gt;19000,"Full Payment",IF(Table1[[#This Row],[SD]]&lt;1,"No Payment","Partial Payment")))</f>
        <v>Partial Payment</v>
      </c>
      <c r="J515" s="30" t="s">
        <v>58</v>
      </c>
      <c r="K515" s="32">
        <v>110000</v>
      </c>
      <c r="L515" s="33">
        <f>Q515+R515+U515+Table1[[#This Row],[Farmer Payment]]</f>
        <v>74245.240517312704</v>
      </c>
      <c r="M515" s="30"/>
      <c r="N515" s="34"/>
      <c r="O515" s="34"/>
      <c r="P515" s="35">
        <f t="shared" si="59"/>
        <v>35754.759482687296</v>
      </c>
      <c r="Q515" s="33">
        <f>AI515+AV515+CK515+Table1[[#This Row],[FY 25-26]]</f>
        <v>69245.240517312704</v>
      </c>
      <c r="R515" s="36">
        <v>5000</v>
      </c>
      <c r="S515" s="37" t="s">
        <v>1099</v>
      </c>
      <c r="T515" s="38">
        <v>44975</v>
      </c>
      <c r="U515" s="39"/>
      <c r="V515" s="39"/>
      <c r="W515" s="40">
        <v>0</v>
      </c>
      <c r="X515" s="40">
        <v>0</v>
      </c>
      <c r="Y515" s="40">
        <v>0</v>
      </c>
      <c r="Z515" s="40">
        <v>0</v>
      </c>
      <c r="AA515" s="40">
        <v>0</v>
      </c>
      <c r="AB515" s="40">
        <v>0</v>
      </c>
      <c r="AC515" s="40">
        <v>0</v>
      </c>
      <c r="AD515" s="40">
        <v>0</v>
      </c>
      <c r="AE515" s="40">
        <v>0</v>
      </c>
      <c r="AF515" s="40">
        <v>0</v>
      </c>
      <c r="AG515" s="40">
        <v>0</v>
      </c>
      <c r="AH515" s="40">
        <v>0</v>
      </c>
      <c r="AI515" s="41">
        <f t="shared" si="60"/>
        <v>0</v>
      </c>
      <c r="AJ515" s="42">
        <v>0</v>
      </c>
      <c r="AK515" s="42">
        <v>1861</v>
      </c>
      <c r="AL515" s="42">
        <v>1861</v>
      </c>
      <c r="AM515" s="42">
        <v>1861</v>
      </c>
      <c r="AN515" s="42">
        <v>1670</v>
      </c>
      <c r="AO515" s="42">
        <v>1861</v>
      </c>
      <c r="AP515" s="42">
        <v>2559.1349999999998</v>
      </c>
      <c r="AQ515" s="42">
        <v>1993.3212000000001</v>
      </c>
      <c r="AR515" s="42">
        <v>2950.7607999999996</v>
      </c>
      <c r="AS515" s="42">
        <v>4646.366</v>
      </c>
      <c r="AT515" s="42">
        <v>5428.5288</v>
      </c>
      <c r="AU515" s="42">
        <v>6231.9641999999994</v>
      </c>
      <c r="AV515" s="42">
        <f t="shared" si="61"/>
        <v>32924.076000000001</v>
      </c>
      <c r="AW515" s="42">
        <v>4900.3838779435773</v>
      </c>
      <c r="AX515" s="42">
        <v>3198.5096778700804</v>
      </c>
      <c r="AY515" s="42">
        <v>2880.1169535820804</v>
      </c>
      <c r="AZ515" s="42">
        <v>3330.1977921561606</v>
      </c>
      <c r="BA515" s="42">
        <v>2001.18873533184</v>
      </c>
      <c r="BB515" s="42">
        <v>0</v>
      </c>
      <c r="BC515" s="42">
        <v>2010.5903525145602</v>
      </c>
      <c r="BD515" s="42">
        <v>0</v>
      </c>
      <c r="BE515" s="42">
        <v>0</v>
      </c>
      <c r="BF515" s="42">
        <v>0</v>
      </c>
      <c r="BG515" s="42">
        <v>0</v>
      </c>
      <c r="BH515" s="42">
        <v>0</v>
      </c>
      <c r="BI515" s="42">
        <v>1861</v>
      </c>
      <c r="BJ515" s="42">
        <v>0</v>
      </c>
      <c r="BK515" s="42">
        <v>0</v>
      </c>
      <c r="BL515" s="42">
        <v>0</v>
      </c>
      <c r="BM515" s="42">
        <v>0</v>
      </c>
      <c r="BN515" s="42">
        <v>2120.2418764155004</v>
      </c>
      <c r="BO515" s="42">
        <v>0</v>
      </c>
      <c r="BP515" s="42">
        <v>0</v>
      </c>
      <c r="BQ515" s="42">
        <v>0</v>
      </c>
      <c r="BR515" s="42">
        <v>0</v>
      </c>
      <c r="BS515" s="42">
        <v>2707.4695266486183</v>
      </c>
      <c r="BT515" s="42">
        <v>0</v>
      </c>
      <c r="BU515" s="42">
        <v>0</v>
      </c>
      <c r="BV515" s="42">
        <v>0</v>
      </c>
      <c r="BW515" s="42">
        <v>0</v>
      </c>
      <c r="BX515" s="42">
        <v>0</v>
      </c>
      <c r="BY515" s="42">
        <v>1861</v>
      </c>
      <c r="BZ515" s="42">
        <v>0</v>
      </c>
      <c r="CA515" s="42">
        <v>0</v>
      </c>
      <c r="CB515" s="42">
        <v>0</v>
      </c>
      <c r="CC515" s="42">
        <v>0</v>
      </c>
      <c r="CD515" s="42">
        <v>2381.8921528051201</v>
      </c>
      <c r="CE515" s="42">
        <v>0</v>
      </c>
      <c r="CF515" s="42">
        <v>0</v>
      </c>
      <c r="CG515" s="42">
        <v>0</v>
      </c>
      <c r="CH515" s="42">
        <v>0</v>
      </c>
      <c r="CI515" s="42">
        <v>0</v>
      </c>
      <c r="CJ515" s="42">
        <v>3069.4561946013255</v>
      </c>
      <c r="CK515" s="43">
        <f t="shared" si="62"/>
        <v>32322.047139868868</v>
      </c>
      <c r="CL515" s="66"/>
      <c r="CM515" s="66">
        <v>0</v>
      </c>
      <c r="CN515" s="66">
        <v>0</v>
      </c>
      <c r="CO515" s="66">
        <v>0</v>
      </c>
      <c r="CP515" s="66">
        <v>2138.1173774438403</v>
      </c>
      <c r="CQ515" s="66">
        <v>0</v>
      </c>
      <c r="CR515" s="66">
        <v>0</v>
      </c>
      <c r="CS515" s="66">
        <v>0</v>
      </c>
      <c r="CT515" s="66">
        <v>0</v>
      </c>
      <c r="CU515" s="66">
        <v>0</v>
      </c>
      <c r="CV515" s="66">
        <v>1861</v>
      </c>
      <c r="CW515" s="66">
        <v>0</v>
      </c>
      <c r="CX515" s="66">
        <v>0</v>
      </c>
      <c r="CY515" s="66">
        <v>0</v>
      </c>
      <c r="CZ515" s="66">
        <v>0</v>
      </c>
      <c r="DA515" s="66"/>
      <c r="DB515" s="66"/>
      <c r="DC515" s="66"/>
      <c r="DD515" s="66"/>
      <c r="DE515" s="66"/>
      <c r="DF515" s="66"/>
      <c r="DG515" s="66"/>
      <c r="DH515" s="66"/>
      <c r="DI515" s="66"/>
      <c r="DJ515" s="66"/>
      <c r="DK515" s="66">
        <f>SUM(Table1[[#This Row],[01-03 Apr]:[Mar-26]])</f>
        <v>3999.1173774438403</v>
      </c>
    </row>
    <row r="516" spans="1:115" hidden="1" x14ac:dyDescent="0.2">
      <c r="A516" s="28" t="s">
        <v>2255</v>
      </c>
      <c r="B516" s="29" t="s">
        <v>1100</v>
      </c>
      <c r="C516" s="29" t="s">
        <v>1101</v>
      </c>
      <c r="D516" s="30" t="s">
        <v>1102</v>
      </c>
      <c r="E516" s="30" t="s">
        <v>177</v>
      </c>
      <c r="F516" s="30"/>
      <c r="G516" s="31" t="s">
        <v>371</v>
      </c>
      <c r="H516" s="30">
        <v>277512</v>
      </c>
      <c r="I516" s="30" t="str">
        <f>IF(Table1[[#This Row],[Centre Status]]="Returned","NA",IF(Table1[[#This Row],[SD]]&gt;19000,"Full Payment",IF(Table1[[#This Row],[SD]]&lt;1,"No Payment","Partial Payment")))</f>
        <v>NA</v>
      </c>
      <c r="J516" s="30" t="s">
        <v>1903</v>
      </c>
      <c r="K516" s="32">
        <v>64000</v>
      </c>
      <c r="L516" s="33">
        <f>Q516+R516+U516+Table1[[#This Row],[Farmer Payment]]</f>
        <v>29510.532200000001</v>
      </c>
      <c r="M516" s="30">
        <f>5000+15000</f>
        <v>20000</v>
      </c>
      <c r="N516" s="34">
        <v>45622</v>
      </c>
      <c r="O516" s="34"/>
      <c r="P516" s="35">
        <f t="shared" si="59"/>
        <v>54489.467799999999</v>
      </c>
      <c r="Q516" s="33">
        <f>AI516+AV516+CK516+Table1[[#This Row],[FY 25-26]]</f>
        <v>24509.532200000001</v>
      </c>
      <c r="R516" s="36">
        <v>5001</v>
      </c>
      <c r="S516" s="37" t="s">
        <v>1103</v>
      </c>
      <c r="T516" s="38">
        <v>44968</v>
      </c>
      <c r="U516" s="39"/>
      <c r="V516" s="39"/>
      <c r="W516" s="40">
        <v>0</v>
      </c>
      <c r="X516" s="40">
        <v>0</v>
      </c>
      <c r="Y516" s="40">
        <v>0</v>
      </c>
      <c r="Z516" s="40">
        <v>0</v>
      </c>
      <c r="AA516" s="40">
        <v>0</v>
      </c>
      <c r="AB516" s="40">
        <v>0</v>
      </c>
      <c r="AC516" s="40">
        <v>0</v>
      </c>
      <c r="AD516" s="40">
        <v>0</v>
      </c>
      <c r="AE516" s="40">
        <v>0</v>
      </c>
      <c r="AF516" s="40">
        <v>0</v>
      </c>
      <c r="AG516" s="40">
        <v>0</v>
      </c>
      <c r="AH516" s="40">
        <v>1157</v>
      </c>
      <c r="AI516" s="41">
        <f t="shared" si="60"/>
        <v>1157</v>
      </c>
      <c r="AJ516" s="42">
        <v>1861</v>
      </c>
      <c r="AK516" s="42">
        <v>2331.7358000000004</v>
      </c>
      <c r="AL516" s="42">
        <v>1998.7801999999999</v>
      </c>
      <c r="AM516" s="42">
        <v>2591.1825999999996</v>
      </c>
      <c r="AN516" s="42">
        <v>2218.2518</v>
      </c>
      <c r="AO516" s="42">
        <v>2049.9962</v>
      </c>
      <c r="AP516" s="42">
        <v>2228.5855999999999</v>
      </c>
      <c r="AQ516" s="42">
        <v>1861</v>
      </c>
      <c r="AR516" s="42">
        <v>1861</v>
      </c>
      <c r="AS516" s="42">
        <v>1259</v>
      </c>
      <c r="AT516" s="42">
        <v>380</v>
      </c>
      <c r="AU516" s="42">
        <v>1449</v>
      </c>
      <c r="AV516" s="42">
        <f t="shared" si="61"/>
        <v>22089.532200000001</v>
      </c>
      <c r="AW516" s="42">
        <v>0</v>
      </c>
      <c r="AX516" s="42">
        <v>56</v>
      </c>
      <c r="AY516" s="42">
        <v>207</v>
      </c>
      <c r="AZ516" s="42">
        <v>0</v>
      </c>
      <c r="BA516" s="42">
        <v>0</v>
      </c>
      <c r="BB516" s="42">
        <v>500</v>
      </c>
      <c r="BC516" s="42">
        <v>0</v>
      </c>
      <c r="BD516" s="42">
        <v>500</v>
      </c>
      <c r="BE516" s="42">
        <v>0</v>
      </c>
      <c r="BF516" s="42">
        <v>0</v>
      </c>
      <c r="BG516" s="42">
        <v>0</v>
      </c>
      <c r="BH516" s="42">
        <v>0</v>
      </c>
      <c r="BI516" s="42">
        <v>0</v>
      </c>
      <c r="BJ516" s="42">
        <v>0</v>
      </c>
      <c r="BK516" s="42">
        <v>0</v>
      </c>
      <c r="BL516" s="42">
        <v>0</v>
      </c>
      <c r="BM516" s="42">
        <v>0</v>
      </c>
      <c r="BN516" s="42">
        <v>0</v>
      </c>
      <c r="BO516" s="42">
        <v>0</v>
      </c>
      <c r="BP516" s="42">
        <v>0</v>
      </c>
      <c r="BQ516" s="42">
        <v>0</v>
      </c>
      <c r="BR516" s="42">
        <v>0</v>
      </c>
      <c r="BS516" s="42">
        <v>0</v>
      </c>
      <c r="BT516" s="42">
        <v>0</v>
      </c>
      <c r="BU516" s="42">
        <v>0</v>
      </c>
      <c r="BV516" s="42">
        <v>0</v>
      </c>
      <c r="BW516" s="42">
        <v>0</v>
      </c>
      <c r="BX516" s="42">
        <v>0</v>
      </c>
      <c r="BY516" s="42">
        <v>0</v>
      </c>
      <c r="BZ516" s="42">
        <v>0</v>
      </c>
      <c r="CA516" s="42">
        <v>0</v>
      </c>
      <c r="CB516" s="42">
        <v>0</v>
      </c>
      <c r="CC516" s="42">
        <v>0</v>
      </c>
      <c r="CD516" s="42">
        <v>0</v>
      </c>
      <c r="CE516" s="42">
        <v>0</v>
      </c>
      <c r="CF516" s="42">
        <v>0</v>
      </c>
      <c r="CG516" s="42">
        <v>0</v>
      </c>
      <c r="CH516" s="42">
        <v>0</v>
      </c>
      <c r="CI516" s="42">
        <v>0</v>
      </c>
      <c r="CJ516" s="42">
        <v>0</v>
      </c>
      <c r="CK516" s="43">
        <f t="shared" si="62"/>
        <v>1263</v>
      </c>
      <c r="CL516" s="66"/>
      <c r="CM516" s="66">
        <v>0</v>
      </c>
      <c r="CN516" s="66">
        <v>0</v>
      </c>
      <c r="CO516" s="66">
        <v>0</v>
      </c>
      <c r="CP516" s="66">
        <v>0</v>
      </c>
      <c r="CQ516" s="66">
        <v>0</v>
      </c>
      <c r="CR516" s="66">
        <v>0</v>
      </c>
      <c r="CS516" s="66">
        <v>0</v>
      </c>
      <c r="CT516" s="66">
        <v>0</v>
      </c>
      <c r="CU516" s="66">
        <v>0</v>
      </c>
      <c r="CV516" s="66">
        <v>0</v>
      </c>
      <c r="CW516" s="66">
        <v>0</v>
      </c>
      <c r="CX516" s="66">
        <v>0</v>
      </c>
      <c r="CY516" s="66">
        <v>0</v>
      </c>
      <c r="CZ516" s="66">
        <v>0</v>
      </c>
      <c r="DA516" s="66"/>
      <c r="DB516" s="66"/>
      <c r="DC516" s="66"/>
      <c r="DD516" s="66"/>
      <c r="DE516" s="66"/>
      <c r="DF516" s="66"/>
      <c r="DG516" s="66"/>
      <c r="DH516" s="66"/>
      <c r="DI516" s="66"/>
      <c r="DJ516" s="66"/>
      <c r="DK516" s="66">
        <f>SUM(Table1[[#This Row],[01-03 Apr]:[Mar-26]])</f>
        <v>0</v>
      </c>
    </row>
    <row r="517" spans="1:115" hidden="1" x14ac:dyDescent="0.2">
      <c r="A517" s="28" t="s">
        <v>2365</v>
      </c>
      <c r="B517" s="29" t="s">
        <v>1104</v>
      </c>
      <c r="C517" s="29" t="s">
        <v>1105</v>
      </c>
      <c r="D517" s="30" t="s">
        <v>1106</v>
      </c>
      <c r="E517" s="30" t="s">
        <v>85</v>
      </c>
      <c r="F517" s="30"/>
      <c r="G517" s="31" t="s">
        <v>371</v>
      </c>
      <c r="H517" s="30">
        <v>361585</v>
      </c>
      <c r="I517" s="30" t="str">
        <f>IF(Table1[[#This Row],[Centre Status]]="Returned","NA",IF(Table1[[#This Row],[SD]]&gt;19000,"Full Payment",IF(Table1[[#This Row],[SD]]&lt;1,"No Payment","Partial Payment")))</f>
        <v>NA</v>
      </c>
      <c r="J517" s="30" t="s">
        <v>1903</v>
      </c>
      <c r="K517" s="32">
        <v>110000</v>
      </c>
      <c r="L517" s="33">
        <f>Q517+R517+U517+Table1[[#This Row],[Farmer Payment]]</f>
        <v>62757.786509376863</v>
      </c>
      <c r="M517" s="30">
        <v>25474</v>
      </c>
      <c r="N517" s="34">
        <v>45647</v>
      </c>
      <c r="O517" s="34" t="s">
        <v>2457</v>
      </c>
      <c r="P517" s="35">
        <f t="shared" si="59"/>
        <v>72716.213490623137</v>
      </c>
      <c r="Q517" s="33">
        <f>AI517+AV517+CK517+Table1[[#This Row],[FY 25-26]]</f>
        <v>42757.786509376863</v>
      </c>
      <c r="R517" s="36">
        <v>20000</v>
      </c>
      <c r="S517" s="37" t="s">
        <v>1107</v>
      </c>
      <c r="T517" s="38">
        <v>44995</v>
      </c>
      <c r="U517" s="39"/>
      <c r="V517" s="39"/>
      <c r="W517" s="40">
        <v>0</v>
      </c>
      <c r="X517" s="40">
        <v>0</v>
      </c>
      <c r="Y517" s="40">
        <v>0</v>
      </c>
      <c r="Z517" s="40">
        <v>0</v>
      </c>
      <c r="AA517" s="40">
        <v>0</v>
      </c>
      <c r="AB517" s="40">
        <v>0</v>
      </c>
      <c r="AC517" s="40">
        <v>0</v>
      </c>
      <c r="AD517" s="40">
        <v>0</v>
      </c>
      <c r="AE517" s="40">
        <v>0</v>
      </c>
      <c r="AF517" s="40">
        <v>0</v>
      </c>
      <c r="AG517" s="40">
        <v>0</v>
      </c>
      <c r="AH517" s="40">
        <v>0</v>
      </c>
      <c r="AI517" s="41">
        <f t="shared" si="60"/>
        <v>0</v>
      </c>
      <c r="AJ517" s="42">
        <v>1861</v>
      </c>
      <c r="AK517" s="42">
        <v>1861</v>
      </c>
      <c r="AL517" s="42">
        <v>1861</v>
      </c>
      <c r="AM517" s="42">
        <v>1861</v>
      </c>
      <c r="AN517" s="42">
        <v>2019.3692000000001</v>
      </c>
      <c r="AO517" s="42">
        <v>3151.2491999999997</v>
      </c>
      <c r="AP517" s="42">
        <v>2669.4652000000001</v>
      </c>
      <c r="AQ517" s="42">
        <v>1861</v>
      </c>
      <c r="AR517" s="42">
        <v>2673.2864000000004</v>
      </c>
      <c r="AS517" s="42">
        <v>3009.0493999999999</v>
      </c>
      <c r="AT517" s="42">
        <v>2204.6358</v>
      </c>
      <c r="AU517" s="42">
        <v>3081.4481999999994</v>
      </c>
      <c r="AV517" s="42">
        <f t="shared" si="61"/>
        <v>28113.503400000001</v>
      </c>
      <c r="AW517" s="42">
        <v>2383.2831093768605</v>
      </c>
      <c r="AX517" s="42">
        <v>1861</v>
      </c>
      <c r="AY517" s="42">
        <v>1861</v>
      </c>
      <c r="AZ517" s="42">
        <v>1861</v>
      </c>
      <c r="BA517" s="42">
        <v>1861</v>
      </c>
      <c r="BB517" s="42">
        <v>0</v>
      </c>
      <c r="BC517" s="42">
        <v>1861</v>
      </c>
      <c r="BD517" s="42">
        <v>0</v>
      </c>
      <c r="BE517" s="42">
        <v>0</v>
      </c>
      <c r="BF517" s="42">
        <v>0</v>
      </c>
      <c r="BG517" s="42">
        <v>0</v>
      </c>
      <c r="BH517" s="42">
        <v>0</v>
      </c>
      <c r="BI517" s="42">
        <v>1205</v>
      </c>
      <c r="BJ517" s="42">
        <v>0</v>
      </c>
      <c r="BK517" s="42">
        <v>0</v>
      </c>
      <c r="BL517" s="42">
        <v>500</v>
      </c>
      <c r="BM517" s="42">
        <v>500</v>
      </c>
      <c r="BN517" s="42">
        <v>251</v>
      </c>
      <c r="BO517" s="42">
        <v>500</v>
      </c>
      <c r="BP517" s="42">
        <v>0</v>
      </c>
      <c r="BQ517" s="42">
        <v>0</v>
      </c>
      <c r="BR517" s="42">
        <v>0</v>
      </c>
      <c r="BS517" s="42">
        <v>0</v>
      </c>
      <c r="BT517" s="42">
        <v>0</v>
      </c>
      <c r="BU517" s="42">
        <v>0</v>
      </c>
      <c r="BV517" s="42">
        <v>0</v>
      </c>
      <c r="BW517" s="42">
        <v>0</v>
      </c>
      <c r="BX517" s="42">
        <v>0</v>
      </c>
      <c r="BY517" s="42">
        <v>0</v>
      </c>
      <c r="BZ517" s="42">
        <v>0</v>
      </c>
      <c r="CA517" s="42">
        <v>0</v>
      </c>
      <c r="CB517" s="42">
        <v>0</v>
      </c>
      <c r="CC517" s="42">
        <v>0</v>
      </c>
      <c r="CD517" s="42">
        <v>0</v>
      </c>
      <c r="CE517" s="42">
        <v>0</v>
      </c>
      <c r="CF517" s="42">
        <v>0</v>
      </c>
      <c r="CG517" s="42">
        <v>0</v>
      </c>
      <c r="CH517" s="42">
        <v>0</v>
      </c>
      <c r="CI517" s="42">
        <v>0</v>
      </c>
      <c r="CJ517" s="42">
        <v>0</v>
      </c>
      <c r="CK517" s="43">
        <f t="shared" si="62"/>
        <v>14644.28310937686</v>
      </c>
      <c r="CL517" s="66"/>
      <c r="CM517" s="66">
        <v>0</v>
      </c>
      <c r="CN517" s="66">
        <v>0</v>
      </c>
      <c r="CO517" s="66">
        <v>0</v>
      </c>
      <c r="CP517" s="66">
        <v>0</v>
      </c>
      <c r="CQ517" s="66">
        <v>0</v>
      </c>
      <c r="CR517" s="66">
        <v>0</v>
      </c>
      <c r="CS517" s="66">
        <v>0</v>
      </c>
      <c r="CT517" s="66">
        <v>0</v>
      </c>
      <c r="CU517" s="66">
        <v>0</v>
      </c>
      <c r="CV517" s="66">
        <v>0</v>
      </c>
      <c r="CW517" s="66">
        <v>0</v>
      </c>
      <c r="CX517" s="66">
        <v>0</v>
      </c>
      <c r="CY517" s="66">
        <v>0</v>
      </c>
      <c r="CZ517" s="66">
        <v>0</v>
      </c>
      <c r="DA517" s="66"/>
      <c r="DB517" s="66"/>
      <c r="DC517" s="66"/>
      <c r="DD517" s="66"/>
      <c r="DE517" s="66"/>
      <c r="DF517" s="66"/>
      <c r="DG517" s="66"/>
      <c r="DH517" s="66"/>
      <c r="DI517" s="66"/>
      <c r="DJ517" s="66"/>
      <c r="DK517" s="66">
        <f>SUM(Table1[[#This Row],[01-03 Apr]:[Mar-26]])</f>
        <v>0</v>
      </c>
    </row>
    <row r="518" spans="1:115" hidden="1" x14ac:dyDescent="0.2">
      <c r="A518" s="28" t="s">
        <v>2365</v>
      </c>
      <c r="B518" s="29" t="s">
        <v>1108</v>
      </c>
      <c r="C518" s="29" t="s">
        <v>1109</v>
      </c>
      <c r="D518" s="30" t="s">
        <v>1110</v>
      </c>
      <c r="E518" s="30" t="s">
        <v>85</v>
      </c>
      <c r="F518" s="30"/>
      <c r="G518" s="31" t="s">
        <v>371</v>
      </c>
      <c r="H518" s="30">
        <v>359784</v>
      </c>
      <c r="I518" s="30" t="str">
        <f>IF(Table1[[#This Row],[Centre Status]]="Returned","NA",IF(Table1[[#This Row],[SD]]&gt;19000,"Full Payment",IF(Table1[[#This Row],[SD]]&lt;1,"No Payment","Partial Payment")))</f>
        <v>Full Payment</v>
      </c>
      <c r="J518" s="30" t="s">
        <v>58</v>
      </c>
      <c r="K518" s="32">
        <v>110000</v>
      </c>
      <c r="L518" s="33">
        <f>Q518+R518+U518+Table1[[#This Row],[Farmer Payment]]</f>
        <v>110000</v>
      </c>
      <c r="M518" s="30"/>
      <c r="N518" s="34"/>
      <c r="O518" s="34"/>
      <c r="P518" s="35">
        <f t="shared" si="59"/>
        <v>0</v>
      </c>
      <c r="Q518" s="33">
        <f>AI518+AV518+CK518+Table1[[#This Row],[FY 25-26]]</f>
        <v>90000</v>
      </c>
      <c r="R518" s="36">
        <v>20000</v>
      </c>
      <c r="S518" s="37" t="s">
        <v>1111</v>
      </c>
      <c r="T518" s="38">
        <v>45001</v>
      </c>
      <c r="U518" s="39"/>
      <c r="V518" s="39"/>
      <c r="W518" s="40">
        <v>0</v>
      </c>
      <c r="X518" s="40">
        <v>0</v>
      </c>
      <c r="Y518" s="40">
        <v>0</v>
      </c>
      <c r="Z518" s="40">
        <v>0</v>
      </c>
      <c r="AA518" s="40">
        <v>0</v>
      </c>
      <c r="AB518" s="40">
        <v>0</v>
      </c>
      <c r="AC518" s="40">
        <v>0</v>
      </c>
      <c r="AD518" s="40">
        <v>0</v>
      </c>
      <c r="AE518" s="40">
        <v>0</v>
      </c>
      <c r="AF518" s="40">
        <v>0</v>
      </c>
      <c r="AG518" s="40">
        <v>0</v>
      </c>
      <c r="AH518" s="40">
        <v>0</v>
      </c>
      <c r="AI518" s="41">
        <f t="shared" si="60"/>
        <v>0</v>
      </c>
      <c r="AJ518" s="42">
        <v>2402.9249999999997</v>
      </c>
      <c r="AK518" s="42">
        <v>3931.3654000000006</v>
      </c>
      <c r="AL518" s="42">
        <v>2949.7324000000003</v>
      </c>
      <c r="AM518" s="42">
        <v>4120.8928000000005</v>
      </c>
      <c r="AN518" s="42">
        <v>3479.06</v>
      </c>
      <c r="AO518" s="42">
        <v>4487.5441999999994</v>
      </c>
      <c r="AP518" s="42">
        <v>5742.1940000000004</v>
      </c>
      <c r="AQ518" s="42">
        <v>4408.5704000000005</v>
      </c>
      <c r="AR518" s="42">
        <v>4926.7356</v>
      </c>
      <c r="AS518" s="42">
        <v>6769.8260000000009</v>
      </c>
      <c r="AT518" s="42">
        <v>7402.8017999999993</v>
      </c>
      <c r="AU518" s="42">
        <v>7036.6376</v>
      </c>
      <c r="AV518" s="42">
        <f t="shared" si="61"/>
        <v>57658.285200000006</v>
      </c>
      <c r="AW518" s="42">
        <v>5995.6980681135901</v>
      </c>
      <c r="AX518" s="42">
        <v>3707.2539545024001</v>
      </c>
      <c r="AY518" s="42">
        <v>3238.3297307194211</v>
      </c>
      <c r="AZ518" s="42">
        <v>3996.2990919265299</v>
      </c>
      <c r="BA518" s="42">
        <v>2033.5284726607852</v>
      </c>
      <c r="BB518" s="42">
        <v>0</v>
      </c>
      <c r="BC518" s="42">
        <v>2576.18339536032</v>
      </c>
      <c r="BD518" s="42">
        <v>0</v>
      </c>
      <c r="BE518" s="42">
        <v>0</v>
      </c>
      <c r="BF518" s="42">
        <v>0</v>
      </c>
      <c r="BG518" s="42">
        <v>0</v>
      </c>
      <c r="BH518" s="42">
        <v>0</v>
      </c>
      <c r="BI518" s="42">
        <v>1869.1498417809921</v>
      </c>
      <c r="BJ518" s="42">
        <v>0</v>
      </c>
      <c r="BK518" s="42">
        <v>0</v>
      </c>
      <c r="BL518" s="42">
        <v>0</v>
      </c>
      <c r="BM518" s="42">
        <v>0</v>
      </c>
      <c r="BN518" s="42">
        <v>2318.0725085568006</v>
      </c>
      <c r="BO518" s="42">
        <v>0</v>
      </c>
      <c r="BP518" s="42">
        <v>0</v>
      </c>
      <c r="BQ518" s="42">
        <v>0</v>
      </c>
      <c r="BR518" s="42">
        <v>0</v>
      </c>
      <c r="BS518" s="42">
        <v>4456.2801698807116</v>
      </c>
      <c r="BT518" s="42">
        <v>0</v>
      </c>
      <c r="BU518" s="42">
        <v>0</v>
      </c>
      <c r="BV518" s="42">
        <v>0</v>
      </c>
      <c r="BW518" s="42">
        <v>0</v>
      </c>
      <c r="BX518" s="42">
        <v>0</v>
      </c>
      <c r="BY518" s="42">
        <v>2150.9195664984436</v>
      </c>
      <c r="BZ518" s="42">
        <v>0</v>
      </c>
      <c r="CA518" s="42">
        <v>0</v>
      </c>
      <c r="CB518" s="42">
        <v>0</v>
      </c>
      <c r="CC518" s="42">
        <v>0</v>
      </c>
      <c r="CD518" s="42">
        <v>0</v>
      </c>
      <c r="CE518" s="42">
        <v>0</v>
      </c>
      <c r="CF518" s="42">
        <v>0</v>
      </c>
      <c r="CG518" s="42">
        <v>0</v>
      </c>
      <c r="CH518" s="42">
        <v>0</v>
      </c>
      <c r="CI518" s="42">
        <v>0</v>
      </c>
      <c r="CJ518" s="42">
        <v>0</v>
      </c>
      <c r="CK518" s="43">
        <f t="shared" si="62"/>
        <v>32341.714799999998</v>
      </c>
      <c r="CL518" s="66"/>
      <c r="CM518" s="66">
        <v>0</v>
      </c>
      <c r="CN518" s="66">
        <v>0</v>
      </c>
      <c r="CO518" s="66">
        <v>0</v>
      </c>
      <c r="CP518" s="66">
        <v>0</v>
      </c>
      <c r="CQ518" s="66">
        <v>0</v>
      </c>
      <c r="CR518" s="66">
        <v>0</v>
      </c>
      <c r="CS518" s="66">
        <v>0</v>
      </c>
      <c r="CT518" s="66">
        <v>0</v>
      </c>
      <c r="CU518" s="66">
        <v>0</v>
      </c>
      <c r="CV518" s="66">
        <v>0</v>
      </c>
      <c r="CW518" s="66">
        <v>0</v>
      </c>
      <c r="CX518" s="66">
        <v>0</v>
      </c>
      <c r="CY518" s="66">
        <v>0</v>
      </c>
      <c r="CZ518" s="66">
        <v>0</v>
      </c>
      <c r="DA518" s="66"/>
      <c r="DB518" s="66"/>
      <c r="DC518" s="66"/>
      <c r="DD518" s="66"/>
      <c r="DE518" s="66"/>
      <c r="DF518" s="66"/>
      <c r="DG518" s="66"/>
      <c r="DH518" s="66"/>
      <c r="DI518" s="66"/>
      <c r="DJ518" s="66"/>
      <c r="DK518" s="66">
        <f>SUM(Table1[[#This Row],[01-03 Apr]:[Mar-26]])</f>
        <v>0</v>
      </c>
    </row>
    <row r="519" spans="1:115" hidden="1" x14ac:dyDescent="0.2">
      <c r="A519" s="28" t="s">
        <v>2365</v>
      </c>
      <c r="B519" s="29" t="s">
        <v>1112</v>
      </c>
      <c r="C519" s="29" t="s">
        <v>1113</v>
      </c>
      <c r="D519" s="30" t="s">
        <v>1114</v>
      </c>
      <c r="E519" s="30" t="s">
        <v>85</v>
      </c>
      <c r="F519" s="30"/>
      <c r="G519" s="31" t="s">
        <v>371</v>
      </c>
      <c r="H519" s="30">
        <v>360116</v>
      </c>
      <c r="I519" s="30" t="str">
        <f>IF(Table1[[#This Row],[Centre Status]]="Returned","NA",IF(Table1[[#This Row],[SD]]&gt;19000,"Full Payment",IF(Table1[[#This Row],[SD]]&lt;1,"No Payment","Partial Payment")))</f>
        <v>NA</v>
      </c>
      <c r="J519" s="30" t="s">
        <v>1903</v>
      </c>
      <c r="K519" s="32">
        <v>110000</v>
      </c>
      <c r="L519" s="33">
        <f>Q519+R519+U519+Table1[[#This Row],[Farmer Payment]]</f>
        <v>32697</v>
      </c>
      <c r="M519" s="30">
        <v>20000</v>
      </c>
      <c r="N519" s="34">
        <v>45634</v>
      </c>
      <c r="O519" s="34" t="s">
        <v>2457</v>
      </c>
      <c r="P519" s="35">
        <f t="shared" si="59"/>
        <v>97303</v>
      </c>
      <c r="Q519" s="33">
        <f>AI519+AV519+CK519+Table1[[#This Row],[FY 25-26]]</f>
        <v>12697</v>
      </c>
      <c r="R519" s="36">
        <v>20000</v>
      </c>
      <c r="S519" s="37" t="s">
        <v>1115</v>
      </c>
      <c r="T519" s="38">
        <v>45001</v>
      </c>
      <c r="U519" s="39"/>
      <c r="V519" s="39"/>
      <c r="W519" s="40">
        <v>0</v>
      </c>
      <c r="X519" s="40">
        <v>0</v>
      </c>
      <c r="Y519" s="40">
        <v>0</v>
      </c>
      <c r="Z519" s="40">
        <v>0</v>
      </c>
      <c r="AA519" s="40">
        <v>0</v>
      </c>
      <c r="AB519" s="40">
        <v>0</v>
      </c>
      <c r="AC519" s="40">
        <v>0</v>
      </c>
      <c r="AD519" s="40">
        <v>0</v>
      </c>
      <c r="AE519" s="40">
        <v>0</v>
      </c>
      <c r="AF519" s="40">
        <v>0</v>
      </c>
      <c r="AG519" s="40">
        <v>0</v>
      </c>
      <c r="AH519" s="40">
        <v>0</v>
      </c>
      <c r="AI519" s="41">
        <f t="shared" si="60"/>
        <v>0</v>
      </c>
      <c r="AJ519" s="42">
        <v>1861</v>
      </c>
      <c r="AK519" s="42">
        <v>1861</v>
      </c>
      <c r="AL519" s="42">
        <v>1861</v>
      </c>
      <c r="AM519" s="42">
        <v>1861</v>
      </c>
      <c r="AN519" s="42">
        <v>1015</v>
      </c>
      <c r="AO519" s="42">
        <v>572</v>
      </c>
      <c r="AP519" s="42">
        <v>1128</v>
      </c>
      <c r="AQ519" s="42">
        <v>805</v>
      </c>
      <c r="AR519" s="42">
        <v>581</v>
      </c>
      <c r="AS519" s="42">
        <v>139</v>
      </c>
      <c r="AT519" s="42">
        <v>259</v>
      </c>
      <c r="AU519" s="42">
        <v>230</v>
      </c>
      <c r="AV519" s="42">
        <f t="shared" si="61"/>
        <v>12173</v>
      </c>
      <c r="AW519" s="42">
        <v>524</v>
      </c>
      <c r="AX519" s="42">
        <v>0</v>
      </c>
      <c r="AY519" s="42">
        <v>0</v>
      </c>
      <c r="AZ519" s="42">
        <v>0</v>
      </c>
      <c r="BA519" s="42">
        <v>0</v>
      </c>
      <c r="BB519" s="42">
        <v>0</v>
      </c>
      <c r="BC519" s="42">
        <v>0</v>
      </c>
      <c r="BD519" s="42">
        <v>0</v>
      </c>
      <c r="BE519" s="42">
        <v>0</v>
      </c>
      <c r="BF519" s="42">
        <v>0</v>
      </c>
      <c r="BG519" s="42">
        <v>0</v>
      </c>
      <c r="BH519" s="42">
        <v>0</v>
      </c>
      <c r="BI519" s="42">
        <v>0</v>
      </c>
      <c r="BJ519" s="42">
        <v>0</v>
      </c>
      <c r="BK519" s="42">
        <v>0</v>
      </c>
      <c r="BL519" s="42">
        <v>0</v>
      </c>
      <c r="BM519" s="42">
        <v>0</v>
      </c>
      <c r="BN519" s="42">
        <v>0</v>
      </c>
      <c r="BO519" s="42">
        <v>0</v>
      </c>
      <c r="BP519" s="42">
        <v>0</v>
      </c>
      <c r="BQ519" s="42">
        <v>0</v>
      </c>
      <c r="BR519" s="42">
        <v>0</v>
      </c>
      <c r="BS519" s="42">
        <v>0</v>
      </c>
      <c r="BT519" s="42">
        <v>0</v>
      </c>
      <c r="BU519" s="42">
        <v>0</v>
      </c>
      <c r="BV519" s="42">
        <v>0</v>
      </c>
      <c r="BW519" s="42">
        <v>0</v>
      </c>
      <c r="BX519" s="42">
        <v>0</v>
      </c>
      <c r="BY519" s="42">
        <v>0</v>
      </c>
      <c r="BZ519" s="42">
        <v>0</v>
      </c>
      <c r="CA519" s="42">
        <v>0</v>
      </c>
      <c r="CB519" s="42">
        <v>0</v>
      </c>
      <c r="CC519" s="42">
        <v>0</v>
      </c>
      <c r="CD519" s="42">
        <v>0</v>
      </c>
      <c r="CE519" s="42">
        <v>0</v>
      </c>
      <c r="CF519" s="42">
        <v>0</v>
      </c>
      <c r="CG519" s="42">
        <v>0</v>
      </c>
      <c r="CH519" s="42">
        <v>0</v>
      </c>
      <c r="CI519" s="42">
        <v>0</v>
      </c>
      <c r="CJ519" s="42">
        <v>0</v>
      </c>
      <c r="CK519" s="43">
        <f t="shared" si="62"/>
        <v>524</v>
      </c>
      <c r="CL519" s="66"/>
      <c r="CM519" s="66">
        <v>0</v>
      </c>
      <c r="CN519" s="66">
        <v>0</v>
      </c>
      <c r="CO519" s="66">
        <v>0</v>
      </c>
      <c r="CP519" s="66">
        <v>0</v>
      </c>
      <c r="CQ519" s="66">
        <v>0</v>
      </c>
      <c r="CR519" s="66">
        <v>0</v>
      </c>
      <c r="CS519" s="66">
        <v>0</v>
      </c>
      <c r="CT519" s="66">
        <v>0</v>
      </c>
      <c r="CU519" s="66">
        <v>0</v>
      </c>
      <c r="CV519" s="66">
        <v>0</v>
      </c>
      <c r="CW519" s="66">
        <v>0</v>
      </c>
      <c r="CX519" s="66">
        <v>0</v>
      </c>
      <c r="CY519" s="66">
        <v>0</v>
      </c>
      <c r="CZ519" s="66">
        <v>0</v>
      </c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>
        <f>SUM(Table1[[#This Row],[01-03 Apr]:[Mar-26]])</f>
        <v>0</v>
      </c>
    </row>
    <row r="520" spans="1:115" x14ac:dyDescent="0.2">
      <c r="A520" s="28" t="s">
        <v>2365</v>
      </c>
      <c r="B520" s="29" t="s">
        <v>1116</v>
      </c>
      <c r="C520" s="29" t="s">
        <v>1117</v>
      </c>
      <c r="D520" s="30" t="s">
        <v>1118</v>
      </c>
      <c r="E520" s="30" t="s">
        <v>85</v>
      </c>
      <c r="F520" s="30"/>
      <c r="G520" s="31" t="s">
        <v>371</v>
      </c>
      <c r="H520" s="30">
        <v>359703</v>
      </c>
      <c r="I520" s="30" t="str">
        <f>IF(Table1[[#This Row],[Centre Status]]="Returned","NA",IF(Table1[[#This Row],[SD]]&gt;19000,"Full Payment",IF(Table1[[#This Row],[SD]]&lt;1,"No Payment","Partial Payment")))</f>
        <v>Partial Payment</v>
      </c>
      <c r="J520" s="30" t="s">
        <v>58</v>
      </c>
      <c r="K520" s="32">
        <v>110000</v>
      </c>
      <c r="L520" s="33">
        <f>Q520+R520+U520+Table1[[#This Row],[Farmer Payment]]</f>
        <v>61742.481863760608</v>
      </c>
      <c r="M520" s="30"/>
      <c r="N520" s="34"/>
      <c r="O520" s="34"/>
      <c r="P520" s="35">
        <f t="shared" si="59"/>
        <v>48257.518136239392</v>
      </c>
      <c r="Q520" s="33">
        <f>AI520+AV520+CK520+Table1[[#This Row],[FY 25-26]]</f>
        <v>51742.481863760608</v>
      </c>
      <c r="R520" s="36">
        <v>10000</v>
      </c>
      <c r="S520" s="37" t="s">
        <v>1119</v>
      </c>
      <c r="T520" s="38">
        <v>45012</v>
      </c>
      <c r="U520" s="39"/>
      <c r="V520" s="39"/>
      <c r="W520" s="40">
        <v>0</v>
      </c>
      <c r="X520" s="40">
        <v>0</v>
      </c>
      <c r="Y520" s="40">
        <v>0</v>
      </c>
      <c r="Z520" s="40">
        <v>0</v>
      </c>
      <c r="AA520" s="40">
        <v>0</v>
      </c>
      <c r="AB520" s="40">
        <v>0</v>
      </c>
      <c r="AC520" s="40">
        <v>0</v>
      </c>
      <c r="AD520" s="40">
        <v>0</v>
      </c>
      <c r="AE520" s="40">
        <v>0</v>
      </c>
      <c r="AF520" s="40">
        <v>0</v>
      </c>
      <c r="AG520" s="40">
        <v>0</v>
      </c>
      <c r="AH520" s="40">
        <v>0</v>
      </c>
      <c r="AI520" s="41">
        <f t="shared" si="60"/>
        <v>0</v>
      </c>
      <c r="AJ520" s="42">
        <v>255</v>
      </c>
      <c r="AK520" s="42">
        <v>230</v>
      </c>
      <c r="AL520" s="42">
        <v>0</v>
      </c>
      <c r="AM520" s="42">
        <v>1733</v>
      </c>
      <c r="AN520" s="42">
        <v>1861</v>
      </c>
      <c r="AO520" s="42">
        <v>1861</v>
      </c>
      <c r="AP520" s="42">
        <v>314</v>
      </c>
      <c r="AQ520" s="42">
        <v>0</v>
      </c>
      <c r="AR520" s="42">
        <v>1253</v>
      </c>
      <c r="AS520" s="42">
        <v>2230.4076</v>
      </c>
      <c r="AT520" s="42">
        <v>3452.9784000000004</v>
      </c>
      <c r="AU520" s="42">
        <v>3479.5946000000004</v>
      </c>
      <c r="AV520" s="42">
        <f t="shared" si="61"/>
        <v>16669.980600000003</v>
      </c>
      <c r="AW520" s="42">
        <v>2391.9052729903278</v>
      </c>
      <c r="AX520" s="42">
        <v>1861</v>
      </c>
      <c r="AY520" s="42">
        <v>833</v>
      </c>
      <c r="AZ520" s="42">
        <v>1936.57482507232</v>
      </c>
      <c r="BA520" s="42">
        <v>1861.5559269524622</v>
      </c>
      <c r="BB520" s="42">
        <v>0</v>
      </c>
      <c r="BC520" s="42">
        <v>2368.0374395219646</v>
      </c>
      <c r="BD520" s="42">
        <v>842</v>
      </c>
      <c r="BE520" s="42">
        <v>0</v>
      </c>
      <c r="BF520" s="42">
        <v>0</v>
      </c>
      <c r="BG520" s="42">
        <v>0</v>
      </c>
      <c r="BH520" s="42">
        <v>0</v>
      </c>
      <c r="BI520" s="42">
        <v>2265.5673795348885</v>
      </c>
      <c r="BJ520" s="42">
        <v>0</v>
      </c>
      <c r="BK520" s="42">
        <v>0</v>
      </c>
      <c r="BL520" s="42">
        <v>0</v>
      </c>
      <c r="BM520" s="42">
        <v>0</v>
      </c>
      <c r="BN520" s="42">
        <v>1861</v>
      </c>
      <c r="BO520" s="42">
        <v>0</v>
      </c>
      <c r="BP520" s="42">
        <v>0</v>
      </c>
      <c r="BQ520" s="42">
        <v>0</v>
      </c>
      <c r="BR520" s="42">
        <v>0</v>
      </c>
      <c r="BS520" s="42">
        <v>3750.0362808160089</v>
      </c>
      <c r="BT520" s="42">
        <v>0</v>
      </c>
      <c r="BU520" s="42">
        <v>0</v>
      </c>
      <c r="BV520" s="42">
        <v>0</v>
      </c>
      <c r="BW520" s="42">
        <v>0</v>
      </c>
      <c r="BX520" s="42">
        <v>0</v>
      </c>
      <c r="BY520" s="42">
        <v>3352.253173706144</v>
      </c>
      <c r="BZ520" s="42">
        <v>0</v>
      </c>
      <c r="CA520" s="42">
        <v>0</v>
      </c>
      <c r="CB520" s="42">
        <v>0</v>
      </c>
      <c r="CC520" s="42">
        <v>0</v>
      </c>
      <c r="CD520" s="42">
        <v>3957.2700126524724</v>
      </c>
      <c r="CE520" s="42">
        <v>0</v>
      </c>
      <c r="CF520" s="42">
        <v>0</v>
      </c>
      <c r="CG520" s="42">
        <v>0</v>
      </c>
      <c r="CH520" s="42">
        <v>0</v>
      </c>
      <c r="CI520" s="42">
        <v>0</v>
      </c>
      <c r="CJ520" s="42">
        <v>3462.9182604806124</v>
      </c>
      <c r="CK520" s="43">
        <f t="shared" si="62"/>
        <v>30743.118571727198</v>
      </c>
      <c r="CL520" s="66"/>
      <c r="CM520" s="66">
        <v>0</v>
      </c>
      <c r="CN520" s="66">
        <v>0</v>
      </c>
      <c r="CO520" s="66">
        <v>0</v>
      </c>
      <c r="CP520" s="66">
        <v>2468.3826920334113</v>
      </c>
      <c r="CQ520" s="66">
        <v>0</v>
      </c>
      <c r="CR520" s="66">
        <v>0</v>
      </c>
      <c r="CS520" s="66">
        <v>0</v>
      </c>
      <c r="CT520" s="66">
        <v>0</v>
      </c>
      <c r="CU520" s="66">
        <v>0</v>
      </c>
      <c r="CV520" s="66">
        <v>1861</v>
      </c>
      <c r="CW520" s="66">
        <v>0</v>
      </c>
      <c r="CX520" s="66">
        <v>0</v>
      </c>
      <c r="CY520" s="66">
        <v>0</v>
      </c>
      <c r="CZ520" s="66">
        <v>0</v>
      </c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>
        <f>SUM(Table1[[#This Row],[01-03 Apr]:[Mar-26]])</f>
        <v>4329.3826920334113</v>
      </c>
    </row>
    <row r="521" spans="1:115" hidden="1" x14ac:dyDescent="0.2">
      <c r="A521" s="28" t="s">
        <v>2255</v>
      </c>
      <c r="B521" s="29" t="s">
        <v>1120</v>
      </c>
      <c r="C521" s="29" t="s">
        <v>1121</v>
      </c>
      <c r="D521" s="30" t="s">
        <v>1122</v>
      </c>
      <c r="E521" s="30" t="s">
        <v>1630</v>
      </c>
      <c r="F521" s="30"/>
      <c r="G521" s="31" t="s">
        <v>371</v>
      </c>
      <c r="H521" s="30">
        <v>277229</v>
      </c>
      <c r="I521" s="30" t="str">
        <f>IF(Table1[[#This Row],[Centre Status]]="Returned","NA",IF(Table1[[#This Row],[SD]]&gt;19000,"Full Payment",IF(Table1[[#This Row],[SD]]&lt;1,"No Payment","Partial Payment")))</f>
        <v>NA</v>
      </c>
      <c r="J521" s="30" t="s">
        <v>1903</v>
      </c>
      <c r="K521" s="32">
        <v>64000</v>
      </c>
      <c r="L521" s="33">
        <f>Q521+R521+U521+Table1[[#This Row],[Farmer Payment]]</f>
        <v>6581</v>
      </c>
      <c r="M521" s="30">
        <v>5000</v>
      </c>
      <c r="N521" s="34">
        <v>45622</v>
      </c>
      <c r="O521" s="34"/>
      <c r="P521" s="35">
        <f t="shared" si="59"/>
        <v>62419</v>
      </c>
      <c r="Q521" s="33">
        <f>AI521+AV521+CK521+Table1[[#This Row],[FY 25-26]]</f>
        <v>1581</v>
      </c>
      <c r="R521" s="36">
        <v>5000</v>
      </c>
      <c r="S521" s="37" t="s">
        <v>1123</v>
      </c>
      <c r="T521" s="38">
        <v>45064</v>
      </c>
      <c r="U521" s="39"/>
      <c r="V521" s="39"/>
      <c r="W521" s="40">
        <v>0</v>
      </c>
      <c r="X521" s="40">
        <v>0</v>
      </c>
      <c r="Y521" s="40">
        <v>0</v>
      </c>
      <c r="Z521" s="40">
        <v>0</v>
      </c>
      <c r="AA521" s="40">
        <v>0</v>
      </c>
      <c r="AB521" s="40">
        <v>0</v>
      </c>
      <c r="AC521" s="40">
        <v>0</v>
      </c>
      <c r="AD521" s="40">
        <v>0</v>
      </c>
      <c r="AE521" s="40">
        <v>0</v>
      </c>
      <c r="AF521" s="40">
        <v>0</v>
      </c>
      <c r="AG521" s="40">
        <v>0</v>
      </c>
      <c r="AH521" s="40">
        <v>0</v>
      </c>
      <c r="AI521" s="41">
        <f t="shared" si="60"/>
        <v>0</v>
      </c>
      <c r="AJ521" s="42">
        <v>0</v>
      </c>
      <c r="AK521" s="42">
        <v>0</v>
      </c>
      <c r="AL521" s="42">
        <v>0</v>
      </c>
      <c r="AM521" s="42">
        <v>0</v>
      </c>
      <c r="AN521" s="42">
        <v>0</v>
      </c>
      <c r="AO521" s="42">
        <v>0</v>
      </c>
      <c r="AP521" s="42">
        <v>0</v>
      </c>
      <c r="AQ521" s="42">
        <v>0</v>
      </c>
      <c r="AR521" s="42">
        <v>444</v>
      </c>
      <c r="AS521" s="42">
        <v>0</v>
      </c>
      <c r="AT521" s="42">
        <v>137</v>
      </c>
      <c r="AU521" s="42">
        <v>0</v>
      </c>
      <c r="AV521" s="42">
        <f t="shared" si="61"/>
        <v>581</v>
      </c>
      <c r="AW521" s="42">
        <v>0</v>
      </c>
      <c r="AX521" s="42">
        <v>0</v>
      </c>
      <c r="AY521" s="42">
        <v>0</v>
      </c>
      <c r="AZ521" s="42">
        <v>0</v>
      </c>
      <c r="BA521" s="42">
        <v>0</v>
      </c>
      <c r="BB521" s="42">
        <v>500</v>
      </c>
      <c r="BC521" s="42">
        <v>0</v>
      </c>
      <c r="BD521" s="42">
        <v>500</v>
      </c>
      <c r="BE521" s="42">
        <v>0</v>
      </c>
      <c r="BF521" s="42">
        <v>0</v>
      </c>
      <c r="BG521" s="42">
        <v>0</v>
      </c>
      <c r="BH521" s="42">
        <v>0</v>
      </c>
      <c r="BI521" s="42">
        <v>0</v>
      </c>
      <c r="BJ521" s="42">
        <v>0</v>
      </c>
      <c r="BK521" s="42">
        <v>0</v>
      </c>
      <c r="BL521" s="42">
        <v>0</v>
      </c>
      <c r="BM521" s="42">
        <v>0</v>
      </c>
      <c r="BN521" s="42">
        <v>0</v>
      </c>
      <c r="BO521" s="42">
        <v>0</v>
      </c>
      <c r="BP521" s="42">
        <v>0</v>
      </c>
      <c r="BQ521" s="42">
        <v>0</v>
      </c>
      <c r="BR521" s="42">
        <v>0</v>
      </c>
      <c r="BS521" s="42">
        <v>0</v>
      </c>
      <c r="BT521" s="42">
        <v>0</v>
      </c>
      <c r="BU521" s="42">
        <v>0</v>
      </c>
      <c r="BV521" s="42">
        <v>0</v>
      </c>
      <c r="BW521" s="42">
        <v>0</v>
      </c>
      <c r="BX521" s="42">
        <v>0</v>
      </c>
      <c r="BY521" s="42">
        <v>0</v>
      </c>
      <c r="BZ521" s="42">
        <v>0</v>
      </c>
      <c r="CA521" s="42">
        <v>0</v>
      </c>
      <c r="CB521" s="42">
        <v>0</v>
      </c>
      <c r="CC521" s="42">
        <v>0</v>
      </c>
      <c r="CD521" s="42">
        <v>0</v>
      </c>
      <c r="CE521" s="42">
        <v>0</v>
      </c>
      <c r="CF521" s="42">
        <v>0</v>
      </c>
      <c r="CG521" s="42">
        <v>0</v>
      </c>
      <c r="CH521" s="42">
        <v>0</v>
      </c>
      <c r="CI521" s="42">
        <v>0</v>
      </c>
      <c r="CJ521" s="42">
        <v>0</v>
      </c>
      <c r="CK521" s="43">
        <f t="shared" si="62"/>
        <v>1000</v>
      </c>
      <c r="CL521" s="66"/>
      <c r="CM521" s="66">
        <v>0</v>
      </c>
      <c r="CN521" s="66">
        <v>0</v>
      </c>
      <c r="CO521" s="66">
        <v>0</v>
      </c>
      <c r="CP521" s="66">
        <v>0</v>
      </c>
      <c r="CQ521" s="66">
        <v>0</v>
      </c>
      <c r="CR521" s="66">
        <v>0</v>
      </c>
      <c r="CS521" s="66">
        <v>0</v>
      </c>
      <c r="CT521" s="66">
        <v>0</v>
      </c>
      <c r="CU521" s="66">
        <v>0</v>
      </c>
      <c r="CV521" s="66">
        <v>0</v>
      </c>
      <c r="CW521" s="66">
        <v>0</v>
      </c>
      <c r="CX521" s="66">
        <v>0</v>
      </c>
      <c r="CY521" s="66">
        <v>0</v>
      </c>
      <c r="CZ521" s="66">
        <v>0</v>
      </c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>
        <f>SUM(Table1[[#This Row],[01-03 Apr]:[Mar-26]])</f>
        <v>0</v>
      </c>
    </row>
    <row r="522" spans="1:115" x14ac:dyDescent="0.2">
      <c r="A522" s="28" t="s">
        <v>2255</v>
      </c>
      <c r="B522" s="29" t="s">
        <v>1124</v>
      </c>
      <c r="C522" s="29" t="s">
        <v>1125</v>
      </c>
      <c r="D522" s="30" t="s">
        <v>1126</v>
      </c>
      <c r="E522" s="30" t="s">
        <v>1630</v>
      </c>
      <c r="F522" s="30"/>
      <c r="G522" s="31" t="s">
        <v>371</v>
      </c>
      <c r="H522" s="30">
        <v>322667</v>
      </c>
      <c r="I522" s="30" t="str">
        <f>IF(Table1[[#This Row],[Centre Status]]="Returned","NA",IF(Table1[[#This Row],[SD]]&gt;19000,"Full Payment",IF(Table1[[#This Row],[SD]]&lt;1,"No Payment","Partial Payment")))</f>
        <v>Partial Payment</v>
      </c>
      <c r="J522" s="30" t="s">
        <v>58</v>
      </c>
      <c r="K522" s="32">
        <v>64000</v>
      </c>
      <c r="L522" s="33">
        <f>Q522+R522+U522+Table1[[#This Row],[Farmer Payment]]</f>
        <v>34032</v>
      </c>
      <c r="M522" s="30"/>
      <c r="N522" s="34"/>
      <c r="O522" s="34"/>
      <c r="P522" s="35">
        <f t="shared" si="59"/>
        <v>29968</v>
      </c>
      <c r="Q522" s="33">
        <f>AI522+AV522+CK522+Table1[[#This Row],[FY 25-26]]</f>
        <v>29032</v>
      </c>
      <c r="R522" s="36">
        <v>5000</v>
      </c>
      <c r="S522" s="37" t="s">
        <v>1127</v>
      </c>
      <c r="T522" s="38">
        <v>45059</v>
      </c>
      <c r="U522" s="39"/>
      <c r="V522" s="39"/>
      <c r="W522" s="40">
        <v>0</v>
      </c>
      <c r="X522" s="40">
        <v>0</v>
      </c>
      <c r="Y522" s="40">
        <v>0</v>
      </c>
      <c r="Z522" s="40">
        <v>0</v>
      </c>
      <c r="AA522" s="40">
        <v>0</v>
      </c>
      <c r="AB522" s="40">
        <v>0</v>
      </c>
      <c r="AC522" s="40">
        <v>0</v>
      </c>
      <c r="AD522" s="40">
        <v>0</v>
      </c>
      <c r="AE522" s="40">
        <v>0</v>
      </c>
      <c r="AF522" s="40">
        <v>0</v>
      </c>
      <c r="AG522" s="40">
        <v>0</v>
      </c>
      <c r="AH522" s="40">
        <v>0</v>
      </c>
      <c r="AI522" s="41">
        <f t="shared" si="60"/>
        <v>0</v>
      </c>
      <c r="AJ522" s="42">
        <v>0</v>
      </c>
      <c r="AK522" s="42">
        <v>170</v>
      </c>
      <c r="AL522" s="42">
        <v>1852</v>
      </c>
      <c r="AM522" s="42">
        <v>1861</v>
      </c>
      <c r="AN522" s="42">
        <v>1035</v>
      </c>
      <c r="AO522" s="42">
        <v>1032</v>
      </c>
      <c r="AP522" s="42">
        <v>800</v>
      </c>
      <c r="AQ522" s="42">
        <v>0</v>
      </c>
      <c r="AR522" s="42">
        <v>0</v>
      </c>
      <c r="AS522" s="42">
        <v>344</v>
      </c>
      <c r="AT522" s="42">
        <v>532</v>
      </c>
      <c r="AU522" s="42">
        <v>0</v>
      </c>
      <c r="AV522" s="42">
        <f t="shared" si="61"/>
        <v>7626</v>
      </c>
      <c r="AW522" s="42">
        <v>0</v>
      </c>
      <c r="AX522" s="42">
        <v>3</v>
      </c>
      <c r="AY522" s="42">
        <v>45</v>
      </c>
      <c r="AZ522" s="42">
        <v>0</v>
      </c>
      <c r="BA522" s="42">
        <v>497</v>
      </c>
      <c r="BB522" s="42">
        <v>500</v>
      </c>
      <c r="BC522" s="42">
        <v>861</v>
      </c>
      <c r="BD522" s="42">
        <v>500</v>
      </c>
      <c r="BE522" s="42">
        <v>500</v>
      </c>
      <c r="BF522" s="42">
        <v>500</v>
      </c>
      <c r="BG522" s="42">
        <v>500</v>
      </c>
      <c r="BH522" s="42">
        <v>500</v>
      </c>
      <c r="BI522" s="42">
        <v>0</v>
      </c>
      <c r="BJ522" s="42">
        <v>500</v>
      </c>
      <c r="BK522" s="42">
        <v>500</v>
      </c>
      <c r="BL522" s="42">
        <v>500</v>
      </c>
      <c r="BM522" s="42">
        <v>500</v>
      </c>
      <c r="BN522" s="42">
        <v>0</v>
      </c>
      <c r="BO522" s="42">
        <v>500</v>
      </c>
      <c r="BP522" s="42">
        <v>500</v>
      </c>
      <c r="BQ522" s="42">
        <v>500</v>
      </c>
      <c r="BR522" s="42">
        <v>500</v>
      </c>
      <c r="BS522" s="42">
        <v>0</v>
      </c>
      <c r="BT522" s="42">
        <v>500</v>
      </c>
      <c r="BU522" s="42">
        <v>500</v>
      </c>
      <c r="BV522" s="42">
        <v>500</v>
      </c>
      <c r="BW522" s="42">
        <v>500</v>
      </c>
      <c r="BX522" s="42">
        <v>500</v>
      </c>
      <c r="BY522" s="42">
        <v>0</v>
      </c>
      <c r="BZ522" s="42">
        <v>500</v>
      </c>
      <c r="CA522" s="42">
        <v>500</v>
      </c>
      <c r="CB522" s="42">
        <v>500</v>
      </c>
      <c r="CC522" s="42">
        <v>500</v>
      </c>
      <c r="CD522" s="42">
        <v>0</v>
      </c>
      <c r="CE522" s="42">
        <v>500</v>
      </c>
      <c r="CF522" s="42">
        <v>500</v>
      </c>
      <c r="CG522" s="42">
        <v>500</v>
      </c>
      <c r="CH522" s="42">
        <v>500</v>
      </c>
      <c r="CI522" s="42">
        <v>500</v>
      </c>
      <c r="CJ522" s="42">
        <v>0</v>
      </c>
      <c r="CK522" s="43">
        <f t="shared" si="62"/>
        <v>15406</v>
      </c>
      <c r="CL522" s="66"/>
      <c r="CM522" s="66">
        <v>500</v>
      </c>
      <c r="CN522" s="66">
        <v>500</v>
      </c>
      <c r="CO522" s="66">
        <v>500</v>
      </c>
      <c r="CP522" s="66">
        <v>0</v>
      </c>
      <c r="CQ522" s="66">
        <v>500</v>
      </c>
      <c r="CR522" s="66">
        <v>500</v>
      </c>
      <c r="CS522" s="66">
        <v>500</v>
      </c>
      <c r="CT522" s="66">
        <v>500</v>
      </c>
      <c r="CU522" s="66">
        <v>500</v>
      </c>
      <c r="CV522" s="66">
        <v>0</v>
      </c>
      <c r="CW522" s="66">
        <v>500</v>
      </c>
      <c r="CX522" s="66">
        <v>500</v>
      </c>
      <c r="CY522" s="66">
        <v>500</v>
      </c>
      <c r="CZ522" s="66">
        <v>500</v>
      </c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>
        <f>SUM(Table1[[#This Row],[01-03 Apr]:[Mar-26]])</f>
        <v>6000</v>
      </c>
    </row>
    <row r="523" spans="1:115" x14ac:dyDescent="0.2">
      <c r="A523" s="28" t="s">
        <v>2365</v>
      </c>
      <c r="B523" s="29" t="s">
        <v>1128</v>
      </c>
      <c r="C523" s="29" t="s">
        <v>3336</v>
      </c>
      <c r="D523" s="30" t="s">
        <v>1129</v>
      </c>
      <c r="E523" s="30" t="s">
        <v>85</v>
      </c>
      <c r="F523" s="30"/>
      <c r="G523" s="31" t="s">
        <v>371</v>
      </c>
      <c r="H523" s="30">
        <v>364754</v>
      </c>
      <c r="I523" s="30" t="str">
        <f>IF(Table1[[#This Row],[Centre Status]]="Returned","NA",IF(Table1[[#This Row],[SD]]&gt;19000,"Full Payment",IF(Table1[[#This Row],[SD]]&lt;1,"No Payment","Partial Payment")))</f>
        <v>Partial Payment</v>
      </c>
      <c r="J523" s="30" t="s">
        <v>58</v>
      </c>
      <c r="K523" s="32">
        <v>110000</v>
      </c>
      <c r="L523" s="33">
        <f>Q523+R523+U523+Table1[[#This Row],[Farmer Payment]]</f>
        <v>12414</v>
      </c>
      <c r="M523" s="30"/>
      <c r="N523" s="34"/>
      <c r="O523" s="34"/>
      <c r="P523" s="35">
        <f t="shared" si="59"/>
        <v>97586</v>
      </c>
      <c r="Q523" s="33">
        <f>AI523+AV523+CK523+Table1[[#This Row],[FY 25-26]]</f>
        <v>2414</v>
      </c>
      <c r="R523" s="36">
        <v>10000</v>
      </c>
      <c r="S523" s="37" t="s">
        <v>1130</v>
      </c>
      <c r="T523" s="38">
        <v>45013</v>
      </c>
      <c r="U523" s="39"/>
      <c r="V523" s="39"/>
      <c r="W523" s="40">
        <v>0</v>
      </c>
      <c r="X523" s="40">
        <v>0</v>
      </c>
      <c r="Y523" s="40">
        <v>0</v>
      </c>
      <c r="Z523" s="40">
        <v>0</v>
      </c>
      <c r="AA523" s="40">
        <v>0</v>
      </c>
      <c r="AB523" s="40">
        <v>0</v>
      </c>
      <c r="AC523" s="40">
        <v>0</v>
      </c>
      <c r="AD523" s="40">
        <v>0</v>
      </c>
      <c r="AE523" s="40">
        <v>0</v>
      </c>
      <c r="AF523" s="40">
        <v>0</v>
      </c>
      <c r="AG523" s="40">
        <v>0</v>
      </c>
      <c r="AH523" s="40">
        <v>0</v>
      </c>
      <c r="AI523" s="41">
        <f t="shared" si="60"/>
        <v>0</v>
      </c>
      <c r="AJ523" s="42">
        <v>1120</v>
      </c>
      <c r="AK523" s="42">
        <v>1294</v>
      </c>
      <c r="AL523" s="42">
        <v>0</v>
      </c>
      <c r="AM523" s="42">
        <v>0</v>
      </c>
      <c r="AN523" s="42">
        <v>0</v>
      </c>
      <c r="AO523" s="42">
        <v>0</v>
      </c>
      <c r="AP523" s="42">
        <v>0</v>
      </c>
      <c r="AQ523" s="42">
        <v>0</v>
      </c>
      <c r="AR523" s="42">
        <v>0</v>
      </c>
      <c r="AS523" s="42">
        <v>0</v>
      </c>
      <c r="AT523" s="42">
        <v>0</v>
      </c>
      <c r="AU523" s="42">
        <v>0</v>
      </c>
      <c r="AV523" s="42">
        <f t="shared" si="61"/>
        <v>2414</v>
      </c>
      <c r="AW523" s="42">
        <v>0</v>
      </c>
      <c r="AX523" s="42">
        <v>0</v>
      </c>
      <c r="AY523" s="42">
        <v>0</v>
      </c>
      <c r="AZ523" s="42">
        <v>0</v>
      </c>
      <c r="BA523" s="42">
        <v>0</v>
      </c>
      <c r="BB523" s="42">
        <v>0</v>
      </c>
      <c r="BC523" s="42">
        <v>0</v>
      </c>
      <c r="BD523" s="42">
        <v>0</v>
      </c>
      <c r="BE523" s="42">
        <v>0</v>
      </c>
      <c r="BF523" s="42">
        <v>0</v>
      </c>
      <c r="BG523" s="42">
        <v>0</v>
      </c>
      <c r="BH523" s="42">
        <v>0</v>
      </c>
      <c r="BI523" s="42">
        <v>0</v>
      </c>
      <c r="BJ523" s="42">
        <v>0</v>
      </c>
      <c r="BK523" s="42">
        <v>0</v>
      </c>
      <c r="BL523" s="42">
        <v>0</v>
      </c>
      <c r="BM523" s="42">
        <v>0</v>
      </c>
      <c r="BN523" s="42">
        <v>0</v>
      </c>
      <c r="BO523" s="42">
        <v>0</v>
      </c>
      <c r="BP523" s="42">
        <v>0</v>
      </c>
      <c r="BQ523" s="42">
        <v>0</v>
      </c>
      <c r="BR523" s="42">
        <v>0</v>
      </c>
      <c r="BS523" s="42">
        <v>0</v>
      </c>
      <c r="BT523" s="42">
        <v>0</v>
      </c>
      <c r="BU523" s="42">
        <v>0</v>
      </c>
      <c r="BV523" s="42">
        <v>0</v>
      </c>
      <c r="BW523" s="42">
        <v>0</v>
      </c>
      <c r="BX523" s="42">
        <v>0</v>
      </c>
      <c r="BY523" s="42">
        <v>0</v>
      </c>
      <c r="BZ523" s="42">
        <v>0</v>
      </c>
      <c r="CA523" s="42">
        <v>0</v>
      </c>
      <c r="CB523" s="42">
        <v>0</v>
      </c>
      <c r="CC523" s="42">
        <v>0</v>
      </c>
      <c r="CD523" s="42">
        <v>0</v>
      </c>
      <c r="CE523" s="42">
        <v>0</v>
      </c>
      <c r="CF523" s="42">
        <v>0</v>
      </c>
      <c r="CG523" s="42">
        <v>0</v>
      </c>
      <c r="CH523" s="42">
        <v>0</v>
      </c>
      <c r="CI523" s="42">
        <v>0</v>
      </c>
      <c r="CJ523" s="42">
        <v>0</v>
      </c>
      <c r="CK523" s="43">
        <f t="shared" si="62"/>
        <v>0</v>
      </c>
      <c r="CL523" s="66"/>
      <c r="CM523" s="66">
        <v>0</v>
      </c>
      <c r="CN523" s="66">
        <v>0</v>
      </c>
      <c r="CO523" s="66">
        <v>0</v>
      </c>
      <c r="CP523" s="66">
        <v>0</v>
      </c>
      <c r="CQ523" s="66">
        <v>0</v>
      </c>
      <c r="CR523" s="66">
        <v>0</v>
      </c>
      <c r="CS523" s="66">
        <v>0</v>
      </c>
      <c r="CT523" s="66">
        <v>0</v>
      </c>
      <c r="CU523" s="66">
        <v>0</v>
      </c>
      <c r="CV523" s="66">
        <v>0</v>
      </c>
      <c r="CW523" s="66">
        <v>0</v>
      </c>
      <c r="CX523" s="66">
        <v>0</v>
      </c>
      <c r="CY523" s="66">
        <v>0</v>
      </c>
      <c r="CZ523" s="66">
        <v>0</v>
      </c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>
        <f>SUM(Table1[[#This Row],[01-03 Apr]:[Mar-26]])</f>
        <v>0</v>
      </c>
    </row>
    <row r="524" spans="1:115" x14ac:dyDescent="0.2">
      <c r="A524" s="28" t="s">
        <v>2365</v>
      </c>
      <c r="B524" s="29" t="s">
        <v>1131</v>
      </c>
      <c r="C524" s="29" t="s">
        <v>1132</v>
      </c>
      <c r="D524" s="30" t="s">
        <v>1133</v>
      </c>
      <c r="E524" s="30" t="s">
        <v>85</v>
      </c>
      <c r="F524" s="30"/>
      <c r="G524" s="31" t="s">
        <v>371</v>
      </c>
      <c r="H524" s="30">
        <v>358573</v>
      </c>
      <c r="I524" s="30" t="str">
        <f>IF(Table1[[#This Row],[Centre Status]]="Returned","NA",IF(Table1[[#This Row],[SD]]&gt;19000,"Full Payment",IF(Table1[[#This Row],[SD]]&lt;1,"No Payment","Partial Payment")))</f>
        <v>Partial Payment</v>
      </c>
      <c r="J524" s="30" t="s">
        <v>58</v>
      </c>
      <c r="K524" s="32">
        <v>110000</v>
      </c>
      <c r="L524" s="33">
        <f>Q524+R524+U524+Table1[[#This Row],[Farmer Payment]]</f>
        <v>110000</v>
      </c>
      <c r="M524" s="30"/>
      <c r="N524" s="34"/>
      <c r="O524" s="34"/>
      <c r="P524" s="35">
        <f t="shared" si="59"/>
        <v>0</v>
      </c>
      <c r="Q524" s="33">
        <f>AI524+AV524+CK524+Table1[[#This Row],[FY 25-26]]</f>
        <v>100500</v>
      </c>
      <c r="R524" s="36">
        <f>5500+4000</f>
        <v>9500</v>
      </c>
      <c r="S524" s="37" t="s">
        <v>2559</v>
      </c>
      <c r="T524" s="38">
        <v>45015</v>
      </c>
      <c r="U524" s="39"/>
      <c r="V524" s="39"/>
      <c r="W524" s="40">
        <v>0</v>
      </c>
      <c r="X524" s="40">
        <v>0</v>
      </c>
      <c r="Y524" s="40">
        <v>0</v>
      </c>
      <c r="Z524" s="40">
        <v>0</v>
      </c>
      <c r="AA524" s="40">
        <v>0</v>
      </c>
      <c r="AB524" s="40">
        <v>0</v>
      </c>
      <c r="AC524" s="40">
        <v>0</v>
      </c>
      <c r="AD524" s="40">
        <v>0</v>
      </c>
      <c r="AE524" s="40">
        <v>0</v>
      </c>
      <c r="AF524" s="40">
        <v>0</v>
      </c>
      <c r="AG524" s="40">
        <v>0</v>
      </c>
      <c r="AH524" s="40">
        <v>0</v>
      </c>
      <c r="AI524" s="41">
        <f t="shared" si="60"/>
        <v>0</v>
      </c>
      <c r="AJ524" s="42">
        <v>1861</v>
      </c>
      <c r="AK524" s="42">
        <v>3292.2420000000002</v>
      </c>
      <c r="AL524" s="42">
        <v>3164.3015999999998</v>
      </c>
      <c r="AM524" s="42">
        <v>4416.7482</v>
      </c>
      <c r="AN524" s="42">
        <v>3409.317</v>
      </c>
      <c r="AO524" s="42">
        <v>3770.3408000000004</v>
      </c>
      <c r="AP524" s="42">
        <v>6078.6</v>
      </c>
      <c r="AQ524" s="42">
        <v>6035.5344000000005</v>
      </c>
      <c r="AR524" s="42">
        <v>6197.6545999999998</v>
      </c>
      <c r="AS524" s="42">
        <v>8014.9093999999996</v>
      </c>
      <c r="AT524" s="42">
        <v>8911.9966000000022</v>
      </c>
      <c r="AU524" s="42">
        <v>8727.4012000000002</v>
      </c>
      <c r="AV524" s="42">
        <f t="shared" si="61"/>
        <v>63880.0458</v>
      </c>
      <c r="AW524" s="42">
        <v>8753.1573182976008</v>
      </c>
      <c r="AX524" s="42">
        <v>6923.4723487488018</v>
      </c>
      <c r="AY524" s="42">
        <v>6463.4702677247997</v>
      </c>
      <c r="AZ524" s="42">
        <v>7809.5786068223997</v>
      </c>
      <c r="BA524" s="42">
        <v>6436.7642968494793</v>
      </c>
      <c r="BB524" s="42">
        <v>0</v>
      </c>
      <c r="BC524" s="42">
        <v>233.51136155691347</v>
      </c>
      <c r="BD524" s="42">
        <v>0</v>
      </c>
      <c r="BE524" s="42">
        <v>0</v>
      </c>
      <c r="BF524" s="42">
        <v>0</v>
      </c>
      <c r="BG524" s="42">
        <v>0</v>
      </c>
      <c r="BH524" s="42">
        <v>0</v>
      </c>
      <c r="BI524" s="42">
        <v>0</v>
      </c>
      <c r="BJ524" s="42">
        <v>0</v>
      </c>
      <c r="BK524" s="42">
        <v>0</v>
      </c>
      <c r="BL524" s="42">
        <v>0</v>
      </c>
      <c r="BM524" s="42">
        <v>0</v>
      </c>
      <c r="BN524" s="42">
        <v>0</v>
      </c>
      <c r="BO524" s="42">
        <v>0</v>
      </c>
      <c r="BP524" s="42">
        <v>0</v>
      </c>
      <c r="BQ524" s="42">
        <v>0</v>
      </c>
      <c r="BR524" s="42">
        <v>0</v>
      </c>
      <c r="BS524" s="42">
        <v>0</v>
      </c>
      <c r="BT524" s="42">
        <v>0</v>
      </c>
      <c r="BU524" s="42">
        <v>0</v>
      </c>
      <c r="BV524" s="42">
        <v>0</v>
      </c>
      <c r="BW524" s="42">
        <v>0</v>
      </c>
      <c r="BX524" s="42">
        <v>0</v>
      </c>
      <c r="BY524" s="42">
        <v>0</v>
      </c>
      <c r="BZ524" s="42">
        <v>0</v>
      </c>
      <c r="CA524" s="42">
        <v>0</v>
      </c>
      <c r="CB524" s="42">
        <v>0</v>
      </c>
      <c r="CC524" s="42">
        <v>0</v>
      </c>
      <c r="CD524" s="42">
        <v>0</v>
      </c>
      <c r="CE524" s="42">
        <v>0</v>
      </c>
      <c r="CF524" s="42">
        <v>0</v>
      </c>
      <c r="CG524" s="42">
        <v>0</v>
      </c>
      <c r="CH524" s="42">
        <v>0</v>
      </c>
      <c r="CI524" s="42">
        <v>0</v>
      </c>
      <c r="CJ524" s="42">
        <v>0</v>
      </c>
      <c r="CK524" s="43">
        <f t="shared" si="62"/>
        <v>36619.954199999993</v>
      </c>
      <c r="CL524" s="66"/>
      <c r="CM524" s="66">
        <v>0</v>
      </c>
      <c r="CN524" s="66">
        <v>0</v>
      </c>
      <c r="CO524" s="66">
        <v>0</v>
      </c>
      <c r="CP524" s="66">
        <v>0</v>
      </c>
      <c r="CQ524" s="66">
        <v>0</v>
      </c>
      <c r="CR524" s="66">
        <v>0</v>
      </c>
      <c r="CS524" s="66">
        <v>0</v>
      </c>
      <c r="CT524" s="66">
        <v>0</v>
      </c>
      <c r="CU524" s="66">
        <v>0</v>
      </c>
      <c r="CV524" s="66">
        <v>0</v>
      </c>
      <c r="CW524" s="66">
        <v>0</v>
      </c>
      <c r="CX524" s="66">
        <v>0</v>
      </c>
      <c r="CY524" s="66">
        <v>0</v>
      </c>
      <c r="CZ524" s="66">
        <v>0</v>
      </c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>
        <f>SUM(Table1[[#This Row],[01-03 Apr]:[Mar-26]])</f>
        <v>0</v>
      </c>
    </row>
    <row r="525" spans="1:115" x14ac:dyDescent="0.2">
      <c r="A525" s="28" t="s">
        <v>2365</v>
      </c>
      <c r="B525" s="29" t="s">
        <v>1134</v>
      </c>
      <c r="C525" s="29" t="s">
        <v>1135</v>
      </c>
      <c r="D525" s="30" t="s">
        <v>1136</v>
      </c>
      <c r="E525" s="30" t="s">
        <v>85</v>
      </c>
      <c r="F525" s="30"/>
      <c r="G525" s="31" t="s">
        <v>371</v>
      </c>
      <c r="H525" s="30">
        <v>359890</v>
      </c>
      <c r="I525" s="30" t="str">
        <f>IF(Table1[[#This Row],[Centre Status]]="Returned","NA",IF(Table1[[#This Row],[SD]]&gt;19000,"Full Payment",IF(Table1[[#This Row],[SD]]&lt;1,"No Payment","Partial Payment")))</f>
        <v>Partial Payment</v>
      </c>
      <c r="J525" s="30" t="s">
        <v>58</v>
      </c>
      <c r="K525" s="32">
        <v>110000</v>
      </c>
      <c r="L525" s="33">
        <f>Q525+R525+U525+Table1[[#This Row],[Farmer Payment]]</f>
        <v>29575</v>
      </c>
      <c r="M525" s="30"/>
      <c r="N525" s="34"/>
      <c r="O525" s="34"/>
      <c r="P525" s="35">
        <f t="shared" si="59"/>
        <v>80425</v>
      </c>
      <c r="Q525" s="33">
        <f>AI525+AV525+CK525+Table1[[#This Row],[FY 25-26]]</f>
        <v>24575</v>
      </c>
      <c r="R525" s="36">
        <v>5000</v>
      </c>
      <c r="S525" s="37" t="s">
        <v>1137</v>
      </c>
      <c r="T525" s="38">
        <v>45010</v>
      </c>
      <c r="U525" s="39"/>
      <c r="V525" s="39"/>
      <c r="W525" s="40">
        <v>0</v>
      </c>
      <c r="X525" s="40">
        <v>0</v>
      </c>
      <c r="Y525" s="40">
        <v>0</v>
      </c>
      <c r="Z525" s="40">
        <v>0</v>
      </c>
      <c r="AA525" s="40">
        <v>0</v>
      </c>
      <c r="AB525" s="40">
        <v>0</v>
      </c>
      <c r="AC525" s="40">
        <v>0</v>
      </c>
      <c r="AD525" s="40">
        <v>0</v>
      </c>
      <c r="AE525" s="40">
        <v>0</v>
      </c>
      <c r="AF525" s="40">
        <v>0</v>
      </c>
      <c r="AG525" s="40">
        <v>0</v>
      </c>
      <c r="AH525" s="40">
        <v>0</v>
      </c>
      <c r="AI525" s="41">
        <f t="shared" si="60"/>
        <v>0</v>
      </c>
      <c r="AJ525" s="42">
        <v>1861</v>
      </c>
      <c r="AK525" s="42">
        <v>1861</v>
      </c>
      <c r="AL525" s="42">
        <v>0</v>
      </c>
      <c r="AM525" s="42">
        <v>747</v>
      </c>
      <c r="AN525" s="42">
        <v>0</v>
      </c>
      <c r="AO525" s="42">
        <v>0</v>
      </c>
      <c r="AP525" s="42">
        <v>0</v>
      </c>
      <c r="AQ525" s="42">
        <v>0</v>
      </c>
      <c r="AR525" s="42">
        <v>606</v>
      </c>
      <c r="AS525" s="42">
        <v>0</v>
      </c>
      <c r="AT525" s="42">
        <v>0</v>
      </c>
      <c r="AU525" s="42">
        <v>0</v>
      </c>
      <c r="AV525" s="42">
        <f t="shared" si="61"/>
        <v>5075</v>
      </c>
      <c r="AW525" s="42">
        <v>0</v>
      </c>
      <c r="AX525" s="42">
        <v>0</v>
      </c>
      <c r="AY525" s="42">
        <v>0</v>
      </c>
      <c r="AZ525" s="42">
        <v>0</v>
      </c>
      <c r="BA525" s="42">
        <v>0</v>
      </c>
      <c r="BB525" s="42">
        <v>500</v>
      </c>
      <c r="BC525" s="42">
        <v>0</v>
      </c>
      <c r="BD525" s="42">
        <v>500</v>
      </c>
      <c r="BE525" s="42">
        <v>500</v>
      </c>
      <c r="BF525" s="42">
        <v>500</v>
      </c>
      <c r="BG525" s="42">
        <v>500</v>
      </c>
      <c r="BH525" s="42">
        <v>500</v>
      </c>
      <c r="BI525" s="42">
        <v>0</v>
      </c>
      <c r="BJ525" s="42">
        <v>500</v>
      </c>
      <c r="BK525" s="42">
        <v>500</v>
      </c>
      <c r="BL525" s="42">
        <v>500</v>
      </c>
      <c r="BM525" s="42">
        <v>500</v>
      </c>
      <c r="BN525" s="42">
        <v>0</v>
      </c>
      <c r="BO525" s="42">
        <v>500</v>
      </c>
      <c r="BP525" s="42">
        <v>500</v>
      </c>
      <c r="BQ525" s="42">
        <v>500</v>
      </c>
      <c r="BR525" s="42">
        <v>500</v>
      </c>
      <c r="BS525" s="42">
        <v>0</v>
      </c>
      <c r="BT525" s="42">
        <v>500</v>
      </c>
      <c r="BU525" s="42">
        <v>500</v>
      </c>
      <c r="BV525" s="42">
        <v>500</v>
      </c>
      <c r="BW525" s="42">
        <v>0</v>
      </c>
      <c r="BX525" s="42">
        <v>500</v>
      </c>
      <c r="BY525" s="42">
        <v>0</v>
      </c>
      <c r="BZ525" s="42">
        <v>500</v>
      </c>
      <c r="CA525" s="42">
        <v>500</v>
      </c>
      <c r="CB525" s="42">
        <v>500</v>
      </c>
      <c r="CC525" s="42">
        <v>500</v>
      </c>
      <c r="CD525" s="42">
        <v>0</v>
      </c>
      <c r="CE525" s="42">
        <v>500</v>
      </c>
      <c r="CF525" s="42">
        <v>500</v>
      </c>
      <c r="CG525" s="42">
        <v>500</v>
      </c>
      <c r="CH525" s="42">
        <v>500</v>
      </c>
      <c r="CI525" s="42">
        <v>500</v>
      </c>
      <c r="CJ525" s="42">
        <v>0</v>
      </c>
      <c r="CK525" s="43">
        <f t="shared" si="62"/>
        <v>13500</v>
      </c>
      <c r="CL525" s="66"/>
      <c r="CM525" s="66">
        <v>500</v>
      </c>
      <c r="CN525" s="66">
        <v>500</v>
      </c>
      <c r="CO525" s="66">
        <v>500</v>
      </c>
      <c r="CP525" s="66">
        <v>0</v>
      </c>
      <c r="CQ525" s="66">
        <v>500</v>
      </c>
      <c r="CR525" s="66">
        <v>500</v>
      </c>
      <c r="CS525" s="66">
        <v>500</v>
      </c>
      <c r="CT525" s="66">
        <v>500</v>
      </c>
      <c r="CU525" s="66">
        <v>500</v>
      </c>
      <c r="CV525" s="66">
        <v>0</v>
      </c>
      <c r="CW525" s="66">
        <v>500</v>
      </c>
      <c r="CX525" s="66">
        <v>500</v>
      </c>
      <c r="CY525" s="66">
        <v>500</v>
      </c>
      <c r="CZ525" s="66">
        <v>500</v>
      </c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>
        <f>SUM(Table1[[#This Row],[01-03 Apr]:[Mar-26]])</f>
        <v>6000</v>
      </c>
    </row>
    <row r="526" spans="1:115" x14ac:dyDescent="0.2">
      <c r="A526" s="28" t="s">
        <v>2365</v>
      </c>
      <c r="B526" s="29" t="s">
        <v>1138</v>
      </c>
      <c r="C526" s="29" t="s">
        <v>1139</v>
      </c>
      <c r="D526" s="30" t="s">
        <v>1140</v>
      </c>
      <c r="E526" s="30" t="s">
        <v>85</v>
      </c>
      <c r="F526" s="30"/>
      <c r="G526" s="31" t="s">
        <v>371</v>
      </c>
      <c r="H526" s="30">
        <v>359093</v>
      </c>
      <c r="I526" s="30" t="str">
        <f>IF(Table1[[#This Row],[Centre Status]]="Returned","NA",IF(Table1[[#This Row],[SD]]&gt;19000,"Full Payment",IF(Table1[[#This Row],[SD]]&lt;1,"No Payment","Partial Payment")))</f>
        <v>Partial Payment</v>
      </c>
      <c r="J526" s="30" t="s">
        <v>58</v>
      </c>
      <c r="K526" s="32">
        <v>110000</v>
      </c>
      <c r="L526" s="33">
        <f>Q526+R526+U526+Table1[[#This Row],[Farmer Payment]]</f>
        <v>98351.603239554694</v>
      </c>
      <c r="M526" s="30"/>
      <c r="N526" s="34"/>
      <c r="O526" s="34"/>
      <c r="P526" s="35">
        <f t="shared" si="59"/>
        <v>11648.396760445306</v>
      </c>
      <c r="Q526" s="33">
        <f>AI526+AV526+CK526+Table1[[#This Row],[FY 25-26]]</f>
        <v>88351.603239554694</v>
      </c>
      <c r="R526" s="36">
        <v>10000</v>
      </c>
      <c r="S526" s="37" t="s">
        <v>1141</v>
      </c>
      <c r="T526" s="38">
        <v>44985</v>
      </c>
      <c r="U526" s="39"/>
      <c r="V526" s="39"/>
      <c r="W526" s="40">
        <v>0</v>
      </c>
      <c r="X526" s="40">
        <v>0</v>
      </c>
      <c r="Y526" s="40">
        <v>0</v>
      </c>
      <c r="Z526" s="40">
        <v>0</v>
      </c>
      <c r="AA526" s="40">
        <v>0</v>
      </c>
      <c r="AB526" s="40">
        <v>0</v>
      </c>
      <c r="AC526" s="40">
        <v>0</v>
      </c>
      <c r="AD526" s="40">
        <v>0</v>
      </c>
      <c r="AE526" s="40">
        <v>0</v>
      </c>
      <c r="AF526" s="40">
        <v>0</v>
      </c>
      <c r="AG526" s="40">
        <v>0</v>
      </c>
      <c r="AH526" s="40">
        <v>1861</v>
      </c>
      <c r="AI526" s="41">
        <f t="shared" si="60"/>
        <v>1861</v>
      </c>
      <c r="AJ526" s="42">
        <v>2147.8964000000001</v>
      </c>
      <c r="AK526" s="42">
        <v>3880.8108000000002</v>
      </c>
      <c r="AL526" s="42">
        <v>3086.2644000000005</v>
      </c>
      <c r="AM526" s="42">
        <v>5476.4181999999992</v>
      </c>
      <c r="AN526" s="42">
        <v>4338.5740000000005</v>
      </c>
      <c r="AO526" s="42">
        <v>3261.2446000000004</v>
      </c>
      <c r="AP526" s="42">
        <v>3789.6974</v>
      </c>
      <c r="AQ526" s="42">
        <v>2235.5978000000005</v>
      </c>
      <c r="AR526" s="42">
        <v>2729.1034000000004</v>
      </c>
      <c r="AS526" s="42">
        <v>4530.3571999999995</v>
      </c>
      <c r="AT526" s="42">
        <v>5580.6596</v>
      </c>
      <c r="AU526" s="42">
        <v>4803.3532000000005</v>
      </c>
      <c r="AV526" s="42">
        <f t="shared" si="61"/>
        <v>45859.976999999999</v>
      </c>
      <c r="AW526" s="42">
        <v>3283.204529160224</v>
      </c>
      <c r="AX526" s="42">
        <v>2869.5290585681028</v>
      </c>
      <c r="AY526" s="42">
        <v>2668.1225901218709</v>
      </c>
      <c r="AZ526" s="42">
        <v>3619.7671211478464</v>
      </c>
      <c r="BA526" s="42">
        <v>2790.6445371751806</v>
      </c>
      <c r="BB526" s="42">
        <v>0</v>
      </c>
      <c r="BC526" s="42">
        <v>3871.0369047029671</v>
      </c>
      <c r="BD526" s="42">
        <v>0</v>
      </c>
      <c r="BE526" s="42">
        <v>0</v>
      </c>
      <c r="BF526" s="42">
        <v>0</v>
      </c>
      <c r="BG526" s="42">
        <v>0</v>
      </c>
      <c r="BH526" s="42">
        <v>0</v>
      </c>
      <c r="BI526" s="42">
        <v>2510.3913624478328</v>
      </c>
      <c r="BJ526" s="42">
        <v>0</v>
      </c>
      <c r="BK526" s="42">
        <v>0</v>
      </c>
      <c r="BL526" s="42">
        <v>0</v>
      </c>
      <c r="BM526" s="42">
        <v>0</v>
      </c>
      <c r="BN526" s="42">
        <v>1861</v>
      </c>
      <c r="BO526" s="42">
        <v>0</v>
      </c>
      <c r="BP526" s="42">
        <v>0</v>
      </c>
      <c r="BQ526" s="42">
        <v>0</v>
      </c>
      <c r="BR526" s="42">
        <v>0</v>
      </c>
      <c r="BS526" s="42">
        <v>3417.0646913793485</v>
      </c>
      <c r="BT526" s="42">
        <v>0</v>
      </c>
      <c r="BU526" s="42">
        <v>0</v>
      </c>
      <c r="BV526" s="42">
        <v>0</v>
      </c>
      <c r="BW526" s="42">
        <v>0</v>
      </c>
      <c r="BX526" s="42">
        <v>0</v>
      </c>
      <c r="BY526" s="42">
        <v>3684.5522842844025</v>
      </c>
      <c r="BZ526" s="42">
        <v>0</v>
      </c>
      <c r="CA526" s="42">
        <v>0</v>
      </c>
      <c r="CB526" s="42">
        <v>0</v>
      </c>
      <c r="CC526" s="42">
        <v>0</v>
      </c>
      <c r="CD526" s="42">
        <v>3534.7527179246845</v>
      </c>
      <c r="CE526" s="42">
        <v>0</v>
      </c>
      <c r="CF526" s="42">
        <v>0</v>
      </c>
      <c r="CG526" s="42">
        <v>0</v>
      </c>
      <c r="CH526" s="42">
        <v>0</v>
      </c>
      <c r="CI526" s="42">
        <v>0</v>
      </c>
      <c r="CJ526" s="42">
        <v>3316.840513705914</v>
      </c>
      <c r="CK526" s="43">
        <f t="shared" si="62"/>
        <v>37426.906310618382</v>
      </c>
      <c r="CL526" s="66"/>
      <c r="CM526" s="66">
        <v>0</v>
      </c>
      <c r="CN526" s="66">
        <v>0</v>
      </c>
      <c r="CO526" s="66">
        <v>0</v>
      </c>
      <c r="CP526" s="66">
        <v>2335.719928936318</v>
      </c>
      <c r="CQ526" s="66">
        <v>0</v>
      </c>
      <c r="CR526" s="66">
        <v>0</v>
      </c>
      <c r="CS526" s="66">
        <v>0</v>
      </c>
      <c r="CT526" s="66">
        <v>0</v>
      </c>
      <c r="CU526" s="66">
        <v>0</v>
      </c>
      <c r="CV526" s="66">
        <v>868</v>
      </c>
      <c r="CW526" s="66">
        <v>0</v>
      </c>
      <c r="CX526" s="66">
        <v>0</v>
      </c>
      <c r="CY526" s="66">
        <v>0</v>
      </c>
      <c r="CZ526" s="66">
        <v>0</v>
      </c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>
        <f>SUM(Table1[[#This Row],[01-03 Apr]:[Mar-26]])</f>
        <v>3203.719928936318</v>
      </c>
    </row>
    <row r="527" spans="1:115" hidden="1" x14ac:dyDescent="0.2">
      <c r="A527" s="28" t="s">
        <v>2365</v>
      </c>
      <c r="B527" s="29" t="s">
        <v>1142</v>
      </c>
      <c r="C527" s="29" t="s">
        <v>1143</v>
      </c>
      <c r="D527" s="30" t="s">
        <v>1144</v>
      </c>
      <c r="E527" s="30" t="s">
        <v>85</v>
      </c>
      <c r="F527" s="30"/>
      <c r="G527" s="31" t="s">
        <v>371</v>
      </c>
      <c r="H527" s="30">
        <v>359436</v>
      </c>
      <c r="I527" s="30" t="str">
        <f>IF(Table1[[#This Row],[Centre Status]]="Returned","NA",IF(Table1[[#This Row],[SD]]&gt;19000,"Full Payment",IF(Table1[[#This Row],[SD]]&lt;1,"No Payment","Partial Payment")))</f>
        <v>NA</v>
      </c>
      <c r="J527" s="30" t="s">
        <v>1903</v>
      </c>
      <c r="K527" s="32">
        <v>110000</v>
      </c>
      <c r="L527" s="33">
        <f>Q527+R527+U527+Table1[[#This Row],[Farmer Payment]]</f>
        <v>50392.563800000004</v>
      </c>
      <c r="M527" s="30">
        <v>20000</v>
      </c>
      <c r="N527" s="34">
        <v>45691</v>
      </c>
      <c r="O527" s="34" t="s">
        <v>3156</v>
      </c>
      <c r="P527" s="35">
        <f t="shared" si="59"/>
        <v>79607.436199999996</v>
      </c>
      <c r="Q527" s="33">
        <f>AI527+AV527+CK527+Table1[[#This Row],[FY 25-26]]</f>
        <v>30392.5638</v>
      </c>
      <c r="R527" s="36">
        <v>20000</v>
      </c>
      <c r="S527" s="37" t="s">
        <v>1145</v>
      </c>
      <c r="T527" s="38">
        <v>44987</v>
      </c>
      <c r="U527" s="39"/>
      <c r="V527" s="39"/>
      <c r="W527" s="40">
        <v>0</v>
      </c>
      <c r="X527" s="40">
        <v>0</v>
      </c>
      <c r="Y527" s="40">
        <v>0</v>
      </c>
      <c r="Z527" s="40">
        <v>0</v>
      </c>
      <c r="AA527" s="40">
        <v>0</v>
      </c>
      <c r="AB527" s="40">
        <v>0</v>
      </c>
      <c r="AC527" s="40">
        <v>0</v>
      </c>
      <c r="AD527" s="40">
        <v>0</v>
      </c>
      <c r="AE527" s="40">
        <v>0</v>
      </c>
      <c r="AF527" s="40">
        <v>0</v>
      </c>
      <c r="AG527" s="40">
        <v>0</v>
      </c>
      <c r="AH527" s="40">
        <v>1861</v>
      </c>
      <c r="AI527" s="41">
        <f t="shared" si="60"/>
        <v>1861</v>
      </c>
      <c r="AJ527" s="42">
        <v>1861</v>
      </c>
      <c r="AK527" s="42">
        <v>2449.0531999999998</v>
      </c>
      <c r="AL527" s="42">
        <v>1861</v>
      </c>
      <c r="AM527" s="42">
        <v>1985.0529999999999</v>
      </c>
      <c r="AN527" s="42">
        <v>1954.8375999999998</v>
      </c>
      <c r="AO527" s="42">
        <v>3187.8596000000002</v>
      </c>
      <c r="AP527" s="42">
        <v>4503.8574000000008</v>
      </c>
      <c r="AQ527" s="42">
        <v>2196.3658</v>
      </c>
      <c r="AR527" s="42">
        <v>1861</v>
      </c>
      <c r="AS527" s="42">
        <v>2624.5486000000001</v>
      </c>
      <c r="AT527" s="42">
        <v>2097.9886000000001</v>
      </c>
      <c r="AU527" s="42">
        <v>1544</v>
      </c>
      <c r="AV527" s="42">
        <f t="shared" si="61"/>
        <v>28126.5638</v>
      </c>
      <c r="AW527" s="42">
        <v>405</v>
      </c>
      <c r="AX527" s="42">
        <v>0</v>
      </c>
      <c r="AY527" s="42">
        <v>0</v>
      </c>
      <c r="AZ527" s="42">
        <v>0</v>
      </c>
      <c r="BA527" s="42">
        <v>0</v>
      </c>
      <c r="BB527" s="42">
        <v>0</v>
      </c>
      <c r="BC527" s="42">
        <v>0</v>
      </c>
      <c r="BD527" s="42">
        <v>0</v>
      </c>
      <c r="BE527" s="42">
        <v>0</v>
      </c>
      <c r="BF527" s="42">
        <v>0</v>
      </c>
      <c r="BG527" s="42">
        <v>0</v>
      </c>
      <c r="BH527" s="42">
        <v>0</v>
      </c>
      <c r="BI527" s="42">
        <v>0</v>
      </c>
      <c r="BJ527" s="42">
        <v>0</v>
      </c>
      <c r="BK527" s="42">
        <v>0</v>
      </c>
      <c r="BL527" s="42">
        <v>0</v>
      </c>
      <c r="BM527" s="42">
        <v>0</v>
      </c>
      <c r="BN527" s="42">
        <v>0</v>
      </c>
      <c r="BO527" s="42">
        <v>0</v>
      </c>
      <c r="BP527" s="42">
        <v>0</v>
      </c>
      <c r="BQ527" s="42">
        <v>0</v>
      </c>
      <c r="BR527" s="42">
        <v>0</v>
      </c>
      <c r="BS527" s="42">
        <v>0</v>
      </c>
      <c r="BT527" s="42">
        <v>0</v>
      </c>
      <c r="BU527" s="42">
        <v>0</v>
      </c>
      <c r="BV527" s="42">
        <v>0</v>
      </c>
      <c r="BW527" s="42">
        <v>0</v>
      </c>
      <c r="BX527" s="42">
        <v>0</v>
      </c>
      <c r="BY527" s="42">
        <v>0</v>
      </c>
      <c r="BZ527" s="42">
        <v>0</v>
      </c>
      <c r="CA527" s="42">
        <v>0</v>
      </c>
      <c r="CB527" s="42">
        <v>0</v>
      </c>
      <c r="CC527" s="42">
        <v>0</v>
      </c>
      <c r="CD527" s="42">
        <v>0</v>
      </c>
      <c r="CE527" s="42">
        <v>0</v>
      </c>
      <c r="CF527" s="42">
        <v>0</v>
      </c>
      <c r="CG527" s="42">
        <v>0</v>
      </c>
      <c r="CH527" s="42">
        <v>0</v>
      </c>
      <c r="CI527" s="42">
        <v>0</v>
      </c>
      <c r="CJ527" s="42">
        <v>0</v>
      </c>
      <c r="CK527" s="43">
        <f t="shared" si="62"/>
        <v>405</v>
      </c>
      <c r="CL527" s="66"/>
      <c r="CM527" s="66">
        <v>0</v>
      </c>
      <c r="CN527" s="66">
        <v>0</v>
      </c>
      <c r="CO527" s="66">
        <v>0</v>
      </c>
      <c r="CP527" s="66">
        <v>0</v>
      </c>
      <c r="CQ527" s="66">
        <v>0</v>
      </c>
      <c r="CR527" s="66">
        <v>0</v>
      </c>
      <c r="CS527" s="66">
        <v>0</v>
      </c>
      <c r="CT527" s="66">
        <v>0</v>
      </c>
      <c r="CU527" s="66">
        <v>0</v>
      </c>
      <c r="CV527" s="66">
        <v>0</v>
      </c>
      <c r="CW527" s="66">
        <v>0</v>
      </c>
      <c r="CX527" s="66">
        <v>0</v>
      </c>
      <c r="CY527" s="66">
        <v>0</v>
      </c>
      <c r="CZ527" s="66">
        <v>0</v>
      </c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>
        <f>SUM(Table1[[#This Row],[01-03 Apr]:[Mar-26]])</f>
        <v>0</v>
      </c>
    </row>
    <row r="528" spans="1:115" x14ac:dyDescent="0.2">
      <c r="A528" s="28" t="s">
        <v>2365</v>
      </c>
      <c r="B528" s="29" t="s">
        <v>1146</v>
      </c>
      <c r="C528" s="29" t="s">
        <v>1147</v>
      </c>
      <c r="D528" s="30" t="s">
        <v>1148</v>
      </c>
      <c r="E528" s="30" t="s">
        <v>85</v>
      </c>
      <c r="F528" s="30"/>
      <c r="G528" s="31" t="s">
        <v>371</v>
      </c>
      <c r="H528" s="30">
        <v>364750</v>
      </c>
      <c r="I528" s="30" t="str">
        <f>IF(Table1[[#This Row],[Centre Status]]="Returned","NA",IF(Table1[[#This Row],[SD]]&gt;19000,"Full Payment",IF(Table1[[#This Row],[SD]]&lt;1,"No Payment","Partial Payment")))</f>
        <v>Partial Payment</v>
      </c>
      <c r="J528" s="30" t="s">
        <v>58</v>
      </c>
      <c r="K528" s="32">
        <v>110000</v>
      </c>
      <c r="L528" s="33">
        <f>Q528+R528+U528+Table1[[#This Row],[Farmer Payment]]</f>
        <v>110000</v>
      </c>
      <c r="M528" s="30"/>
      <c r="N528" s="34"/>
      <c r="O528" s="34"/>
      <c r="P528" s="35">
        <f t="shared" si="59"/>
        <v>0</v>
      </c>
      <c r="Q528" s="33">
        <f>AI528+AV528+CK528+Table1[[#This Row],[FY 25-26]]</f>
        <v>100500</v>
      </c>
      <c r="R528" s="36">
        <v>9500</v>
      </c>
      <c r="S528" s="37" t="s">
        <v>1149</v>
      </c>
      <c r="T528" s="38">
        <v>44989</v>
      </c>
      <c r="U528" s="39"/>
      <c r="V528" s="39"/>
      <c r="W528" s="40">
        <v>0</v>
      </c>
      <c r="X528" s="40">
        <v>0</v>
      </c>
      <c r="Y528" s="40">
        <v>0</v>
      </c>
      <c r="Z528" s="40">
        <v>0</v>
      </c>
      <c r="AA528" s="40">
        <v>0</v>
      </c>
      <c r="AB528" s="40">
        <v>0</v>
      </c>
      <c r="AC528" s="40">
        <v>0</v>
      </c>
      <c r="AD528" s="40">
        <v>0</v>
      </c>
      <c r="AE528" s="40">
        <v>0</v>
      </c>
      <c r="AF528" s="40">
        <v>0</v>
      </c>
      <c r="AG528" s="40">
        <v>0</v>
      </c>
      <c r="AH528" s="40">
        <v>1317</v>
      </c>
      <c r="AI528" s="41">
        <f t="shared" si="60"/>
        <v>1317</v>
      </c>
      <c r="AJ528" s="42">
        <v>1861</v>
      </c>
      <c r="AK528" s="42">
        <v>1861</v>
      </c>
      <c r="AL528" s="42">
        <v>1861</v>
      </c>
      <c r="AM528" s="42">
        <v>2543.1695999999997</v>
      </c>
      <c r="AN528" s="42">
        <v>3434.9757999999997</v>
      </c>
      <c r="AO528" s="42">
        <v>3081.1395999999995</v>
      </c>
      <c r="AP528" s="42">
        <v>4452.674</v>
      </c>
      <c r="AQ528" s="42">
        <v>3279.4488000000001</v>
      </c>
      <c r="AR528" s="42">
        <v>3919.6819999999998</v>
      </c>
      <c r="AS528" s="42">
        <v>5978.9034000000001</v>
      </c>
      <c r="AT528" s="42">
        <v>4913.2357999999995</v>
      </c>
      <c r="AU528" s="42">
        <v>9601.3194000000003</v>
      </c>
      <c r="AV528" s="42">
        <f t="shared" si="61"/>
        <v>46787.5484</v>
      </c>
      <c r="AW528" s="42">
        <v>6222.6248765184009</v>
      </c>
      <c r="AX528" s="42">
        <v>4824.7324445952008</v>
      </c>
      <c r="AY528" s="42">
        <v>2300.4523809023999</v>
      </c>
      <c r="AZ528" s="42">
        <v>2365.3498923611023</v>
      </c>
      <c r="BA528" s="42">
        <v>1571</v>
      </c>
      <c r="BB528" s="42">
        <v>500</v>
      </c>
      <c r="BC528" s="42">
        <v>1546.7732799753944</v>
      </c>
      <c r="BD528" s="42">
        <v>500</v>
      </c>
      <c r="BE528" s="42">
        <v>0</v>
      </c>
      <c r="BF528" s="42">
        <v>0</v>
      </c>
      <c r="BG528" s="42">
        <v>0</v>
      </c>
      <c r="BH528" s="42">
        <v>0</v>
      </c>
      <c r="BI528" s="42">
        <v>5332.5040637102411</v>
      </c>
      <c r="BJ528" s="42">
        <v>0</v>
      </c>
      <c r="BK528" s="42">
        <v>0</v>
      </c>
      <c r="BL528" s="42">
        <v>0</v>
      </c>
      <c r="BM528" s="42">
        <v>0</v>
      </c>
      <c r="BN528" s="42">
        <v>5016.5018442056398</v>
      </c>
      <c r="BO528" s="42">
        <v>0</v>
      </c>
      <c r="BP528" s="42">
        <v>0</v>
      </c>
      <c r="BQ528" s="42">
        <v>0</v>
      </c>
      <c r="BR528" s="42">
        <v>0</v>
      </c>
      <c r="BS528" s="42">
        <v>8150.3416445400808</v>
      </c>
      <c r="BT528" s="42">
        <v>0</v>
      </c>
      <c r="BU528" s="42">
        <v>0</v>
      </c>
      <c r="BV528" s="42">
        <v>0</v>
      </c>
      <c r="BW528" s="42">
        <v>0</v>
      </c>
      <c r="BX528" s="42">
        <v>0</v>
      </c>
      <c r="BY528" s="42">
        <v>4456.2401242368005</v>
      </c>
      <c r="BZ528" s="42">
        <v>0</v>
      </c>
      <c r="CA528" s="42">
        <v>0</v>
      </c>
      <c r="CB528" s="42">
        <v>0</v>
      </c>
      <c r="CC528" s="42">
        <v>0</v>
      </c>
      <c r="CD528" s="42">
        <v>3602.4353037642804</v>
      </c>
      <c r="CE528" s="42">
        <v>0</v>
      </c>
      <c r="CF528" s="42">
        <v>0</v>
      </c>
      <c r="CG528" s="42">
        <v>0</v>
      </c>
      <c r="CH528" s="42">
        <v>0</v>
      </c>
      <c r="CI528" s="42">
        <v>0</v>
      </c>
      <c r="CJ528" s="42">
        <v>3740.8233496166404</v>
      </c>
      <c r="CK528" s="43">
        <f t="shared" si="62"/>
        <v>50129.779204426181</v>
      </c>
      <c r="CL528" s="66"/>
      <c r="CM528" s="66">
        <v>0</v>
      </c>
      <c r="CN528" s="66">
        <v>0</v>
      </c>
      <c r="CO528" s="66">
        <v>0</v>
      </c>
      <c r="CP528" s="66">
        <v>2265.6723955738125</v>
      </c>
      <c r="CQ528" s="66">
        <v>0</v>
      </c>
      <c r="CR528" s="66">
        <v>0</v>
      </c>
      <c r="CS528" s="66">
        <v>0</v>
      </c>
      <c r="CT528" s="66">
        <v>0</v>
      </c>
      <c r="CU528" s="66">
        <v>0</v>
      </c>
      <c r="CV528" s="66">
        <v>0</v>
      </c>
      <c r="CW528" s="66">
        <v>0</v>
      </c>
      <c r="CX528" s="66">
        <v>0</v>
      </c>
      <c r="CY528" s="66">
        <v>0</v>
      </c>
      <c r="CZ528" s="66">
        <v>0</v>
      </c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>
        <f>SUM(Table1[[#This Row],[01-03 Apr]:[Mar-26]])</f>
        <v>2265.6723955738125</v>
      </c>
    </row>
    <row r="529" spans="1:115" hidden="1" x14ac:dyDescent="0.2">
      <c r="A529" s="28" t="s">
        <v>2365</v>
      </c>
      <c r="B529" s="29" t="s">
        <v>1150</v>
      </c>
      <c r="C529" s="29" t="s">
        <v>1151</v>
      </c>
      <c r="D529" s="30" t="s">
        <v>1152</v>
      </c>
      <c r="E529" s="30" t="s">
        <v>85</v>
      </c>
      <c r="F529" s="30"/>
      <c r="G529" s="31" t="s">
        <v>371</v>
      </c>
      <c r="H529" s="30">
        <v>359894</v>
      </c>
      <c r="I529" s="30" t="str">
        <f>IF(Table1[[#This Row],[Centre Status]]="Returned","NA",IF(Table1[[#This Row],[SD]]&gt;19000,"Full Payment",IF(Table1[[#This Row],[SD]]&lt;1,"No Payment","Partial Payment")))</f>
        <v>Full Payment</v>
      </c>
      <c r="J529" s="30" t="s">
        <v>58</v>
      </c>
      <c r="K529" s="32">
        <v>110000</v>
      </c>
      <c r="L529" s="33">
        <f>Q529+R529+U529+Table1[[#This Row],[Farmer Payment]]</f>
        <v>110000</v>
      </c>
      <c r="M529" s="30"/>
      <c r="N529" s="34"/>
      <c r="O529" s="34"/>
      <c r="P529" s="35">
        <f t="shared" si="59"/>
        <v>0</v>
      </c>
      <c r="Q529" s="33">
        <f>AI529+AV529+CK529+Table1[[#This Row],[FY 25-26]]</f>
        <v>90000</v>
      </c>
      <c r="R529" s="36">
        <v>20000</v>
      </c>
      <c r="S529" s="37" t="s">
        <v>1153</v>
      </c>
      <c r="T529" s="38">
        <v>44958</v>
      </c>
      <c r="U529" s="39"/>
      <c r="V529" s="39"/>
      <c r="W529" s="40">
        <v>0</v>
      </c>
      <c r="X529" s="40">
        <v>0</v>
      </c>
      <c r="Y529" s="40">
        <v>0</v>
      </c>
      <c r="Z529" s="40">
        <v>0</v>
      </c>
      <c r="AA529" s="40">
        <v>0</v>
      </c>
      <c r="AB529" s="40">
        <v>0</v>
      </c>
      <c r="AC529" s="40">
        <v>0</v>
      </c>
      <c r="AD529" s="40">
        <v>0</v>
      </c>
      <c r="AE529" s="40">
        <v>0</v>
      </c>
      <c r="AF529" s="40">
        <v>0</v>
      </c>
      <c r="AG529" s="40">
        <v>0</v>
      </c>
      <c r="AH529" s="40">
        <v>2071.3376000000003</v>
      </c>
      <c r="AI529" s="41">
        <f t="shared" si="60"/>
        <v>2071.3376000000003</v>
      </c>
      <c r="AJ529" s="42">
        <v>2457.9685999999997</v>
      </c>
      <c r="AK529" s="42">
        <v>4092.2691999999993</v>
      </c>
      <c r="AL529" s="42">
        <v>3253.5464000000002</v>
      </c>
      <c r="AM529" s="42">
        <v>4777.8868000000002</v>
      </c>
      <c r="AN529" s="42">
        <v>3650.9150000000009</v>
      </c>
      <c r="AO529" s="42">
        <v>3662.6744000000008</v>
      </c>
      <c r="AP529" s="42">
        <v>4486.612000000001</v>
      </c>
      <c r="AQ529" s="42">
        <v>4231.3492000000006</v>
      </c>
      <c r="AR529" s="42">
        <v>5198.7816000000003</v>
      </c>
      <c r="AS529" s="42">
        <v>6739.6098000000002</v>
      </c>
      <c r="AT529" s="42">
        <v>9855.8474000000006</v>
      </c>
      <c r="AU529" s="42">
        <v>10497.668000000001</v>
      </c>
      <c r="AV529" s="42">
        <f t="shared" si="61"/>
        <v>62905.128400000001</v>
      </c>
      <c r="AW529" s="42">
        <v>9057.6257974522723</v>
      </c>
      <c r="AX529" s="42">
        <v>4610.6479205971982</v>
      </c>
      <c r="AY529" s="42">
        <v>3352.0512996397902</v>
      </c>
      <c r="AZ529" s="42">
        <v>4370.4548797231455</v>
      </c>
      <c r="BA529" s="42">
        <v>2729.0389683422923</v>
      </c>
      <c r="BB529" s="42">
        <v>0</v>
      </c>
      <c r="BC529" s="42">
        <v>903.71513424529985</v>
      </c>
      <c r="BD529" s="42">
        <v>0</v>
      </c>
      <c r="BE529" s="42">
        <v>0</v>
      </c>
      <c r="BF529" s="42">
        <v>0</v>
      </c>
      <c r="BG529" s="42">
        <v>0</v>
      </c>
      <c r="BH529" s="42">
        <v>0</v>
      </c>
      <c r="BI529" s="42">
        <v>0</v>
      </c>
      <c r="BJ529" s="42">
        <v>0</v>
      </c>
      <c r="BK529" s="42">
        <v>0</v>
      </c>
      <c r="BL529" s="42">
        <v>0</v>
      </c>
      <c r="BM529" s="42">
        <v>0</v>
      </c>
      <c r="BN529" s="42">
        <v>0</v>
      </c>
      <c r="BO529" s="42">
        <v>0</v>
      </c>
      <c r="BP529" s="42">
        <v>0</v>
      </c>
      <c r="BQ529" s="42">
        <v>0</v>
      </c>
      <c r="BR529" s="42">
        <v>0</v>
      </c>
      <c r="BS529" s="42">
        <v>0</v>
      </c>
      <c r="BT529" s="42">
        <v>0</v>
      </c>
      <c r="BU529" s="42">
        <v>0</v>
      </c>
      <c r="BV529" s="42">
        <v>0</v>
      </c>
      <c r="BW529" s="42">
        <v>0</v>
      </c>
      <c r="BX529" s="42">
        <v>0</v>
      </c>
      <c r="BY529" s="42">
        <v>0</v>
      </c>
      <c r="BZ529" s="42">
        <v>0</v>
      </c>
      <c r="CA529" s="42">
        <v>0</v>
      </c>
      <c r="CB529" s="42">
        <v>0</v>
      </c>
      <c r="CC529" s="42">
        <v>0</v>
      </c>
      <c r="CD529" s="42">
        <v>0</v>
      </c>
      <c r="CE529" s="42">
        <v>0</v>
      </c>
      <c r="CF529" s="42">
        <v>0</v>
      </c>
      <c r="CG529" s="42">
        <v>0</v>
      </c>
      <c r="CH529" s="42">
        <v>0</v>
      </c>
      <c r="CI529" s="42">
        <v>0</v>
      </c>
      <c r="CJ529" s="42">
        <v>0</v>
      </c>
      <c r="CK529" s="43">
        <f t="shared" si="62"/>
        <v>25023.534</v>
      </c>
      <c r="CL529" s="66"/>
      <c r="CM529" s="66">
        <v>0</v>
      </c>
      <c r="CN529" s="66">
        <v>0</v>
      </c>
      <c r="CO529" s="66">
        <v>0</v>
      </c>
      <c r="CP529" s="66">
        <v>0</v>
      </c>
      <c r="CQ529" s="66">
        <v>0</v>
      </c>
      <c r="CR529" s="66">
        <v>0</v>
      </c>
      <c r="CS529" s="66">
        <v>0</v>
      </c>
      <c r="CT529" s="66">
        <v>0</v>
      </c>
      <c r="CU529" s="66">
        <v>0</v>
      </c>
      <c r="CV529" s="66">
        <v>0</v>
      </c>
      <c r="CW529" s="66">
        <v>0</v>
      </c>
      <c r="CX529" s="66">
        <v>0</v>
      </c>
      <c r="CY529" s="66">
        <v>0</v>
      </c>
      <c r="CZ529" s="66">
        <v>0</v>
      </c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>
        <f>SUM(Table1[[#This Row],[01-03 Apr]:[Mar-26]])</f>
        <v>0</v>
      </c>
    </row>
    <row r="530" spans="1:115" hidden="1" x14ac:dyDescent="0.2">
      <c r="A530" s="28" t="s">
        <v>2253</v>
      </c>
      <c r="B530" s="29" t="s">
        <v>1157</v>
      </c>
      <c r="C530" s="29" t="s">
        <v>1158</v>
      </c>
      <c r="D530" s="30" t="s">
        <v>1159</v>
      </c>
      <c r="E530" s="30" t="s">
        <v>85</v>
      </c>
      <c r="F530" s="30"/>
      <c r="G530" s="31" t="s">
        <v>371</v>
      </c>
      <c r="H530" s="30">
        <v>360243</v>
      </c>
      <c r="I530" s="30" t="str">
        <f>IF(Table1[[#This Row],[Centre Status]]="Returned","NA",IF(Table1[[#This Row],[SD]]&gt;19000,"Full Payment",IF(Table1[[#This Row],[SD]]&lt;1,"No Payment","Partial Payment")))</f>
        <v>NA</v>
      </c>
      <c r="J530" s="30" t="s">
        <v>1903</v>
      </c>
      <c r="K530" s="32">
        <v>110000</v>
      </c>
      <c r="L530" s="33">
        <f>Q530+R530+U530+Table1[[#This Row],[Farmer Payment]]</f>
        <v>57186.137264422403</v>
      </c>
      <c r="M530" s="30">
        <v>20000</v>
      </c>
      <c r="N530" s="34">
        <v>45684</v>
      </c>
      <c r="O530" s="34" t="s">
        <v>2445</v>
      </c>
      <c r="P530" s="35">
        <f t="shared" si="59"/>
        <v>72813.862735577597</v>
      </c>
      <c r="Q530" s="33">
        <f>AI530+AV530+CK530+Table1[[#This Row],[FY 25-26]]</f>
        <v>47186.137264422403</v>
      </c>
      <c r="R530" s="36">
        <v>10000</v>
      </c>
      <c r="S530" s="37" t="s">
        <v>1160</v>
      </c>
      <c r="T530" s="38">
        <v>44954</v>
      </c>
      <c r="U530" s="39"/>
      <c r="V530" s="39"/>
      <c r="W530" s="40">
        <v>0</v>
      </c>
      <c r="X530" s="40">
        <v>0</v>
      </c>
      <c r="Y530" s="40">
        <v>0</v>
      </c>
      <c r="Z530" s="40">
        <v>0</v>
      </c>
      <c r="AA530" s="40">
        <v>0</v>
      </c>
      <c r="AB530" s="40">
        <v>0</v>
      </c>
      <c r="AC530" s="40">
        <v>0</v>
      </c>
      <c r="AD530" s="40">
        <v>0</v>
      </c>
      <c r="AE530" s="40">
        <v>0</v>
      </c>
      <c r="AF530" s="40">
        <v>0</v>
      </c>
      <c r="AG530" s="40">
        <v>0</v>
      </c>
      <c r="AH530" s="40">
        <v>1861</v>
      </c>
      <c r="AI530" s="41">
        <f t="shared" si="60"/>
        <v>1861</v>
      </c>
      <c r="AJ530" s="42">
        <v>1861</v>
      </c>
      <c r="AK530" s="42">
        <v>3212.5659999999998</v>
      </c>
      <c r="AL530" s="42">
        <v>2137.9040000000005</v>
      </c>
      <c r="AM530" s="42">
        <v>1861</v>
      </c>
      <c r="AN530" s="42">
        <v>1861</v>
      </c>
      <c r="AO530" s="42">
        <v>1861</v>
      </c>
      <c r="AP530" s="42">
        <v>1861</v>
      </c>
      <c r="AQ530" s="42">
        <v>1861</v>
      </c>
      <c r="AR530" s="42">
        <v>1861</v>
      </c>
      <c r="AS530" s="42">
        <v>2836.8247999999999</v>
      </c>
      <c r="AT530" s="42">
        <v>4191.6787999999997</v>
      </c>
      <c r="AU530" s="42">
        <v>2863.5622000000003</v>
      </c>
      <c r="AV530" s="42">
        <f t="shared" si="61"/>
        <v>28269.535799999998</v>
      </c>
      <c r="AW530" s="42">
        <v>2918.9356713984007</v>
      </c>
      <c r="AX530" s="42">
        <v>2358.1720337664001</v>
      </c>
      <c r="AY530" s="42">
        <v>1884.4937592576002</v>
      </c>
      <c r="AZ530" s="42">
        <v>1809</v>
      </c>
      <c r="BA530" s="42">
        <v>967</v>
      </c>
      <c r="BB530" s="42">
        <v>500</v>
      </c>
      <c r="BC530" s="42">
        <v>861</v>
      </c>
      <c r="BD530" s="42">
        <v>500</v>
      </c>
      <c r="BE530" s="42">
        <v>0</v>
      </c>
      <c r="BF530" s="42">
        <v>0</v>
      </c>
      <c r="BG530" s="42">
        <v>0</v>
      </c>
      <c r="BH530" s="42">
        <v>0</v>
      </c>
      <c r="BI530" s="42">
        <v>1535</v>
      </c>
      <c r="BJ530" s="42">
        <v>0</v>
      </c>
      <c r="BK530" s="42">
        <v>0</v>
      </c>
      <c r="BL530" s="42">
        <v>500</v>
      </c>
      <c r="BM530" s="42">
        <v>500</v>
      </c>
      <c r="BN530" s="42">
        <v>861</v>
      </c>
      <c r="BO530" s="42">
        <v>500</v>
      </c>
      <c r="BP530" s="42">
        <v>500</v>
      </c>
      <c r="BQ530" s="42">
        <v>500</v>
      </c>
      <c r="BR530" s="42">
        <v>0</v>
      </c>
      <c r="BS530" s="42">
        <v>361</v>
      </c>
      <c r="BT530" s="42">
        <v>0</v>
      </c>
      <c r="BU530" s="42">
        <v>0</v>
      </c>
      <c r="BV530" s="42">
        <v>0</v>
      </c>
      <c r="BW530" s="42">
        <v>0</v>
      </c>
      <c r="BX530" s="42">
        <v>0</v>
      </c>
      <c r="BY530" s="42">
        <v>0</v>
      </c>
      <c r="BZ530" s="42">
        <v>0</v>
      </c>
      <c r="CA530" s="42">
        <v>0</v>
      </c>
      <c r="CB530" s="42">
        <v>0</v>
      </c>
      <c r="CC530" s="42">
        <v>0</v>
      </c>
      <c r="CD530" s="42">
        <v>0</v>
      </c>
      <c r="CE530" s="42">
        <v>0</v>
      </c>
      <c r="CF530" s="42">
        <v>0</v>
      </c>
      <c r="CG530" s="42">
        <v>0</v>
      </c>
      <c r="CH530" s="42">
        <v>0</v>
      </c>
      <c r="CI530" s="42">
        <v>0</v>
      </c>
      <c r="CJ530" s="42">
        <v>0</v>
      </c>
      <c r="CK530" s="43">
        <f t="shared" si="62"/>
        <v>17055.601464422401</v>
      </c>
      <c r="CL530" s="66"/>
      <c r="CM530" s="66">
        <v>0</v>
      </c>
      <c r="CN530" s="66">
        <v>0</v>
      </c>
      <c r="CO530" s="66">
        <v>0</v>
      </c>
      <c r="CP530" s="66">
        <v>0</v>
      </c>
      <c r="CQ530" s="66">
        <v>0</v>
      </c>
      <c r="CR530" s="66">
        <v>0</v>
      </c>
      <c r="CS530" s="66">
        <v>0</v>
      </c>
      <c r="CT530" s="66">
        <v>0</v>
      </c>
      <c r="CU530" s="66">
        <v>0</v>
      </c>
      <c r="CV530" s="66">
        <v>0</v>
      </c>
      <c r="CW530" s="66">
        <v>0</v>
      </c>
      <c r="CX530" s="66">
        <v>0</v>
      </c>
      <c r="CY530" s="66">
        <v>0</v>
      </c>
      <c r="CZ530" s="66">
        <v>0</v>
      </c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>
        <f>SUM(Table1[[#This Row],[01-03 Apr]:[Mar-26]])</f>
        <v>0</v>
      </c>
    </row>
    <row r="531" spans="1:115" x14ac:dyDescent="0.2">
      <c r="A531" s="28" t="s">
        <v>2365</v>
      </c>
      <c r="B531" s="29" t="s">
        <v>1161</v>
      </c>
      <c r="C531" s="29" t="s">
        <v>2264</v>
      </c>
      <c r="D531" s="30" t="s">
        <v>1162</v>
      </c>
      <c r="E531" s="30" t="s">
        <v>85</v>
      </c>
      <c r="F531" s="30"/>
      <c r="G531" s="31" t="s">
        <v>371</v>
      </c>
      <c r="H531" s="30">
        <v>359882</v>
      </c>
      <c r="I531" s="30" t="str">
        <f>IF(Table1[[#This Row],[Centre Status]]="Returned","NA",IF(Table1[[#This Row],[SD]]&gt;19000,"Full Payment",IF(Table1[[#This Row],[SD]]&lt;1,"No Payment","Partial Payment")))</f>
        <v>Partial Payment</v>
      </c>
      <c r="J531" s="30" t="s">
        <v>58</v>
      </c>
      <c r="K531" s="32">
        <v>110000</v>
      </c>
      <c r="L531" s="33">
        <f>Q531+R531+U531+Table1[[#This Row],[Farmer Payment]]</f>
        <v>29964.189000000002</v>
      </c>
      <c r="M531" s="30"/>
      <c r="N531" s="34"/>
      <c r="O531" s="34"/>
      <c r="P531" s="35">
        <f t="shared" si="59"/>
        <v>80035.811000000002</v>
      </c>
      <c r="Q531" s="33">
        <f>AI531+AV531+CK531+Table1[[#This Row],[FY 25-26]]</f>
        <v>19964.189000000002</v>
      </c>
      <c r="R531" s="36">
        <v>10000</v>
      </c>
      <c r="S531" s="37" t="s">
        <v>1163</v>
      </c>
      <c r="T531" s="38">
        <v>44957</v>
      </c>
      <c r="U531" s="39"/>
      <c r="V531" s="39"/>
      <c r="W531" s="40">
        <v>0</v>
      </c>
      <c r="X531" s="40">
        <v>0</v>
      </c>
      <c r="Y531" s="40">
        <v>0</v>
      </c>
      <c r="Z531" s="40">
        <v>0</v>
      </c>
      <c r="AA531" s="40">
        <v>0</v>
      </c>
      <c r="AB531" s="40">
        <v>0</v>
      </c>
      <c r="AC531" s="40">
        <v>0</v>
      </c>
      <c r="AD531" s="40">
        <v>0</v>
      </c>
      <c r="AE531" s="40">
        <v>0</v>
      </c>
      <c r="AF531" s="40">
        <v>0</v>
      </c>
      <c r="AG531" s="40">
        <v>0</v>
      </c>
      <c r="AH531" s="40">
        <v>1861</v>
      </c>
      <c r="AI531" s="41">
        <f t="shared" si="60"/>
        <v>1861</v>
      </c>
      <c r="AJ531" s="42">
        <v>1861</v>
      </c>
      <c r="AK531" s="42">
        <v>1876.3159999999998</v>
      </c>
      <c r="AL531" s="42">
        <v>1861</v>
      </c>
      <c r="AM531" s="42">
        <v>1861</v>
      </c>
      <c r="AN531" s="42">
        <v>1990.6834000000003</v>
      </c>
      <c r="AO531" s="42">
        <v>2113.5524</v>
      </c>
      <c r="AP531" s="42">
        <v>2720.1253999999999</v>
      </c>
      <c r="AQ531" s="42">
        <v>1958.5118</v>
      </c>
      <c r="AR531" s="42">
        <v>1861</v>
      </c>
      <c r="AS531" s="42">
        <v>0</v>
      </c>
      <c r="AT531" s="42">
        <v>0</v>
      </c>
      <c r="AU531" s="42">
        <v>0</v>
      </c>
      <c r="AV531" s="42">
        <f t="shared" si="61"/>
        <v>18103.189000000002</v>
      </c>
      <c r="AW531" s="42">
        <v>0</v>
      </c>
      <c r="AX531" s="42">
        <v>0</v>
      </c>
      <c r="AY531" s="42">
        <v>0</v>
      </c>
      <c r="AZ531" s="42">
        <v>0</v>
      </c>
      <c r="BA531" s="42">
        <v>0</v>
      </c>
      <c r="BB531" s="42">
        <v>0</v>
      </c>
      <c r="BC531" s="42">
        <v>0</v>
      </c>
      <c r="BD531" s="42">
        <v>0</v>
      </c>
      <c r="BE531" s="42">
        <v>0</v>
      </c>
      <c r="BF531" s="42">
        <v>0</v>
      </c>
      <c r="BG531" s="42">
        <v>0</v>
      </c>
      <c r="BH531" s="42">
        <v>0</v>
      </c>
      <c r="BI531" s="42">
        <v>0</v>
      </c>
      <c r="BJ531" s="42">
        <v>0</v>
      </c>
      <c r="BK531" s="42">
        <v>0</v>
      </c>
      <c r="BL531" s="42">
        <v>0</v>
      </c>
      <c r="BM531" s="42">
        <v>0</v>
      </c>
      <c r="BN531" s="42">
        <v>0</v>
      </c>
      <c r="BO531" s="42">
        <v>0</v>
      </c>
      <c r="BP531" s="42">
        <v>0</v>
      </c>
      <c r="BQ531" s="42">
        <v>0</v>
      </c>
      <c r="BR531" s="42">
        <v>0</v>
      </c>
      <c r="BS531" s="42">
        <v>0</v>
      </c>
      <c r="BT531" s="42">
        <v>0</v>
      </c>
      <c r="BU531" s="42">
        <v>0</v>
      </c>
      <c r="BV531" s="42">
        <v>0</v>
      </c>
      <c r="BW531" s="42">
        <v>0</v>
      </c>
      <c r="BX531" s="42">
        <v>0</v>
      </c>
      <c r="BY531" s="42">
        <v>0</v>
      </c>
      <c r="BZ531" s="42">
        <v>0</v>
      </c>
      <c r="CA531" s="42">
        <v>0</v>
      </c>
      <c r="CB531" s="42">
        <v>0</v>
      </c>
      <c r="CC531" s="42">
        <v>0</v>
      </c>
      <c r="CD531" s="42">
        <v>0</v>
      </c>
      <c r="CE531" s="42">
        <v>0</v>
      </c>
      <c r="CF531" s="42">
        <v>0</v>
      </c>
      <c r="CG531" s="42">
        <v>0</v>
      </c>
      <c r="CH531" s="42">
        <v>0</v>
      </c>
      <c r="CI531" s="42">
        <v>0</v>
      </c>
      <c r="CJ531" s="42">
        <v>0</v>
      </c>
      <c r="CK531" s="43">
        <f t="shared" si="62"/>
        <v>0</v>
      </c>
      <c r="CL531" s="66"/>
      <c r="CM531" s="66">
        <v>0</v>
      </c>
      <c r="CN531" s="66">
        <v>0</v>
      </c>
      <c r="CO531" s="66">
        <v>0</v>
      </c>
      <c r="CP531" s="66">
        <v>0</v>
      </c>
      <c r="CQ531" s="66">
        <v>0</v>
      </c>
      <c r="CR531" s="66">
        <v>0</v>
      </c>
      <c r="CS531" s="66">
        <v>0</v>
      </c>
      <c r="CT531" s="66">
        <v>0</v>
      </c>
      <c r="CU531" s="66">
        <v>0</v>
      </c>
      <c r="CV531" s="66">
        <v>0</v>
      </c>
      <c r="CW531" s="66">
        <v>0</v>
      </c>
      <c r="CX531" s="66">
        <v>0</v>
      </c>
      <c r="CY531" s="66">
        <v>0</v>
      </c>
      <c r="CZ531" s="66">
        <v>0</v>
      </c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>
        <f>SUM(Table1[[#This Row],[01-03 Apr]:[Mar-26]])</f>
        <v>0</v>
      </c>
    </row>
    <row r="532" spans="1:115" x14ac:dyDescent="0.2">
      <c r="A532" s="28" t="s">
        <v>2255</v>
      </c>
      <c r="B532" s="29" t="s">
        <v>1175</v>
      </c>
      <c r="C532" s="29" t="s">
        <v>1176</v>
      </c>
      <c r="D532" s="30" t="s">
        <v>1177</v>
      </c>
      <c r="E532" s="30" t="s">
        <v>906</v>
      </c>
      <c r="F532" s="30"/>
      <c r="G532" s="31">
        <v>45045</v>
      </c>
      <c r="H532" s="30">
        <v>388154</v>
      </c>
      <c r="I532" s="30" t="str">
        <f>IF(Table1[[#This Row],[Centre Status]]="Returned","NA",IF(Table1[[#This Row],[SD]]&gt;19000,"Full Payment",IF(Table1[[#This Row],[SD]]&lt;1,"No Payment","Partial Payment")))</f>
        <v>Partial Payment</v>
      </c>
      <c r="J532" s="30" t="s">
        <v>58</v>
      </c>
      <c r="K532" s="32">
        <f>110000-8</f>
        <v>109992</v>
      </c>
      <c r="L532" s="33">
        <f>Q532+R532+U532+Table1[[#This Row],[Farmer Payment]]</f>
        <v>109991.57909603723</v>
      </c>
      <c r="M532" s="30"/>
      <c r="N532" s="34"/>
      <c r="O532" s="34"/>
      <c r="P532" s="35">
        <f t="shared" si="59"/>
        <v>0.42090396277490072</v>
      </c>
      <c r="Q532" s="33">
        <f>AI532+AV532+CK532+Table1[[#This Row],[FY 25-26]]</f>
        <v>24562.579096037218</v>
      </c>
      <c r="R532" s="36">
        <f>10000</f>
        <v>10000</v>
      </c>
      <c r="S532" s="37" t="s">
        <v>1178</v>
      </c>
      <c r="T532" s="38">
        <v>45033</v>
      </c>
      <c r="U532" s="39"/>
      <c r="V532" s="39">
        <f>25256+43910+6263</f>
        <v>75429</v>
      </c>
      <c r="W532" s="40">
        <v>0</v>
      </c>
      <c r="X532" s="40">
        <v>0</v>
      </c>
      <c r="Y532" s="40">
        <v>0</v>
      </c>
      <c r="Z532" s="40">
        <v>0</v>
      </c>
      <c r="AA532" s="40">
        <v>0</v>
      </c>
      <c r="AB532" s="40">
        <v>0</v>
      </c>
      <c r="AC532" s="40">
        <v>0</v>
      </c>
      <c r="AD532" s="40">
        <v>0</v>
      </c>
      <c r="AE532" s="40">
        <v>0</v>
      </c>
      <c r="AF532" s="40">
        <v>0</v>
      </c>
      <c r="AG532" s="40">
        <v>0</v>
      </c>
      <c r="AH532" s="40">
        <v>0</v>
      </c>
      <c r="AI532" s="41">
        <f t="shared" si="60"/>
        <v>0</v>
      </c>
      <c r="AJ532" s="42">
        <v>0</v>
      </c>
      <c r="AK532" s="42">
        <v>1861</v>
      </c>
      <c r="AL532" s="42">
        <v>1861</v>
      </c>
      <c r="AM532" s="42">
        <v>1060</v>
      </c>
      <c r="AN532" s="42">
        <v>1861</v>
      </c>
      <c r="AO532" s="42">
        <v>1861</v>
      </c>
      <c r="AP532" s="42">
        <v>1893.0684000000003</v>
      </c>
      <c r="AQ532" s="42">
        <v>1840</v>
      </c>
      <c r="AR532" s="42">
        <v>1861</v>
      </c>
      <c r="AS532" s="42">
        <v>1851</v>
      </c>
      <c r="AT532" s="42">
        <v>935</v>
      </c>
      <c r="AU532" s="42">
        <v>148</v>
      </c>
      <c r="AV532" s="42">
        <f t="shared" si="61"/>
        <v>17032.0684</v>
      </c>
      <c r="AW532" s="42">
        <v>4352.4569154575047</v>
      </c>
      <c r="AX532" s="42">
        <v>3178.0537805797126</v>
      </c>
      <c r="AY532" s="42">
        <v>0</v>
      </c>
      <c r="AZ532" s="42">
        <v>0</v>
      </c>
      <c r="BA532" s="42">
        <v>0</v>
      </c>
      <c r="BB532" s="42">
        <v>0</v>
      </c>
      <c r="BC532" s="42">
        <v>0</v>
      </c>
      <c r="BD532" s="42">
        <v>0</v>
      </c>
      <c r="BE532" s="42">
        <v>0</v>
      </c>
      <c r="BF532" s="42">
        <v>0</v>
      </c>
      <c r="BG532" s="42">
        <v>0</v>
      </c>
      <c r="BH532" s="42">
        <v>0</v>
      </c>
      <c r="BI532" s="42">
        <v>0</v>
      </c>
      <c r="BJ532" s="42">
        <v>0</v>
      </c>
      <c r="BK532" s="42">
        <v>0</v>
      </c>
      <c r="BL532" s="42">
        <v>0</v>
      </c>
      <c r="BM532" s="42">
        <v>0</v>
      </c>
      <c r="BN532" s="42">
        <v>0</v>
      </c>
      <c r="BO532" s="42">
        <v>0</v>
      </c>
      <c r="BP532" s="42">
        <v>0</v>
      </c>
      <c r="BQ532" s="42">
        <v>0</v>
      </c>
      <c r="BR532" s="42">
        <v>0</v>
      </c>
      <c r="BS532" s="42">
        <v>0</v>
      </c>
      <c r="BT532" s="42">
        <v>0</v>
      </c>
      <c r="BU532" s="42">
        <v>0</v>
      </c>
      <c r="BV532" s="42">
        <v>0</v>
      </c>
      <c r="BW532" s="42">
        <v>0</v>
      </c>
      <c r="BX532" s="42">
        <v>0</v>
      </c>
      <c r="BY532" s="42">
        <v>0</v>
      </c>
      <c r="BZ532" s="42">
        <v>0</v>
      </c>
      <c r="CA532" s="42">
        <v>0</v>
      </c>
      <c r="CB532" s="42">
        <v>0</v>
      </c>
      <c r="CC532" s="42">
        <v>0</v>
      </c>
      <c r="CD532" s="42">
        <v>0</v>
      </c>
      <c r="CE532" s="42">
        <v>0</v>
      </c>
      <c r="CF532" s="42">
        <v>0</v>
      </c>
      <c r="CG532" s="42">
        <v>0</v>
      </c>
      <c r="CH532" s="42">
        <v>0</v>
      </c>
      <c r="CI532" s="42">
        <v>0</v>
      </c>
      <c r="CJ532" s="42">
        <v>0</v>
      </c>
      <c r="CK532" s="43">
        <f t="shared" si="62"/>
        <v>7530.5106960372177</v>
      </c>
      <c r="CL532" s="66"/>
      <c r="CM532" s="66">
        <v>0</v>
      </c>
      <c r="CN532" s="66">
        <v>0</v>
      </c>
      <c r="CO532" s="66">
        <v>0</v>
      </c>
      <c r="CP532" s="66">
        <v>0</v>
      </c>
      <c r="CQ532" s="66">
        <v>0</v>
      </c>
      <c r="CR532" s="66">
        <v>0</v>
      </c>
      <c r="CS532" s="66">
        <v>0</v>
      </c>
      <c r="CT532" s="66">
        <v>0</v>
      </c>
      <c r="CU532" s="66">
        <v>0</v>
      </c>
      <c r="CV532" s="66">
        <v>0</v>
      </c>
      <c r="CW532" s="66">
        <v>0</v>
      </c>
      <c r="CX532" s="66">
        <v>0</v>
      </c>
      <c r="CY532" s="66">
        <v>0</v>
      </c>
      <c r="CZ532" s="66">
        <v>0</v>
      </c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>
        <f>SUM(Table1[[#This Row],[01-03 Apr]:[Mar-26]])</f>
        <v>0</v>
      </c>
    </row>
    <row r="533" spans="1:115" x14ac:dyDescent="0.2">
      <c r="A533" s="28" t="s">
        <v>2254</v>
      </c>
      <c r="B533" s="29" t="s">
        <v>1179</v>
      </c>
      <c r="C533" s="29" t="s">
        <v>1180</v>
      </c>
      <c r="D533" s="30" t="s">
        <v>1181</v>
      </c>
      <c r="E533" s="30" t="s">
        <v>1630</v>
      </c>
      <c r="F533" s="30"/>
      <c r="G533" s="31" t="s">
        <v>371</v>
      </c>
      <c r="H533" s="30">
        <v>369426</v>
      </c>
      <c r="I533" s="30" t="str">
        <f>IF(Table1[[#This Row],[Centre Status]]="Returned","NA",IF(Table1[[#This Row],[SD]]&gt;19000,"Full Payment",IF(Table1[[#This Row],[SD]]&lt;1,"No Payment","Partial Payment")))</f>
        <v>Partial Payment</v>
      </c>
      <c r="J533" s="30" t="s">
        <v>58</v>
      </c>
      <c r="K533" s="32">
        <v>64000</v>
      </c>
      <c r="L533" s="33">
        <f>Q533+R533+U533+Table1[[#This Row],[Farmer Payment]]</f>
        <v>64500</v>
      </c>
      <c r="M533" s="30"/>
      <c r="N533" s="34"/>
      <c r="O533" s="34"/>
      <c r="P533" s="35">
        <f t="shared" si="59"/>
        <v>-500</v>
      </c>
      <c r="Q533" s="33">
        <f>AI533+AV533+CK533+Table1[[#This Row],[FY 25-26]]</f>
        <v>59500</v>
      </c>
      <c r="R533" s="36">
        <v>5000</v>
      </c>
      <c r="S533" s="37" t="s">
        <v>1182</v>
      </c>
      <c r="T533" s="38">
        <v>45016</v>
      </c>
      <c r="U533" s="39"/>
      <c r="V533" s="39"/>
      <c r="W533" s="40">
        <v>0</v>
      </c>
      <c r="X533" s="40">
        <v>0</v>
      </c>
      <c r="Y533" s="40">
        <v>0</v>
      </c>
      <c r="Z533" s="40">
        <v>0</v>
      </c>
      <c r="AA533" s="40">
        <v>0</v>
      </c>
      <c r="AB533" s="40">
        <v>0</v>
      </c>
      <c r="AC533" s="40">
        <v>0</v>
      </c>
      <c r="AD533" s="40">
        <v>0</v>
      </c>
      <c r="AE533" s="40">
        <v>0</v>
      </c>
      <c r="AF533" s="40">
        <v>0</v>
      </c>
      <c r="AG533" s="40">
        <v>0</v>
      </c>
      <c r="AH533" s="40">
        <v>0</v>
      </c>
      <c r="AI533" s="41">
        <f t="shared" si="60"/>
        <v>0</v>
      </c>
      <c r="AJ533" s="42">
        <v>0</v>
      </c>
      <c r="AK533" s="42">
        <v>1861</v>
      </c>
      <c r="AL533" s="42">
        <v>1861</v>
      </c>
      <c r="AM533" s="42">
        <v>3402.7921999999999</v>
      </c>
      <c r="AN533" s="42">
        <v>3126.7366000000002</v>
      </c>
      <c r="AO533" s="42">
        <v>4291.1189999999997</v>
      </c>
      <c r="AP533" s="42">
        <v>7006.54</v>
      </c>
      <c r="AQ533" s="42">
        <v>4510.9848000000002</v>
      </c>
      <c r="AR533" s="42">
        <v>4461.4702000000007</v>
      </c>
      <c r="AS533" s="42">
        <v>5808.5948000000008</v>
      </c>
      <c r="AT533" s="42">
        <v>5925.5650000000005</v>
      </c>
      <c r="AU533" s="42">
        <v>5159.9359999999997</v>
      </c>
      <c r="AV533" s="42">
        <f t="shared" si="61"/>
        <v>47415.738600000004</v>
      </c>
      <c r="AW533" s="42">
        <v>3134.484965594334</v>
      </c>
      <c r="AX533" s="42">
        <v>2611.2887923292601</v>
      </c>
      <c r="AY533" s="42">
        <v>2000</v>
      </c>
      <c r="AZ533" s="42">
        <v>2000</v>
      </c>
      <c r="BA533" s="42">
        <v>1838.4876420764049</v>
      </c>
      <c r="BB533" s="42">
        <v>500</v>
      </c>
      <c r="BC533" s="42">
        <v>0</v>
      </c>
      <c r="BD533" s="42">
        <v>0</v>
      </c>
      <c r="BE533" s="42">
        <v>0</v>
      </c>
      <c r="BF533" s="42">
        <v>0</v>
      </c>
      <c r="BG533" s="42">
        <v>0</v>
      </c>
      <c r="BH533" s="42">
        <v>0</v>
      </c>
      <c r="BI533" s="42">
        <v>0</v>
      </c>
      <c r="BJ533" s="42">
        <v>0</v>
      </c>
      <c r="BK533" s="42">
        <v>0</v>
      </c>
      <c r="BL533" s="42">
        <v>0</v>
      </c>
      <c r="BM533" s="42">
        <v>0</v>
      </c>
      <c r="BN533" s="42">
        <v>0</v>
      </c>
      <c r="BO533" s="42">
        <v>0</v>
      </c>
      <c r="BP533" s="42">
        <v>0</v>
      </c>
      <c r="BQ533" s="42">
        <v>0</v>
      </c>
      <c r="BR533" s="42">
        <v>0</v>
      </c>
      <c r="BS533" s="42">
        <v>0</v>
      </c>
      <c r="BT533" s="42">
        <v>0</v>
      </c>
      <c r="BU533" s="42">
        <v>0</v>
      </c>
      <c r="BV533" s="42">
        <v>0</v>
      </c>
      <c r="BW533" s="42">
        <v>0</v>
      </c>
      <c r="BX533" s="42">
        <v>0</v>
      </c>
      <c r="BY533" s="42">
        <v>0</v>
      </c>
      <c r="BZ533" s="42">
        <v>0</v>
      </c>
      <c r="CA533" s="42">
        <v>0</v>
      </c>
      <c r="CB533" s="42">
        <v>0</v>
      </c>
      <c r="CC533" s="42">
        <v>0</v>
      </c>
      <c r="CD533" s="42">
        <v>0</v>
      </c>
      <c r="CE533" s="42">
        <v>0</v>
      </c>
      <c r="CF533" s="42">
        <v>0</v>
      </c>
      <c r="CG533" s="42">
        <v>0</v>
      </c>
      <c r="CH533" s="42">
        <v>0</v>
      </c>
      <c r="CI533" s="42">
        <v>0</v>
      </c>
      <c r="CJ533" s="42">
        <v>0</v>
      </c>
      <c r="CK533" s="43">
        <f t="shared" si="62"/>
        <v>12084.261399999999</v>
      </c>
      <c r="CL533" s="66"/>
      <c r="CM533" s="66">
        <v>0</v>
      </c>
      <c r="CN533" s="66">
        <v>0</v>
      </c>
      <c r="CO533" s="66">
        <v>0</v>
      </c>
      <c r="CP533" s="66">
        <v>0</v>
      </c>
      <c r="CQ533" s="66">
        <v>0</v>
      </c>
      <c r="CR533" s="66">
        <v>0</v>
      </c>
      <c r="CS533" s="66">
        <v>0</v>
      </c>
      <c r="CT533" s="66">
        <v>0</v>
      </c>
      <c r="CU533" s="66">
        <v>0</v>
      </c>
      <c r="CV533" s="66">
        <v>0</v>
      </c>
      <c r="CW533" s="66">
        <v>0</v>
      </c>
      <c r="CX533" s="66">
        <v>0</v>
      </c>
      <c r="CY533" s="66">
        <v>0</v>
      </c>
      <c r="CZ533" s="66">
        <v>0</v>
      </c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>
        <f>SUM(Table1[[#This Row],[01-03 Apr]:[Mar-26]])</f>
        <v>0</v>
      </c>
    </row>
    <row r="534" spans="1:115" hidden="1" x14ac:dyDescent="0.2">
      <c r="A534" s="28" t="s">
        <v>2365</v>
      </c>
      <c r="B534" s="29" t="s">
        <v>1183</v>
      </c>
      <c r="C534" s="29" t="s">
        <v>1184</v>
      </c>
      <c r="D534" s="30" t="s">
        <v>1185</v>
      </c>
      <c r="E534" s="30" t="s">
        <v>85</v>
      </c>
      <c r="F534" s="30"/>
      <c r="G534" s="31" t="s">
        <v>371</v>
      </c>
      <c r="H534" s="30">
        <v>359360</v>
      </c>
      <c r="I534" s="30" t="str">
        <f>IF(Table1[[#This Row],[Centre Status]]="Returned","NA",IF(Table1[[#This Row],[SD]]&gt;19000,"Full Payment",IF(Table1[[#This Row],[SD]]&lt;1,"No Payment","Partial Payment")))</f>
        <v>Full Payment</v>
      </c>
      <c r="J534" s="30" t="s">
        <v>58</v>
      </c>
      <c r="K534" s="32">
        <v>110000</v>
      </c>
      <c r="L534" s="33">
        <f>Q534+R534+U534+Table1[[#This Row],[Farmer Payment]]</f>
        <v>86039.05467011912</v>
      </c>
      <c r="M534" s="30"/>
      <c r="N534" s="34"/>
      <c r="O534" s="34"/>
      <c r="P534" s="35">
        <f t="shared" si="59"/>
        <v>23960.94532988088</v>
      </c>
      <c r="Q534" s="33">
        <f>AI534+AV534+CK534+Table1[[#This Row],[FY 25-26]]</f>
        <v>66039.05467011912</v>
      </c>
      <c r="R534" s="36">
        <v>20000</v>
      </c>
      <c r="S534" s="37" t="s">
        <v>1186</v>
      </c>
      <c r="T534" s="38">
        <v>44978</v>
      </c>
      <c r="U534" s="39"/>
      <c r="V534" s="39"/>
      <c r="W534" s="40">
        <v>0</v>
      </c>
      <c r="X534" s="40">
        <v>0</v>
      </c>
      <c r="Y534" s="40">
        <v>0</v>
      </c>
      <c r="Z534" s="40">
        <v>0</v>
      </c>
      <c r="AA534" s="40">
        <v>0</v>
      </c>
      <c r="AB534" s="40">
        <v>0</v>
      </c>
      <c r="AC534" s="40">
        <v>0</v>
      </c>
      <c r="AD534" s="40">
        <v>0</v>
      </c>
      <c r="AE534" s="40">
        <v>0</v>
      </c>
      <c r="AF534" s="40">
        <v>0</v>
      </c>
      <c r="AG534" s="40">
        <v>0</v>
      </c>
      <c r="AH534" s="40">
        <v>1861</v>
      </c>
      <c r="AI534" s="41">
        <f t="shared" si="60"/>
        <v>1861</v>
      </c>
      <c r="AJ534" s="42">
        <v>2257.1231701331999</v>
      </c>
      <c r="AK534" s="42">
        <v>2522.4938000000002</v>
      </c>
      <c r="AL534" s="42">
        <v>2050.5293999999999</v>
      </c>
      <c r="AM534" s="42">
        <v>3016.2264</v>
      </c>
      <c r="AN534" s="42">
        <v>2034.1279999999999</v>
      </c>
      <c r="AO534" s="42">
        <v>1898.5150000000001</v>
      </c>
      <c r="AP534" s="42">
        <v>3713.4338000000002</v>
      </c>
      <c r="AQ534" s="42">
        <v>3404.3674000000001</v>
      </c>
      <c r="AR534" s="42">
        <v>3992.1910000000003</v>
      </c>
      <c r="AS534" s="42">
        <v>4797.6094000000003</v>
      </c>
      <c r="AT534" s="42">
        <v>5348.6406000000006</v>
      </c>
      <c r="AU534" s="42">
        <v>5287.6675999999998</v>
      </c>
      <c r="AV534" s="42">
        <f t="shared" si="61"/>
        <v>40322.9255701332</v>
      </c>
      <c r="AW534" s="42">
        <v>3727.1035022592005</v>
      </c>
      <c r="AX534" s="42">
        <v>2673.0177416755209</v>
      </c>
      <c r="AY534" s="42">
        <v>1861</v>
      </c>
      <c r="AZ534" s="42">
        <v>1904.0078560512002</v>
      </c>
      <c r="BA534" s="42">
        <v>684</v>
      </c>
      <c r="BB534" s="42">
        <v>500</v>
      </c>
      <c r="BC534" s="42">
        <v>270</v>
      </c>
      <c r="BD534" s="42">
        <v>500</v>
      </c>
      <c r="BE534" s="42">
        <v>500</v>
      </c>
      <c r="BF534" s="42">
        <v>500</v>
      </c>
      <c r="BG534" s="42">
        <v>500</v>
      </c>
      <c r="BH534" s="42">
        <v>500</v>
      </c>
      <c r="BI534" s="42">
        <v>0</v>
      </c>
      <c r="BJ534" s="42">
        <v>500</v>
      </c>
      <c r="BK534" s="42">
        <v>500</v>
      </c>
      <c r="BL534" s="42">
        <v>500</v>
      </c>
      <c r="BM534" s="42">
        <v>500</v>
      </c>
      <c r="BN534" s="42">
        <v>0</v>
      </c>
      <c r="BO534" s="42">
        <v>500</v>
      </c>
      <c r="BP534" s="42">
        <v>500</v>
      </c>
      <c r="BQ534" s="42">
        <v>500</v>
      </c>
      <c r="BR534" s="42">
        <v>500</v>
      </c>
      <c r="BS534" s="42">
        <v>0</v>
      </c>
      <c r="BT534" s="42">
        <v>0</v>
      </c>
      <c r="BU534" s="42">
        <v>500</v>
      </c>
      <c r="BV534" s="42">
        <v>0</v>
      </c>
      <c r="BW534" s="42">
        <v>0</v>
      </c>
      <c r="BX534" s="42">
        <v>0</v>
      </c>
      <c r="BY534" s="42">
        <v>0</v>
      </c>
      <c r="BZ534" s="42">
        <v>0</v>
      </c>
      <c r="CA534" s="42">
        <v>500</v>
      </c>
      <c r="CB534" s="42">
        <v>0</v>
      </c>
      <c r="CC534" s="42">
        <v>0</v>
      </c>
      <c r="CD534" s="42">
        <v>129</v>
      </c>
      <c r="CE534" s="42">
        <v>0</v>
      </c>
      <c r="CF534" s="42">
        <v>0</v>
      </c>
      <c r="CG534" s="42">
        <v>0</v>
      </c>
      <c r="CH534" s="42">
        <v>0</v>
      </c>
      <c r="CI534" s="42">
        <v>0</v>
      </c>
      <c r="CJ534" s="42">
        <v>1861</v>
      </c>
      <c r="CK534" s="43">
        <f t="shared" si="62"/>
        <v>21109.129099985923</v>
      </c>
      <c r="CL534" s="66"/>
      <c r="CM534" s="66">
        <v>0</v>
      </c>
      <c r="CN534" s="66">
        <v>0</v>
      </c>
      <c r="CO534" s="66">
        <v>0</v>
      </c>
      <c r="CP534" s="66">
        <v>1651</v>
      </c>
      <c r="CQ534" s="66">
        <v>0</v>
      </c>
      <c r="CR534" s="66">
        <v>0</v>
      </c>
      <c r="CS534" s="66">
        <v>0</v>
      </c>
      <c r="CT534" s="66">
        <v>0</v>
      </c>
      <c r="CU534" s="66">
        <v>0</v>
      </c>
      <c r="CV534" s="66">
        <v>1095</v>
      </c>
      <c r="CW534" s="66">
        <v>0</v>
      </c>
      <c r="CX534" s="66">
        <v>0</v>
      </c>
      <c r="CY534" s="66">
        <v>0</v>
      </c>
      <c r="CZ534" s="66">
        <v>0</v>
      </c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>
        <f>SUM(Table1[[#This Row],[01-03 Apr]:[Mar-26]])</f>
        <v>2746</v>
      </c>
    </row>
    <row r="535" spans="1:115" hidden="1" x14ac:dyDescent="0.2">
      <c r="A535" s="28" t="s">
        <v>2365</v>
      </c>
      <c r="B535" s="29" t="s">
        <v>1187</v>
      </c>
      <c r="C535" s="29" t="s">
        <v>1188</v>
      </c>
      <c r="D535" s="30" t="s">
        <v>1189</v>
      </c>
      <c r="E535" s="30" t="s">
        <v>85</v>
      </c>
      <c r="F535" s="30"/>
      <c r="G535" s="31" t="s">
        <v>371</v>
      </c>
      <c r="H535" s="30">
        <v>360008</v>
      </c>
      <c r="I535" s="30" t="str">
        <f>IF(Table1[[#This Row],[Centre Status]]="Returned","NA",IF(Table1[[#This Row],[SD]]&gt;19000,"Full Payment",IF(Table1[[#This Row],[SD]]&lt;1,"No Payment","Partial Payment")))</f>
        <v>NA</v>
      </c>
      <c r="J535" s="30" t="s">
        <v>1903</v>
      </c>
      <c r="K535" s="32">
        <v>110000</v>
      </c>
      <c r="L535" s="33">
        <f>Q535+R535+U535+Table1[[#This Row],[Farmer Payment]]</f>
        <v>48658.974200000004</v>
      </c>
      <c r="M535" s="30">
        <v>17000</v>
      </c>
      <c r="N535" s="34">
        <v>45720</v>
      </c>
      <c r="O535" s="34" t="s">
        <v>2457</v>
      </c>
      <c r="P535" s="35">
        <f t="shared" si="59"/>
        <v>78341.025800000003</v>
      </c>
      <c r="Q535" s="33">
        <f>AI535+AV535+CK535+Table1[[#This Row],[FY 25-26]]</f>
        <v>38658.974200000004</v>
      </c>
      <c r="R535" s="36">
        <v>10000</v>
      </c>
      <c r="S535" s="37" t="s">
        <v>1190</v>
      </c>
      <c r="T535" s="38">
        <v>44975</v>
      </c>
      <c r="U535" s="39"/>
      <c r="V535" s="39"/>
      <c r="W535" s="40">
        <v>0</v>
      </c>
      <c r="X535" s="40">
        <v>0</v>
      </c>
      <c r="Y535" s="40">
        <v>0</v>
      </c>
      <c r="Z535" s="40">
        <v>0</v>
      </c>
      <c r="AA535" s="40">
        <v>0</v>
      </c>
      <c r="AB535" s="40">
        <v>0</v>
      </c>
      <c r="AC535" s="40">
        <v>0</v>
      </c>
      <c r="AD535" s="40">
        <v>0</v>
      </c>
      <c r="AE535" s="40">
        <v>0</v>
      </c>
      <c r="AF535" s="40">
        <v>0</v>
      </c>
      <c r="AG535" s="40">
        <v>0</v>
      </c>
      <c r="AH535" s="40">
        <v>1861</v>
      </c>
      <c r="AI535" s="41">
        <f t="shared" si="60"/>
        <v>1861</v>
      </c>
      <c r="AJ535" s="42">
        <v>1861</v>
      </c>
      <c r="AK535" s="42">
        <v>2231.0934000000002</v>
      </c>
      <c r="AL535" s="42">
        <v>2018.8596000000002</v>
      </c>
      <c r="AM535" s="42">
        <v>3993.8889999999997</v>
      </c>
      <c r="AN535" s="42">
        <v>2811.2038000000002</v>
      </c>
      <c r="AO535" s="42">
        <v>2717.1828000000005</v>
      </c>
      <c r="AP535" s="42">
        <v>3828.5864000000001</v>
      </c>
      <c r="AQ535" s="42">
        <v>3584.2806</v>
      </c>
      <c r="AR535" s="42">
        <v>3408.3011999999999</v>
      </c>
      <c r="AS535" s="42">
        <v>3241.1043999999997</v>
      </c>
      <c r="AT535" s="42">
        <v>2382.8560000000002</v>
      </c>
      <c r="AU535" s="42">
        <v>2692.6170000000002</v>
      </c>
      <c r="AV535" s="42">
        <f t="shared" si="61"/>
        <v>34770.974200000004</v>
      </c>
      <c r="AW535" s="42">
        <v>1861</v>
      </c>
      <c r="AX535" s="42">
        <v>166</v>
      </c>
      <c r="AY535" s="42">
        <v>0</v>
      </c>
      <c r="AZ535" s="42">
        <v>0</v>
      </c>
      <c r="BA535" s="42">
        <v>0</v>
      </c>
      <c r="BB535" s="42">
        <v>0</v>
      </c>
      <c r="BC535" s="42">
        <v>0</v>
      </c>
      <c r="BD535" s="42">
        <v>0</v>
      </c>
      <c r="BE535" s="42">
        <v>0</v>
      </c>
      <c r="BF535" s="42">
        <v>0</v>
      </c>
      <c r="BG535" s="42">
        <v>0</v>
      </c>
      <c r="BH535" s="42">
        <v>0</v>
      </c>
      <c r="BI535" s="42">
        <v>0</v>
      </c>
      <c r="BJ535" s="42">
        <v>0</v>
      </c>
      <c r="BK535" s="42">
        <v>0</v>
      </c>
      <c r="BL535" s="42">
        <v>0</v>
      </c>
      <c r="BM535" s="42">
        <v>0</v>
      </c>
      <c r="BN535" s="42">
        <v>0</v>
      </c>
      <c r="BO535" s="42">
        <v>0</v>
      </c>
      <c r="BP535" s="42">
        <v>0</v>
      </c>
      <c r="BQ535" s="42">
        <v>0</v>
      </c>
      <c r="BR535" s="42">
        <v>0</v>
      </c>
      <c r="BS535" s="42">
        <v>0</v>
      </c>
      <c r="BT535" s="42">
        <v>0</v>
      </c>
      <c r="BU535" s="42">
        <v>0</v>
      </c>
      <c r="BV535" s="42">
        <v>0</v>
      </c>
      <c r="BW535" s="42">
        <v>0</v>
      </c>
      <c r="BX535" s="42">
        <v>0</v>
      </c>
      <c r="BY535" s="42">
        <v>0</v>
      </c>
      <c r="BZ535" s="42">
        <v>0</v>
      </c>
      <c r="CA535" s="42">
        <v>0</v>
      </c>
      <c r="CB535" s="42">
        <v>0</v>
      </c>
      <c r="CC535" s="42">
        <v>0</v>
      </c>
      <c r="CD535" s="42">
        <v>0</v>
      </c>
      <c r="CE535" s="42">
        <v>0</v>
      </c>
      <c r="CF535" s="42">
        <v>0</v>
      </c>
      <c r="CG535" s="42">
        <v>0</v>
      </c>
      <c r="CH535" s="42">
        <v>0</v>
      </c>
      <c r="CI535" s="42">
        <v>0</v>
      </c>
      <c r="CJ535" s="42">
        <v>0</v>
      </c>
      <c r="CK535" s="43">
        <f t="shared" si="62"/>
        <v>2027</v>
      </c>
      <c r="CL535" s="66"/>
      <c r="CM535" s="66">
        <v>0</v>
      </c>
      <c r="CN535" s="66">
        <v>0</v>
      </c>
      <c r="CO535" s="66">
        <v>0</v>
      </c>
      <c r="CP535" s="66">
        <v>0</v>
      </c>
      <c r="CQ535" s="66">
        <v>0</v>
      </c>
      <c r="CR535" s="66">
        <v>0</v>
      </c>
      <c r="CS535" s="66">
        <v>0</v>
      </c>
      <c r="CT535" s="66">
        <v>0</v>
      </c>
      <c r="CU535" s="66">
        <v>0</v>
      </c>
      <c r="CV535" s="66">
        <v>0</v>
      </c>
      <c r="CW535" s="66">
        <v>0</v>
      </c>
      <c r="CX535" s="66">
        <v>0</v>
      </c>
      <c r="CY535" s="66">
        <v>0</v>
      </c>
      <c r="CZ535" s="66">
        <v>0</v>
      </c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>
        <f>SUM(Table1[[#This Row],[01-03 Apr]:[Mar-26]])</f>
        <v>0</v>
      </c>
    </row>
    <row r="536" spans="1:115" x14ac:dyDescent="0.2">
      <c r="A536" s="28" t="s">
        <v>2255</v>
      </c>
      <c r="B536" s="29" t="s">
        <v>1191</v>
      </c>
      <c r="C536" s="29" t="s">
        <v>1192</v>
      </c>
      <c r="D536" s="30" t="s">
        <v>1193</v>
      </c>
      <c r="E536" s="30" t="s">
        <v>177</v>
      </c>
      <c r="F536" s="30"/>
      <c r="G536" s="31" t="s">
        <v>371</v>
      </c>
      <c r="H536" s="30">
        <v>276141</v>
      </c>
      <c r="I536" s="30" t="str">
        <f>IF(Table1[[#This Row],[Centre Status]]="Returned","NA",IF(Table1[[#This Row],[SD]]&gt;19000,"Full Payment",IF(Table1[[#This Row],[SD]]&lt;1,"No Payment","Partial Payment")))</f>
        <v>Partial Payment</v>
      </c>
      <c r="J536" s="30" t="s">
        <v>58</v>
      </c>
      <c r="K536" s="32">
        <v>64000</v>
      </c>
      <c r="L536" s="33">
        <f>Q536+R536+U536+Table1[[#This Row],[Farmer Payment]]</f>
        <v>56408.014548424195</v>
      </c>
      <c r="M536" s="30"/>
      <c r="N536" s="34"/>
      <c r="O536" s="34"/>
      <c r="P536" s="35">
        <f t="shared" si="59"/>
        <v>7591.9854515758052</v>
      </c>
      <c r="Q536" s="33">
        <f>AI536+AV536+CK536+Table1[[#This Row],[FY 25-26]]</f>
        <v>46408.014548424195</v>
      </c>
      <c r="R536" s="36">
        <v>10000</v>
      </c>
      <c r="S536" s="37" t="s">
        <v>1194</v>
      </c>
      <c r="T536" s="38">
        <v>44914</v>
      </c>
      <c r="U536" s="39"/>
      <c r="V536" s="39"/>
      <c r="W536" s="40">
        <v>0</v>
      </c>
      <c r="X536" s="40">
        <v>0</v>
      </c>
      <c r="Y536" s="40">
        <v>0</v>
      </c>
      <c r="Z536" s="40">
        <v>0</v>
      </c>
      <c r="AA536" s="40">
        <v>0</v>
      </c>
      <c r="AB536" s="40">
        <v>0</v>
      </c>
      <c r="AC536" s="40">
        <v>0</v>
      </c>
      <c r="AD536" s="40">
        <v>0</v>
      </c>
      <c r="AE536" s="40">
        <v>0</v>
      </c>
      <c r="AF536" s="40">
        <v>0</v>
      </c>
      <c r="AG536" s="40">
        <v>1861</v>
      </c>
      <c r="AH536" s="40">
        <v>1861</v>
      </c>
      <c r="AI536" s="41">
        <f t="shared" si="60"/>
        <v>3722</v>
      </c>
      <c r="AJ536" s="42">
        <v>1861</v>
      </c>
      <c r="AK536" s="42">
        <v>1861</v>
      </c>
      <c r="AL536" s="42">
        <v>1260</v>
      </c>
      <c r="AM536" s="42">
        <v>1861</v>
      </c>
      <c r="AN536" s="42">
        <v>1238</v>
      </c>
      <c r="AO536" s="42">
        <v>1861</v>
      </c>
      <c r="AP536" s="42">
        <v>1861</v>
      </c>
      <c r="AQ536" s="42">
        <v>0</v>
      </c>
      <c r="AR536" s="42">
        <v>0</v>
      </c>
      <c r="AS536" s="42">
        <v>1689</v>
      </c>
      <c r="AT536" s="42">
        <v>1320</v>
      </c>
      <c r="AU536" s="42">
        <v>1307</v>
      </c>
      <c r="AV536" s="42">
        <f t="shared" si="61"/>
        <v>16119</v>
      </c>
      <c r="AW536" s="42">
        <v>722</v>
      </c>
      <c r="AX536" s="42">
        <v>1861</v>
      </c>
      <c r="AY536" s="42">
        <v>1861</v>
      </c>
      <c r="AZ536" s="42">
        <v>2116.6220794173123</v>
      </c>
      <c r="BA536" s="42">
        <v>2560.7954439395826</v>
      </c>
      <c r="BB536" s="42">
        <v>0</v>
      </c>
      <c r="BC536" s="42">
        <v>2010.5970250672965</v>
      </c>
      <c r="BD536" s="42">
        <v>0</v>
      </c>
      <c r="BE536" s="42">
        <v>0</v>
      </c>
      <c r="BF536" s="42">
        <v>0</v>
      </c>
      <c r="BG536" s="42">
        <v>0</v>
      </c>
      <c r="BH536" s="42">
        <v>0</v>
      </c>
      <c r="BI536" s="42">
        <v>275</v>
      </c>
      <c r="BJ536" s="42">
        <v>0</v>
      </c>
      <c r="BK536" s="42">
        <v>0</v>
      </c>
      <c r="BL536" s="42">
        <v>500</v>
      </c>
      <c r="BM536" s="42">
        <v>500</v>
      </c>
      <c r="BN536" s="42">
        <v>0</v>
      </c>
      <c r="BO536" s="42">
        <v>500</v>
      </c>
      <c r="BP536" s="42">
        <v>500</v>
      </c>
      <c r="BQ536" s="42">
        <v>500</v>
      </c>
      <c r="BR536" s="42">
        <v>500</v>
      </c>
      <c r="BS536" s="42">
        <v>0</v>
      </c>
      <c r="BT536" s="42">
        <v>500</v>
      </c>
      <c r="BU536" s="42">
        <v>500</v>
      </c>
      <c r="BV536" s="42">
        <v>500</v>
      </c>
      <c r="BW536" s="42">
        <v>500</v>
      </c>
      <c r="BX536" s="42">
        <v>500</v>
      </c>
      <c r="BY536" s="42">
        <v>0</v>
      </c>
      <c r="BZ536" s="42">
        <v>500</v>
      </c>
      <c r="CA536" s="42">
        <v>500</v>
      </c>
      <c r="CB536" s="42">
        <v>500</v>
      </c>
      <c r="CC536" s="42">
        <v>500</v>
      </c>
      <c r="CD536" s="42">
        <v>0</v>
      </c>
      <c r="CE536" s="42">
        <v>500</v>
      </c>
      <c r="CF536" s="42">
        <v>500</v>
      </c>
      <c r="CG536" s="42">
        <v>500</v>
      </c>
      <c r="CH536" s="42">
        <v>500</v>
      </c>
      <c r="CI536" s="42">
        <v>500</v>
      </c>
      <c r="CJ536" s="42">
        <v>0</v>
      </c>
      <c r="CK536" s="43">
        <f t="shared" si="62"/>
        <v>21407.014548424191</v>
      </c>
      <c r="CL536" s="66"/>
      <c r="CM536" s="66">
        <v>500</v>
      </c>
      <c r="CN536" s="66">
        <v>500</v>
      </c>
      <c r="CO536" s="66">
        <v>0</v>
      </c>
      <c r="CP536" s="66">
        <v>160</v>
      </c>
      <c r="CQ536" s="66">
        <v>500</v>
      </c>
      <c r="CR536" s="66">
        <v>500</v>
      </c>
      <c r="CS536" s="66">
        <v>500</v>
      </c>
      <c r="CT536" s="66">
        <v>500</v>
      </c>
      <c r="CU536" s="66">
        <v>0</v>
      </c>
      <c r="CV536" s="66">
        <v>0</v>
      </c>
      <c r="CW536" s="66">
        <v>500</v>
      </c>
      <c r="CX536" s="66">
        <v>500</v>
      </c>
      <c r="CY536" s="66">
        <v>500</v>
      </c>
      <c r="CZ536" s="66">
        <v>500</v>
      </c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>
        <f>SUM(Table1[[#This Row],[01-03 Apr]:[Mar-26]])</f>
        <v>5160</v>
      </c>
    </row>
    <row r="537" spans="1:115" x14ac:dyDescent="0.2">
      <c r="A537" s="28" t="s">
        <v>2255</v>
      </c>
      <c r="B537" s="29" t="s">
        <v>1195</v>
      </c>
      <c r="C537" s="29" t="s">
        <v>1196</v>
      </c>
      <c r="D537" s="30" t="s">
        <v>1197</v>
      </c>
      <c r="E537" s="30" t="s">
        <v>177</v>
      </c>
      <c r="F537" s="30"/>
      <c r="G537" s="31" t="s">
        <v>371</v>
      </c>
      <c r="H537" s="30">
        <v>322427</v>
      </c>
      <c r="I537" s="30" t="str">
        <f>IF(Table1[[#This Row],[Centre Status]]="Returned","NA",IF(Table1[[#This Row],[SD]]&gt;19000,"Full Payment",IF(Table1[[#This Row],[SD]]&lt;1,"No Payment","Partial Payment")))</f>
        <v>Partial Payment</v>
      </c>
      <c r="J537" s="30" t="s">
        <v>58</v>
      </c>
      <c r="K537" s="32">
        <v>64000</v>
      </c>
      <c r="L537" s="33">
        <f>Q537+R537+U537+Table1[[#This Row],[Farmer Payment]]</f>
        <v>64000</v>
      </c>
      <c r="M537" s="30"/>
      <c r="N537" s="34"/>
      <c r="O537" s="34"/>
      <c r="P537" s="35">
        <f t="shared" si="59"/>
        <v>0</v>
      </c>
      <c r="Q537" s="33">
        <f>AI537+AV537+CK537+Table1[[#This Row],[FY 25-26]]</f>
        <v>54000</v>
      </c>
      <c r="R537" s="36">
        <v>10000</v>
      </c>
      <c r="S537" s="37" t="s">
        <v>1198</v>
      </c>
      <c r="T537" s="38">
        <v>44901</v>
      </c>
      <c r="U537" s="39"/>
      <c r="V537" s="39"/>
      <c r="W537" s="40">
        <v>0</v>
      </c>
      <c r="X537" s="40">
        <v>0</v>
      </c>
      <c r="Y537" s="40">
        <v>0</v>
      </c>
      <c r="Z537" s="40">
        <v>0</v>
      </c>
      <c r="AA537" s="40">
        <v>0</v>
      </c>
      <c r="AB537" s="40">
        <v>0</v>
      </c>
      <c r="AC537" s="40">
        <v>0</v>
      </c>
      <c r="AD537" s="40">
        <v>0</v>
      </c>
      <c r="AE537" s="40">
        <v>0</v>
      </c>
      <c r="AF537" s="40">
        <v>0</v>
      </c>
      <c r="AG537" s="40">
        <v>1861</v>
      </c>
      <c r="AH537" s="40">
        <v>1861</v>
      </c>
      <c r="AI537" s="41">
        <f t="shared" si="60"/>
        <v>3722</v>
      </c>
      <c r="AJ537" s="42">
        <v>1861</v>
      </c>
      <c r="AK537" s="42">
        <v>2083.8181999999997</v>
      </c>
      <c r="AL537" s="42">
        <v>1861</v>
      </c>
      <c r="AM537" s="42">
        <v>2212.0596</v>
      </c>
      <c r="AN537" s="42">
        <v>3407.9407999999999</v>
      </c>
      <c r="AO537" s="42">
        <v>4440.5074000000004</v>
      </c>
      <c r="AP537" s="42">
        <v>8612.5280000000021</v>
      </c>
      <c r="AQ537" s="42">
        <v>3543.3381999999997</v>
      </c>
      <c r="AR537" s="42">
        <v>4346.0129999999999</v>
      </c>
      <c r="AS537" s="42">
        <v>4930.6508000000003</v>
      </c>
      <c r="AT537" s="42">
        <v>4921.6507999999994</v>
      </c>
      <c r="AU537" s="42">
        <v>5000.2966000000006</v>
      </c>
      <c r="AV537" s="42">
        <f t="shared" si="61"/>
        <v>47220.803400000004</v>
      </c>
      <c r="AW537" s="42">
        <v>3057.1965999999957</v>
      </c>
      <c r="AX537" s="42">
        <v>0</v>
      </c>
      <c r="AY537" s="42">
        <v>0</v>
      </c>
      <c r="AZ537" s="42">
        <v>0</v>
      </c>
      <c r="BA537" s="42">
        <v>0</v>
      </c>
      <c r="BB537" s="42">
        <v>0</v>
      </c>
      <c r="BC537" s="42">
        <v>0</v>
      </c>
      <c r="BD537" s="42">
        <v>0</v>
      </c>
      <c r="BE537" s="42">
        <v>0</v>
      </c>
      <c r="BF537" s="42">
        <v>0</v>
      </c>
      <c r="BG537" s="42">
        <v>0</v>
      </c>
      <c r="BH537" s="42">
        <v>0</v>
      </c>
      <c r="BI537" s="42">
        <v>0</v>
      </c>
      <c r="BJ537" s="42">
        <v>0</v>
      </c>
      <c r="BK537" s="42">
        <v>0</v>
      </c>
      <c r="BL537" s="42">
        <v>0</v>
      </c>
      <c r="BM537" s="42">
        <v>0</v>
      </c>
      <c r="BN537" s="42">
        <v>0</v>
      </c>
      <c r="BO537" s="42">
        <v>0</v>
      </c>
      <c r="BP537" s="42">
        <v>0</v>
      </c>
      <c r="BQ537" s="42">
        <v>0</v>
      </c>
      <c r="BR537" s="42">
        <v>0</v>
      </c>
      <c r="BS537" s="42">
        <v>0</v>
      </c>
      <c r="BT537" s="42">
        <v>0</v>
      </c>
      <c r="BU537" s="42">
        <v>0</v>
      </c>
      <c r="BV537" s="42">
        <v>0</v>
      </c>
      <c r="BW537" s="42">
        <v>0</v>
      </c>
      <c r="BX537" s="42">
        <v>0</v>
      </c>
      <c r="BY537" s="42">
        <v>0</v>
      </c>
      <c r="BZ537" s="42">
        <v>0</v>
      </c>
      <c r="CA537" s="42">
        <v>0</v>
      </c>
      <c r="CB537" s="42">
        <v>0</v>
      </c>
      <c r="CC537" s="42">
        <v>0</v>
      </c>
      <c r="CD537" s="42">
        <v>0</v>
      </c>
      <c r="CE537" s="42">
        <v>0</v>
      </c>
      <c r="CF537" s="42">
        <v>0</v>
      </c>
      <c r="CG537" s="42">
        <v>0</v>
      </c>
      <c r="CH537" s="42">
        <v>0</v>
      </c>
      <c r="CI537" s="42">
        <v>0</v>
      </c>
      <c r="CJ537" s="42">
        <v>0</v>
      </c>
      <c r="CK537" s="43">
        <f t="shared" si="62"/>
        <v>3057.1965999999957</v>
      </c>
      <c r="CL537" s="66"/>
      <c r="CM537" s="66">
        <v>0</v>
      </c>
      <c r="CN537" s="66">
        <v>0</v>
      </c>
      <c r="CO537" s="66">
        <v>0</v>
      </c>
      <c r="CP537" s="66">
        <v>0</v>
      </c>
      <c r="CQ537" s="66">
        <v>0</v>
      </c>
      <c r="CR537" s="66">
        <v>0</v>
      </c>
      <c r="CS537" s="66">
        <v>0</v>
      </c>
      <c r="CT537" s="66">
        <v>0</v>
      </c>
      <c r="CU537" s="66">
        <v>0</v>
      </c>
      <c r="CV537" s="66">
        <v>0</v>
      </c>
      <c r="CW537" s="66">
        <v>0</v>
      </c>
      <c r="CX537" s="66">
        <v>0</v>
      </c>
      <c r="CY537" s="66">
        <v>0</v>
      </c>
      <c r="CZ537" s="66">
        <v>0</v>
      </c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>
        <f>SUM(Table1[[#This Row],[01-03 Apr]:[Mar-26]])</f>
        <v>0</v>
      </c>
    </row>
    <row r="538" spans="1:115" x14ac:dyDescent="0.2">
      <c r="A538" s="28" t="s">
        <v>2255</v>
      </c>
      <c r="B538" s="29" t="s">
        <v>1199</v>
      </c>
      <c r="C538" s="29" t="s">
        <v>1200</v>
      </c>
      <c r="D538" s="30" t="s">
        <v>1201</v>
      </c>
      <c r="E538" s="30" t="s">
        <v>906</v>
      </c>
      <c r="F538" s="30"/>
      <c r="G538" s="31"/>
      <c r="H538" s="30">
        <v>378186</v>
      </c>
      <c r="I538" s="30" t="str">
        <f>IF(Table1[[#This Row],[Centre Status]]="Returned","NA",IF(Table1[[#This Row],[SD]]&gt;19000,"Full Payment",IF(Table1[[#This Row],[SD]]&lt;1,"No Payment","Partial Payment")))</f>
        <v>Partial Payment</v>
      </c>
      <c r="J538" s="30" t="s">
        <v>58</v>
      </c>
      <c r="K538" s="32">
        <v>110000</v>
      </c>
      <c r="L538" s="33">
        <f>Q538+R538+U538+Table1[[#This Row],[Farmer Payment]]</f>
        <v>35081</v>
      </c>
      <c r="M538" s="30"/>
      <c r="N538" s="34"/>
      <c r="O538" s="34"/>
      <c r="P538" s="35">
        <f t="shared" si="59"/>
        <v>74919</v>
      </c>
      <c r="Q538" s="33">
        <f>AI538+AV538+CK538+Table1[[#This Row],[FY 25-26]]</f>
        <v>25081</v>
      </c>
      <c r="R538" s="36">
        <v>10000</v>
      </c>
      <c r="S538" s="37" t="s">
        <v>1202</v>
      </c>
      <c r="T538" s="38">
        <v>45084</v>
      </c>
      <c r="U538" s="39"/>
      <c r="V538" s="39"/>
      <c r="W538" s="40">
        <v>0</v>
      </c>
      <c r="X538" s="40">
        <v>0</v>
      </c>
      <c r="Y538" s="40">
        <v>0</v>
      </c>
      <c r="Z538" s="40">
        <v>0</v>
      </c>
      <c r="AA538" s="40">
        <v>0</v>
      </c>
      <c r="AB538" s="40">
        <v>0</v>
      </c>
      <c r="AC538" s="40">
        <v>0</v>
      </c>
      <c r="AD538" s="40">
        <v>0</v>
      </c>
      <c r="AE538" s="40">
        <v>0</v>
      </c>
      <c r="AF538" s="40">
        <v>0</v>
      </c>
      <c r="AG538" s="40">
        <v>0</v>
      </c>
      <c r="AH538" s="40">
        <v>0</v>
      </c>
      <c r="AI538" s="41">
        <f t="shared" si="60"/>
        <v>0</v>
      </c>
      <c r="AJ538" s="42">
        <v>0</v>
      </c>
      <c r="AK538" s="42">
        <v>0</v>
      </c>
      <c r="AL538" s="42">
        <v>0</v>
      </c>
      <c r="AM538" s="42">
        <v>0</v>
      </c>
      <c r="AN538" s="42">
        <v>1861</v>
      </c>
      <c r="AO538" s="42">
        <v>1296</v>
      </c>
      <c r="AP538" s="42">
        <v>0</v>
      </c>
      <c r="AQ538" s="42">
        <v>0</v>
      </c>
      <c r="AR538" s="42">
        <v>442</v>
      </c>
      <c r="AS538" s="42">
        <v>0</v>
      </c>
      <c r="AT538" s="42">
        <v>0</v>
      </c>
      <c r="AU538" s="42">
        <v>935</v>
      </c>
      <c r="AV538" s="42">
        <f t="shared" si="61"/>
        <v>4534</v>
      </c>
      <c r="AW538" s="42">
        <v>963</v>
      </c>
      <c r="AX538" s="42">
        <v>12</v>
      </c>
      <c r="AY538" s="42">
        <v>0</v>
      </c>
      <c r="AZ538" s="42">
        <v>0</v>
      </c>
      <c r="BA538" s="42">
        <v>0</v>
      </c>
      <c r="BB538" s="42">
        <v>500</v>
      </c>
      <c r="BC538" s="42">
        <v>572</v>
      </c>
      <c r="BD538" s="42">
        <v>500</v>
      </c>
      <c r="BE538" s="42">
        <v>500</v>
      </c>
      <c r="BF538" s="42">
        <v>500</v>
      </c>
      <c r="BG538" s="42">
        <v>500</v>
      </c>
      <c r="BH538" s="42">
        <v>500</v>
      </c>
      <c r="BI538" s="42">
        <v>0</v>
      </c>
      <c r="BJ538" s="42">
        <v>500</v>
      </c>
      <c r="BK538" s="42">
        <v>500</v>
      </c>
      <c r="BL538" s="42">
        <v>500</v>
      </c>
      <c r="BM538" s="42">
        <v>500</v>
      </c>
      <c r="BN538" s="42">
        <v>0</v>
      </c>
      <c r="BO538" s="42">
        <v>500</v>
      </c>
      <c r="BP538" s="42">
        <v>500</v>
      </c>
      <c r="BQ538" s="42">
        <v>500</v>
      </c>
      <c r="BR538" s="42">
        <v>500</v>
      </c>
      <c r="BS538" s="42">
        <v>0</v>
      </c>
      <c r="BT538" s="42">
        <v>500</v>
      </c>
      <c r="BU538" s="42">
        <v>500</v>
      </c>
      <c r="BV538" s="42">
        <v>500</v>
      </c>
      <c r="BW538" s="42">
        <v>500</v>
      </c>
      <c r="BX538" s="42">
        <v>500</v>
      </c>
      <c r="BY538" s="42">
        <v>0</v>
      </c>
      <c r="BZ538" s="42">
        <v>500</v>
      </c>
      <c r="CA538" s="42">
        <v>500</v>
      </c>
      <c r="CB538" s="42">
        <v>500</v>
      </c>
      <c r="CC538" s="42">
        <v>500</v>
      </c>
      <c r="CD538" s="42">
        <v>0</v>
      </c>
      <c r="CE538" s="42">
        <v>500</v>
      </c>
      <c r="CF538" s="42">
        <v>500</v>
      </c>
      <c r="CG538" s="42">
        <v>500</v>
      </c>
      <c r="CH538" s="42">
        <v>500</v>
      </c>
      <c r="CI538" s="42">
        <v>500</v>
      </c>
      <c r="CJ538" s="42">
        <v>0</v>
      </c>
      <c r="CK538" s="43">
        <f t="shared" si="62"/>
        <v>15547</v>
      </c>
      <c r="CL538" s="66"/>
      <c r="CM538" s="66">
        <v>500</v>
      </c>
      <c r="CN538" s="66">
        <v>500</v>
      </c>
      <c r="CO538" s="66">
        <v>500</v>
      </c>
      <c r="CP538" s="66">
        <v>0</v>
      </c>
      <c r="CQ538" s="66">
        <v>500</v>
      </c>
      <c r="CR538" s="66">
        <v>500</v>
      </c>
      <c r="CS538" s="66">
        <v>0</v>
      </c>
      <c r="CT538" s="66">
        <v>500</v>
      </c>
      <c r="CU538" s="66">
        <v>0</v>
      </c>
      <c r="CV538" s="66">
        <v>0</v>
      </c>
      <c r="CW538" s="66">
        <v>500</v>
      </c>
      <c r="CX538" s="66">
        <v>500</v>
      </c>
      <c r="CY538" s="66">
        <v>500</v>
      </c>
      <c r="CZ538" s="66">
        <v>500</v>
      </c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>
        <f>SUM(Table1[[#This Row],[01-03 Apr]:[Mar-26]])</f>
        <v>5000</v>
      </c>
    </row>
    <row r="539" spans="1:115" x14ac:dyDescent="0.2">
      <c r="A539" s="28" t="s">
        <v>2255</v>
      </c>
      <c r="B539" s="29" t="s">
        <v>1203</v>
      </c>
      <c r="C539" s="29" t="s">
        <v>1204</v>
      </c>
      <c r="D539" s="30" t="s">
        <v>1205</v>
      </c>
      <c r="E539" s="30" t="s">
        <v>906</v>
      </c>
      <c r="F539" s="30"/>
      <c r="G539" s="31"/>
      <c r="H539" s="30">
        <v>385567</v>
      </c>
      <c r="I539" s="30" t="str">
        <f>IF(Table1[[#This Row],[Centre Status]]="Returned","NA",IF(Table1[[#This Row],[SD]]&gt;19000,"Full Payment",IF(Table1[[#This Row],[SD]]&lt;1,"No Payment","Partial Payment")))</f>
        <v>No Payment</v>
      </c>
      <c r="J539" s="30" t="s">
        <v>58</v>
      </c>
      <c r="K539" s="32">
        <v>110000</v>
      </c>
      <c r="L539" s="33">
        <f>Q539+R539+U539+Table1[[#This Row],[Farmer Payment]]</f>
        <v>28872.158431586562</v>
      </c>
      <c r="M539" s="30"/>
      <c r="N539" s="34"/>
      <c r="O539" s="34"/>
      <c r="P539" s="35">
        <f t="shared" si="59"/>
        <v>81127.841568413438</v>
      </c>
      <c r="Q539" s="33">
        <f>AI539+AV539+CK539+Table1[[#This Row],[FY 25-26]]</f>
        <v>28872.158431586562</v>
      </c>
      <c r="R539" s="36"/>
      <c r="S539" s="37"/>
      <c r="T539" s="38"/>
      <c r="U539" s="39"/>
      <c r="V539" s="39"/>
      <c r="W539" s="40">
        <v>0</v>
      </c>
      <c r="X539" s="40">
        <v>0</v>
      </c>
      <c r="Y539" s="40">
        <v>0</v>
      </c>
      <c r="Z539" s="40">
        <v>0</v>
      </c>
      <c r="AA539" s="40">
        <v>0</v>
      </c>
      <c r="AB539" s="40">
        <v>0</v>
      </c>
      <c r="AC539" s="40">
        <v>0</v>
      </c>
      <c r="AD539" s="40">
        <v>0</v>
      </c>
      <c r="AE539" s="40">
        <v>0</v>
      </c>
      <c r="AF539" s="40">
        <v>0</v>
      </c>
      <c r="AG539" s="40">
        <v>0</v>
      </c>
      <c r="AH539" s="40">
        <v>0</v>
      </c>
      <c r="AI539" s="41">
        <f t="shared" si="60"/>
        <v>0</v>
      </c>
      <c r="AJ539" s="42">
        <v>0</v>
      </c>
      <c r="AK539" s="42">
        <v>0</v>
      </c>
      <c r="AL539" s="42">
        <v>0</v>
      </c>
      <c r="AM539" s="42">
        <v>0</v>
      </c>
      <c r="AN539" s="42">
        <v>1861</v>
      </c>
      <c r="AO539" s="42">
        <v>1861</v>
      </c>
      <c r="AP539" s="42">
        <v>2019.6620000000003</v>
      </c>
      <c r="AQ539" s="42">
        <v>848</v>
      </c>
      <c r="AR539" s="42">
        <v>1672</v>
      </c>
      <c r="AS539" s="42">
        <v>2179.2420000000002</v>
      </c>
      <c r="AT539" s="42">
        <v>2606.3962000000001</v>
      </c>
      <c r="AU539" s="42">
        <v>2927.4094</v>
      </c>
      <c r="AV539" s="42">
        <f t="shared" si="61"/>
        <v>15974.709600000002</v>
      </c>
      <c r="AW539" s="42">
        <v>2861.5497798720003</v>
      </c>
      <c r="AX539" s="42">
        <v>2405.8990517145598</v>
      </c>
      <c r="AY539" s="42">
        <v>1440</v>
      </c>
      <c r="AZ539" s="42">
        <v>0</v>
      </c>
      <c r="BA539" s="42">
        <v>0</v>
      </c>
      <c r="BB539" s="42">
        <v>500</v>
      </c>
      <c r="BC539" s="42">
        <v>0</v>
      </c>
      <c r="BD539" s="42">
        <v>500</v>
      </c>
      <c r="BE539" s="42">
        <v>500</v>
      </c>
      <c r="BF539" s="42">
        <v>500</v>
      </c>
      <c r="BG539" s="42">
        <v>500</v>
      </c>
      <c r="BH539" s="42">
        <v>500</v>
      </c>
      <c r="BI539" s="42">
        <v>0</v>
      </c>
      <c r="BJ539" s="42">
        <v>500</v>
      </c>
      <c r="BK539" s="42">
        <v>500</v>
      </c>
      <c r="BL539" s="42">
        <v>500</v>
      </c>
      <c r="BM539" s="42">
        <v>500</v>
      </c>
      <c r="BN539" s="42">
        <v>0</v>
      </c>
      <c r="BO539" s="42">
        <v>500</v>
      </c>
      <c r="BP539" s="42">
        <v>190</v>
      </c>
      <c r="BQ539" s="42">
        <v>500</v>
      </c>
      <c r="BR539" s="42">
        <v>0</v>
      </c>
      <c r="BS539" s="42">
        <v>0</v>
      </c>
      <c r="BT539" s="42">
        <v>0</v>
      </c>
      <c r="BU539" s="42">
        <v>0</v>
      </c>
      <c r="BV539" s="42">
        <v>0</v>
      </c>
      <c r="BW539" s="42">
        <v>0</v>
      </c>
      <c r="BX539" s="42">
        <v>0</v>
      </c>
      <c r="BY539" s="42">
        <v>0</v>
      </c>
      <c r="BZ539" s="42">
        <v>0</v>
      </c>
      <c r="CA539" s="42">
        <v>0</v>
      </c>
      <c r="CB539" s="42">
        <v>0</v>
      </c>
      <c r="CC539" s="42">
        <v>0</v>
      </c>
      <c r="CD539" s="42">
        <v>0</v>
      </c>
      <c r="CE539" s="42">
        <v>0</v>
      </c>
      <c r="CF539" s="42">
        <v>0</v>
      </c>
      <c r="CG539" s="42">
        <v>0</v>
      </c>
      <c r="CH539" s="42">
        <v>0</v>
      </c>
      <c r="CI539" s="42">
        <v>0</v>
      </c>
      <c r="CJ539" s="42">
        <v>0</v>
      </c>
      <c r="CK539" s="43">
        <f t="shared" si="62"/>
        <v>12897.44883158656</v>
      </c>
      <c r="CL539" s="66"/>
      <c r="CM539" s="66">
        <v>0</v>
      </c>
      <c r="CN539" s="66">
        <v>0</v>
      </c>
      <c r="CO539" s="66">
        <v>0</v>
      </c>
      <c r="CP539" s="66">
        <v>0</v>
      </c>
      <c r="CQ539" s="66">
        <v>0</v>
      </c>
      <c r="CR539" s="66">
        <v>0</v>
      </c>
      <c r="CS539" s="66">
        <v>0</v>
      </c>
      <c r="CT539" s="66">
        <v>0</v>
      </c>
      <c r="CU539" s="66">
        <v>0</v>
      </c>
      <c r="CV539" s="66">
        <v>0</v>
      </c>
      <c r="CW539" s="66">
        <v>0</v>
      </c>
      <c r="CX539" s="66">
        <v>0</v>
      </c>
      <c r="CY539" s="66">
        <v>0</v>
      </c>
      <c r="CZ539" s="66">
        <v>0</v>
      </c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>
        <f>SUM(Table1[[#This Row],[01-03 Apr]:[Mar-26]])</f>
        <v>0</v>
      </c>
    </row>
    <row r="540" spans="1:115" hidden="1" x14ac:dyDescent="0.2">
      <c r="A540" s="28" t="s">
        <v>2255</v>
      </c>
      <c r="B540" s="29" t="s">
        <v>1206</v>
      </c>
      <c r="C540" s="29" t="s">
        <v>1207</v>
      </c>
      <c r="D540" s="30" t="s">
        <v>1208</v>
      </c>
      <c r="E540" s="30" t="s">
        <v>203</v>
      </c>
      <c r="F540" s="30"/>
      <c r="G540" s="31"/>
      <c r="H540" s="30">
        <v>385589</v>
      </c>
      <c r="I540" s="30" t="str">
        <f>IF(Table1[[#This Row],[Centre Status]]="Returned","NA",IF(Table1[[#This Row],[SD]]&gt;19000,"Full Payment",IF(Table1[[#This Row],[SD]]&lt;1,"No Payment","Partial Payment")))</f>
        <v>NA</v>
      </c>
      <c r="J540" s="30" t="s">
        <v>1903</v>
      </c>
      <c r="K540" s="32">
        <v>110000</v>
      </c>
      <c r="L540" s="33">
        <f>Q540+R540+U540+Table1[[#This Row],[Farmer Payment]]</f>
        <v>23397.182785626032</v>
      </c>
      <c r="M540" s="30">
        <v>10000</v>
      </c>
      <c r="N540" s="34">
        <v>45653</v>
      </c>
      <c r="O540" s="34" t="s">
        <v>2861</v>
      </c>
      <c r="P540" s="35">
        <f t="shared" si="59"/>
        <v>96602.817214373965</v>
      </c>
      <c r="Q540" s="33">
        <f>AI540+AV540+CK540+Table1[[#This Row],[FY 25-26]]</f>
        <v>13397.182785626032</v>
      </c>
      <c r="R540" s="36">
        <v>10000</v>
      </c>
      <c r="S540" s="37" t="s">
        <v>1209</v>
      </c>
      <c r="T540" s="38">
        <v>45050</v>
      </c>
      <c r="U540" s="39"/>
      <c r="V540" s="39"/>
      <c r="W540" s="40">
        <v>0</v>
      </c>
      <c r="X540" s="40">
        <v>0</v>
      </c>
      <c r="Y540" s="40">
        <v>0</v>
      </c>
      <c r="Z540" s="40">
        <v>0</v>
      </c>
      <c r="AA540" s="40">
        <v>0</v>
      </c>
      <c r="AB540" s="40">
        <v>0</v>
      </c>
      <c r="AC540" s="40">
        <v>0</v>
      </c>
      <c r="AD540" s="40">
        <v>0</v>
      </c>
      <c r="AE540" s="40">
        <v>0</v>
      </c>
      <c r="AF540" s="40">
        <v>0</v>
      </c>
      <c r="AG540" s="40">
        <v>0</v>
      </c>
      <c r="AH540" s="40">
        <v>0</v>
      </c>
      <c r="AI540" s="41">
        <f t="shared" si="60"/>
        <v>0</v>
      </c>
      <c r="AJ540" s="42">
        <v>0</v>
      </c>
      <c r="AK540" s="42">
        <v>0</v>
      </c>
      <c r="AL540" s="42">
        <v>0</v>
      </c>
      <c r="AM540" s="42">
        <v>0</v>
      </c>
      <c r="AN540" s="42">
        <v>1861</v>
      </c>
      <c r="AO540" s="42">
        <v>1861</v>
      </c>
      <c r="AP540" s="42">
        <v>2078.1626000000001</v>
      </c>
      <c r="AQ540" s="42">
        <v>1277</v>
      </c>
      <c r="AR540" s="42">
        <v>629</v>
      </c>
      <c r="AS540" s="42">
        <v>733</v>
      </c>
      <c r="AT540" s="42">
        <v>883.02018562603121</v>
      </c>
      <c r="AU540" s="42">
        <v>1385</v>
      </c>
      <c r="AV540" s="42">
        <f t="shared" si="61"/>
        <v>10707.182785626032</v>
      </c>
      <c r="AW540" s="42">
        <v>972</v>
      </c>
      <c r="AX540" s="42">
        <v>252</v>
      </c>
      <c r="AY540" s="42">
        <v>192</v>
      </c>
      <c r="AZ540" s="42">
        <v>0</v>
      </c>
      <c r="BA540" s="42">
        <v>0</v>
      </c>
      <c r="BB540" s="42">
        <v>274</v>
      </c>
      <c r="BC540" s="42">
        <v>0</v>
      </c>
      <c r="BD540" s="42">
        <v>500</v>
      </c>
      <c r="BE540" s="42">
        <v>500</v>
      </c>
      <c r="BF540" s="42">
        <v>0</v>
      </c>
      <c r="BG540" s="42">
        <v>0</v>
      </c>
      <c r="BH540" s="42">
        <v>0</v>
      </c>
      <c r="BI540" s="42">
        <v>0</v>
      </c>
      <c r="BJ540" s="42">
        <v>0</v>
      </c>
      <c r="BK540" s="42">
        <v>0</v>
      </c>
      <c r="BL540" s="42">
        <v>0</v>
      </c>
      <c r="BM540" s="42">
        <v>0</v>
      </c>
      <c r="BN540" s="42">
        <v>0</v>
      </c>
      <c r="BO540" s="42">
        <v>0</v>
      </c>
      <c r="BP540" s="42">
        <v>0</v>
      </c>
      <c r="BQ540" s="42">
        <v>0</v>
      </c>
      <c r="BR540" s="42">
        <v>0</v>
      </c>
      <c r="BS540" s="42">
        <v>0</v>
      </c>
      <c r="BT540" s="42">
        <v>0</v>
      </c>
      <c r="BU540" s="42">
        <v>0</v>
      </c>
      <c r="BV540" s="42">
        <v>0</v>
      </c>
      <c r="BW540" s="42">
        <v>0</v>
      </c>
      <c r="BX540" s="42">
        <v>0</v>
      </c>
      <c r="BY540" s="42">
        <v>0</v>
      </c>
      <c r="BZ540" s="42">
        <v>0</v>
      </c>
      <c r="CA540" s="42">
        <v>0</v>
      </c>
      <c r="CB540" s="42">
        <v>0</v>
      </c>
      <c r="CC540" s="42">
        <v>0</v>
      </c>
      <c r="CD540" s="42">
        <v>0</v>
      </c>
      <c r="CE540" s="42">
        <v>0</v>
      </c>
      <c r="CF540" s="42">
        <v>0</v>
      </c>
      <c r="CG540" s="42">
        <v>0</v>
      </c>
      <c r="CH540" s="42">
        <v>0</v>
      </c>
      <c r="CI540" s="42">
        <v>0</v>
      </c>
      <c r="CJ540" s="42">
        <v>0</v>
      </c>
      <c r="CK540" s="43">
        <f t="shared" si="62"/>
        <v>2690</v>
      </c>
      <c r="CL540" s="66"/>
      <c r="CM540" s="66">
        <v>0</v>
      </c>
      <c r="CN540" s="66">
        <v>0</v>
      </c>
      <c r="CO540" s="66">
        <v>0</v>
      </c>
      <c r="CP540" s="66">
        <v>0</v>
      </c>
      <c r="CQ540" s="66">
        <v>0</v>
      </c>
      <c r="CR540" s="66">
        <v>0</v>
      </c>
      <c r="CS540" s="66">
        <v>0</v>
      </c>
      <c r="CT540" s="66">
        <v>0</v>
      </c>
      <c r="CU540" s="66">
        <v>0</v>
      </c>
      <c r="CV540" s="66">
        <v>0</v>
      </c>
      <c r="CW540" s="66">
        <v>0</v>
      </c>
      <c r="CX540" s="66">
        <v>0</v>
      </c>
      <c r="CY540" s="66">
        <v>0</v>
      </c>
      <c r="CZ540" s="66">
        <v>0</v>
      </c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>
        <f>SUM(Table1[[#This Row],[01-03 Apr]:[Mar-26]])</f>
        <v>0</v>
      </c>
    </row>
    <row r="541" spans="1:115" hidden="1" x14ac:dyDescent="0.2">
      <c r="A541" s="28" t="s">
        <v>2255</v>
      </c>
      <c r="B541" s="29" t="s">
        <v>1210</v>
      </c>
      <c r="C541" s="29" t="s">
        <v>1211</v>
      </c>
      <c r="D541" s="30" t="s">
        <v>1212</v>
      </c>
      <c r="E541" s="30" t="s">
        <v>203</v>
      </c>
      <c r="F541" s="30"/>
      <c r="G541" s="31"/>
      <c r="H541" s="30">
        <v>382402</v>
      </c>
      <c r="I541" s="30" t="str">
        <f>IF(Table1[[#This Row],[Centre Status]]="Returned","NA",IF(Table1[[#This Row],[SD]]&gt;19000,"Full Payment",IF(Table1[[#This Row],[SD]]&lt;1,"No Payment","Partial Payment")))</f>
        <v>NA</v>
      </c>
      <c r="J541" s="30" t="s">
        <v>1903</v>
      </c>
      <c r="K541" s="32">
        <v>110000</v>
      </c>
      <c r="L541" s="33">
        <f>Q541+R541+U541+Table1[[#This Row],[Farmer Payment]]</f>
        <v>25359.837561005115</v>
      </c>
      <c r="M541" s="30">
        <v>10000</v>
      </c>
      <c r="N541" s="34">
        <v>45708</v>
      </c>
      <c r="O541" s="34" t="s">
        <v>2861</v>
      </c>
      <c r="P541" s="35">
        <f t="shared" si="59"/>
        <v>94640.162438994885</v>
      </c>
      <c r="Q541" s="33">
        <f>AI541+AV541+CK541+Table1[[#This Row],[FY 25-26]]</f>
        <v>15359.837561005115</v>
      </c>
      <c r="R541" s="36">
        <v>10000</v>
      </c>
      <c r="S541" s="37" t="s">
        <v>1213</v>
      </c>
      <c r="T541" s="38">
        <v>45057</v>
      </c>
      <c r="U541" s="39"/>
      <c r="V541" s="39"/>
      <c r="W541" s="40">
        <v>0</v>
      </c>
      <c r="X541" s="40">
        <v>0</v>
      </c>
      <c r="Y541" s="40">
        <v>0</v>
      </c>
      <c r="Z541" s="40">
        <v>0</v>
      </c>
      <c r="AA541" s="40">
        <v>0</v>
      </c>
      <c r="AB541" s="40">
        <v>0</v>
      </c>
      <c r="AC541" s="40">
        <v>0</v>
      </c>
      <c r="AD541" s="40">
        <v>0</v>
      </c>
      <c r="AE541" s="40">
        <v>0</v>
      </c>
      <c r="AF541" s="40">
        <v>0</v>
      </c>
      <c r="AG541" s="40">
        <v>0</v>
      </c>
      <c r="AH541" s="40">
        <v>0</v>
      </c>
      <c r="AI541" s="41">
        <f t="shared" si="60"/>
        <v>0</v>
      </c>
      <c r="AJ541" s="42">
        <v>0</v>
      </c>
      <c r="AK541" s="42">
        <v>0</v>
      </c>
      <c r="AL541" s="42">
        <v>0</v>
      </c>
      <c r="AM541" s="42">
        <v>0</v>
      </c>
      <c r="AN541" s="42">
        <v>1861</v>
      </c>
      <c r="AO541" s="42">
        <v>1861</v>
      </c>
      <c r="AP541" s="42">
        <v>2381.8199999999997</v>
      </c>
      <c r="AQ541" s="42">
        <v>1861</v>
      </c>
      <c r="AR541" s="42">
        <v>1280</v>
      </c>
      <c r="AS541" s="42">
        <v>1861</v>
      </c>
      <c r="AT541" s="42">
        <v>459.01756100511511</v>
      </c>
      <c r="AU541" s="42">
        <v>0</v>
      </c>
      <c r="AV541" s="42">
        <f t="shared" si="61"/>
        <v>11564.837561005115</v>
      </c>
      <c r="AW541" s="42">
        <v>0</v>
      </c>
      <c r="AX541" s="42">
        <v>0</v>
      </c>
      <c r="AY541" s="42">
        <v>0</v>
      </c>
      <c r="AZ541" s="42">
        <v>170</v>
      </c>
      <c r="BA541" s="42">
        <v>0</v>
      </c>
      <c r="BB541" s="42">
        <v>500</v>
      </c>
      <c r="BC541" s="42">
        <v>861</v>
      </c>
      <c r="BD541" s="42">
        <v>500</v>
      </c>
      <c r="BE541" s="42">
        <v>0</v>
      </c>
      <c r="BF541" s="42">
        <v>0</v>
      </c>
      <c r="BG541" s="42">
        <v>0</v>
      </c>
      <c r="BH541" s="42">
        <v>0</v>
      </c>
      <c r="BI541" s="42">
        <v>547</v>
      </c>
      <c r="BJ541" s="42">
        <v>0</v>
      </c>
      <c r="BK541" s="42">
        <v>0</v>
      </c>
      <c r="BL541" s="42">
        <v>500</v>
      </c>
      <c r="BM541" s="42">
        <v>500</v>
      </c>
      <c r="BN541" s="42">
        <v>217</v>
      </c>
      <c r="BO541" s="42">
        <v>0</v>
      </c>
      <c r="BP541" s="42">
        <v>0</v>
      </c>
      <c r="BQ541" s="42">
        <v>0</v>
      </c>
      <c r="BR541" s="42">
        <v>0</v>
      </c>
      <c r="BS541" s="42">
        <v>0</v>
      </c>
      <c r="BT541" s="42">
        <v>0</v>
      </c>
      <c r="BU541" s="42">
        <v>0</v>
      </c>
      <c r="BV541" s="42">
        <v>0</v>
      </c>
      <c r="BW541" s="42">
        <v>0</v>
      </c>
      <c r="BX541" s="42">
        <v>0</v>
      </c>
      <c r="BY541" s="42">
        <v>0</v>
      </c>
      <c r="BZ541" s="42">
        <v>0</v>
      </c>
      <c r="CA541" s="42">
        <v>0</v>
      </c>
      <c r="CB541" s="42">
        <v>0</v>
      </c>
      <c r="CC541" s="42">
        <v>0</v>
      </c>
      <c r="CD541" s="42">
        <v>0</v>
      </c>
      <c r="CE541" s="42">
        <v>0</v>
      </c>
      <c r="CF541" s="42">
        <v>0</v>
      </c>
      <c r="CG541" s="42">
        <v>0</v>
      </c>
      <c r="CH541" s="42">
        <v>0</v>
      </c>
      <c r="CI541" s="42">
        <v>0</v>
      </c>
      <c r="CJ541" s="42">
        <v>0</v>
      </c>
      <c r="CK541" s="43">
        <f t="shared" si="62"/>
        <v>3795</v>
      </c>
      <c r="CL541" s="66"/>
      <c r="CM541" s="66">
        <v>0</v>
      </c>
      <c r="CN541" s="66">
        <v>0</v>
      </c>
      <c r="CO541" s="66">
        <v>0</v>
      </c>
      <c r="CP541" s="66">
        <v>0</v>
      </c>
      <c r="CQ541" s="66">
        <v>0</v>
      </c>
      <c r="CR541" s="66">
        <v>0</v>
      </c>
      <c r="CS541" s="66">
        <v>0</v>
      </c>
      <c r="CT541" s="66">
        <v>0</v>
      </c>
      <c r="CU541" s="66">
        <v>0</v>
      </c>
      <c r="CV541" s="66">
        <v>0</v>
      </c>
      <c r="CW541" s="66">
        <v>0</v>
      </c>
      <c r="CX541" s="66">
        <v>0</v>
      </c>
      <c r="CY541" s="66">
        <v>0</v>
      </c>
      <c r="CZ541" s="66">
        <v>0</v>
      </c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>
        <f>SUM(Table1[[#This Row],[01-03 Apr]:[Mar-26]])</f>
        <v>0</v>
      </c>
    </row>
    <row r="542" spans="1:115" hidden="1" x14ac:dyDescent="0.2">
      <c r="A542" s="28" t="s">
        <v>2255</v>
      </c>
      <c r="B542" s="29" t="s">
        <v>1214</v>
      </c>
      <c r="C542" s="29" t="s">
        <v>1215</v>
      </c>
      <c r="D542" s="30" t="s">
        <v>1216</v>
      </c>
      <c r="E542" s="30" t="s">
        <v>203</v>
      </c>
      <c r="F542" s="30"/>
      <c r="G542" s="31"/>
      <c r="H542" s="30">
        <v>385580</v>
      </c>
      <c r="I542" s="30" t="str">
        <f>IF(Table1[[#This Row],[Centre Status]]="Returned","NA",IF(Table1[[#This Row],[SD]]&gt;19000,"Full Payment",IF(Table1[[#This Row],[SD]]&lt;1,"No Payment","Partial Payment")))</f>
        <v>NA</v>
      </c>
      <c r="J542" s="30" t="s">
        <v>1903</v>
      </c>
      <c r="K542" s="32">
        <v>110000</v>
      </c>
      <c r="L542" s="33">
        <f>Q542+R542+U542+Table1[[#This Row],[Farmer Payment]]</f>
        <v>36885.421938218402</v>
      </c>
      <c r="M542" s="30">
        <v>10000</v>
      </c>
      <c r="N542" s="34">
        <v>45779</v>
      </c>
      <c r="O542" s="34" t="s">
        <v>2861</v>
      </c>
      <c r="P542" s="35">
        <f t="shared" si="59"/>
        <v>83114.578061781591</v>
      </c>
      <c r="Q542" s="33">
        <f>AI542+AV542+CK542+Table1[[#This Row],[FY 25-26]]</f>
        <v>26885.421938218402</v>
      </c>
      <c r="R542" s="36">
        <v>10000</v>
      </c>
      <c r="S542" s="37" t="s">
        <v>1217</v>
      </c>
      <c r="T542" s="38">
        <v>45057</v>
      </c>
      <c r="U542" s="39"/>
      <c r="V542" s="39"/>
      <c r="W542" s="40">
        <v>0</v>
      </c>
      <c r="X542" s="40">
        <v>0</v>
      </c>
      <c r="Y542" s="40">
        <v>0</v>
      </c>
      <c r="Z542" s="40">
        <v>0</v>
      </c>
      <c r="AA542" s="40">
        <v>0</v>
      </c>
      <c r="AB542" s="40">
        <v>0</v>
      </c>
      <c r="AC542" s="40">
        <v>0</v>
      </c>
      <c r="AD542" s="40">
        <v>0</v>
      </c>
      <c r="AE542" s="40">
        <v>0</v>
      </c>
      <c r="AF542" s="40">
        <v>0</v>
      </c>
      <c r="AG542" s="40">
        <v>0</v>
      </c>
      <c r="AH542" s="40">
        <v>0</v>
      </c>
      <c r="AI542" s="41">
        <f t="shared" si="60"/>
        <v>0</v>
      </c>
      <c r="AJ542" s="42">
        <v>0</v>
      </c>
      <c r="AK542" s="42">
        <v>0</v>
      </c>
      <c r="AL542" s="42">
        <v>0</v>
      </c>
      <c r="AM542" s="42">
        <v>0</v>
      </c>
      <c r="AN542" s="42">
        <v>1861</v>
      </c>
      <c r="AO542" s="42">
        <v>1861</v>
      </c>
      <c r="AP542" s="42">
        <v>2007.0706</v>
      </c>
      <c r="AQ542" s="42">
        <v>1861</v>
      </c>
      <c r="AR542" s="42">
        <v>1092</v>
      </c>
      <c r="AS542" s="42">
        <v>1861</v>
      </c>
      <c r="AT542" s="42">
        <v>1861</v>
      </c>
      <c r="AU542" s="42">
        <v>827</v>
      </c>
      <c r="AV542" s="42">
        <f t="shared" si="61"/>
        <v>13231.070599999999</v>
      </c>
      <c r="AW542" s="42">
        <v>0</v>
      </c>
      <c r="AX542" s="42">
        <v>109</v>
      </c>
      <c r="AY542" s="42">
        <v>157</v>
      </c>
      <c r="AZ542" s="42">
        <v>642</v>
      </c>
      <c r="BA542" s="42">
        <v>1194</v>
      </c>
      <c r="BB542" s="42">
        <v>500</v>
      </c>
      <c r="BC542" s="42">
        <v>981.35133821840054</v>
      </c>
      <c r="BD542" s="42">
        <v>500</v>
      </c>
      <c r="BE542" s="42">
        <v>0</v>
      </c>
      <c r="BF542" s="42">
        <v>0</v>
      </c>
      <c r="BG542" s="42">
        <v>0</v>
      </c>
      <c r="BH542" s="42">
        <v>0</v>
      </c>
      <c r="BI542" s="42">
        <v>1861</v>
      </c>
      <c r="BJ542" s="42">
        <v>0</v>
      </c>
      <c r="BK542" s="42">
        <v>0</v>
      </c>
      <c r="BL542" s="42">
        <v>0</v>
      </c>
      <c r="BM542" s="42">
        <v>0</v>
      </c>
      <c r="BN542" s="42">
        <v>1861</v>
      </c>
      <c r="BO542" s="42">
        <v>0</v>
      </c>
      <c r="BP542" s="42">
        <v>0</v>
      </c>
      <c r="BQ542" s="42">
        <v>0</v>
      </c>
      <c r="BR542" s="42">
        <v>0</v>
      </c>
      <c r="BS542" s="42">
        <v>1861</v>
      </c>
      <c r="BT542" s="42">
        <v>0</v>
      </c>
      <c r="BU542" s="42">
        <v>0</v>
      </c>
      <c r="BV542" s="42">
        <v>0</v>
      </c>
      <c r="BW542" s="42">
        <v>0</v>
      </c>
      <c r="BX542" s="42">
        <v>0</v>
      </c>
      <c r="BY542" s="42">
        <v>1861</v>
      </c>
      <c r="BZ542" s="42">
        <v>0</v>
      </c>
      <c r="CA542" s="42">
        <v>0</v>
      </c>
      <c r="CB542" s="42">
        <v>0</v>
      </c>
      <c r="CC542" s="42">
        <v>0</v>
      </c>
      <c r="CD542" s="42">
        <v>1861</v>
      </c>
      <c r="CE542" s="42">
        <v>0</v>
      </c>
      <c r="CF542" s="42">
        <v>0</v>
      </c>
      <c r="CG542" s="42">
        <v>0</v>
      </c>
      <c r="CH542" s="42">
        <v>0</v>
      </c>
      <c r="CI542" s="42">
        <v>0</v>
      </c>
      <c r="CJ542" s="42">
        <v>221</v>
      </c>
      <c r="CK542" s="43">
        <f t="shared" si="62"/>
        <v>13609.351338218401</v>
      </c>
      <c r="CL542" s="66"/>
      <c r="CM542" s="66">
        <v>0</v>
      </c>
      <c r="CN542" s="66">
        <v>0</v>
      </c>
      <c r="CO542" s="66">
        <v>0</v>
      </c>
      <c r="CP542" s="66">
        <v>45</v>
      </c>
      <c r="CQ542" s="66">
        <v>0</v>
      </c>
      <c r="CR542" s="66">
        <v>0</v>
      </c>
      <c r="CS542" s="66">
        <v>0</v>
      </c>
      <c r="CT542" s="66">
        <v>0</v>
      </c>
      <c r="CU542" s="66">
        <v>0</v>
      </c>
      <c r="CV542" s="66">
        <v>0</v>
      </c>
      <c r="CW542" s="66">
        <v>0</v>
      </c>
      <c r="CX542" s="66">
        <v>0</v>
      </c>
      <c r="CY542" s="66">
        <v>0</v>
      </c>
      <c r="CZ542" s="66">
        <v>0</v>
      </c>
      <c r="DA542" s="66"/>
      <c r="DB542" s="66"/>
      <c r="DC542" s="66"/>
      <c r="DD542" s="66"/>
      <c r="DE542" s="66"/>
      <c r="DF542" s="66"/>
      <c r="DG542" s="66"/>
      <c r="DH542" s="66"/>
      <c r="DI542" s="66"/>
      <c r="DJ542" s="66"/>
      <c r="DK542" s="66">
        <f>SUM(Table1[[#This Row],[01-03 Apr]:[Mar-26]])</f>
        <v>45</v>
      </c>
    </row>
    <row r="543" spans="1:115" hidden="1" x14ac:dyDescent="0.2">
      <c r="A543" s="28" t="s">
        <v>2255</v>
      </c>
      <c r="B543" s="29" t="s">
        <v>1218</v>
      </c>
      <c r="C543" s="29" t="s">
        <v>1219</v>
      </c>
      <c r="D543" s="30" t="s">
        <v>1220</v>
      </c>
      <c r="E543" s="30" t="s">
        <v>203</v>
      </c>
      <c r="F543" s="30"/>
      <c r="G543" s="31"/>
      <c r="H543" s="30">
        <v>385577</v>
      </c>
      <c r="I543" s="30" t="str">
        <f>IF(Table1[[#This Row],[Centre Status]]="Returned","NA",IF(Table1[[#This Row],[SD]]&gt;19000,"Full Payment",IF(Table1[[#This Row],[SD]]&lt;1,"No Payment","Partial Payment")))</f>
        <v>Full Payment</v>
      </c>
      <c r="J543" s="30" t="s">
        <v>58</v>
      </c>
      <c r="K543" s="32">
        <v>110000</v>
      </c>
      <c r="L543" s="33">
        <f>Q543+R543+U543+Table1[[#This Row],[Farmer Payment]]</f>
        <v>59449.704824106739</v>
      </c>
      <c r="M543" s="30">
        <v>30000</v>
      </c>
      <c r="N543" s="34">
        <v>45834</v>
      </c>
      <c r="O543" s="34" t="s">
        <v>3530</v>
      </c>
      <c r="P543" s="35">
        <f t="shared" si="59"/>
        <v>80550.295175893261</v>
      </c>
      <c r="Q543" s="33">
        <f>AI543+AV543+CK543+Table1[[#This Row],[FY 25-26]]</f>
        <v>39449.704824106739</v>
      </c>
      <c r="R543" s="36">
        <v>20000</v>
      </c>
      <c r="S543" s="37" t="s">
        <v>1221</v>
      </c>
      <c r="T543" s="38">
        <v>45061</v>
      </c>
      <c r="U543" s="39"/>
      <c r="V543" s="39"/>
      <c r="W543" s="40">
        <v>0</v>
      </c>
      <c r="X543" s="40">
        <v>0</v>
      </c>
      <c r="Y543" s="40">
        <v>0</v>
      </c>
      <c r="Z543" s="40">
        <v>0</v>
      </c>
      <c r="AA543" s="40">
        <v>0</v>
      </c>
      <c r="AB543" s="40">
        <v>0</v>
      </c>
      <c r="AC543" s="40">
        <v>0</v>
      </c>
      <c r="AD543" s="40">
        <v>0</v>
      </c>
      <c r="AE543" s="40">
        <v>0</v>
      </c>
      <c r="AF543" s="40">
        <v>0</v>
      </c>
      <c r="AG543" s="40">
        <v>0</v>
      </c>
      <c r="AH543" s="40">
        <v>0</v>
      </c>
      <c r="AI543" s="41">
        <f t="shared" si="60"/>
        <v>0</v>
      </c>
      <c r="AJ543" s="42">
        <v>0</v>
      </c>
      <c r="AK543" s="42">
        <v>0</v>
      </c>
      <c r="AL543" s="42">
        <v>0</v>
      </c>
      <c r="AM543" s="42">
        <v>0</v>
      </c>
      <c r="AN543" s="42">
        <v>1388</v>
      </c>
      <c r="AO543" s="42">
        <v>1520</v>
      </c>
      <c r="AP543" s="42">
        <v>1829</v>
      </c>
      <c r="AQ543" s="42">
        <v>1861</v>
      </c>
      <c r="AR543" s="42">
        <v>1972.338</v>
      </c>
      <c r="AS543" s="42">
        <v>2580.172</v>
      </c>
      <c r="AT543" s="42">
        <v>1963.0555999999999</v>
      </c>
      <c r="AU543" s="42">
        <v>1909.2722000000001</v>
      </c>
      <c r="AV543" s="42">
        <f t="shared" si="61"/>
        <v>15022.837799999999</v>
      </c>
      <c r="AW543" s="42">
        <v>1924.4636206942562</v>
      </c>
      <c r="AX543" s="42">
        <v>1971.0229171584003</v>
      </c>
      <c r="AY543" s="42">
        <v>1861</v>
      </c>
      <c r="AZ543" s="42">
        <v>1896.5964398976002</v>
      </c>
      <c r="BA543" s="42">
        <v>1861</v>
      </c>
      <c r="BB543" s="42">
        <v>0</v>
      </c>
      <c r="BC543" s="42">
        <v>2147.7840463564803</v>
      </c>
      <c r="BD543" s="42">
        <v>0</v>
      </c>
      <c r="BE543" s="42">
        <v>0</v>
      </c>
      <c r="BF543" s="42">
        <v>0</v>
      </c>
      <c r="BG543" s="42">
        <v>0</v>
      </c>
      <c r="BH543" s="42">
        <v>0</v>
      </c>
      <c r="BI543" s="42">
        <v>1861</v>
      </c>
      <c r="BJ543" s="42">
        <v>0</v>
      </c>
      <c r="BK543" s="42">
        <v>0</v>
      </c>
      <c r="BL543" s="42">
        <v>0</v>
      </c>
      <c r="BM543" s="42">
        <v>0</v>
      </c>
      <c r="BN543" s="42">
        <v>1861</v>
      </c>
      <c r="BO543" s="42">
        <v>0</v>
      </c>
      <c r="BP543" s="42">
        <v>0</v>
      </c>
      <c r="BQ543" s="42">
        <v>0</v>
      </c>
      <c r="BR543" s="42">
        <v>0</v>
      </c>
      <c r="BS543" s="42">
        <v>1425</v>
      </c>
      <c r="BT543" s="42">
        <v>0</v>
      </c>
      <c r="BU543" s="42">
        <v>0</v>
      </c>
      <c r="BV543" s="42">
        <v>500</v>
      </c>
      <c r="BW543" s="42">
        <v>500</v>
      </c>
      <c r="BX543" s="42">
        <v>500</v>
      </c>
      <c r="BY543" s="42">
        <v>361</v>
      </c>
      <c r="BZ543" s="42">
        <v>500</v>
      </c>
      <c r="CA543" s="42">
        <v>0</v>
      </c>
      <c r="CB543" s="42">
        <v>500</v>
      </c>
      <c r="CC543" s="42">
        <v>500</v>
      </c>
      <c r="CD543" s="42">
        <v>361</v>
      </c>
      <c r="CE543" s="42">
        <v>500</v>
      </c>
      <c r="CF543" s="42">
        <v>500</v>
      </c>
      <c r="CG543" s="42">
        <v>500</v>
      </c>
      <c r="CH543" s="42">
        <v>500</v>
      </c>
      <c r="CI543" s="42">
        <v>500</v>
      </c>
      <c r="CJ543" s="42">
        <v>0</v>
      </c>
      <c r="CK543" s="43">
        <f t="shared" si="62"/>
        <v>23030.867024106738</v>
      </c>
      <c r="CL543" s="66"/>
      <c r="CM543" s="66">
        <v>500</v>
      </c>
      <c r="CN543" s="66">
        <v>0</v>
      </c>
      <c r="CO543" s="66">
        <v>0</v>
      </c>
      <c r="CP543" s="66">
        <v>896</v>
      </c>
      <c r="CQ543" s="66">
        <v>0</v>
      </c>
      <c r="CR543" s="66">
        <v>0</v>
      </c>
      <c r="CS543" s="66">
        <v>0</v>
      </c>
      <c r="CT543" s="66">
        <v>0</v>
      </c>
      <c r="CU543" s="66">
        <v>0</v>
      </c>
      <c r="CV543" s="66">
        <v>0</v>
      </c>
      <c r="CW543" s="66">
        <v>0</v>
      </c>
      <c r="CX543" s="66">
        <v>0</v>
      </c>
      <c r="CY543" s="66">
        <v>0</v>
      </c>
      <c r="CZ543" s="66">
        <v>0</v>
      </c>
      <c r="DA543" s="66"/>
      <c r="DB543" s="66"/>
      <c r="DC543" s="66"/>
      <c r="DD543" s="66"/>
      <c r="DE543" s="66"/>
      <c r="DF543" s="66"/>
      <c r="DG543" s="66"/>
      <c r="DH543" s="66"/>
      <c r="DI543" s="66"/>
      <c r="DJ543" s="66"/>
      <c r="DK543" s="66">
        <f>SUM(Table1[[#This Row],[01-03 Apr]:[Mar-26]])</f>
        <v>1396</v>
      </c>
    </row>
    <row r="544" spans="1:115" x14ac:dyDescent="0.2">
      <c r="A544" s="28" t="s">
        <v>2255</v>
      </c>
      <c r="B544" s="29" t="s">
        <v>1224</v>
      </c>
      <c r="C544" s="29" t="s">
        <v>1225</v>
      </c>
      <c r="D544" s="30" t="s">
        <v>1226</v>
      </c>
      <c r="E544" s="30" t="s">
        <v>1321</v>
      </c>
      <c r="F544" s="30"/>
      <c r="G544" s="31"/>
      <c r="H544" s="30">
        <v>387854</v>
      </c>
      <c r="I544" s="30" t="str">
        <f>IF(Table1[[#This Row],[Centre Status]]="Returned","NA",IF(Table1[[#This Row],[SD]]&gt;19000,"Full Payment",IF(Table1[[#This Row],[SD]]&lt;1,"No Payment","Partial Payment")))</f>
        <v>Partial Payment</v>
      </c>
      <c r="J544" s="30" t="s">
        <v>58</v>
      </c>
      <c r="K544" s="32">
        <v>110000</v>
      </c>
      <c r="L544" s="33">
        <f>Q544+R544+U544+Table1[[#This Row],[Farmer Payment]]</f>
        <v>64889.86490953133</v>
      </c>
      <c r="M544" s="30"/>
      <c r="N544" s="34"/>
      <c r="O544" s="34"/>
      <c r="P544" s="35">
        <f t="shared" si="59"/>
        <v>45110.13509046867</v>
      </c>
      <c r="Q544" s="33">
        <f>AI544+AV544+CK544+Table1[[#This Row],[FY 25-26]]</f>
        <v>54889.86490953133</v>
      </c>
      <c r="R544" s="36">
        <v>10000</v>
      </c>
      <c r="S544" s="37" t="s">
        <v>1227</v>
      </c>
      <c r="T544" s="38">
        <v>45104</v>
      </c>
      <c r="U544" s="39"/>
      <c r="V544" s="39"/>
      <c r="W544" s="40">
        <v>0</v>
      </c>
      <c r="X544" s="40">
        <v>0</v>
      </c>
      <c r="Y544" s="40">
        <v>0</v>
      </c>
      <c r="Z544" s="40">
        <v>0</v>
      </c>
      <c r="AA544" s="40">
        <v>0</v>
      </c>
      <c r="AB544" s="40">
        <v>0</v>
      </c>
      <c r="AC544" s="40">
        <v>0</v>
      </c>
      <c r="AD544" s="40">
        <v>0</v>
      </c>
      <c r="AE544" s="40">
        <v>0</v>
      </c>
      <c r="AF544" s="40">
        <v>0</v>
      </c>
      <c r="AG544" s="40">
        <v>0</v>
      </c>
      <c r="AH544" s="40">
        <v>0</v>
      </c>
      <c r="AI544" s="41">
        <f t="shared" si="60"/>
        <v>0</v>
      </c>
      <c r="AJ544" s="42">
        <v>0</v>
      </c>
      <c r="AK544" s="42">
        <v>0</v>
      </c>
      <c r="AL544" s="42">
        <v>0</v>
      </c>
      <c r="AM544" s="42">
        <v>0</v>
      </c>
      <c r="AN544" s="42">
        <v>3388.1979999999999</v>
      </c>
      <c r="AO544" s="42">
        <v>4109.4391999999998</v>
      </c>
      <c r="AP544" s="42">
        <v>5167.7464</v>
      </c>
      <c r="AQ544" s="42">
        <v>3708.6523999999999</v>
      </c>
      <c r="AR544" s="42">
        <v>1981.6172000000001</v>
      </c>
      <c r="AS544" s="42">
        <v>19</v>
      </c>
      <c r="AT544" s="42">
        <v>2386.9344000000001</v>
      </c>
      <c r="AU544" s="42">
        <v>3397.7716000000005</v>
      </c>
      <c r="AV544" s="42">
        <f t="shared" si="61"/>
        <v>24159.359199999999</v>
      </c>
      <c r="AW544" s="42">
        <v>2461.6647233154404</v>
      </c>
      <c r="AX544" s="42">
        <v>1861</v>
      </c>
      <c r="AY544" s="42">
        <v>1795</v>
      </c>
      <c r="AZ544" s="42">
        <v>2366.1041448713822</v>
      </c>
      <c r="BA544" s="42">
        <v>2022.1714528847101</v>
      </c>
      <c r="BB544" s="42">
        <v>0</v>
      </c>
      <c r="BC544" s="42">
        <v>3217.2131681927899</v>
      </c>
      <c r="BD544" s="42">
        <v>0</v>
      </c>
      <c r="BE544" s="42">
        <v>0</v>
      </c>
      <c r="BF544" s="42">
        <v>0</v>
      </c>
      <c r="BG544" s="42">
        <v>0</v>
      </c>
      <c r="BH544" s="42">
        <v>0</v>
      </c>
      <c r="BI544" s="42">
        <v>2568.4355268705781</v>
      </c>
      <c r="BJ544" s="42">
        <v>0</v>
      </c>
      <c r="BK544" s="42">
        <v>0</v>
      </c>
      <c r="BL544" s="42">
        <v>0</v>
      </c>
      <c r="BM544" s="42">
        <v>0</v>
      </c>
      <c r="BN544" s="42">
        <v>1995.8976998534304</v>
      </c>
      <c r="BO544" s="42">
        <v>0</v>
      </c>
      <c r="BP544" s="42">
        <v>0</v>
      </c>
      <c r="BQ544" s="42">
        <v>0</v>
      </c>
      <c r="BR544" s="42">
        <v>0</v>
      </c>
      <c r="BS544" s="42">
        <v>2013.6774595888105</v>
      </c>
      <c r="BT544" s="42">
        <v>0</v>
      </c>
      <c r="BU544" s="42">
        <v>0</v>
      </c>
      <c r="BV544" s="42">
        <v>0</v>
      </c>
      <c r="BW544" s="42">
        <v>0</v>
      </c>
      <c r="BX544" s="42">
        <v>0</v>
      </c>
      <c r="BY544" s="42">
        <v>1908.4507475557941</v>
      </c>
      <c r="BZ544" s="42">
        <v>0</v>
      </c>
      <c r="CA544" s="42">
        <v>0</v>
      </c>
      <c r="CB544" s="42">
        <v>0</v>
      </c>
      <c r="CC544" s="42">
        <v>0</v>
      </c>
      <c r="CD544" s="42">
        <v>2425.3237245639862</v>
      </c>
      <c r="CE544" s="42">
        <v>0</v>
      </c>
      <c r="CF544" s="42">
        <v>0</v>
      </c>
      <c r="CG544" s="42">
        <v>0</v>
      </c>
      <c r="CH544" s="42">
        <v>0</v>
      </c>
      <c r="CI544" s="42">
        <v>0</v>
      </c>
      <c r="CJ544" s="42">
        <v>2373.567061834412</v>
      </c>
      <c r="CK544" s="43">
        <f t="shared" si="62"/>
        <v>27008.505709531331</v>
      </c>
      <c r="CL544" s="66"/>
      <c r="CM544" s="66">
        <v>0</v>
      </c>
      <c r="CN544" s="66">
        <v>0</v>
      </c>
      <c r="CO544" s="66">
        <v>0</v>
      </c>
      <c r="CP544" s="66">
        <v>1861</v>
      </c>
      <c r="CQ544" s="66">
        <v>0</v>
      </c>
      <c r="CR544" s="66">
        <v>0</v>
      </c>
      <c r="CS544" s="66">
        <v>0</v>
      </c>
      <c r="CT544" s="66">
        <v>0</v>
      </c>
      <c r="CU544" s="66">
        <v>0</v>
      </c>
      <c r="CV544" s="66">
        <v>1861</v>
      </c>
      <c r="CW544" s="66">
        <v>0</v>
      </c>
      <c r="CX544" s="66">
        <v>0</v>
      </c>
      <c r="CY544" s="66">
        <v>0</v>
      </c>
      <c r="CZ544" s="66">
        <v>0</v>
      </c>
      <c r="DA544" s="66"/>
      <c r="DB544" s="66"/>
      <c r="DC544" s="66"/>
      <c r="DD544" s="66"/>
      <c r="DE544" s="66"/>
      <c r="DF544" s="66"/>
      <c r="DG544" s="66"/>
      <c r="DH544" s="66"/>
      <c r="DI544" s="66"/>
      <c r="DJ544" s="66"/>
      <c r="DK544" s="66">
        <f>SUM(Table1[[#This Row],[01-03 Apr]:[Mar-26]])</f>
        <v>3722</v>
      </c>
    </row>
    <row r="545" spans="1:115" x14ac:dyDescent="0.2">
      <c r="A545" s="28" t="s">
        <v>2367</v>
      </c>
      <c r="B545" s="29" t="s">
        <v>1228</v>
      </c>
      <c r="C545" s="29" t="s">
        <v>2261</v>
      </c>
      <c r="D545" s="30" t="s">
        <v>1229</v>
      </c>
      <c r="E545" s="30" t="s">
        <v>203</v>
      </c>
      <c r="F545" s="30"/>
      <c r="G545" s="31"/>
      <c r="H545" s="30"/>
      <c r="I545" s="30" t="str">
        <f>IF(Table1[[#This Row],[Centre Status]]="Returned","NA",IF(Table1[[#This Row],[SD]]&gt;19000,"Full Payment",IF(Table1[[#This Row],[SD]]&lt;1,"No Payment","Partial Payment")))</f>
        <v>No Payment</v>
      </c>
      <c r="J545" s="30" t="s">
        <v>58</v>
      </c>
      <c r="K545" s="32">
        <v>110000</v>
      </c>
      <c r="L545" s="33">
        <f>Q545+R545+U545+Table1[[#This Row],[Farmer Payment]]</f>
        <v>6452</v>
      </c>
      <c r="M545" s="30"/>
      <c r="N545" s="34"/>
      <c r="O545" s="34"/>
      <c r="P545" s="35">
        <f t="shared" ref="P545:P608" si="63">K545-L545+M545</f>
        <v>103548</v>
      </c>
      <c r="Q545" s="33">
        <f>AI545+AV545+CK545+Table1[[#This Row],[FY 25-26]]</f>
        <v>6452</v>
      </c>
      <c r="R545" s="36"/>
      <c r="S545" s="37"/>
      <c r="T545" s="38"/>
      <c r="U545" s="39"/>
      <c r="V545" s="39"/>
      <c r="W545" s="40">
        <v>0</v>
      </c>
      <c r="X545" s="40">
        <v>0</v>
      </c>
      <c r="Y545" s="40">
        <v>0</v>
      </c>
      <c r="Z545" s="40">
        <v>0</v>
      </c>
      <c r="AA545" s="40">
        <v>0</v>
      </c>
      <c r="AB545" s="40">
        <v>0</v>
      </c>
      <c r="AC545" s="40">
        <v>0</v>
      </c>
      <c r="AD545" s="40">
        <v>0</v>
      </c>
      <c r="AE545" s="40">
        <v>0</v>
      </c>
      <c r="AF545" s="40">
        <v>0</v>
      </c>
      <c r="AG545" s="40">
        <v>0</v>
      </c>
      <c r="AH545" s="40">
        <v>0</v>
      </c>
      <c r="AI545" s="41">
        <f t="shared" ref="AI545:AI608" si="64">SUM(W545:AH545)</f>
        <v>0</v>
      </c>
      <c r="AJ545" s="42">
        <v>0</v>
      </c>
      <c r="AK545" s="42">
        <v>0</v>
      </c>
      <c r="AL545" s="42">
        <v>0</v>
      </c>
      <c r="AM545" s="42">
        <v>0</v>
      </c>
      <c r="AN545" s="42">
        <v>1528</v>
      </c>
      <c r="AO545" s="42">
        <v>1610</v>
      </c>
      <c r="AP545" s="42">
        <v>1861</v>
      </c>
      <c r="AQ545" s="42">
        <v>1340</v>
      </c>
      <c r="AR545" s="42">
        <v>0</v>
      </c>
      <c r="AS545" s="42">
        <v>113</v>
      </c>
      <c r="AT545" s="42">
        <v>0</v>
      </c>
      <c r="AU545" s="42">
        <v>0</v>
      </c>
      <c r="AV545" s="42">
        <f t="shared" ref="AV545:AV608" si="65">SUM(AJ545:AU545)</f>
        <v>6452</v>
      </c>
      <c r="AW545" s="42">
        <v>0</v>
      </c>
      <c r="AX545" s="42">
        <v>0</v>
      </c>
      <c r="AY545" s="42">
        <v>0</v>
      </c>
      <c r="AZ545" s="42">
        <v>0</v>
      </c>
      <c r="BA545" s="42">
        <v>0</v>
      </c>
      <c r="BB545" s="42">
        <v>0</v>
      </c>
      <c r="BC545" s="42">
        <v>0</v>
      </c>
      <c r="BD545" s="42">
        <v>0</v>
      </c>
      <c r="BE545" s="42">
        <v>0</v>
      </c>
      <c r="BF545" s="42">
        <v>0</v>
      </c>
      <c r="BG545" s="42">
        <v>0</v>
      </c>
      <c r="BH545" s="42">
        <v>0</v>
      </c>
      <c r="BI545" s="42">
        <v>0</v>
      </c>
      <c r="BJ545" s="42">
        <v>0</v>
      </c>
      <c r="BK545" s="42">
        <v>0</v>
      </c>
      <c r="BL545" s="42">
        <v>0</v>
      </c>
      <c r="BM545" s="42">
        <v>0</v>
      </c>
      <c r="BN545" s="42">
        <v>0</v>
      </c>
      <c r="BO545" s="42">
        <v>0</v>
      </c>
      <c r="BP545" s="42">
        <v>0</v>
      </c>
      <c r="BQ545" s="42">
        <v>0</v>
      </c>
      <c r="BR545" s="42">
        <v>0</v>
      </c>
      <c r="BS545" s="42">
        <v>0</v>
      </c>
      <c r="BT545" s="42">
        <v>0</v>
      </c>
      <c r="BU545" s="42">
        <v>0</v>
      </c>
      <c r="BV545" s="42">
        <v>0</v>
      </c>
      <c r="BW545" s="42">
        <v>0</v>
      </c>
      <c r="BX545" s="42">
        <v>0</v>
      </c>
      <c r="BY545" s="42">
        <v>0</v>
      </c>
      <c r="BZ545" s="42">
        <v>0</v>
      </c>
      <c r="CA545" s="42">
        <v>0</v>
      </c>
      <c r="CB545" s="42">
        <v>0</v>
      </c>
      <c r="CC545" s="42">
        <v>0</v>
      </c>
      <c r="CD545" s="42">
        <v>0</v>
      </c>
      <c r="CE545" s="42">
        <v>0</v>
      </c>
      <c r="CF545" s="42">
        <v>0</v>
      </c>
      <c r="CG545" s="42">
        <v>0</v>
      </c>
      <c r="CH545" s="42">
        <v>0</v>
      </c>
      <c r="CI545" s="42">
        <v>0</v>
      </c>
      <c r="CJ545" s="42">
        <v>0</v>
      </c>
      <c r="CK545" s="43">
        <f t="shared" ref="CK545:CK607" si="66">SUM(AW545:CJ545)</f>
        <v>0</v>
      </c>
      <c r="CL545" s="66"/>
      <c r="CM545" s="66">
        <v>0</v>
      </c>
      <c r="CN545" s="66">
        <v>0</v>
      </c>
      <c r="CO545" s="66">
        <v>0</v>
      </c>
      <c r="CP545" s="66">
        <v>0</v>
      </c>
      <c r="CQ545" s="66">
        <v>0</v>
      </c>
      <c r="CR545" s="66">
        <v>0</v>
      </c>
      <c r="CS545" s="66">
        <v>0</v>
      </c>
      <c r="CT545" s="66">
        <v>0</v>
      </c>
      <c r="CU545" s="66">
        <v>0</v>
      </c>
      <c r="CV545" s="66">
        <v>0</v>
      </c>
      <c r="CW545" s="66">
        <v>0</v>
      </c>
      <c r="CX545" s="66">
        <v>0</v>
      </c>
      <c r="CY545" s="66">
        <v>0</v>
      </c>
      <c r="CZ545" s="66">
        <v>0</v>
      </c>
      <c r="DA545" s="66"/>
      <c r="DB545" s="66"/>
      <c r="DC545" s="66"/>
      <c r="DD545" s="66"/>
      <c r="DE545" s="66"/>
      <c r="DF545" s="66"/>
      <c r="DG545" s="66"/>
      <c r="DH545" s="66"/>
      <c r="DI545" s="66"/>
      <c r="DJ545" s="66"/>
      <c r="DK545" s="66">
        <f>SUM(Table1[[#This Row],[01-03 Apr]:[Mar-26]])</f>
        <v>0</v>
      </c>
    </row>
    <row r="546" spans="1:115" x14ac:dyDescent="0.2">
      <c r="A546" s="28" t="s">
        <v>2256</v>
      </c>
      <c r="B546" s="29" t="s">
        <v>1233</v>
      </c>
      <c r="C546" s="29" t="s">
        <v>1234</v>
      </c>
      <c r="D546" s="30" t="s">
        <v>1235</v>
      </c>
      <c r="E546" s="30" t="s">
        <v>217</v>
      </c>
      <c r="F546" s="30"/>
      <c r="G546" s="31"/>
      <c r="H546" s="30">
        <v>276860</v>
      </c>
      <c r="I546" s="30" t="str">
        <f>IF(Table1[[#This Row],[Centre Status]]="Returned","NA",IF(Table1[[#This Row],[SD]]&gt;19000,"Full Payment",IF(Table1[[#This Row],[SD]]&lt;1,"No Payment","Partial Payment")))</f>
        <v>No Payment</v>
      </c>
      <c r="J546" s="30" t="s">
        <v>58</v>
      </c>
      <c r="K546" s="32">
        <v>110000</v>
      </c>
      <c r="L546" s="33">
        <f>Q546+R546+U546+Table1[[#This Row],[Farmer Payment]]</f>
        <v>20333.050999999999</v>
      </c>
      <c r="M546" s="30"/>
      <c r="N546" s="34"/>
      <c r="O546" s="34"/>
      <c r="P546" s="35">
        <f t="shared" si="63"/>
        <v>89666.948999999993</v>
      </c>
      <c r="Q546" s="33">
        <f>AI546+AV546+CK546+Table1[[#This Row],[FY 25-26]]</f>
        <v>20333.050999999999</v>
      </c>
      <c r="R546" s="36"/>
      <c r="S546" s="37"/>
      <c r="T546" s="38"/>
      <c r="U546" s="39"/>
      <c r="V546" s="39"/>
      <c r="W546" s="40">
        <v>0</v>
      </c>
      <c r="X546" s="40">
        <v>0</v>
      </c>
      <c r="Y546" s="40">
        <v>0</v>
      </c>
      <c r="Z546" s="40">
        <v>0</v>
      </c>
      <c r="AA546" s="40">
        <v>0</v>
      </c>
      <c r="AB546" s="40">
        <v>0</v>
      </c>
      <c r="AC546" s="40">
        <v>0</v>
      </c>
      <c r="AD546" s="40">
        <v>0</v>
      </c>
      <c r="AE546" s="40">
        <v>0</v>
      </c>
      <c r="AF546" s="40">
        <v>0</v>
      </c>
      <c r="AG546" s="40">
        <v>0</v>
      </c>
      <c r="AH546" s="40">
        <v>0</v>
      </c>
      <c r="AI546" s="41">
        <f t="shared" si="64"/>
        <v>0</v>
      </c>
      <c r="AJ546" s="42">
        <v>0</v>
      </c>
      <c r="AK546" s="42">
        <v>0</v>
      </c>
      <c r="AL546" s="42">
        <v>0</v>
      </c>
      <c r="AM546" s="42">
        <v>0</v>
      </c>
      <c r="AN546" s="42">
        <v>0</v>
      </c>
      <c r="AO546" s="42">
        <v>0</v>
      </c>
      <c r="AP546" s="42">
        <v>143</v>
      </c>
      <c r="AQ546" s="42">
        <v>749</v>
      </c>
      <c r="AR546" s="42">
        <v>1861</v>
      </c>
      <c r="AS546" s="42">
        <v>1923.0510000000002</v>
      </c>
      <c r="AT546" s="42">
        <v>1861</v>
      </c>
      <c r="AU546" s="42">
        <v>1465</v>
      </c>
      <c r="AV546" s="42">
        <f t="shared" si="65"/>
        <v>8002.0510000000004</v>
      </c>
      <c r="AW546" s="42">
        <v>0</v>
      </c>
      <c r="AX546" s="42">
        <v>0</v>
      </c>
      <c r="AY546" s="42">
        <v>0</v>
      </c>
      <c r="AZ546" s="42">
        <v>0</v>
      </c>
      <c r="BA546" s="42">
        <v>0</v>
      </c>
      <c r="BB546" s="42">
        <v>500</v>
      </c>
      <c r="BC546" s="42">
        <v>0</v>
      </c>
      <c r="BD546" s="42">
        <v>500</v>
      </c>
      <c r="BE546" s="42">
        <v>500</v>
      </c>
      <c r="BF546" s="42">
        <v>500</v>
      </c>
      <c r="BG546" s="42">
        <v>500</v>
      </c>
      <c r="BH546" s="42">
        <v>500</v>
      </c>
      <c r="BI546" s="42">
        <v>0</v>
      </c>
      <c r="BJ546" s="42">
        <v>500</v>
      </c>
      <c r="BK546" s="42">
        <v>500</v>
      </c>
      <c r="BL546" s="42">
        <v>500</v>
      </c>
      <c r="BM546" s="42">
        <v>500</v>
      </c>
      <c r="BN546" s="42">
        <v>0</v>
      </c>
      <c r="BO546" s="42">
        <v>500</v>
      </c>
      <c r="BP546" s="42">
        <v>500</v>
      </c>
      <c r="BQ546" s="42">
        <v>500</v>
      </c>
      <c r="BR546" s="42">
        <v>500</v>
      </c>
      <c r="BS546" s="42">
        <v>0</v>
      </c>
      <c r="BT546" s="42">
        <v>500</v>
      </c>
      <c r="BU546" s="42">
        <v>500</v>
      </c>
      <c r="BV546" s="42">
        <v>500</v>
      </c>
      <c r="BW546" s="42">
        <v>500</v>
      </c>
      <c r="BX546" s="42">
        <v>0</v>
      </c>
      <c r="BY546" s="42">
        <v>361</v>
      </c>
      <c r="BZ546" s="42">
        <v>500</v>
      </c>
      <c r="CA546" s="42">
        <v>500</v>
      </c>
      <c r="CB546" s="42">
        <v>500</v>
      </c>
      <c r="CC546" s="42">
        <v>500</v>
      </c>
      <c r="CD546" s="42">
        <v>0</v>
      </c>
      <c r="CE546" s="42">
        <v>0</v>
      </c>
      <c r="CF546" s="42">
        <v>0</v>
      </c>
      <c r="CG546" s="42">
        <v>0</v>
      </c>
      <c r="CH546" s="42">
        <v>0</v>
      </c>
      <c r="CI546" s="42">
        <v>0</v>
      </c>
      <c r="CJ546" s="42">
        <v>686</v>
      </c>
      <c r="CK546" s="43">
        <f t="shared" si="66"/>
        <v>12047</v>
      </c>
      <c r="CL546" s="66"/>
      <c r="CM546" s="66">
        <v>0</v>
      </c>
      <c r="CN546" s="66">
        <v>0</v>
      </c>
      <c r="CO546" s="66">
        <v>0</v>
      </c>
      <c r="CP546" s="66">
        <v>0</v>
      </c>
      <c r="CQ546" s="66">
        <v>0</v>
      </c>
      <c r="CR546" s="66">
        <v>0</v>
      </c>
      <c r="CS546" s="66">
        <v>0</v>
      </c>
      <c r="CT546" s="66">
        <v>0</v>
      </c>
      <c r="CU546" s="66">
        <v>0</v>
      </c>
      <c r="CV546" s="66">
        <v>284</v>
      </c>
      <c r="CW546" s="66">
        <v>0</v>
      </c>
      <c r="CX546" s="66">
        <v>0</v>
      </c>
      <c r="CY546" s="66">
        <v>0</v>
      </c>
      <c r="CZ546" s="66">
        <v>0</v>
      </c>
      <c r="DA546" s="66"/>
      <c r="DB546" s="66"/>
      <c r="DC546" s="66"/>
      <c r="DD546" s="66"/>
      <c r="DE546" s="66"/>
      <c r="DF546" s="66"/>
      <c r="DG546" s="66"/>
      <c r="DH546" s="66"/>
      <c r="DI546" s="66"/>
      <c r="DJ546" s="66"/>
      <c r="DK546" s="66">
        <f>SUM(Table1[[#This Row],[01-03 Apr]:[Mar-26]])</f>
        <v>284</v>
      </c>
    </row>
    <row r="547" spans="1:115" hidden="1" x14ac:dyDescent="0.2">
      <c r="A547" s="28" t="s">
        <v>2367</v>
      </c>
      <c r="B547" s="29" t="s">
        <v>1238</v>
      </c>
      <c r="C547" s="29" t="s">
        <v>1239</v>
      </c>
      <c r="D547" s="30" t="s">
        <v>1240</v>
      </c>
      <c r="E547" s="30" t="s">
        <v>203</v>
      </c>
      <c r="F547" s="30"/>
      <c r="G547" s="31"/>
      <c r="H547" s="30">
        <v>388121</v>
      </c>
      <c r="I547" s="30" t="str">
        <f>IF(Table1[[#This Row],[Centre Status]]="Returned","NA",IF(Table1[[#This Row],[SD]]&gt;19000,"Full Payment",IF(Table1[[#This Row],[SD]]&lt;1,"No Payment","Partial Payment")))</f>
        <v>NA</v>
      </c>
      <c r="J547" s="30" t="s">
        <v>1903</v>
      </c>
      <c r="K547" s="32">
        <v>110000</v>
      </c>
      <c r="L547" s="33">
        <f>Q547+R547+U547+Table1[[#This Row],[Farmer Payment]]</f>
        <v>22332.455167558866</v>
      </c>
      <c r="M547" s="30">
        <v>10000</v>
      </c>
      <c r="N547" s="34">
        <v>45560</v>
      </c>
      <c r="O547" s="34" t="s">
        <v>2634</v>
      </c>
      <c r="P547" s="35">
        <f t="shared" si="63"/>
        <v>97667.544832441141</v>
      </c>
      <c r="Q547" s="33">
        <f>AI547+AV547+CK547+Table1[[#This Row],[FY 25-26]]</f>
        <v>12332.455167558868</v>
      </c>
      <c r="R547" s="36">
        <v>10000</v>
      </c>
      <c r="S547" s="37" t="s">
        <v>1241</v>
      </c>
      <c r="T547" s="38">
        <v>45145</v>
      </c>
      <c r="U547" s="39"/>
      <c r="V547" s="39"/>
      <c r="W547" s="40">
        <v>0</v>
      </c>
      <c r="X547" s="40">
        <v>0</v>
      </c>
      <c r="Y547" s="40">
        <v>0</v>
      </c>
      <c r="Z547" s="40">
        <v>0</v>
      </c>
      <c r="AA547" s="40">
        <v>0</v>
      </c>
      <c r="AB547" s="40">
        <v>0</v>
      </c>
      <c r="AC547" s="40">
        <v>0</v>
      </c>
      <c r="AD547" s="40">
        <v>0</v>
      </c>
      <c r="AE547" s="40">
        <v>0</v>
      </c>
      <c r="AF547" s="40">
        <v>0</v>
      </c>
      <c r="AG547" s="40">
        <v>0</v>
      </c>
      <c r="AH547" s="40">
        <v>0</v>
      </c>
      <c r="AI547" s="41">
        <f t="shared" si="64"/>
        <v>0</v>
      </c>
      <c r="AJ547" s="42">
        <v>0</v>
      </c>
      <c r="AK547" s="42">
        <v>0</v>
      </c>
      <c r="AL547" s="42">
        <v>0</v>
      </c>
      <c r="AM547" s="42">
        <v>0</v>
      </c>
      <c r="AN547" s="42">
        <v>1452</v>
      </c>
      <c r="AO547" s="42">
        <v>1861</v>
      </c>
      <c r="AP547" s="42">
        <v>1861</v>
      </c>
      <c r="AQ547" s="42">
        <v>1861</v>
      </c>
      <c r="AR547" s="42">
        <v>1784</v>
      </c>
      <c r="AS547" s="42">
        <v>1593</v>
      </c>
      <c r="AT547" s="42">
        <v>1374.4551675588682</v>
      </c>
      <c r="AU547" s="42">
        <v>546</v>
      </c>
      <c r="AV547" s="42">
        <f t="shared" si="65"/>
        <v>12332.455167558868</v>
      </c>
      <c r="AW547" s="42">
        <v>0</v>
      </c>
      <c r="AX547" s="42">
        <v>0</v>
      </c>
      <c r="AY547" s="42">
        <v>0</v>
      </c>
      <c r="AZ547" s="42">
        <v>0</v>
      </c>
      <c r="BA547" s="42">
        <v>0</v>
      </c>
      <c r="BB547" s="42">
        <v>0</v>
      </c>
      <c r="BC547" s="42">
        <v>0</v>
      </c>
      <c r="BD547" s="42">
        <v>0</v>
      </c>
      <c r="BE547" s="42">
        <v>0</v>
      </c>
      <c r="BF547" s="42">
        <v>0</v>
      </c>
      <c r="BG547" s="42">
        <v>0</v>
      </c>
      <c r="BH547" s="42">
        <v>0</v>
      </c>
      <c r="BI547" s="42">
        <v>0</v>
      </c>
      <c r="BJ547" s="42">
        <v>0</v>
      </c>
      <c r="BK547" s="42">
        <v>0</v>
      </c>
      <c r="BL547" s="42">
        <v>0</v>
      </c>
      <c r="BM547" s="42">
        <v>0</v>
      </c>
      <c r="BN547" s="42">
        <v>0</v>
      </c>
      <c r="BO547" s="42">
        <v>0</v>
      </c>
      <c r="BP547" s="42">
        <v>0</v>
      </c>
      <c r="BQ547" s="42">
        <v>0</v>
      </c>
      <c r="BR547" s="42">
        <v>0</v>
      </c>
      <c r="BS547" s="42">
        <v>0</v>
      </c>
      <c r="BT547" s="42">
        <v>0</v>
      </c>
      <c r="BU547" s="42">
        <v>0</v>
      </c>
      <c r="BV547" s="42">
        <v>0</v>
      </c>
      <c r="BW547" s="42">
        <v>0</v>
      </c>
      <c r="BX547" s="42">
        <v>0</v>
      </c>
      <c r="BY547" s="42">
        <v>0</v>
      </c>
      <c r="BZ547" s="42">
        <v>0</v>
      </c>
      <c r="CA547" s="42">
        <v>0</v>
      </c>
      <c r="CB547" s="42">
        <v>0</v>
      </c>
      <c r="CC547" s="42">
        <v>0</v>
      </c>
      <c r="CD547" s="42">
        <v>0</v>
      </c>
      <c r="CE547" s="42">
        <v>0</v>
      </c>
      <c r="CF547" s="42">
        <v>0</v>
      </c>
      <c r="CG547" s="42">
        <v>0</v>
      </c>
      <c r="CH547" s="42">
        <v>0</v>
      </c>
      <c r="CI547" s="42">
        <v>0</v>
      </c>
      <c r="CJ547" s="42">
        <v>0</v>
      </c>
      <c r="CK547" s="43">
        <f t="shared" si="66"/>
        <v>0</v>
      </c>
      <c r="CL547" s="66"/>
      <c r="CM547" s="66">
        <v>0</v>
      </c>
      <c r="CN547" s="66">
        <v>0</v>
      </c>
      <c r="CO547" s="66">
        <v>0</v>
      </c>
      <c r="CP547" s="66">
        <v>0</v>
      </c>
      <c r="CQ547" s="66">
        <v>0</v>
      </c>
      <c r="CR547" s="66">
        <v>0</v>
      </c>
      <c r="CS547" s="66">
        <v>0</v>
      </c>
      <c r="CT547" s="66">
        <v>0</v>
      </c>
      <c r="CU547" s="66">
        <v>0</v>
      </c>
      <c r="CV547" s="66">
        <v>0</v>
      </c>
      <c r="CW547" s="66">
        <v>0</v>
      </c>
      <c r="CX547" s="66">
        <v>0</v>
      </c>
      <c r="CY547" s="66">
        <v>0</v>
      </c>
      <c r="CZ547" s="66">
        <v>0</v>
      </c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>
        <f>SUM(Table1[[#This Row],[01-03 Apr]:[Mar-26]])</f>
        <v>0</v>
      </c>
    </row>
    <row r="548" spans="1:115" hidden="1" x14ac:dyDescent="0.2">
      <c r="A548" s="28"/>
      <c r="B548" s="29"/>
      <c r="C548" s="29" t="s">
        <v>2764</v>
      </c>
      <c r="D548" s="30" t="s">
        <v>2646</v>
      </c>
      <c r="E548" s="30" t="s">
        <v>101</v>
      </c>
      <c r="F548" s="30"/>
      <c r="G548" s="31"/>
      <c r="H548" s="30">
        <v>312361</v>
      </c>
      <c r="I548" s="30" t="str">
        <f>IF(Table1[[#This Row],[Centre Status]]="Returned","NA",IF(Table1[[#This Row],[SD]]&gt;19000,"Full Payment",IF(Table1[[#This Row],[SD]]&lt;1,"No Payment","Partial Payment")))</f>
        <v>Full Payment</v>
      </c>
      <c r="J548" s="30" t="s">
        <v>58</v>
      </c>
      <c r="K548" s="32">
        <v>110000</v>
      </c>
      <c r="L548" s="33">
        <f>Q548+R548+U548+Table1[[#This Row],[Farmer Payment]]</f>
        <v>31970</v>
      </c>
      <c r="M548" s="30"/>
      <c r="N548" s="34"/>
      <c r="O548" s="34"/>
      <c r="P548" s="35">
        <f t="shared" si="63"/>
        <v>78030</v>
      </c>
      <c r="Q548" s="33">
        <f>AI548+AV548+CK548+Table1[[#This Row],[FY 25-26]]</f>
        <v>11970</v>
      </c>
      <c r="R548" s="36">
        <v>20000</v>
      </c>
      <c r="S548" s="37" t="s">
        <v>2650</v>
      </c>
      <c r="T548" s="38">
        <v>45530</v>
      </c>
      <c r="U548" s="39"/>
      <c r="V548" s="39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1">
        <f t="shared" si="64"/>
        <v>0</v>
      </c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>
        <f t="shared" si="65"/>
        <v>0</v>
      </c>
      <c r="AW548" s="42"/>
      <c r="AX548" s="42"/>
      <c r="AY548" s="42"/>
      <c r="AZ548" s="42"/>
      <c r="BA548" s="42"/>
      <c r="BB548" s="42">
        <v>0</v>
      </c>
      <c r="BC548" s="42">
        <v>0</v>
      </c>
      <c r="BD548" s="42">
        <v>0</v>
      </c>
      <c r="BE548" s="42">
        <v>0</v>
      </c>
      <c r="BF548" s="42">
        <v>0</v>
      </c>
      <c r="BG548" s="42">
        <v>0</v>
      </c>
      <c r="BH548" s="42">
        <v>0</v>
      </c>
      <c r="BI548" s="42">
        <v>1861</v>
      </c>
      <c r="BJ548" s="42">
        <v>0</v>
      </c>
      <c r="BK548" s="42">
        <v>0</v>
      </c>
      <c r="BL548" s="42">
        <v>0</v>
      </c>
      <c r="BM548" s="42">
        <v>0</v>
      </c>
      <c r="BN548" s="42">
        <v>1339</v>
      </c>
      <c r="BO548" s="42">
        <v>0</v>
      </c>
      <c r="BP548" s="42">
        <v>500</v>
      </c>
      <c r="BQ548" s="42">
        <v>500</v>
      </c>
      <c r="BR548" s="42">
        <v>500</v>
      </c>
      <c r="BS548" s="42">
        <v>0</v>
      </c>
      <c r="BT548" s="42">
        <v>500</v>
      </c>
      <c r="BU548" s="42">
        <v>500</v>
      </c>
      <c r="BV548" s="42">
        <v>0</v>
      </c>
      <c r="BW548" s="42">
        <v>0</v>
      </c>
      <c r="BX548" s="42">
        <v>0</v>
      </c>
      <c r="BY548" s="42">
        <v>1361</v>
      </c>
      <c r="BZ548" s="42">
        <v>0</v>
      </c>
      <c r="CA548" s="42">
        <v>0</v>
      </c>
      <c r="CB548" s="42">
        <v>0</v>
      </c>
      <c r="CC548" s="42">
        <v>0</v>
      </c>
      <c r="CD548" s="42">
        <v>1861</v>
      </c>
      <c r="CE548" s="42">
        <v>0</v>
      </c>
      <c r="CF548" s="42">
        <v>0</v>
      </c>
      <c r="CG548" s="42">
        <v>0</v>
      </c>
      <c r="CH548" s="42">
        <v>0</v>
      </c>
      <c r="CI548" s="42">
        <v>0</v>
      </c>
      <c r="CJ548" s="42">
        <v>1861</v>
      </c>
      <c r="CK548" s="43">
        <f t="shared" si="66"/>
        <v>10783</v>
      </c>
      <c r="CL548" s="66"/>
      <c r="CM548" s="66">
        <v>0</v>
      </c>
      <c r="CN548" s="66">
        <v>0</v>
      </c>
      <c r="CO548" s="66">
        <v>0</v>
      </c>
      <c r="CP548" s="66">
        <v>1187</v>
      </c>
      <c r="CQ548" s="66">
        <v>0</v>
      </c>
      <c r="CR548" s="66">
        <v>0</v>
      </c>
      <c r="CS548" s="66">
        <v>0</v>
      </c>
      <c r="CT548" s="66">
        <v>0</v>
      </c>
      <c r="CU548" s="66">
        <v>0</v>
      </c>
      <c r="CV548" s="66">
        <v>0</v>
      </c>
      <c r="CW548" s="66">
        <v>0</v>
      </c>
      <c r="CX548" s="66">
        <v>0</v>
      </c>
      <c r="CY548" s="66">
        <v>0</v>
      </c>
      <c r="CZ548" s="66">
        <v>0</v>
      </c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>
        <f>SUM(Table1[[#This Row],[01-03 Apr]:[Mar-26]])</f>
        <v>1187</v>
      </c>
    </row>
    <row r="549" spans="1:115" hidden="1" x14ac:dyDescent="0.2">
      <c r="A549" s="28"/>
      <c r="B549" s="29"/>
      <c r="C549" s="29" t="s">
        <v>2765</v>
      </c>
      <c r="D549" s="30" t="s">
        <v>2647</v>
      </c>
      <c r="E549" s="30" t="s">
        <v>1630</v>
      </c>
      <c r="F549" s="30"/>
      <c r="G549" s="31"/>
      <c r="H549" s="30">
        <v>311454</v>
      </c>
      <c r="I549" s="30" t="str">
        <f>IF(Table1[[#This Row],[Centre Status]]="Returned","NA",IF(Table1[[#This Row],[SD]]&gt;19000,"Full Payment",IF(Table1[[#This Row],[SD]]&lt;1,"No Payment","Partial Payment")))</f>
        <v>Full Payment</v>
      </c>
      <c r="J549" s="30" t="s">
        <v>58</v>
      </c>
      <c r="K549" s="32">
        <v>110000</v>
      </c>
      <c r="L549" s="33">
        <f>Q549+R549+U549+Table1[[#This Row],[Farmer Payment]]</f>
        <v>39595.842310389766</v>
      </c>
      <c r="M549" s="30"/>
      <c r="N549" s="34"/>
      <c r="O549" s="34"/>
      <c r="P549" s="35">
        <f t="shared" si="63"/>
        <v>70404.157689610234</v>
      </c>
      <c r="Q549" s="33">
        <f>AI549+AV549+CK549+Table1[[#This Row],[FY 25-26]]</f>
        <v>19595.842310389762</v>
      </c>
      <c r="R549" s="36">
        <v>20000</v>
      </c>
      <c r="S549" s="37" t="s">
        <v>2651</v>
      </c>
      <c r="T549" s="38">
        <v>45541</v>
      </c>
      <c r="U549" s="39"/>
      <c r="V549" s="39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1">
        <f t="shared" si="64"/>
        <v>0</v>
      </c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>
        <f t="shared" si="65"/>
        <v>0</v>
      </c>
      <c r="AW549" s="42"/>
      <c r="AX549" s="42"/>
      <c r="AY549" s="42"/>
      <c r="AZ549" s="42"/>
      <c r="BA549" s="42"/>
      <c r="BB549" s="42">
        <v>0</v>
      </c>
      <c r="BC549" s="42">
        <v>0</v>
      </c>
      <c r="BD549" s="42">
        <v>0</v>
      </c>
      <c r="BE549" s="42">
        <v>0</v>
      </c>
      <c r="BF549" s="42">
        <v>0</v>
      </c>
      <c r="BG549" s="42">
        <v>0</v>
      </c>
      <c r="BH549" s="42">
        <v>0</v>
      </c>
      <c r="BI549" s="42">
        <v>0</v>
      </c>
      <c r="BJ549" s="42">
        <v>0</v>
      </c>
      <c r="BK549" s="42">
        <v>0</v>
      </c>
      <c r="BL549" s="42">
        <v>0</v>
      </c>
      <c r="BM549" s="42">
        <v>0</v>
      </c>
      <c r="BN549" s="42">
        <v>1861</v>
      </c>
      <c r="BO549" s="42">
        <v>0</v>
      </c>
      <c r="BP549" s="42">
        <v>0</v>
      </c>
      <c r="BQ549" s="42">
        <v>0</v>
      </c>
      <c r="BR549" s="42">
        <v>0</v>
      </c>
      <c r="BS549" s="42">
        <v>2703.0226980249608</v>
      </c>
      <c r="BT549" s="42">
        <v>0</v>
      </c>
      <c r="BU549" s="42">
        <v>0</v>
      </c>
      <c r="BV549" s="42">
        <v>0</v>
      </c>
      <c r="BW549" s="42">
        <v>0</v>
      </c>
      <c r="BX549" s="42">
        <v>0</v>
      </c>
      <c r="BY549" s="42">
        <v>3679.6561310208008</v>
      </c>
      <c r="BZ549" s="42">
        <v>0</v>
      </c>
      <c r="CA549" s="42">
        <v>0</v>
      </c>
      <c r="CB549" s="42">
        <v>0</v>
      </c>
      <c r="CC549" s="42">
        <v>0</v>
      </c>
      <c r="CD549" s="42">
        <v>3750.7547116032006</v>
      </c>
      <c r="CE549" s="42">
        <v>0</v>
      </c>
      <c r="CF549" s="42">
        <v>0</v>
      </c>
      <c r="CG549" s="42">
        <v>0</v>
      </c>
      <c r="CH549" s="42">
        <v>0</v>
      </c>
      <c r="CI549" s="42">
        <v>0</v>
      </c>
      <c r="CJ549" s="42">
        <v>3488.4097139712003</v>
      </c>
      <c r="CK549" s="43">
        <f t="shared" si="66"/>
        <v>15482.843254620162</v>
      </c>
      <c r="CL549" s="66"/>
      <c r="CM549" s="66">
        <v>0</v>
      </c>
      <c r="CN549" s="66">
        <v>0</v>
      </c>
      <c r="CO549" s="66">
        <v>0</v>
      </c>
      <c r="CP549" s="66">
        <v>2251.9990557695996</v>
      </c>
      <c r="CQ549" s="66">
        <v>0</v>
      </c>
      <c r="CR549" s="66">
        <v>0</v>
      </c>
      <c r="CS549" s="66">
        <v>0</v>
      </c>
      <c r="CT549" s="66">
        <v>0</v>
      </c>
      <c r="CU549" s="66">
        <v>0</v>
      </c>
      <c r="CV549" s="66">
        <v>1861</v>
      </c>
      <c r="CW549" s="66">
        <v>0</v>
      </c>
      <c r="CX549" s="66">
        <v>0</v>
      </c>
      <c r="CY549" s="66">
        <v>0</v>
      </c>
      <c r="CZ549" s="66">
        <v>0</v>
      </c>
      <c r="DA549" s="66"/>
      <c r="DB549" s="66"/>
      <c r="DC549" s="66"/>
      <c r="DD549" s="66"/>
      <c r="DE549" s="66"/>
      <c r="DF549" s="66"/>
      <c r="DG549" s="66"/>
      <c r="DH549" s="66"/>
      <c r="DI549" s="66"/>
      <c r="DJ549" s="66"/>
      <c r="DK549" s="66">
        <f>SUM(Table1[[#This Row],[01-03 Apr]:[Mar-26]])</f>
        <v>4112.9990557696001</v>
      </c>
    </row>
    <row r="550" spans="1:115" hidden="1" x14ac:dyDescent="0.2">
      <c r="A550" s="28"/>
      <c r="B550" s="29"/>
      <c r="C550" s="29" t="s">
        <v>2766</v>
      </c>
      <c r="D550" s="30" t="s">
        <v>2648</v>
      </c>
      <c r="E550" s="30" t="s">
        <v>1630</v>
      </c>
      <c r="F550" s="30"/>
      <c r="G550" s="31"/>
      <c r="H550" s="30">
        <v>396095</v>
      </c>
      <c r="I550" s="30" t="str">
        <f>IF(Table1[[#This Row],[Centre Status]]="Returned","NA",IF(Table1[[#This Row],[SD]]&gt;19000,"Full Payment",IF(Table1[[#This Row],[SD]]&lt;1,"No Payment","Partial Payment")))</f>
        <v>Full Payment</v>
      </c>
      <c r="J550" s="30" t="s">
        <v>58</v>
      </c>
      <c r="K550" s="32">
        <v>110000</v>
      </c>
      <c r="L550" s="33">
        <f>Q550+R550+U550+Table1[[#This Row],[Farmer Payment]]</f>
        <v>34510.670561665582</v>
      </c>
      <c r="M550" s="30"/>
      <c r="N550" s="34"/>
      <c r="O550" s="34"/>
      <c r="P550" s="35">
        <f t="shared" si="63"/>
        <v>75489.329438334418</v>
      </c>
      <c r="Q550" s="33">
        <f>AI550+AV550+CK550+Table1[[#This Row],[FY 25-26]]</f>
        <v>14510.670561665584</v>
      </c>
      <c r="R550" s="36">
        <v>20000</v>
      </c>
      <c r="S550" s="37" t="s">
        <v>2652</v>
      </c>
      <c r="T550" s="38">
        <v>45531</v>
      </c>
      <c r="U550" s="39"/>
      <c r="V550" s="39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1">
        <f t="shared" si="64"/>
        <v>0</v>
      </c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>
        <f t="shared" si="65"/>
        <v>0</v>
      </c>
      <c r="AW550" s="42"/>
      <c r="AX550" s="42"/>
      <c r="AY550" s="42"/>
      <c r="AZ550" s="42"/>
      <c r="BA550" s="42"/>
      <c r="BB550" s="42">
        <v>0</v>
      </c>
      <c r="BC550" s="42">
        <v>0</v>
      </c>
      <c r="BD550" s="42">
        <v>0</v>
      </c>
      <c r="BE550" s="42">
        <v>0</v>
      </c>
      <c r="BF550" s="42">
        <v>0</v>
      </c>
      <c r="BG550" s="42">
        <v>0</v>
      </c>
      <c r="BH550" s="42">
        <v>0</v>
      </c>
      <c r="BI550" s="42">
        <v>815</v>
      </c>
      <c r="BJ550" s="42">
        <v>0</v>
      </c>
      <c r="BK550" s="42">
        <v>0</v>
      </c>
      <c r="BL550" s="42">
        <v>500</v>
      </c>
      <c r="BM550" s="42">
        <v>500</v>
      </c>
      <c r="BN550" s="42">
        <v>861</v>
      </c>
      <c r="BO550" s="42">
        <v>0</v>
      </c>
      <c r="BP550" s="42">
        <v>0</v>
      </c>
      <c r="BQ550" s="42">
        <v>0</v>
      </c>
      <c r="BR550" s="42">
        <v>0</v>
      </c>
      <c r="BS550" s="42">
        <v>2187.6420462080273</v>
      </c>
      <c r="BT550" s="42">
        <v>0</v>
      </c>
      <c r="BU550" s="42">
        <v>0</v>
      </c>
      <c r="BV550" s="42">
        <v>0</v>
      </c>
      <c r="BW550" s="42">
        <v>0</v>
      </c>
      <c r="BX550" s="42">
        <v>0</v>
      </c>
      <c r="BY550" s="42">
        <v>1861</v>
      </c>
      <c r="BZ550" s="42">
        <v>0</v>
      </c>
      <c r="CA550" s="42">
        <v>0</v>
      </c>
      <c r="CB550" s="42">
        <v>0</v>
      </c>
      <c r="CC550" s="42">
        <v>0</v>
      </c>
      <c r="CD550" s="42">
        <v>1861</v>
      </c>
      <c r="CE550" s="42">
        <v>0</v>
      </c>
      <c r="CF550" s="42">
        <v>0</v>
      </c>
      <c r="CG550" s="42">
        <v>0</v>
      </c>
      <c r="CH550" s="42">
        <v>0</v>
      </c>
      <c r="CI550" s="42">
        <v>0</v>
      </c>
      <c r="CJ550" s="42">
        <v>1861</v>
      </c>
      <c r="CK550" s="43">
        <f t="shared" si="66"/>
        <v>10446.642046208028</v>
      </c>
      <c r="CL550" s="66"/>
      <c r="CM550" s="66">
        <v>0</v>
      </c>
      <c r="CN550" s="66">
        <v>0</v>
      </c>
      <c r="CO550" s="66">
        <v>0</v>
      </c>
      <c r="CP550" s="66">
        <v>1895.9466895260839</v>
      </c>
      <c r="CQ550" s="66">
        <v>0</v>
      </c>
      <c r="CR550" s="66">
        <v>0</v>
      </c>
      <c r="CS550" s="66">
        <v>0</v>
      </c>
      <c r="CT550" s="66">
        <v>0</v>
      </c>
      <c r="CU550" s="66">
        <v>0</v>
      </c>
      <c r="CV550" s="66">
        <v>2168.0818259314719</v>
      </c>
      <c r="CW550" s="66">
        <v>0</v>
      </c>
      <c r="CX550" s="66">
        <v>0</v>
      </c>
      <c r="CY550" s="66">
        <v>0</v>
      </c>
      <c r="CZ550" s="66">
        <v>0</v>
      </c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>
        <f>SUM(Table1[[#This Row],[01-03 Apr]:[Mar-26]])</f>
        <v>4064.0285154575558</v>
      </c>
    </row>
    <row r="551" spans="1:115" hidden="1" x14ac:dyDescent="0.2">
      <c r="A551" s="28"/>
      <c r="B551" s="29"/>
      <c r="C551" s="29" t="s">
        <v>2767</v>
      </c>
      <c r="D551" s="30" t="s">
        <v>2649</v>
      </c>
      <c r="E551" s="30" t="s">
        <v>1630</v>
      </c>
      <c r="F551" s="30"/>
      <c r="G551" s="31"/>
      <c r="H551" s="30">
        <v>322434</v>
      </c>
      <c r="I551" s="30" t="str">
        <f>IF(Table1[[#This Row],[Centre Status]]="Returned","NA",IF(Table1[[#This Row],[SD]]&gt;19000,"Full Payment",IF(Table1[[#This Row],[SD]]&lt;1,"No Payment","Partial Payment")))</f>
        <v>NA</v>
      </c>
      <c r="J551" s="30" t="s">
        <v>1903</v>
      </c>
      <c r="K551" s="32">
        <v>110000</v>
      </c>
      <c r="L551" s="33">
        <f>Q551+R551+U551+Table1[[#This Row],[Farmer Payment]]</f>
        <v>16720</v>
      </c>
      <c r="M551" s="30">
        <v>3600</v>
      </c>
      <c r="N551" s="34">
        <v>45688</v>
      </c>
      <c r="O551" s="34" t="s">
        <v>3160</v>
      </c>
      <c r="P551" s="35">
        <f t="shared" si="63"/>
        <v>96880</v>
      </c>
      <c r="Q551" s="33">
        <f>AI551+AV551+CK551+Table1[[#This Row],[FY 25-26]]</f>
        <v>6720</v>
      </c>
      <c r="R551" s="36">
        <v>10000</v>
      </c>
      <c r="S551" s="37" t="s">
        <v>2653</v>
      </c>
      <c r="T551" s="38">
        <v>45541</v>
      </c>
      <c r="U551" s="39"/>
      <c r="V551" s="39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1">
        <f t="shared" si="64"/>
        <v>0</v>
      </c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>
        <f t="shared" si="65"/>
        <v>0</v>
      </c>
      <c r="AW551" s="42"/>
      <c r="AX551" s="42"/>
      <c r="AY551" s="42"/>
      <c r="AZ551" s="42"/>
      <c r="BA551" s="42"/>
      <c r="BB551" s="42">
        <v>0</v>
      </c>
      <c r="BC551" s="42">
        <v>0</v>
      </c>
      <c r="BD551" s="42">
        <v>0</v>
      </c>
      <c r="BE551" s="42">
        <v>0</v>
      </c>
      <c r="BF551" s="42">
        <v>0</v>
      </c>
      <c r="BG551" s="42">
        <v>0</v>
      </c>
      <c r="BH551" s="42">
        <v>0</v>
      </c>
      <c r="BI551" s="42">
        <v>1709</v>
      </c>
      <c r="BJ551" s="42">
        <v>0</v>
      </c>
      <c r="BK551" s="42">
        <v>0</v>
      </c>
      <c r="BL551" s="42">
        <v>500</v>
      </c>
      <c r="BM551" s="42">
        <v>500</v>
      </c>
      <c r="BN551" s="42">
        <v>861</v>
      </c>
      <c r="BO551" s="42">
        <v>0</v>
      </c>
      <c r="BP551" s="42">
        <v>0</v>
      </c>
      <c r="BQ551" s="42">
        <v>0</v>
      </c>
      <c r="BR551" s="42">
        <v>0</v>
      </c>
      <c r="BS551" s="42">
        <v>1239</v>
      </c>
      <c r="BT551" s="42">
        <v>0</v>
      </c>
      <c r="BU551" s="42">
        <v>0</v>
      </c>
      <c r="BV551" s="42">
        <v>500</v>
      </c>
      <c r="BW551" s="42">
        <v>500</v>
      </c>
      <c r="BX551" s="42">
        <v>0</v>
      </c>
      <c r="BY551" s="42">
        <v>861</v>
      </c>
      <c r="BZ551" s="42">
        <v>0</v>
      </c>
      <c r="CA551" s="42">
        <v>0</v>
      </c>
      <c r="CB551" s="42">
        <v>0</v>
      </c>
      <c r="CC551" s="42">
        <v>0</v>
      </c>
      <c r="CD551" s="42">
        <v>0</v>
      </c>
      <c r="CE551" s="42">
        <v>0</v>
      </c>
      <c r="CF551" s="42">
        <v>0</v>
      </c>
      <c r="CG551" s="42">
        <v>0</v>
      </c>
      <c r="CH551" s="42">
        <v>0</v>
      </c>
      <c r="CI551" s="42">
        <v>0</v>
      </c>
      <c r="CJ551" s="42">
        <v>50</v>
      </c>
      <c r="CK551" s="43">
        <f t="shared" si="66"/>
        <v>6720</v>
      </c>
      <c r="CL551" s="66"/>
      <c r="CM551" s="66">
        <v>0</v>
      </c>
      <c r="CN551" s="66">
        <v>0</v>
      </c>
      <c r="CO551" s="66">
        <v>0</v>
      </c>
      <c r="CP551" s="66">
        <v>0</v>
      </c>
      <c r="CQ551" s="66">
        <v>0</v>
      </c>
      <c r="CR551" s="66">
        <v>0</v>
      </c>
      <c r="CS551" s="66">
        <v>0</v>
      </c>
      <c r="CT551" s="66">
        <v>0</v>
      </c>
      <c r="CU551" s="66">
        <v>0</v>
      </c>
      <c r="CV551" s="66">
        <v>0</v>
      </c>
      <c r="CW551" s="66">
        <v>0</v>
      </c>
      <c r="CX551" s="66">
        <v>0</v>
      </c>
      <c r="CY551" s="66">
        <v>0</v>
      </c>
      <c r="CZ551" s="66">
        <v>0</v>
      </c>
      <c r="DA551" s="66"/>
      <c r="DB551" s="66"/>
      <c r="DC551" s="66"/>
      <c r="DD551" s="66"/>
      <c r="DE551" s="66"/>
      <c r="DF551" s="66"/>
      <c r="DG551" s="66"/>
      <c r="DH551" s="66"/>
      <c r="DI551" s="66"/>
      <c r="DJ551" s="66"/>
      <c r="DK551" s="66">
        <f>SUM(Table1[[#This Row],[01-03 Apr]:[Mar-26]])</f>
        <v>0</v>
      </c>
    </row>
    <row r="552" spans="1:115" x14ac:dyDescent="0.2">
      <c r="A552" s="28" t="s">
        <v>2255</v>
      </c>
      <c r="B552" s="29" t="s">
        <v>1242</v>
      </c>
      <c r="C552" s="29" t="s">
        <v>1243</v>
      </c>
      <c r="D552" s="30" t="s">
        <v>1244</v>
      </c>
      <c r="E552" s="30" t="s">
        <v>297</v>
      </c>
      <c r="F552" s="30"/>
      <c r="G552" s="31"/>
      <c r="H552" s="30">
        <v>387876</v>
      </c>
      <c r="I552" s="30" t="str">
        <f>IF(Table1[[#This Row],[Centre Status]]="Returned","NA",IF(Table1[[#This Row],[SD]]&gt;19000,"Full Payment",IF(Table1[[#This Row],[SD]]&lt;1,"No Payment","Partial Payment")))</f>
        <v>Partial Payment</v>
      </c>
      <c r="J552" s="30" t="s">
        <v>58</v>
      </c>
      <c r="K552" s="32">
        <v>110000</v>
      </c>
      <c r="L552" s="33">
        <f>Q552+R552+U552+Table1[[#This Row],[Farmer Payment]]</f>
        <v>47734.698567910869</v>
      </c>
      <c r="M552" s="30"/>
      <c r="N552" s="34"/>
      <c r="O552" s="34"/>
      <c r="P552" s="35">
        <f t="shared" si="63"/>
        <v>62265.301432089131</v>
      </c>
      <c r="Q552" s="33">
        <f>AI552+AV552+CK552+Table1[[#This Row],[FY 25-26]]</f>
        <v>42734.698567910869</v>
      </c>
      <c r="R552" s="36">
        <v>5000</v>
      </c>
      <c r="S552" s="37" t="s">
        <v>1245</v>
      </c>
      <c r="T552" s="38">
        <v>45147</v>
      </c>
      <c r="U552" s="39"/>
      <c r="V552" s="39"/>
      <c r="W552" s="40">
        <v>0</v>
      </c>
      <c r="X552" s="40">
        <v>0</v>
      </c>
      <c r="Y552" s="40">
        <v>0</v>
      </c>
      <c r="Z552" s="40">
        <v>0</v>
      </c>
      <c r="AA552" s="40">
        <v>0</v>
      </c>
      <c r="AB552" s="40">
        <v>0</v>
      </c>
      <c r="AC552" s="40">
        <v>0</v>
      </c>
      <c r="AD552" s="40">
        <v>0</v>
      </c>
      <c r="AE552" s="40">
        <v>0</v>
      </c>
      <c r="AF552" s="40">
        <v>0</v>
      </c>
      <c r="AG552" s="40">
        <v>0</v>
      </c>
      <c r="AH552" s="40">
        <v>0</v>
      </c>
      <c r="AI552" s="41">
        <f t="shared" si="64"/>
        <v>0</v>
      </c>
      <c r="AJ552" s="42">
        <v>0</v>
      </c>
      <c r="AK552" s="42">
        <v>0</v>
      </c>
      <c r="AL552" s="42">
        <v>0</v>
      </c>
      <c r="AM552" s="42">
        <v>0</v>
      </c>
      <c r="AN552" s="42">
        <v>1338</v>
      </c>
      <c r="AO552" s="42">
        <v>1261</v>
      </c>
      <c r="AP552" s="42">
        <v>1861</v>
      </c>
      <c r="AQ552" s="42">
        <v>1861</v>
      </c>
      <c r="AR552" s="42">
        <v>756</v>
      </c>
      <c r="AS552" s="42">
        <v>1861</v>
      </c>
      <c r="AT552" s="42">
        <v>1897.4047999999998</v>
      </c>
      <c r="AU552" s="42">
        <v>1896.1834000000003</v>
      </c>
      <c r="AV552" s="42">
        <f t="shared" si="65"/>
        <v>12731.5882</v>
      </c>
      <c r="AW552" s="42">
        <v>1211</v>
      </c>
      <c r="AX552" s="42">
        <v>1844</v>
      </c>
      <c r="AY552" s="42">
        <v>1412</v>
      </c>
      <c r="AZ552" s="42">
        <v>510</v>
      </c>
      <c r="BA552" s="42">
        <v>1068</v>
      </c>
      <c r="BB552" s="42">
        <v>500</v>
      </c>
      <c r="BC552" s="42">
        <v>861</v>
      </c>
      <c r="BD552" s="42">
        <v>500</v>
      </c>
      <c r="BE552" s="42">
        <v>0</v>
      </c>
      <c r="BF552" s="42">
        <v>0</v>
      </c>
      <c r="BG552" s="42">
        <v>0</v>
      </c>
      <c r="BH552" s="42">
        <v>0</v>
      </c>
      <c r="BI552" s="42">
        <v>1522</v>
      </c>
      <c r="BJ552" s="42">
        <v>0</v>
      </c>
      <c r="BK552" s="42">
        <v>0</v>
      </c>
      <c r="BL552" s="42">
        <v>500</v>
      </c>
      <c r="BM552" s="42">
        <v>500</v>
      </c>
      <c r="BN552" s="42">
        <v>0</v>
      </c>
      <c r="BO552" s="42">
        <v>500</v>
      </c>
      <c r="BP552" s="42">
        <v>500</v>
      </c>
      <c r="BQ552" s="42">
        <v>500</v>
      </c>
      <c r="BR552" s="42">
        <v>500</v>
      </c>
      <c r="BS552" s="42">
        <v>451.77174727679403</v>
      </c>
      <c r="BT552" s="42">
        <v>500</v>
      </c>
      <c r="BU552" s="42">
        <v>500</v>
      </c>
      <c r="BV552" s="42">
        <v>0</v>
      </c>
      <c r="BW552" s="42">
        <v>0</v>
      </c>
      <c r="BX552" s="42">
        <v>0</v>
      </c>
      <c r="BY552" s="42">
        <v>2452.1268272191114</v>
      </c>
      <c r="BZ552" s="42">
        <v>0</v>
      </c>
      <c r="CA552" s="42">
        <v>0</v>
      </c>
      <c r="CB552" s="42">
        <v>0</v>
      </c>
      <c r="CC552" s="42">
        <v>0</v>
      </c>
      <c r="CD552" s="42">
        <v>4508.7221143065608</v>
      </c>
      <c r="CE552" s="42">
        <v>0</v>
      </c>
      <c r="CF552" s="42">
        <v>0</v>
      </c>
      <c r="CG552" s="42">
        <v>0</v>
      </c>
      <c r="CH552" s="42">
        <v>0</v>
      </c>
      <c r="CI552" s="42">
        <v>0</v>
      </c>
      <c r="CJ552" s="42">
        <v>5206.4000252140795</v>
      </c>
      <c r="CK552" s="43">
        <f t="shared" si="66"/>
        <v>26047.020714016548</v>
      </c>
      <c r="CL552" s="66"/>
      <c r="CM552" s="66">
        <v>0</v>
      </c>
      <c r="CN552" s="66">
        <v>0</v>
      </c>
      <c r="CO552" s="66">
        <v>0</v>
      </c>
      <c r="CP552" s="66">
        <v>2844.0896538943198</v>
      </c>
      <c r="CQ552" s="66">
        <v>0</v>
      </c>
      <c r="CR552" s="66">
        <v>0</v>
      </c>
      <c r="CS552" s="66">
        <v>0</v>
      </c>
      <c r="CT552" s="66">
        <v>0</v>
      </c>
      <c r="CU552" s="66">
        <v>0</v>
      </c>
      <c r="CV552" s="66">
        <v>1112</v>
      </c>
      <c r="CW552" s="66">
        <v>0</v>
      </c>
      <c r="CX552" s="66">
        <v>0</v>
      </c>
      <c r="CY552" s="66">
        <v>0</v>
      </c>
      <c r="CZ552" s="66">
        <v>0</v>
      </c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>
        <f>SUM(Table1[[#This Row],[01-03 Apr]:[Mar-26]])</f>
        <v>3956.0896538943198</v>
      </c>
    </row>
    <row r="553" spans="1:115" hidden="1" x14ac:dyDescent="0.2">
      <c r="A553" s="28" t="s">
        <v>2255</v>
      </c>
      <c r="B553" s="29" t="s">
        <v>1249</v>
      </c>
      <c r="C553" s="29" t="s">
        <v>1250</v>
      </c>
      <c r="D553" s="30" t="s">
        <v>1251</v>
      </c>
      <c r="E553" s="30" t="s">
        <v>177</v>
      </c>
      <c r="F553" s="30"/>
      <c r="G553" s="31"/>
      <c r="H553" s="30">
        <v>2352041</v>
      </c>
      <c r="I553" s="30" t="str">
        <f>IF(Table1[[#This Row],[Centre Status]]="Returned","NA",IF(Table1[[#This Row],[SD]]&gt;19000,"Full Payment",IF(Table1[[#This Row],[SD]]&lt;1,"No Payment","Partial Payment")))</f>
        <v>NA</v>
      </c>
      <c r="J553" s="30" t="s">
        <v>1903</v>
      </c>
      <c r="K553" s="32">
        <v>110000</v>
      </c>
      <c r="L553" s="33">
        <f>Q553+R553+U553+Table1[[#This Row],[Farmer Payment]]</f>
        <v>26533</v>
      </c>
      <c r="M553" s="30">
        <v>10000</v>
      </c>
      <c r="N553" s="34">
        <v>45688</v>
      </c>
      <c r="O553" s="34" t="s">
        <v>3158</v>
      </c>
      <c r="P553" s="35">
        <f t="shared" si="63"/>
        <v>93467</v>
      </c>
      <c r="Q553" s="33">
        <f>AI553+AV553+CK553+Table1[[#This Row],[FY 25-26]]</f>
        <v>16533</v>
      </c>
      <c r="R553" s="36">
        <v>10000</v>
      </c>
      <c r="S553" s="37" t="s">
        <v>1252</v>
      </c>
      <c r="T553" s="38">
        <v>45276</v>
      </c>
      <c r="U553" s="39"/>
      <c r="V553" s="39"/>
      <c r="W553" s="40">
        <v>0</v>
      </c>
      <c r="X553" s="40">
        <v>0</v>
      </c>
      <c r="Y553" s="40">
        <v>0</v>
      </c>
      <c r="Z553" s="40">
        <v>0</v>
      </c>
      <c r="AA553" s="40">
        <v>0</v>
      </c>
      <c r="AB553" s="40">
        <v>0</v>
      </c>
      <c r="AC553" s="40">
        <v>0</v>
      </c>
      <c r="AD553" s="40">
        <v>0</v>
      </c>
      <c r="AE553" s="40">
        <v>0</v>
      </c>
      <c r="AF553" s="40">
        <v>0</v>
      </c>
      <c r="AG553" s="40">
        <v>0</v>
      </c>
      <c r="AH553" s="40">
        <v>0</v>
      </c>
      <c r="AI553" s="41">
        <f t="shared" si="64"/>
        <v>0</v>
      </c>
      <c r="AJ553" s="42">
        <v>0</v>
      </c>
      <c r="AK553" s="42">
        <v>0</v>
      </c>
      <c r="AL553" s="42">
        <v>0</v>
      </c>
      <c r="AM553" s="42">
        <v>0</v>
      </c>
      <c r="AN553" s="42">
        <v>0</v>
      </c>
      <c r="AO553" s="42">
        <v>0</v>
      </c>
      <c r="AP553" s="42">
        <v>0</v>
      </c>
      <c r="AQ553" s="42">
        <v>0</v>
      </c>
      <c r="AR553" s="42">
        <v>0</v>
      </c>
      <c r="AS553" s="42">
        <v>0</v>
      </c>
      <c r="AT553" s="42">
        <v>934</v>
      </c>
      <c r="AU553" s="42">
        <v>1861</v>
      </c>
      <c r="AV553" s="42">
        <f t="shared" si="65"/>
        <v>2795</v>
      </c>
      <c r="AW553" s="42">
        <v>1544</v>
      </c>
      <c r="AX553" s="42">
        <v>1325</v>
      </c>
      <c r="AY553" s="42">
        <v>197</v>
      </c>
      <c r="AZ553" s="42">
        <v>0</v>
      </c>
      <c r="BA553" s="42">
        <v>0</v>
      </c>
      <c r="BB553" s="42">
        <v>500</v>
      </c>
      <c r="BC553" s="42">
        <v>549</v>
      </c>
      <c r="BD553" s="42">
        <v>500</v>
      </c>
      <c r="BE553" s="42">
        <v>500</v>
      </c>
      <c r="BF553" s="42">
        <v>500</v>
      </c>
      <c r="BG553" s="42">
        <v>500</v>
      </c>
      <c r="BH553" s="42">
        <v>500</v>
      </c>
      <c r="BI553" s="42">
        <v>0</v>
      </c>
      <c r="BJ553" s="42">
        <v>500</v>
      </c>
      <c r="BK553" s="42">
        <v>500</v>
      </c>
      <c r="BL553" s="42">
        <v>500</v>
      </c>
      <c r="BM553" s="42">
        <v>500</v>
      </c>
      <c r="BN553" s="42">
        <v>0</v>
      </c>
      <c r="BO553" s="42">
        <v>500</v>
      </c>
      <c r="BP553" s="42">
        <v>500</v>
      </c>
      <c r="BQ553" s="42">
        <v>500</v>
      </c>
      <c r="BR553" s="42">
        <v>500</v>
      </c>
      <c r="BS553" s="42">
        <v>0</v>
      </c>
      <c r="BT553" s="42">
        <v>500</v>
      </c>
      <c r="BU553" s="42">
        <v>500</v>
      </c>
      <c r="BV553" s="42">
        <v>500</v>
      </c>
      <c r="BW553" s="42">
        <v>500</v>
      </c>
      <c r="BX553" s="42">
        <v>0</v>
      </c>
      <c r="BY553" s="42">
        <v>0</v>
      </c>
      <c r="BZ553" s="42">
        <v>500</v>
      </c>
      <c r="CA553" s="42">
        <v>0</v>
      </c>
      <c r="CB553" s="42">
        <v>0</v>
      </c>
      <c r="CC553" s="42">
        <v>0</v>
      </c>
      <c r="CD553" s="42">
        <v>81</v>
      </c>
      <c r="CE553" s="42">
        <v>500</v>
      </c>
      <c r="CF553" s="42">
        <v>0</v>
      </c>
      <c r="CG553" s="42">
        <v>0</v>
      </c>
      <c r="CH553" s="42">
        <v>0</v>
      </c>
      <c r="CI553" s="42">
        <v>0</v>
      </c>
      <c r="CJ553" s="42">
        <v>42</v>
      </c>
      <c r="CK553" s="43">
        <f t="shared" si="66"/>
        <v>13738</v>
      </c>
      <c r="CL553" s="66"/>
      <c r="CM553" s="66">
        <v>0</v>
      </c>
      <c r="CN553" s="66">
        <v>0</v>
      </c>
      <c r="CO553" s="66">
        <v>0</v>
      </c>
      <c r="CP553" s="66">
        <v>0</v>
      </c>
      <c r="CQ553" s="66">
        <v>0</v>
      </c>
      <c r="CR553" s="66">
        <v>0</v>
      </c>
      <c r="CS553" s="66">
        <v>0</v>
      </c>
      <c r="CT553" s="66">
        <v>0</v>
      </c>
      <c r="CU553" s="66">
        <v>0</v>
      </c>
      <c r="CV553" s="66">
        <v>0</v>
      </c>
      <c r="CW553" s="66">
        <v>0</v>
      </c>
      <c r="CX553" s="66">
        <v>0</v>
      </c>
      <c r="CY553" s="66">
        <v>0</v>
      </c>
      <c r="CZ553" s="66">
        <v>0</v>
      </c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>
        <f>SUM(Table1[[#This Row],[01-03 Apr]:[Mar-26]])</f>
        <v>0</v>
      </c>
    </row>
    <row r="554" spans="1:115" hidden="1" x14ac:dyDescent="0.2">
      <c r="A554" s="28" t="s">
        <v>2367</v>
      </c>
      <c r="B554" s="29" t="s">
        <v>1254</v>
      </c>
      <c r="C554" s="29" t="s">
        <v>1255</v>
      </c>
      <c r="D554" s="30" t="s">
        <v>1256</v>
      </c>
      <c r="E554" s="30" t="s">
        <v>906</v>
      </c>
      <c r="F554" s="30"/>
      <c r="G554" s="31"/>
      <c r="H554" s="30">
        <v>361578</v>
      </c>
      <c r="I554" s="30" t="str">
        <f>IF(Table1[[#This Row],[Centre Status]]="Returned","NA",IF(Table1[[#This Row],[SD]]&gt;19000,"Full Payment",IF(Table1[[#This Row],[SD]]&lt;1,"No Payment","Partial Payment")))</f>
        <v>NA</v>
      </c>
      <c r="J554" s="30" t="s">
        <v>1903</v>
      </c>
      <c r="K554" s="32">
        <v>110000</v>
      </c>
      <c r="L554" s="33">
        <f>Q554+R554+U554+Table1[[#This Row],[Farmer Payment]]</f>
        <v>35160.142800000001</v>
      </c>
      <c r="M554" s="30">
        <v>20000</v>
      </c>
      <c r="N554" s="34">
        <v>45701</v>
      </c>
      <c r="O554" s="34" t="s">
        <v>2429</v>
      </c>
      <c r="P554" s="35">
        <f t="shared" si="63"/>
        <v>94839.857199999999</v>
      </c>
      <c r="Q554" s="33">
        <f>AI554+AV554+CK554+Table1[[#This Row],[FY 25-26]]</f>
        <v>15160.1428</v>
      </c>
      <c r="R554" s="36">
        <v>20000</v>
      </c>
      <c r="S554" s="37" t="s">
        <v>1257</v>
      </c>
      <c r="T554" s="38">
        <v>45072</v>
      </c>
      <c r="U554" s="39"/>
      <c r="V554" s="39"/>
      <c r="W554" s="40">
        <v>0</v>
      </c>
      <c r="X554" s="40">
        <v>0</v>
      </c>
      <c r="Y554" s="40">
        <v>0</v>
      </c>
      <c r="Z554" s="40">
        <v>0</v>
      </c>
      <c r="AA554" s="40">
        <v>0</v>
      </c>
      <c r="AB554" s="40">
        <v>0</v>
      </c>
      <c r="AC554" s="40">
        <v>0</v>
      </c>
      <c r="AD554" s="40">
        <v>0</v>
      </c>
      <c r="AE554" s="40">
        <v>0</v>
      </c>
      <c r="AF554" s="40">
        <v>0</v>
      </c>
      <c r="AG554" s="40">
        <v>0</v>
      </c>
      <c r="AH554" s="40">
        <v>0</v>
      </c>
      <c r="AI554" s="41">
        <f t="shared" si="64"/>
        <v>0</v>
      </c>
      <c r="AJ554" s="42">
        <v>0</v>
      </c>
      <c r="AK554" s="42">
        <v>0</v>
      </c>
      <c r="AL554" s="42">
        <v>0</v>
      </c>
      <c r="AM554" s="42">
        <v>0</v>
      </c>
      <c r="AN554" s="42">
        <v>0</v>
      </c>
      <c r="AO554" s="42">
        <v>0</v>
      </c>
      <c r="AP554" s="42">
        <v>0</v>
      </c>
      <c r="AQ554" s="42">
        <v>0</v>
      </c>
      <c r="AR554" s="42">
        <v>0</v>
      </c>
      <c r="AS554" s="42">
        <v>3115.4564</v>
      </c>
      <c r="AT554" s="42">
        <v>3731.7864000000004</v>
      </c>
      <c r="AU554" s="42">
        <v>2940.9</v>
      </c>
      <c r="AV554" s="42">
        <f t="shared" si="65"/>
        <v>9788.1427999999996</v>
      </c>
      <c r="AW554" s="42">
        <v>871</v>
      </c>
      <c r="AX554" s="42">
        <v>800</v>
      </c>
      <c r="AY554" s="42">
        <v>191</v>
      </c>
      <c r="AZ554" s="42">
        <v>0</v>
      </c>
      <c r="BA554" s="42">
        <v>0</v>
      </c>
      <c r="BB554" s="42">
        <v>500</v>
      </c>
      <c r="BC554" s="42">
        <v>861</v>
      </c>
      <c r="BD554" s="42">
        <v>500</v>
      </c>
      <c r="BE554" s="42">
        <v>0</v>
      </c>
      <c r="BF554" s="42">
        <v>0</v>
      </c>
      <c r="BG554" s="42">
        <v>0</v>
      </c>
      <c r="BH554" s="42">
        <v>0</v>
      </c>
      <c r="BI554" s="42">
        <v>1649</v>
      </c>
      <c r="BJ554" s="42">
        <v>0</v>
      </c>
      <c r="BK554" s="42">
        <v>0</v>
      </c>
      <c r="BL554" s="42">
        <v>0</v>
      </c>
      <c r="BM554" s="42">
        <v>0</v>
      </c>
      <c r="BN554" s="42">
        <v>0</v>
      </c>
      <c r="BO554" s="42">
        <v>0</v>
      </c>
      <c r="BP554" s="42">
        <v>0</v>
      </c>
      <c r="BQ554" s="42">
        <v>0</v>
      </c>
      <c r="BR554" s="42">
        <v>0</v>
      </c>
      <c r="BS554" s="42">
        <v>0</v>
      </c>
      <c r="BT554" s="42">
        <v>0</v>
      </c>
      <c r="BU554" s="42">
        <v>0</v>
      </c>
      <c r="BV554" s="42">
        <v>0</v>
      </c>
      <c r="BW554" s="42">
        <v>0</v>
      </c>
      <c r="BX554" s="42">
        <v>0</v>
      </c>
      <c r="BY554" s="42">
        <v>0</v>
      </c>
      <c r="BZ554" s="42">
        <v>0</v>
      </c>
      <c r="CA554" s="42">
        <v>0</v>
      </c>
      <c r="CB554" s="42">
        <v>0</v>
      </c>
      <c r="CC554" s="42">
        <v>0</v>
      </c>
      <c r="CD554" s="42">
        <v>0</v>
      </c>
      <c r="CE554" s="42">
        <v>0</v>
      </c>
      <c r="CF554" s="42">
        <v>0</v>
      </c>
      <c r="CG554" s="42">
        <v>0</v>
      </c>
      <c r="CH554" s="42">
        <v>0</v>
      </c>
      <c r="CI554" s="42">
        <v>0</v>
      </c>
      <c r="CJ554" s="42">
        <v>0</v>
      </c>
      <c r="CK554" s="43">
        <f t="shared" si="66"/>
        <v>5372</v>
      </c>
      <c r="CL554" s="66"/>
      <c r="CM554" s="66">
        <v>0</v>
      </c>
      <c r="CN554" s="66">
        <v>0</v>
      </c>
      <c r="CO554" s="66">
        <v>0</v>
      </c>
      <c r="CP554" s="66">
        <v>0</v>
      </c>
      <c r="CQ554" s="66">
        <v>0</v>
      </c>
      <c r="CR554" s="66">
        <v>0</v>
      </c>
      <c r="CS554" s="66">
        <v>0</v>
      </c>
      <c r="CT554" s="66">
        <v>0</v>
      </c>
      <c r="CU554" s="66">
        <v>0</v>
      </c>
      <c r="CV554" s="66">
        <v>0</v>
      </c>
      <c r="CW554" s="66">
        <v>0</v>
      </c>
      <c r="CX554" s="66">
        <v>0</v>
      </c>
      <c r="CY554" s="66">
        <v>0</v>
      </c>
      <c r="CZ554" s="66">
        <v>0</v>
      </c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>
        <f>SUM(Table1[[#This Row],[01-03 Apr]:[Mar-26]])</f>
        <v>0</v>
      </c>
    </row>
    <row r="555" spans="1:115" x14ac:dyDescent="0.2">
      <c r="A555" s="28"/>
      <c r="B555" s="29"/>
      <c r="C555" s="29" t="s">
        <v>3336</v>
      </c>
      <c r="D555" s="30" t="s">
        <v>1258</v>
      </c>
      <c r="E555" s="30"/>
      <c r="F555" s="30"/>
      <c r="G555" s="31"/>
      <c r="H555" s="30"/>
      <c r="I555" s="30" t="str">
        <f>IF(Table1[[#This Row],[Centre Status]]="Returned","NA",IF(Table1[[#This Row],[SD]]&gt;19000,"Full Payment",IF(Table1[[#This Row],[SD]]&lt;1,"No Payment","Partial Payment")))</f>
        <v>Partial Payment</v>
      </c>
      <c r="J555" s="30" t="s">
        <v>58</v>
      </c>
      <c r="K555" s="32">
        <v>110000</v>
      </c>
      <c r="L555" s="33">
        <f>Q555+R555+U555+Table1[[#This Row],[Farmer Payment]]</f>
        <v>10000</v>
      </c>
      <c r="M555" s="30"/>
      <c r="N555" s="34"/>
      <c r="O555" s="34"/>
      <c r="P555" s="35">
        <f t="shared" si="63"/>
        <v>100000</v>
      </c>
      <c r="Q555" s="33">
        <f>AI555+AV555+CK555+Table1[[#This Row],[FY 25-26]]</f>
        <v>0</v>
      </c>
      <c r="R555" s="36">
        <v>10000</v>
      </c>
      <c r="S555" s="37" t="s">
        <v>1259</v>
      </c>
      <c r="T555" s="38">
        <v>45085</v>
      </c>
      <c r="U555" s="39"/>
      <c r="V555" s="39"/>
      <c r="W555" s="40">
        <v>0</v>
      </c>
      <c r="X555" s="40">
        <v>0</v>
      </c>
      <c r="Y555" s="40">
        <v>0</v>
      </c>
      <c r="Z555" s="40">
        <v>0</v>
      </c>
      <c r="AA555" s="40">
        <v>0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>
        <v>0</v>
      </c>
      <c r="AH555" s="40">
        <v>0</v>
      </c>
      <c r="AI555" s="41">
        <f t="shared" si="64"/>
        <v>0</v>
      </c>
      <c r="AJ555" s="42">
        <v>0</v>
      </c>
      <c r="AK555" s="42">
        <v>0</v>
      </c>
      <c r="AL555" s="42">
        <v>0</v>
      </c>
      <c r="AM555" s="42">
        <v>0</v>
      </c>
      <c r="AN555" s="42">
        <v>0</v>
      </c>
      <c r="AO555" s="42">
        <v>0</v>
      </c>
      <c r="AP555" s="42">
        <v>0</v>
      </c>
      <c r="AQ555" s="42">
        <v>0</v>
      </c>
      <c r="AR555" s="42">
        <v>0</v>
      </c>
      <c r="AS555" s="42">
        <v>0</v>
      </c>
      <c r="AT555" s="42">
        <v>0</v>
      </c>
      <c r="AU555" s="42">
        <v>0</v>
      </c>
      <c r="AV555" s="42">
        <f t="shared" si="65"/>
        <v>0</v>
      </c>
      <c r="AW555" s="42">
        <v>0</v>
      </c>
      <c r="AX555" s="42">
        <v>0</v>
      </c>
      <c r="AY555" s="42">
        <v>0</v>
      </c>
      <c r="AZ555" s="42">
        <v>0</v>
      </c>
      <c r="BA555" s="42">
        <v>0</v>
      </c>
      <c r="BB555" s="42">
        <v>0</v>
      </c>
      <c r="BC555" s="42">
        <v>0</v>
      </c>
      <c r="BD555" s="42">
        <v>0</v>
      </c>
      <c r="BE555" s="42">
        <v>0</v>
      </c>
      <c r="BF555" s="42">
        <v>0</v>
      </c>
      <c r="BG555" s="42">
        <v>0</v>
      </c>
      <c r="BH555" s="42">
        <v>0</v>
      </c>
      <c r="BI555" s="42">
        <v>0</v>
      </c>
      <c r="BJ555" s="42">
        <v>0</v>
      </c>
      <c r="BK555" s="42">
        <v>0</v>
      </c>
      <c r="BL555" s="42">
        <v>0</v>
      </c>
      <c r="BM555" s="42">
        <v>0</v>
      </c>
      <c r="BN555" s="42">
        <v>0</v>
      </c>
      <c r="BO555" s="42">
        <v>0</v>
      </c>
      <c r="BP555" s="42">
        <v>0</v>
      </c>
      <c r="BQ555" s="42">
        <v>0</v>
      </c>
      <c r="BR555" s="42">
        <v>0</v>
      </c>
      <c r="BS555" s="42">
        <v>0</v>
      </c>
      <c r="BT555" s="42">
        <v>0</v>
      </c>
      <c r="BU555" s="42">
        <v>0</v>
      </c>
      <c r="BV555" s="42">
        <v>0</v>
      </c>
      <c r="BW555" s="42">
        <v>0</v>
      </c>
      <c r="BX555" s="42">
        <v>0</v>
      </c>
      <c r="BY555" s="42">
        <v>0</v>
      </c>
      <c r="BZ555" s="42">
        <v>0</v>
      </c>
      <c r="CA555" s="42">
        <v>0</v>
      </c>
      <c r="CB555" s="42">
        <v>0</v>
      </c>
      <c r="CC555" s="42">
        <v>0</v>
      </c>
      <c r="CD555" s="42">
        <v>0</v>
      </c>
      <c r="CE555" s="42">
        <v>0</v>
      </c>
      <c r="CF555" s="42">
        <v>0</v>
      </c>
      <c r="CG555" s="42">
        <v>0</v>
      </c>
      <c r="CH555" s="42">
        <v>0</v>
      </c>
      <c r="CI555" s="42">
        <v>0</v>
      </c>
      <c r="CJ555" s="42">
        <v>0</v>
      </c>
      <c r="CK555" s="43">
        <f t="shared" si="66"/>
        <v>0</v>
      </c>
      <c r="CL555" s="66"/>
      <c r="CM555" s="66">
        <v>0</v>
      </c>
      <c r="CN555" s="66">
        <v>0</v>
      </c>
      <c r="CO555" s="66">
        <v>0</v>
      </c>
      <c r="CP555" s="66">
        <v>0</v>
      </c>
      <c r="CQ555" s="66">
        <v>0</v>
      </c>
      <c r="CR555" s="66">
        <v>0</v>
      </c>
      <c r="CS555" s="66">
        <v>0</v>
      </c>
      <c r="CT555" s="66">
        <v>0</v>
      </c>
      <c r="CU555" s="66">
        <v>0</v>
      </c>
      <c r="CV555" s="66">
        <v>0</v>
      </c>
      <c r="CW555" s="66">
        <v>0</v>
      </c>
      <c r="CX555" s="66">
        <v>0</v>
      </c>
      <c r="CY555" s="66">
        <v>0</v>
      </c>
      <c r="CZ555" s="66">
        <v>0</v>
      </c>
      <c r="DA555" s="66"/>
      <c r="DB555" s="66"/>
      <c r="DC555" s="66"/>
      <c r="DD555" s="66"/>
      <c r="DE555" s="66"/>
      <c r="DF555" s="66"/>
      <c r="DG555" s="66"/>
      <c r="DH555" s="66"/>
      <c r="DI555" s="66"/>
      <c r="DJ555" s="66"/>
      <c r="DK555" s="66">
        <f>SUM(Table1[[#This Row],[01-03 Apr]:[Mar-26]])</f>
        <v>0</v>
      </c>
    </row>
    <row r="556" spans="1:115" x14ac:dyDescent="0.2">
      <c r="A556" s="28">
        <v>0</v>
      </c>
      <c r="B556" s="29" t="s">
        <v>1260</v>
      </c>
      <c r="C556" s="29" t="s">
        <v>1261</v>
      </c>
      <c r="D556" s="30" t="s">
        <v>1262</v>
      </c>
      <c r="E556" s="30" t="s">
        <v>906</v>
      </c>
      <c r="F556" s="30"/>
      <c r="G556" s="31"/>
      <c r="H556" s="30">
        <v>277061</v>
      </c>
      <c r="I556" s="30" t="str">
        <f>IF(Table1[[#This Row],[Centre Status]]="Returned","NA",IF(Table1[[#This Row],[SD]]&gt;19000,"Full Payment",IF(Table1[[#This Row],[SD]]&lt;1,"No Payment","Partial Payment")))</f>
        <v>Partial Payment</v>
      </c>
      <c r="J556" s="30" t="s">
        <v>58</v>
      </c>
      <c r="K556" s="32">
        <v>110000</v>
      </c>
      <c r="L556" s="33">
        <f>Q556+R556+U556+Table1[[#This Row],[Farmer Payment]]</f>
        <v>34076.150296122622</v>
      </c>
      <c r="M556" s="30"/>
      <c r="N556" s="34"/>
      <c r="O556" s="34"/>
      <c r="P556" s="35">
        <f t="shared" si="63"/>
        <v>75923.849703877378</v>
      </c>
      <c r="Q556" s="33">
        <f>AI556+AV556+CK556+Table1[[#This Row],[FY 25-26]]</f>
        <v>24076.150296122622</v>
      </c>
      <c r="R556" s="36">
        <v>10000</v>
      </c>
      <c r="S556" s="37" t="s">
        <v>1263</v>
      </c>
      <c r="T556" s="38">
        <v>45244</v>
      </c>
      <c r="U556" s="39"/>
      <c r="V556" s="39"/>
      <c r="W556" s="40">
        <v>0</v>
      </c>
      <c r="X556" s="40">
        <v>0</v>
      </c>
      <c r="Y556" s="40">
        <v>0</v>
      </c>
      <c r="Z556" s="40">
        <v>0</v>
      </c>
      <c r="AA556" s="40">
        <v>0</v>
      </c>
      <c r="AB556" s="40">
        <v>0</v>
      </c>
      <c r="AC556" s="40">
        <v>0</v>
      </c>
      <c r="AD556" s="40">
        <v>0</v>
      </c>
      <c r="AE556" s="40">
        <v>0</v>
      </c>
      <c r="AF556" s="40">
        <v>0</v>
      </c>
      <c r="AG556" s="40">
        <v>0</v>
      </c>
      <c r="AH556" s="40">
        <v>0</v>
      </c>
      <c r="AI556" s="41">
        <f t="shared" si="64"/>
        <v>0</v>
      </c>
      <c r="AJ556" s="42">
        <v>0</v>
      </c>
      <c r="AK556" s="42">
        <v>0</v>
      </c>
      <c r="AL556" s="42">
        <v>0</v>
      </c>
      <c r="AM556" s="42">
        <v>0</v>
      </c>
      <c r="AN556" s="42">
        <v>0</v>
      </c>
      <c r="AO556" s="42">
        <v>0</v>
      </c>
      <c r="AP556" s="42">
        <v>0</v>
      </c>
      <c r="AQ556" s="42">
        <v>0</v>
      </c>
      <c r="AR556" s="42">
        <v>266</v>
      </c>
      <c r="AS556" s="42">
        <v>690</v>
      </c>
      <c r="AT556" s="42">
        <v>1241</v>
      </c>
      <c r="AU556" s="42">
        <v>0</v>
      </c>
      <c r="AV556" s="42">
        <f t="shared" si="65"/>
        <v>2197</v>
      </c>
      <c r="AW556" s="42">
        <v>0</v>
      </c>
      <c r="AX556" s="42">
        <v>0</v>
      </c>
      <c r="AY556" s="42">
        <v>710</v>
      </c>
      <c r="AZ556" s="42">
        <v>1021</v>
      </c>
      <c r="BA556" s="42">
        <v>1861</v>
      </c>
      <c r="BB556" s="42">
        <v>0</v>
      </c>
      <c r="BC556" s="42">
        <v>2403.1502961226206</v>
      </c>
      <c r="BD556" s="42">
        <v>0</v>
      </c>
      <c r="BE556" s="42">
        <v>0</v>
      </c>
      <c r="BF556" s="42">
        <v>0</v>
      </c>
      <c r="BG556" s="42">
        <v>0</v>
      </c>
      <c r="BH556" s="42">
        <v>0</v>
      </c>
      <c r="BI556" s="42">
        <v>884</v>
      </c>
      <c r="BJ556" s="42">
        <v>0</v>
      </c>
      <c r="BK556" s="42">
        <v>0</v>
      </c>
      <c r="BL556" s="42">
        <v>500</v>
      </c>
      <c r="BM556" s="42">
        <v>500</v>
      </c>
      <c r="BN556" s="42">
        <v>0</v>
      </c>
      <c r="BO556" s="42">
        <v>500</v>
      </c>
      <c r="BP556" s="42">
        <v>500</v>
      </c>
      <c r="BQ556" s="42">
        <v>500</v>
      </c>
      <c r="BR556" s="42">
        <v>500</v>
      </c>
      <c r="BS556" s="42">
        <v>0</v>
      </c>
      <c r="BT556" s="42">
        <v>500</v>
      </c>
      <c r="BU556" s="42">
        <v>500</v>
      </c>
      <c r="BV556" s="42">
        <v>500</v>
      </c>
      <c r="BW556" s="42">
        <v>500</v>
      </c>
      <c r="BX556" s="42">
        <v>500</v>
      </c>
      <c r="BY556" s="42">
        <v>0</v>
      </c>
      <c r="BZ556" s="42">
        <v>500</v>
      </c>
      <c r="CA556" s="42">
        <v>500</v>
      </c>
      <c r="CB556" s="42">
        <v>500</v>
      </c>
      <c r="CC556" s="42">
        <v>500</v>
      </c>
      <c r="CD556" s="42">
        <v>0</v>
      </c>
      <c r="CE556" s="42">
        <v>500</v>
      </c>
      <c r="CF556" s="42">
        <v>500</v>
      </c>
      <c r="CG556" s="42">
        <v>500</v>
      </c>
      <c r="CH556" s="42">
        <v>500</v>
      </c>
      <c r="CI556" s="42">
        <v>0</v>
      </c>
      <c r="CJ556" s="42">
        <v>0</v>
      </c>
      <c r="CK556" s="43">
        <f t="shared" si="66"/>
        <v>16379.150296122622</v>
      </c>
      <c r="CL556" s="66"/>
      <c r="CM556" s="66">
        <v>500</v>
      </c>
      <c r="CN556" s="66">
        <v>500</v>
      </c>
      <c r="CO556" s="66">
        <v>500</v>
      </c>
      <c r="CP556" s="66">
        <v>0</v>
      </c>
      <c r="CQ556" s="66">
        <v>500</v>
      </c>
      <c r="CR556" s="66">
        <v>500</v>
      </c>
      <c r="CS556" s="66">
        <v>500</v>
      </c>
      <c r="CT556" s="66">
        <v>500</v>
      </c>
      <c r="CU556" s="66">
        <v>500</v>
      </c>
      <c r="CV556" s="66">
        <v>0</v>
      </c>
      <c r="CW556" s="66">
        <v>0</v>
      </c>
      <c r="CX556" s="66">
        <v>500</v>
      </c>
      <c r="CY556" s="66">
        <v>500</v>
      </c>
      <c r="CZ556" s="66">
        <v>500</v>
      </c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>
        <f>SUM(Table1[[#This Row],[01-03 Apr]:[Mar-26]])</f>
        <v>5500</v>
      </c>
    </row>
    <row r="557" spans="1:115" x14ac:dyDescent="0.2">
      <c r="A557" s="28" t="s">
        <v>2253</v>
      </c>
      <c r="B557" s="29" t="s">
        <v>1265</v>
      </c>
      <c r="C557" s="29" t="s">
        <v>1266</v>
      </c>
      <c r="D557" s="30" t="s">
        <v>1267</v>
      </c>
      <c r="E557" s="30" t="s">
        <v>85</v>
      </c>
      <c r="F557" s="30"/>
      <c r="G557" s="31"/>
      <c r="H557" s="30">
        <v>359826</v>
      </c>
      <c r="I557" s="30" t="str">
        <f>IF(Table1[[#This Row],[Centre Status]]="Returned","NA",IF(Table1[[#This Row],[SD]]&gt;19000,"Full Payment",IF(Table1[[#This Row],[SD]]&lt;1,"No Payment","Partial Payment")))</f>
        <v>Partial Payment</v>
      </c>
      <c r="J557" s="30" t="s">
        <v>58</v>
      </c>
      <c r="K557" s="32">
        <v>110000</v>
      </c>
      <c r="L557" s="33">
        <f>Q557+R557+U557+Table1[[#This Row],[Farmer Payment]]</f>
        <v>15776.582</v>
      </c>
      <c r="M557" s="30"/>
      <c r="N557" s="34"/>
      <c r="O557" s="34"/>
      <c r="P557" s="35">
        <f t="shared" si="63"/>
        <v>94223.418000000005</v>
      </c>
      <c r="Q557" s="33">
        <f>AI557+AV557+CK557+Table1[[#This Row],[FY 25-26]]</f>
        <v>5776.5820000000003</v>
      </c>
      <c r="R557" s="36">
        <v>10000</v>
      </c>
      <c r="S557" s="37" t="s">
        <v>1268</v>
      </c>
      <c r="T557" s="38">
        <v>45126</v>
      </c>
      <c r="U557" s="39"/>
      <c r="V557" s="39"/>
      <c r="W557" s="40">
        <v>0</v>
      </c>
      <c r="X557" s="40">
        <v>0</v>
      </c>
      <c r="Y557" s="40">
        <v>0</v>
      </c>
      <c r="Z557" s="40">
        <v>0</v>
      </c>
      <c r="AA557" s="40">
        <v>0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>
        <v>0</v>
      </c>
      <c r="AH557" s="40">
        <v>0</v>
      </c>
      <c r="AI557" s="41">
        <f t="shared" si="64"/>
        <v>0</v>
      </c>
      <c r="AJ557" s="42">
        <v>0</v>
      </c>
      <c r="AK557" s="42">
        <v>0</v>
      </c>
      <c r="AL557" s="42">
        <v>0</v>
      </c>
      <c r="AM557" s="42">
        <v>0</v>
      </c>
      <c r="AN557" s="42">
        <v>0</v>
      </c>
      <c r="AO557" s="42">
        <v>0</v>
      </c>
      <c r="AP557" s="42">
        <v>0</v>
      </c>
      <c r="AQ557" s="42">
        <v>0</v>
      </c>
      <c r="AR557" s="42">
        <v>1938.5820000000001</v>
      </c>
      <c r="AS557" s="42">
        <v>1861</v>
      </c>
      <c r="AT557" s="42">
        <v>1127</v>
      </c>
      <c r="AU557" s="42">
        <v>850</v>
      </c>
      <c r="AV557" s="42">
        <f t="shared" si="65"/>
        <v>5776.5820000000003</v>
      </c>
      <c r="AW557" s="42">
        <v>0</v>
      </c>
      <c r="AX557" s="42">
        <v>0</v>
      </c>
      <c r="AY557" s="42">
        <v>0</v>
      </c>
      <c r="AZ557" s="42">
        <v>0</v>
      </c>
      <c r="BA557" s="42">
        <v>0</v>
      </c>
      <c r="BB557" s="42">
        <v>0</v>
      </c>
      <c r="BC557" s="42">
        <v>0</v>
      </c>
      <c r="BD557" s="42">
        <v>0</v>
      </c>
      <c r="BE557" s="42">
        <v>0</v>
      </c>
      <c r="BF557" s="42">
        <v>0</v>
      </c>
      <c r="BG557" s="42">
        <v>0</v>
      </c>
      <c r="BH557" s="42">
        <v>0</v>
      </c>
      <c r="BI557" s="42">
        <v>0</v>
      </c>
      <c r="BJ557" s="42">
        <v>0</v>
      </c>
      <c r="BK557" s="42">
        <v>0</v>
      </c>
      <c r="BL557" s="42">
        <v>0</v>
      </c>
      <c r="BM557" s="42">
        <v>0</v>
      </c>
      <c r="BN557" s="42">
        <v>0</v>
      </c>
      <c r="BO557" s="42">
        <v>0</v>
      </c>
      <c r="BP557" s="42">
        <v>0</v>
      </c>
      <c r="BQ557" s="42">
        <v>0</v>
      </c>
      <c r="BR557" s="42">
        <v>0</v>
      </c>
      <c r="BS557" s="42">
        <v>0</v>
      </c>
      <c r="BT557" s="42">
        <v>0</v>
      </c>
      <c r="BU557" s="42">
        <v>0</v>
      </c>
      <c r="BV557" s="42">
        <v>0</v>
      </c>
      <c r="BW557" s="42">
        <v>0</v>
      </c>
      <c r="BX557" s="42">
        <v>0</v>
      </c>
      <c r="BY557" s="42">
        <v>0</v>
      </c>
      <c r="BZ557" s="42">
        <v>0</v>
      </c>
      <c r="CA557" s="42">
        <v>0</v>
      </c>
      <c r="CB557" s="42">
        <v>0</v>
      </c>
      <c r="CC557" s="42">
        <v>0</v>
      </c>
      <c r="CD557" s="42">
        <v>0</v>
      </c>
      <c r="CE557" s="42">
        <v>0</v>
      </c>
      <c r="CF557" s="42">
        <v>0</v>
      </c>
      <c r="CG557" s="42">
        <v>0</v>
      </c>
      <c r="CH557" s="42">
        <v>0</v>
      </c>
      <c r="CI557" s="42">
        <v>0</v>
      </c>
      <c r="CJ557" s="42">
        <v>0</v>
      </c>
      <c r="CK557" s="43">
        <f t="shared" si="66"/>
        <v>0</v>
      </c>
      <c r="CL557" s="66"/>
      <c r="CM557" s="66">
        <v>0</v>
      </c>
      <c r="CN557" s="66">
        <v>0</v>
      </c>
      <c r="CO557" s="66">
        <v>0</v>
      </c>
      <c r="CP557" s="66">
        <v>0</v>
      </c>
      <c r="CQ557" s="66">
        <v>0</v>
      </c>
      <c r="CR557" s="66">
        <v>0</v>
      </c>
      <c r="CS557" s="66">
        <v>0</v>
      </c>
      <c r="CT557" s="66">
        <v>0</v>
      </c>
      <c r="CU557" s="66">
        <v>0</v>
      </c>
      <c r="CV557" s="66">
        <v>0</v>
      </c>
      <c r="CW557" s="66">
        <v>0</v>
      </c>
      <c r="CX557" s="66">
        <v>0</v>
      </c>
      <c r="CY557" s="66">
        <v>0</v>
      </c>
      <c r="CZ557" s="66">
        <v>0</v>
      </c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>
        <f>SUM(Table1[[#This Row],[01-03 Apr]:[Mar-26]])</f>
        <v>0</v>
      </c>
    </row>
    <row r="558" spans="1:115" x14ac:dyDescent="0.2">
      <c r="A558" s="28" t="s">
        <v>2367</v>
      </c>
      <c r="B558" s="29" t="s">
        <v>1273</v>
      </c>
      <c r="C558" s="29" t="s">
        <v>3336</v>
      </c>
      <c r="D558" s="30" t="s">
        <v>1274</v>
      </c>
      <c r="E558" s="30" t="s">
        <v>85</v>
      </c>
      <c r="F558" s="30"/>
      <c r="G558" s="31"/>
      <c r="H558" s="30"/>
      <c r="I558" s="30" t="str">
        <f>IF(Table1[[#This Row],[Centre Status]]="Returned","NA",IF(Table1[[#This Row],[SD]]&gt;19000,"Full Payment",IF(Table1[[#This Row],[SD]]&lt;1,"No Payment","Partial Payment")))</f>
        <v>Partial Payment</v>
      </c>
      <c r="J558" s="30" t="s">
        <v>58</v>
      </c>
      <c r="K558" s="32">
        <v>110000</v>
      </c>
      <c r="L558" s="33">
        <f>Q558+R558+U558+Table1[[#This Row],[Farmer Payment]]</f>
        <v>5335</v>
      </c>
      <c r="M558" s="30"/>
      <c r="N558" s="34"/>
      <c r="O558" s="34"/>
      <c r="P558" s="35">
        <f t="shared" si="63"/>
        <v>104665</v>
      </c>
      <c r="Q558" s="33">
        <f>AI558+AV558+CK558+Table1[[#This Row],[FY 25-26]]</f>
        <v>335</v>
      </c>
      <c r="R558" s="36">
        <v>5000</v>
      </c>
      <c r="S558" s="37" t="s">
        <v>1541</v>
      </c>
      <c r="T558" s="38">
        <v>45100</v>
      </c>
      <c r="U558" s="39"/>
      <c r="V558" s="39"/>
      <c r="W558" s="40">
        <v>0</v>
      </c>
      <c r="X558" s="40">
        <v>0</v>
      </c>
      <c r="Y558" s="40">
        <v>0</v>
      </c>
      <c r="Z558" s="40">
        <v>0</v>
      </c>
      <c r="AA558" s="40">
        <v>0</v>
      </c>
      <c r="AB558" s="40">
        <v>0</v>
      </c>
      <c r="AC558" s="40">
        <v>0</v>
      </c>
      <c r="AD558" s="40">
        <v>0</v>
      </c>
      <c r="AE558" s="40">
        <v>0</v>
      </c>
      <c r="AF558" s="40">
        <v>0</v>
      </c>
      <c r="AG558" s="40">
        <v>0</v>
      </c>
      <c r="AH558" s="40">
        <v>0</v>
      </c>
      <c r="AI558" s="41">
        <f t="shared" si="64"/>
        <v>0</v>
      </c>
      <c r="AJ558" s="42">
        <v>0</v>
      </c>
      <c r="AK558" s="42">
        <v>0</v>
      </c>
      <c r="AL558" s="42">
        <v>0</v>
      </c>
      <c r="AM558" s="42">
        <v>0</v>
      </c>
      <c r="AN558" s="42">
        <v>0</v>
      </c>
      <c r="AO558" s="42">
        <v>0</v>
      </c>
      <c r="AP558" s="42">
        <v>0</v>
      </c>
      <c r="AQ558" s="42">
        <v>0</v>
      </c>
      <c r="AR558" s="42">
        <v>335</v>
      </c>
      <c r="AS558" s="42">
        <v>0</v>
      </c>
      <c r="AT558" s="42">
        <v>0</v>
      </c>
      <c r="AU558" s="42">
        <v>0</v>
      </c>
      <c r="AV558" s="42">
        <f t="shared" si="65"/>
        <v>335</v>
      </c>
      <c r="AW558" s="42">
        <v>0</v>
      </c>
      <c r="AX558" s="42">
        <v>0</v>
      </c>
      <c r="AY558" s="42">
        <v>0</v>
      </c>
      <c r="AZ558" s="42">
        <v>0</v>
      </c>
      <c r="BA558" s="42">
        <v>0</v>
      </c>
      <c r="BB558" s="42">
        <v>0</v>
      </c>
      <c r="BC558" s="42">
        <v>0</v>
      </c>
      <c r="BD558" s="42">
        <v>0</v>
      </c>
      <c r="BE558" s="42">
        <v>0</v>
      </c>
      <c r="BF558" s="42">
        <v>0</v>
      </c>
      <c r="BG558" s="42">
        <v>0</v>
      </c>
      <c r="BH558" s="42">
        <v>0</v>
      </c>
      <c r="BI558" s="42">
        <v>0</v>
      </c>
      <c r="BJ558" s="42">
        <v>0</v>
      </c>
      <c r="BK558" s="42">
        <v>0</v>
      </c>
      <c r="BL558" s="42">
        <v>0</v>
      </c>
      <c r="BM558" s="42">
        <v>0</v>
      </c>
      <c r="BN558" s="42">
        <v>0</v>
      </c>
      <c r="BO558" s="42">
        <v>0</v>
      </c>
      <c r="BP558" s="42">
        <v>0</v>
      </c>
      <c r="BQ558" s="42">
        <v>0</v>
      </c>
      <c r="BR558" s="42">
        <v>0</v>
      </c>
      <c r="BS558" s="42">
        <v>0</v>
      </c>
      <c r="BT558" s="42">
        <v>0</v>
      </c>
      <c r="BU558" s="42">
        <v>0</v>
      </c>
      <c r="BV558" s="42">
        <v>0</v>
      </c>
      <c r="BW558" s="42">
        <v>0</v>
      </c>
      <c r="BX558" s="42">
        <v>0</v>
      </c>
      <c r="BY558" s="42">
        <v>0</v>
      </c>
      <c r="BZ558" s="42">
        <v>0</v>
      </c>
      <c r="CA558" s="42">
        <v>0</v>
      </c>
      <c r="CB558" s="42">
        <v>0</v>
      </c>
      <c r="CC558" s="42">
        <v>0</v>
      </c>
      <c r="CD558" s="42">
        <v>0</v>
      </c>
      <c r="CE558" s="42">
        <v>0</v>
      </c>
      <c r="CF558" s="42">
        <v>0</v>
      </c>
      <c r="CG558" s="42">
        <v>0</v>
      </c>
      <c r="CH558" s="42">
        <v>0</v>
      </c>
      <c r="CI558" s="42">
        <v>0</v>
      </c>
      <c r="CJ558" s="42">
        <v>0</v>
      </c>
      <c r="CK558" s="43">
        <f t="shared" si="66"/>
        <v>0</v>
      </c>
      <c r="CL558" s="66"/>
      <c r="CM558" s="66">
        <v>0</v>
      </c>
      <c r="CN558" s="66">
        <v>0</v>
      </c>
      <c r="CO558" s="66">
        <v>0</v>
      </c>
      <c r="CP558" s="66">
        <v>0</v>
      </c>
      <c r="CQ558" s="66">
        <v>0</v>
      </c>
      <c r="CR558" s="66">
        <v>0</v>
      </c>
      <c r="CS558" s="66">
        <v>0</v>
      </c>
      <c r="CT558" s="66">
        <v>0</v>
      </c>
      <c r="CU558" s="66">
        <v>0</v>
      </c>
      <c r="CV558" s="66">
        <v>0</v>
      </c>
      <c r="CW558" s="66">
        <v>0</v>
      </c>
      <c r="CX558" s="66">
        <v>0</v>
      </c>
      <c r="CY558" s="66">
        <v>0</v>
      </c>
      <c r="CZ558" s="66">
        <v>0</v>
      </c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>
        <f>SUM(Table1[[#This Row],[01-03 Apr]:[Mar-26]])</f>
        <v>0</v>
      </c>
    </row>
    <row r="559" spans="1:115" hidden="1" x14ac:dyDescent="0.2">
      <c r="A559" s="28" t="s">
        <v>2367</v>
      </c>
      <c r="B559" s="29" t="s">
        <v>1275</v>
      </c>
      <c r="C559" s="29" t="s">
        <v>1276</v>
      </c>
      <c r="D559" s="30" t="s">
        <v>1277</v>
      </c>
      <c r="E559" s="30" t="s">
        <v>203</v>
      </c>
      <c r="F559" s="30"/>
      <c r="G559" s="31"/>
      <c r="H559" s="30">
        <v>388114</v>
      </c>
      <c r="I559" s="30" t="str">
        <f>IF(Table1[[#This Row],[Centre Status]]="Returned","NA",IF(Table1[[#This Row],[SD]]&gt;19000,"Full Payment",IF(Table1[[#This Row],[SD]]&lt;1,"No Payment","Partial Payment")))</f>
        <v>NA</v>
      </c>
      <c r="J559" s="30" t="s">
        <v>1903</v>
      </c>
      <c r="K559" s="32">
        <v>110000</v>
      </c>
      <c r="L559" s="33">
        <f>Q559+R559+U559+Table1[[#This Row],[Farmer Payment]]</f>
        <v>5223</v>
      </c>
      <c r="M559" s="30">
        <v>5000</v>
      </c>
      <c r="N559" s="34">
        <v>45560</v>
      </c>
      <c r="O559" s="34" t="s">
        <v>2634</v>
      </c>
      <c r="P559" s="35">
        <f t="shared" si="63"/>
        <v>109777</v>
      </c>
      <c r="Q559" s="33">
        <f>AI559+AV559+CK559+Table1[[#This Row],[FY 25-26]]</f>
        <v>223</v>
      </c>
      <c r="R559" s="36">
        <v>5000</v>
      </c>
      <c r="S559" s="37" t="s">
        <v>881</v>
      </c>
      <c r="T559" s="38">
        <v>45001</v>
      </c>
      <c r="U559" s="39"/>
      <c r="V559" s="39"/>
      <c r="W559" s="40">
        <v>0</v>
      </c>
      <c r="X559" s="40">
        <v>0</v>
      </c>
      <c r="Y559" s="40">
        <v>0</v>
      </c>
      <c r="Z559" s="40">
        <v>0</v>
      </c>
      <c r="AA559" s="40">
        <v>0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>
        <v>0</v>
      </c>
      <c r="AH559" s="40">
        <v>0</v>
      </c>
      <c r="AI559" s="41">
        <f t="shared" si="64"/>
        <v>0</v>
      </c>
      <c r="AJ559" s="42">
        <v>0</v>
      </c>
      <c r="AK559" s="42">
        <v>0</v>
      </c>
      <c r="AL559" s="42">
        <v>0</v>
      </c>
      <c r="AM559" s="42">
        <v>0</v>
      </c>
      <c r="AN559" s="42">
        <v>0</v>
      </c>
      <c r="AO559" s="42">
        <v>0</v>
      </c>
      <c r="AP559" s="42">
        <v>0</v>
      </c>
      <c r="AQ559" s="42">
        <v>0</v>
      </c>
      <c r="AR559" s="42">
        <v>0</v>
      </c>
      <c r="AS559" s="42">
        <v>223</v>
      </c>
      <c r="AT559" s="42">
        <v>0</v>
      </c>
      <c r="AU559" s="42">
        <v>0</v>
      </c>
      <c r="AV559" s="42">
        <f t="shared" si="65"/>
        <v>223</v>
      </c>
      <c r="AW559" s="42">
        <v>0</v>
      </c>
      <c r="AX559" s="42">
        <v>0</v>
      </c>
      <c r="AY559" s="42">
        <v>0</v>
      </c>
      <c r="AZ559" s="42">
        <v>0</v>
      </c>
      <c r="BA559" s="42">
        <v>0</v>
      </c>
      <c r="BB559" s="42">
        <v>0</v>
      </c>
      <c r="BC559" s="42">
        <v>0</v>
      </c>
      <c r="BD559" s="42">
        <v>0</v>
      </c>
      <c r="BE559" s="42">
        <v>0</v>
      </c>
      <c r="BF559" s="42">
        <v>0</v>
      </c>
      <c r="BG559" s="42">
        <v>0</v>
      </c>
      <c r="BH559" s="42">
        <v>0</v>
      </c>
      <c r="BI559" s="42">
        <v>0</v>
      </c>
      <c r="BJ559" s="42">
        <v>0</v>
      </c>
      <c r="BK559" s="42">
        <v>0</v>
      </c>
      <c r="BL559" s="42">
        <v>0</v>
      </c>
      <c r="BM559" s="42">
        <v>0</v>
      </c>
      <c r="BN559" s="42">
        <v>0</v>
      </c>
      <c r="BO559" s="42">
        <v>0</v>
      </c>
      <c r="BP559" s="42">
        <v>0</v>
      </c>
      <c r="BQ559" s="42">
        <v>0</v>
      </c>
      <c r="BR559" s="42">
        <v>0</v>
      </c>
      <c r="BS559" s="42">
        <v>0</v>
      </c>
      <c r="BT559" s="42">
        <v>0</v>
      </c>
      <c r="BU559" s="42">
        <v>0</v>
      </c>
      <c r="BV559" s="42">
        <v>0</v>
      </c>
      <c r="BW559" s="42">
        <v>0</v>
      </c>
      <c r="BX559" s="42">
        <v>0</v>
      </c>
      <c r="BY559" s="42">
        <v>0</v>
      </c>
      <c r="BZ559" s="42">
        <v>0</v>
      </c>
      <c r="CA559" s="42">
        <v>0</v>
      </c>
      <c r="CB559" s="42">
        <v>0</v>
      </c>
      <c r="CC559" s="42">
        <v>0</v>
      </c>
      <c r="CD559" s="42">
        <v>0</v>
      </c>
      <c r="CE559" s="42">
        <v>0</v>
      </c>
      <c r="CF559" s="42">
        <v>0</v>
      </c>
      <c r="CG559" s="42">
        <v>0</v>
      </c>
      <c r="CH559" s="42">
        <v>0</v>
      </c>
      <c r="CI559" s="42">
        <v>0</v>
      </c>
      <c r="CJ559" s="42">
        <v>0</v>
      </c>
      <c r="CK559" s="43">
        <f t="shared" si="66"/>
        <v>0</v>
      </c>
      <c r="CL559" s="66"/>
      <c r="CM559" s="66">
        <v>0</v>
      </c>
      <c r="CN559" s="66">
        <v>0</v>
      </c>
      <c r="CO559" s="66">
        <v>0</v>
      </c>
      <c r="CP559" s="66">
        <v>0</v>
      </c>
      <c r="CQ559" s="66">
        <v>0</v>
      </c>
      <c r="CR559" s="66">
        <v>0</v>
      </c>
      <c r="CS559" s="66">
        <v>0</v>
      </c>
      <c r="CT559" s="66">
        <v>0</v>
      </c>
      <c r="CU559" s="66">
        <v>0</v>
      </c>
      <c r="CV559" s="66">
        <v>0</v>
      </c>
      <c r="CW559" s="66">
        <v>0</v>
      </c>
      <c r="CX559" s="66">
        <v>0</v>
      </c>
      <c r="CY559" s="66">
        <v>0</v>
      </c>
      <c r="CZ559" s="66">
        <v>0</v>
      </c>
      <c r="DA559" s="66"/>
      <c r="DB559" s="66"/>
      <c r="DC559" s="66"/>
      <c r="DD559" s="66"/>
      <c r="DE559" s="66"/>
      <c r="DF559" s="66"/>
      <c r="DG559" s="66"/>
      <c r="DH559" s="66"/>
      <c r="DI559" s="66"/>
      <c r="DJ559" s="66"/>
      <c r="DK559" s="66">
        <f>SUM(Table1[[#This Row],[01-03 Apr]:[Mar-26]])</f>
        <v>0</v>
      </c>
    </row>
    <row r="560" spans="1:115" x14ac:dyDescent="0.2">
      <c r="A560" s="28"/>
      <c r="B560" s="29"/>
      <c r="C560" s="29" t="s">
        <v>1625</v>
      </c>
      <c r="D560" s="30" t="s">
        <v>1278</v>
      </c>
      <c r="E560" s="30" t="s">
        <v>1321</v>
      </c>
      <c r="F560" s="30"/>
      <c r="G560" s="31"/>
      <c r="H560" s="30">
        <v>391372</v>
      </c>
      <c r="I560" s="30" t="str">
        <f>IF(Table1[[#This Row],[Centre Status]]="Returned","NA",IF(Table1[[#This Row],[SD]]&gt;19000,"Full Payment",IF(Table1[[#This Row],[SD]]&lt;1,"No Payment","Partial Payment")))</f>
        <v>No Payment</v>
      </c>
      <c r="J560" s="30" t="s">
        <v>58</v>
      </c>
      <c r="K560" s="32">
        <v>110000</v>
      </c>
      <c r="L560" s="33">
        <f>Q560+R560+U560+Table1[[#This Row],[Farmer Payment]]</f>
        <v>7335.3904000000002</v>
      </c>
      <c r="M560" s="30"/>
      <c r="N560" s="34"/>
      <c r="O560" s="34"/>
      <c r="P560" s="35">
        <f t="shared" si="63"/>
        <v>102664.6096</v>
      </c>
      <c r="Q560" s="33">
        <f>AI560+AV560+CK560+Table1[[#This Row],[FY 25-26]]</f>
        <v>7335.3904000000002</v>
      </c>
      <c r="R560" s="36"/>
      <c r="S560" s="37"/>
      <c r="T560" s="38"/>
      <c r="U560" s="39"/>
      <c r="V560" s="39"/>
      <c r="W560" s="40">
        <v>0</v>
      </c>
      <c r="X560" s="40">
        <v>0</v>
      </c>
      <c r="Y560" s="40">
        <v>0</v>
      </c>
      <c r="Z560" s="40">
        <v>0</v>
      </c>
      <c r="AA560" s="40">
        <v>0</v>
      </c>
      <c r="AB560" s="40">
        <v>0</v>
      </c>
      <c r="AC560" s="40">
        <v>0</v>
      </c>
      <c r="AD560" s="40">
        <v>0</v>
      </c>
      <c r="AE560" s="40">
        <v>0</v>
      </c>
      <c r="AF560" s="40">
        <v>0</v>
      </c>
      <c r="AG560" s="40">
        <v>0</v>
      </c>
      <c r="AH560" s="40">
        <v>0</v>
      </c>
      <c r="AI560" s="41">
        <f t="shared" si="64"/>
        <v>0</v>
      </c>
      <c r="AJ560" s="42">
        <v>0</v>
      </c>
      <c r="AK560" s="42">
        <v>0</v>
      </c>
      <c r="AL560" s="42">
        <v>0</v>
      </c>
      <c r="AM560" s="42">
        <v>0</v>
      </c>
      <c r="AN560" s="42">
        <v>0</v>
      </c>
      <c r="AO560" s="42">
        <v>0</v>
      </c>
      <c r="AP560" s="42">
        <v>0</v>
      </c>
      <c r="AQ560" s="42">
        <v>0</v>
      </c>
      <c r="AR560" s="42">
        <v>1861</v>
      </c>
      <c r="AS560" s="42">
        <v>2187.5529999999999</v>
      </c>
      <c r="AT560" s="42">
        <v>3286.8373999999999</v>
      </c>
      <c r="AU560" s="42">
        <v>0</v>
      </c>
      <c r="AV560" s="42">
        <f t="shared" si="65"/>
        <v>7335.3904000000002</v>
      </c>
      <c r="AW560" s="42">
        <v>0</v>
      </c>
      <c r="AX560" s="42">
        <v>0</v>
      </c>
      <c r="AY560" s="42">
        <v>0</v>
      </c>
      <c r="AZ560" s="42">
        <v>0</v>
      </c>
      <c r="BA560" s="42">
        <v>0</v>
      </c>
      <c r="BB560" s="42">
        <v>0</v>
      </c>
      <c r="BC560" s="42">
        <v>0</v>
      </c>
      <c r="BD560" s="42">
        <v>0</v>
      </c>
      <c r="BE560" s="42">
        <v>0</v>
      </c>
      <c r="BF560" s="42">
        <v>0</v>
      </c>
      <c r="BG560" s="42">
        <v>0</v>
      </c>
      <c r="BH560" s="42">
        <v>0</v>
      </c>
      <c r="BI560" s="42">
        <v>0</v>
      </c>
      <c r="BJ560" s="42">
        <v>0</v>
      </c>
      <c r="BK560" s="42">
        <v>0</v>
      </c>
      <c r="BL560" s="42">
        <v>0</v>
      </c>
      <c r="BM560" s="42">
        <v>0</v>
      </c>
      <c r="BN560" s="42">
        <v>0</v>
      </c>
      <c r="BO560" s="42">
        <v>0</v>
      </c>
      <c r="BP560" s="42">
        <v>0</v>
      </c>
      <c r="BQ560" s="42">
        <v>0</v>
      </c>
      <c r="BR560" s="42">
        <v>0</v>
      </c>
      <c r="BS560" s="42">
        <v>0</v>
      </c>
      <c r="BT560" s="42">
        <v>0</v>
      </c>
      <c r="BU560" s="42">
        <v>0</v>
      </c>
      <c r="BV560" s="42">
        <v>0</v>
      </c>
      <c r="BW560" s="42">
        <v>0</v>
      </c>
      <c r="BX560" s="42">
        <v>0</v>
      </c>
      <c r="BY560" s="42">
        <v>0</v>
      </c>
      <c r="BZ560" s="42">
        <v>0</v>
      </c>
      <c r="CA560" s="42">
        <v>0</v>
      </c>
      <c r="CB560" s="42">
        <v>0</v>
      </c>
      <c r="CC560" s="42">
        <v>0</v>
      </c>
      <c r="CD560" s="42">
        <v>0</v>
      </c>
      <c r="CE560" s="42">
        <v>0</v>
      </c>
      <c r="CF560" s="42">
        <v>0</v>
      </c>
      <c r="CG560" s="42">
        <v>0</v>
      </c>
      <c r="CH560" s="42">
        <v>0</v>
      </c>
      <c r="CI560" s="42">
        <v>0</v>
      </c>
      <c r="CJ560" s="42">
        <v>0</v>
      </c>
      <c r="CK560" s="43">
        <f t="shared" si="66"/>
        <v>0</v>
      </c>
      <c r="CL560" s="66"/>
      <c r="CM560" s="66">
        <v>0</v>
      </c>
      <c r="CN560" s="66">
        <v>0</v>
      </c>
      <c r="CO560" s="66">
        <v>0</v>
      </c>
      <c r="CP560" s="66">
        <v>0</v>
      </c>
      <c r="CQ560" s="66">
        <v>0</v>
      </c>
      <c r="CR560" s="66">
        <v>0</v>
      </c>
      <c r="CS560" s="66">
        <v>0</v>
      </c>
      <c r="CT560" s="66">
        <v>0</v>
      </c>
      <c r="CU560" s="66">
        <v>0</v>
      </c>
      <c r="CV560" s="66">
        <v>0</v>
      </c>
      <c r="CW560" s="66">
        <v>0</v>
      </c>
      <c r="CX560" s="66">
        <v>0</v>
      </c>
      <c r="CY560" s="66">
        <v>0</v>
      </c>
      <c r="CZ560" s="66">
        <v>0</v>
      </c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>
        <f>SUM(Table1[[#This Row],[01-03 Apr]:[Mar-26]])</f>
        <v>0</v>
      </c>
    </row>
    <row r="561" spans="1:115" x14ac:dyDescent="0.2">
      <c r="A561" s="28" t="s">
        <v>2367</v>
      </c>
      <c r="B561" s="29" t="s">
        <v>1279</v>
      </c>
      <c r="C561" s="29" t="s">
        <v>1280</v>
      </c>
      <c r="D561" s="30" t="s">
        <v>1281</v>
      </c>
      <c r="E561" s="30" t="s">
        <v>297</v>
      </c>
      <c r="F561" s="30"/>
      <c r="G561" s="31"/>
      <c r="H561" s="30">
        <v>399052</v>
      </c>
      <c r="I561" s="30" t="str">
        <f>IF(Table1[[#This Row],[Centre Status]]="Returned","NA",IF(Table1[[#This Row],[SD]]&gt;19000,"Full Payment",IF(Table1[[#This Row],[SD]]&lt;1,"No Payment","Partial Payment")))</f>
        <v>No Payment</v>
      </c>
      <c r="J561" s="30" t="s">
        <v>58</v>
      </c>
      <c r="K561" s="32">
        <v>110000</v>
      </c>
      <c r="L561" s="33">
        <f>Q561+R561+U561+Table1[[#This Row],[Farmer Payment]]</f>
        <v>87868.007721496324</v>
      </c>
      <c r="M561" s="30"/>
      <c r="N561" s="34"/>
      <c r="O561" s="34"/>
      <c r="P561" s="35">
        <f t="shared" si="63"/>
        <v>22131.992278503676</v>
      </c>
      <c r="Q561" s="33">
        <f>AI561+AV561+CK561+Table1[[#This Row],[FY 25-26]]</f>
        <v>87868.007721496324</v>
      </c>
      <c r="R561" s="36"/>
      <c r="S561" s="37"/>
      <c r="T561" s="38"/>
      <c r="U561" s="39"/>
      <c r="V561" s="39"/>
      <c r="W561" s="40">
        <v>0</v>
      </c>
      <c r="X561" s="40">
        <v>0</v>
      </c>
      <c r="Y561" s="40">
        <v>0</v>
      </c>
      <c r="Z561" s="40">
        <v>0</v>
      </c>
      <c r="AA561" s="40">
        <v>0</v>
      </c>
      <c r="AB561" s="40">
        <v>0</v>
      </c>
      <c r="AC561" s="40">
        <v>0</v>
      </c>
      <c r="AD561" s="40">
        <v>0</v>
      </c>
      <c r="AE561" s="40">
        <v>0</v>
      </c>
      <c r="AF561" s="40">
        <v>0</v>
      </c>
      <c r="AG561" s="40">
        <v>0</v>
      </c>
      <c r="AH561" s="40">
        <v>0</v>
      </c>
      <c r="AI561" s="41">
        <f t="shared" si="64"/>
        <v>0</v>
      </c>
      <c r="AJ561" s="42">
        <v>0</v>
      </c>
      <c r="AK561" s="42">
        <v>0</v>
      </c>
      <c r="AL561" s="42">
        <v>0</v>
      </c>
      <c r="AM561" s="42">
        <v>0</v>
      </c>
      <c r="AN561" s="42">
        <v>0</v>
      </c>
      <c r="AO561" s="42">
        <v>0</v>
      </c>
      <c r="AP561" s="42">
        <v>0</v>
      </c>
      <c r="AQ561" s="42">
        <v>0</v>
      </c>
      <c r="AR561" s="42">
        <v>281</v>
      </c>
      <c r="AS561" s="42">
        <v>5223.8176000000003</v>
      </c>
      <c r="AT561" s="42">
        <v>6207.9531999999999</v>
      </c>
      <c r="AU561" s="42">
        <v>7061.3951999999999</v>
      </c>
      <c r="AV561" s="42">
        <f t="shared" si="65"/>
        <v>18774.166000000001</v>
      </c>
      <c r="AW561" s="42">
        <v>6427.7487450624003</v>
      </c>
      <c r="AX561" s="42">
        <v>6911.3964639590404</v>
      </c>
      <c r="AY561" s="42">
        <v>6343.2629021184011</v>
      </c>
      <c r="AZ561" s="42">
        <v>9974.6040980121616</v>
      </c>
      <c r="BA561" s="42">
        <v>8158.0486818508807</v>
      </c>
      <c r="BB561" s="42">
        <v>0</v>
      </c>
      <c r="BC561" s="42">
        <v>9513.2163196416022</v>
      </c>
      <c r="BD561" s="42">
        <v>0</v>
      </c>
      <c r="BE561" s="42">
        <v>0</v>
      </c>
      <c r="BF561" s="42">
        <v>0</v>
      </c>
      <c r="BG561" s="42">
        <v>0</v>
      </c>
      <c r="BH561" s="42">
        <v>0</v>
      </c>
      <c r="BI561" s="42">
        <v>6616.437411932161</v>
      </c>
      <c r="BJ561" s="42">
        <v>0</v>
      </c>
      <c r="BK561" s="42">
        <v>0</v>
      </c>
      <c r="BL561" s="42">
        <v>0</v>
      </c>
      <c r="BM561" s="42">
        <v>0</v>
      </c>
      <c r="BN561" s="42">
        <v>1922.1121329792002</v>
      </c>
      <c r="BO561" s="42">
        <v>0</v>
      </c>
      <c r="BP561" s="42">
        <v>0</v>
      </c>
      <c r="BQ561" s="42">
        <v>0</v>
      </c>
      <c r="BR561" s="42">
        <v>0</v>
      </c>
      <c r="BS561" s="42">
        <v>1999.83859993344</v>
      </c>
      <c r="BT561" s="42">
        <v>0</v>
      </c>
      <c r="BU561" s="42">
        <v>0</v>
      </c>
      <c r="BV561" s="42">
        <v>0</v>
      </c>
      <c r="BW561" s="42">
        <v>0</v>
      </c>
      <c r="BX561" s="42">
        <v>0</v>
      </c>
      <c r="BY561" s="42">
        <v>0</v>
      </c>
      <c r="BZ561" s="42">
        <v>0</v>
      </c>
      <c r="CA561" s="42">
        <v>0</v>
      </c>
      <c r="CB561" s="42">
        <v>0</v>
      </c>
      <c r="CC561" s="42">
        <v>0</v>
      </c>
      <c r="CD561" s="42">
        <v>4926.6428007206405</v>
      </c>
      <c r="CE561" s="42">
        <v>0</v>
      </c>
      <c r="CF561" s="42">
        <v>0</v>
      </c>
      <c r="CG561" s="42">
        <v>0</v>
      </c>
      <c r="CH561" s="42">
        <v>0</v>
      </c>
      <c r="CI561" s="42">
        <v>0</v>
      </c>
      <c r="CJ561" s="42">
        <v>3437.28761735424</v>
      </c>
      <c r="CK561" s="43">
        <f t="shared" si="66"/>
        <v>66230.595773564171</v>
      </c>
      <c r="CL561" s="66"/>
      <c r="CM561" s="66">
        <v>0</v>
      </c>
      <c r="CN561" s="66">
        <v>0</v>
      </c>
      <c r="CO561" s="66">
        <v>0</v>
      </c>
      <c r="CP561" s="66">
        <v>2273.2459479321606</v>
      </c>
      <c r="CQ561" s="66">
        <v>0</v>
      </c>
      <c r="CR561" s="66">
        <v>0</v>
      </c>
      <c r="CS561" s="66">
        <v>0</v>
      </c>
      <c r="CT561" s="66">
        <v>0</v>
      </c>
      <c r="CU561" s="66">
        <v>0</v>
      </c>
      <c r="CV561" s="66">
        <v>590</v>
      </c>
      <c r="CW561" s="66">
        <v>0</v>
      </c>
      <c r="CX561" s="66">
        <v>0</v>
      </c>
      <c r="CY561" s="66">
        <v>0</v>
      </c>
      <c r="CZ561" s="66">
        <v>0</v>
      </c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>
        <f>SUM(Table1[[#This Row],[01-03 Apr]:[Mar-26]])</f>
        <v>2863.2459479321606</v>
      </c>
    </row>
    <row r="562" spans="1:115" hidden="1" x14ac:dyDescent="0.2">
      <c r="A562" s="28" t="s">
        <v>2367</v>
      </c>
      <c r="B562" s="29" t="s">
        <v>1282</v>
      </c>
      <c r="C562" s="29" t="s">
        <v>1283</v>
      </c>
      <c r="D562" s="30" t="s">
        <v>1284</v>
      </c>
      <c r="E562" s="30" t="s">
        <v>297</v>
      </c>
      <c r="F562" s="30"/>
      <c r="G562" s="31"/>
      <c r="H562" s="30">
        <v>399057</v>
      </c>
      <c r="I562" s="30" t="str">
        <f>IF(Table1[[#This Row],[Centre Status]]="Returned","NA",IF(Table1[[#This Row],[SD]]&gt;19000,"Full Payment",IF(Table1[[#This Row],[SD]]&lt;1,"No Payment","Partial Payment")))</f>
        <v>NA</v>
      </c>
      <c r="J562" s="30" t="s">
        <v>1903</v>
      </c>
      <c r="K562" s="32">
        <v>110000</v>
      </c>
      <c r="L562" s="33">
        <f>Q562+R562+U562+Table1[[#This Row],[Farmer Payment]]</f>
        <v>29873.9738</v>
      </c>
      <c r="M562" s="30">
        <v>10000</v>
      </c>
      <c r="N562" s="34">
        <v>45785</v>
      </c>
      <c r="O562" s="34" t="s">
        <v>3400</v>
      </c>
      <c r="P562" s="35">
        <f t="shared" si="63"/>
        <v>90126.026199999993</v>
      </c>
      <c r="Q562" s="33">
        <f>AI562+AV562+CK562+Table1[[#This Row],[FY 25-26]]</f>
        <v>19873.9738</v>
      </c>
      <c r="R562" s="36">
        <v>10000</v>
      </c>
      <c r="S562" s="37"/>
      <c r="T562" s="38">
        <v>45309</v>
      </c>
      <c r="U562" s="39"/>
      <c r="V562" s="39"/>
      <c r="W562" s="40">
        <v>0</v>
      </c>
      <c r="X562" s="40">
        <v>0</v>
      </c>
      <c r="Y562" s="40">
        <v>0</v>
      </c>
      <c r="Z562" s="40">
        <v>0</v>
      </c>
      <c r="AA562" s="40">
        <v>0</v>
      </c>
      <c r="AB562" s="40">
        <v>0</v>
      </c>
      <c r="AC562" s="40">
        <v>0</v>
      </c>
      <c r="AD562" s="40">
        <v>0</v>
      </c>
      <c r="AE562" s="40">
        <v>0</v>
      </c>
      <c r="AF562" s="40">
        <v>0</v>
      </c>
      <c r="AG562" s="40">
        <v>0</v>
      </c>
      <c r="AH562" s="40">
        <v>0</v>
      </c>
      <c r="AI562" s="41">
        <f t="shared" si="64"/>
        <v>0</v>
      </c>
      <c r="AJ562" s="42">
        <v>0</v>
      </c>
      <c r="AK562" s="42">
        <v>0</v>
      </c>
      <c r="AL562" s="42">
        <v>0</v>
      </c>
      <c r="AM562" s="42">
        <v>0</v>
      </c>
      <c r="AN562" s="42">
        <v>0</v>
      </c>
      <c r="AO562" s="42">
        <v>0</v>
      </c>
      <c r="AP562" s="42">
        <v>0</v>
      </c>
      <c r="AQ562" s="42">
        <v>0</v>
      </c>
      <c r="AR562" s="42">
        <v>0</v>
      </c>
      <c r="AS562" s="42">
        <v>589</v>
      </c>
      <c r="AT562" s="42">
        <v>1861</v>
      </c>
      <c r="AU562" s="42">
        <v>2018.9738</v>
      </c>
      <c r="AV562" s="42">
        <f t="shared" si="65"/>
        <v>4468.9737999999998</v>
      </c>
      <c r="AW562" s="42">
        <v>1861</v>
      </c>
      <c r="AX562" s="42">
        <v>1861</v>
      </c>
      <c r="AY562" s="42">
        <v>1683</v>
      </c>
      <c r="AZ562" s="42">
        <v>0</v>
      </c>
      <c r="BA562" s="42">
        <v>0</v>
      </c>
      <c r="BB562" s="42">
        <v>500</v>
      </c>
      <c r="BC562" s="42">
        <v>0</v>
      </c>
      <c r="BD562" s="42">
        <v>500</v>
      </c>
      <c r="BE562" s="42">
        <v>500</v>
      </c>
      <c r="BF562" s="42">
        <v>0</v>
      </c>
      <c r="BG562" s="42">
        <v>0</v>
      </c>
      <c r="BH562" s="42">
        <v>0</v>
      </c>
      <c r="BI562" s="42">
        <v>0</v>
      </c>
      <c r="BJ562" s="42">
        <v>0</v>
      </c>
      <c r="BK562" s="42">
        <v>0</v>
      </c>
      <c r="BL562" s="42">
        <v>500</v>
      </c>
      <c r="BM562" s="42">
        <v>500</v>
      </c>
      <c r="BN562" s="42">
        <v>0</v>
      </c>
      <c r="BO562" s="42">
        <v>500</v>
      </c>
      <c r="BP562" s="42">
        <v>500</v>
      </c>
      <c r="BQ562" s="42">
        <v>500</v>
      </c>
      <c r="BR562" s="42">
        <v>500</v>
      </c>
      <c r="BS562" s="42">
        <v>0</v>
      </c>
      <c r="BT562" s="42">
        <v>500</v>
      </c>
      <c r="BU562" s="42">
        <v>500</v>
      </c>
      <c r="BV562" s="42">
        <v>500</v>
      </c>
      <c r="BW562" s="42">
        <v>500</v>
      </c>
      <c r="BX562" s="42">
        <v>500</v>
      </c>
      <c r="BY562" s="42">
        <v>0</v>
      </c>
      <c r="BZ562" s="42">
        <v>500</v>
      </c>
      <c r="CA562" s="42">
        <v>500</v>
      </c>
      <c r="CB562" s="42">
        <v>500</v>
      </c>
      <c r="CC562" s="42">
        <v>500</v>
      </c>
      <c r="CD562" s="42">
        <v>0</v>
      </c>
      <c r="CE562" s="42">
        <v>500</v>
      </c>
      <c r="CF562" s="42">
        <v>500</v>
      </c>
      <c r="CG562" s="42">
        <v>0</v>
      </c>
      <c r="CH562" s="42">
        <v>0</v>
      </c>
      <c r="CI562" s="42">
        <v>0</v>
      </c>
      <c r="CJ562" s="42">
        <v>0</v>
      </c>
      <c r="CK562" s="43">
        <f t="shared" si="66"/>
        <v>15405</v>
      </c>
      <c r="CL562" s="66"/>
      <c r="CM562" s="66">
        <v>0</v>
      </c>
      <c r="CN562" s="66">
        <v>0</v>
      </c>
      <c r="CO562" s="66">
        <v>0</v>
      </c>
      <c r="CP562" s="66">
        <v>0</v>
      </c>
      <c r="CQ562" s="66">
        <v>0</v>
      </c>
      <c r="CR562" s="66">
        <v>0</v>
      </c>
      <c r="CS562" s="66">
        <v>0</v>
      </c>
      <c r="CT562" s="66">
        <v>0</v>
      </c>
      <c r="CU562" s="66">
        <v>0</v>
      </c>
      <c r="CV562" s="66">
        <v>0</v>
      </c>
      <c r="CW562" s="66">
        <v>0</v>
      </c>
      <c r="CX562" s="66">
        <v>0</v>
      </c>
      <c r="CY562" s="66">
        <v>0</v>
      </c>
      <c r="CZ562" s="66">
        <v>0</v>
      </c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>
        <f>SUM(Table1[[#This Row],[01-03 Apr]:[Mar-26]])</f>
        <v>0</v>
      </c>
    </row>
    <row r="563" spans="1:115" x14ac:dyDescent="0.2">
      <c r="A563" s="28" t="s">
        <v>2367</v>
      </c>
      <c r="B563" s="29" t="s">
        <v>1285</v>
      </c>
      <c r="C563" s="29" t="s">
        <v>1286</v>
      </c>
      <c r="D563" s="30" t="s">
        <v>1287</v>
      </c>
      <c r="E563" s="30" t="s">
        <v>297</v>
      </c>
      <c r="F563" s="30"/>
      <c r="G563" s="31"/>
      <c r="H563" s="30">
        <v>396102</v>
      </c>
      <c r="I563" s="30" t="str">
        <f>IF(Table1[[#This Row],[Centre Status]]="Returned","NA",IF(Table1[[#This Row],[SD]]&gt;19000,"Full Payment",IF(Table1[[#This Row],[SD]]&lt;1,"No Payment","Partial Payment")))</f>
        <v>No Payment</v>
      </c>
      <c r="J563" s="30" t="s">
        <v>58</v>
      </c>
      <c r="K563" s="32">
        <v>110000</v>
      </c>
      <c r="L563" s="33">
        <f>Q563+R563+U563+Table1[[#This Row],[Farmer Payment]]</f>
        <v>36468.945873787517</v>
      </c>
      <c r="M563" s="30"/>
      <c r="N563" s="34"/>
      <c r="O563" s="34"/>
      <c r="P563" s="35">
        <f t="shared" si="63"/>
        <v>73531.05412621249</v>
      </c>
      <c r="Q563" s="33">
        <f>AI563+AV563+CK563+Table1[[#This Row],[FY 25-26]]</f>
        <v>36468.945873787517</v>
      </c>
      <c r="R563" s="36"/>
      <c r="S563" s="37"/>
      <c r="T563" s="38"/>
      <c r="U563" s="39"/>
      <c r="V563" s="39"/>
      <c r="W563" s="40">
        <v>0</v>
      </c>
      <c r="X563" s="40">
        <v>0</v>
      </c>
      <c r="Y563" s="40">
        <v>0</v>
      </c>
      <c r="Z563" s="40">
        <v>0</v>
      </c>
      <c r="AA563" s="40">
        <v>0</v>
      </c>
      <c r="AB563" s="40">
        <v>0</v>
      </c>
      <c r="AC563" s="40">
        <v>0</v>
      </c>
      <c r="AD563" s="40">
        <v>0</v>
      </c>
      <c r="AE563" s="40">
        <v>0</v>
      </c>
      <c r="AF563" s="40">
        <v>0</v>
      </c>
      <c r="AG563" s="40">
        <v>0</v>
      </c>
      <c r="AH563" s="40">
        <v>0</v>
      </c>
      <c r="AI563" s="41">
        <f t="shared" si="64"/>
        <v>0</v>
      </c>
      <c r="AJ563" s="42">
        <v>0</v>
      </c>
      <c r="AK563" s="42">
        <v>0</v>
      </c>
      <c r="AL563" s="42">
        <v>0</v>
      </c>
      <c r="AM563" s="42">
        <v>0</v>
      </c>
      <c r="AN563" s="42">
        <v>0</v>
      </c>
      <c r="AO563" s="42">
        <v>0</v>
      </c>
      <c r="AP563" s="42">
        <v>0</v>
      </c>
      <c r="AQ563" s="42">
        <v>0</v>
      </c>
      <c r="AR563" s="42">
        <v>1861</v>
      </c>
      <c r="AS563" s="42">
        <v>3043.6812</v>
      </c>
      <c r="AT563" s="42">
        <v>4400.9880000000003</v>
      </c>
      <c r="AU563" s="42">
        <v>4318.2927999999993</v>
      </c>
      <c r="AV563" s="42">
        <f t="shared" si="65"/>
        <v>13623.962</v>
      </c>
      <c r="AW563" s="42">
        <v>2296.5706260249603</v>
      </c>
      <c r="AX563" s="42">
        <v>1861</v>
      </c>
      <c r="AY563" s="42">
        <v>1131</v>
      </c>
      <c r="AZ563" s="42">
        <v>153</v>
      </c>
      <c r="BA563" s="42">
        <v>659</v>
      </c>
      <c r="BB563" s="42">
        <v>500</v>
      </c>
      <c r="BC563" s="42">
        <v>861</v>
      </c>
      <c r="BD563" s="42">
        <v>500</v>
      </c>
      <c r="BE563" s="42">
        <v>500</v>
      </c>
      <c r="BF563" s="42">
        <v>500</v>
      </c>
      <c r="BG563" s="42">
        <v>500</v>
      </c>
      <c r="BH563" s="42">
        <v>500</v>
      </c>
      <c r="BI563" s="42">
        <v>0</v>
      </c>
      <c r="BJ563" s="42">
        <v>500</v>
      </c>
      <c r="BK563" s="42">
        <v>500</v>
      </c>
      <c r="BL563" s="42">
        <v>500</v>
      </c>
      <c r="BM563" s="42">
        <v>500</v>
      </c>
      <c r="BN563" s="42">
        <v>0</v>
      </c>
      <c r="BO563" s="42">
        <v>0</v>
      </c>
      <c r="BP563" s="42">
        <v>0</v>
      </c>
      <c r="BQ563" s="42">
        <v>0</v>
      </c>
      <c r="BR563" s="42">
        <v>0</v>
      </c>
      <c r="BS563" s="42">
        <v>2714.3807191046399</v>
      </c>
      <c r="BT563" s="42">
        <v>0</v>
      </c>
      <c r="BU563" s="42">
        <v>0</v>
      </c>
      <c r="BV563" s="42">
        <v>0</v>
      </c>
      <c r="BW563" s="42">
        <v>0</v>
      </c>
      <c r="BX563" s="42">
        <v>0</v>
      </c>
      <c r="BY563" s="42">
        <v>0</v>
      </c>
      <c r="BZ563" s="42">
        <v>0</v>
      </c>
      <c r="CA563" s="42">
        <v>0</v>
      </c>
      <c r="CB563" s="42">
        <v>0</v>
      </c>
      <c r="CC563" s="42">
        <v>0</v>
      </c>
      <c r="CD563" s="42">
        <v>2012.3663149056001</v>
      </c>
      <c r="CE563" s="42">
        <v>0</v>
      </c>
      <c r="CF563" s="42">
        <v>0</v>
      </c>
      <c r="CG563" s="42">
        <v>0</v>
      </c>
      <c r="CH563" s="42">
        <v>0</v>
      </c>
      <c r="CI563" s="42">
        <v>0</v>
      </c>
      <c r="CJ563" s="42">
        <v>2129.9820986035202</v>
      </c>
      <c r="CK563" s="43">
        <f t="shared" si="66"/>
        <v>18818.299758638721</v>
      </c>
      <c r="CL563" s="66"/>
      <c r="CM563" s="66">
        <v>0</v>
      </c>
      <c r="CN563" s="66">
        <v>0</v>
      </c>
      <c r="CO563" s="66">
        <v>0</v>
      </c>
      <c r="CP563" s="66">
        <v>2165.6841151488002</v>
      </c>
      <c r="CQ563" s="66">
        <v>0</v>
      </c>
      <c r="CR563" s="66">
        <v>0</v>
      </c>
      <c r="CS563" s="66">
        <v>0</v>
      </c>
      <c r="CT563" s="66">
        <v>0</v>
      </c>
      <c r="CU563" s="66">
        <v>0</v>
      </c>
      <c r="CV563" s="66">
        <v>1861</v>
      </c>
      <c r="CW563" s="66">
        <v>0</v>
      </c>
      <c r="CX563" s="66">
        <v>0</v>
      </c>
      <c r="CY563" s="66">
        <v>0</v>
      </c>
      <c r="CZ563" s="66">
        <v>0</v>
      </c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>
        <f>SUM(Table1[[#This Row],[01-03 Apr]:[Mar-26]])</f>
        <v>4026.6841151488002</v>
      </c>
    </row>
    <row r="564" spans="1:115" hidden="1" x14ac:dyDescent="0.2">
      <c r="A564" s="28" t="s">
        <v>2367</v>
      </c>
      <c r="B564" s="29" t="s">
        <v>1290</v>
      </c>
      <c r="C564" s="29" t="s">
        <v>1291</v>
      </c>
      <c r="D564" s="30" t="s">
        <v>1292</v>
      </c>
      <c r="E564" s="30" t="s">
        <v>297</v>
      </c>
      <c r="F564" s="30"/>
      <c r="G564" s="31"/>
      <c r="H564" s="30">
        <v>384301</v>
      </c>
      <c r="I564" s="30" t="str">
        <f>IF(Table1[[#This Row],[Centre Status]]="Returned","NA",IF(Table1[[#This Row],[SD]]&gt;19000,"Full Payment",IF(Table1[[#This Row],[SD]]&lt;1,"No Payment","Partial Payment")))</f>
        <v>NA</v>
      </c>
      <c r="J564" s="30" t="s">
        <v>1903</v>
      </c>
      <c r="K564" s="32">
        <v>110000</v>
      </c>
      <c r="L564" s="33">
        <f>Q564+R564+U564+Table1[[#This Row],[Farmer Payment]]</f>
        <v>28442.039304648926</v>
      </c>
      <c r="M564" s="30">
        <v>15000</v>
      </c>
      <c r="N564" s="34">
        <v>45789</v>
      </c>
      <c r="O564" s="34" t="s">
        <v>3423</v>
      </c>
      <c r="P564" s="35">
        <f t="shared" si="63"/>
        <v>96557.960695351067</v>
      </c>
      <c r="Q564" s="33">
        <f>AI564+AV564+CK564+Table1[[#This Row],[FY 25-26]]</f>
        <v>18442.039304648926</v>
      </c>
      <c r="R564" s="36">
        <v>10000</v>
      </c>
      <c r="S564" s="37" t="s">
        <v>3401</v>
      </c>
      <c r="T564" s="38">
        <v>45278</v>
      </c>
      <c r="U564" s="39"/>
      <c r="V564" s="39"/>
      <c r="W564" s="40">
        <v>0</v>
      </c>
      <c r="X564" s="40">
        <v>0</v>
      </c>
      <c r="Y564" s="40">
        <v>0</v>
      </c>
      <c r="Z564" s="40">
        <v>0</v>
      </c>
      <c r="AA564" s="40">
        <v>0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>
        <v>0</v>
      </c>
      <c r="AH564" s="40">
        <v>0</v>
      </c>
      <c r="AI564" s="41">
        <f t="shared" si="64"/>
        <v>0</v>
      </c>
      <c r="AJ564" s="42">
        <v>0</v>
      </c>
      <c r="AK564" s="42">
        <v>0</v>
      </c>
      <c r="AL564" s="42">
        <v>0</v>
      </c>
      <c r="AM564" s="42">
        <v>0</v>
      </c>
      <c r="AN564" s="42">
        <v>0</v>
      </c>
      <c r="AO564" s="42">
        <v>0</v>
      </c>
      <c r="AP564" s="42">
        <v>0</v>
      </c>
      <c r="AQ564" s="42">
        <v>0</v>
      </c>
      <c r="AR564" s="42">
        <v>903</v>
      </c>
      <c r="AS564" s="42">
        <v>2489.7868000000008</v>
      </c>
      <c r="AT564" s="42">
        <v>2182.8618000000001</v>
      </c>
      <c r="AU564" s="42">
        <v>1964.4272000000003</v>
      </c>
      <c r="AV564" s="42">
        <f t="shared" si="65"/>
        <v>7540.0758000000005</v>
      </c>
      <c r="AW564" s="42">
        <v>1861</v>
      </c>
      <c r="AX564" s="42">
        <v>1189</v>
      </c>
      <c r="AY564" s="42">
        <v>1319</v>
      </c>
      <c r="AZ564" s="42">
        <v>924</v>
      </c>
      <c r="BA564" s="42">
        <v>1190</v>
      </c>
      <c r="BB564" s="42">
        <v>500</v>
      </c>
      <c r="BC564" s="42">
        <v>1057.9635046489248</v>
      </c>
      <c r="BD564" s="42">
        <v>500</v>
      </c>
      <c r="BE564" s="42">
        <v>0</v>
      </c>
      <c r="BF564" s="42">
        <v>0</v>
      </c>
      <c r="BG564" s="42">
        <v>0</v>
      </c>
      <c r="BH564" s="42">
        <v>0</v>
      </c>
      <c r="BI564" s="42">
        <v>1861</v>
      </c>
      <c r="BJ564" s="42">
        <v>0</v>
      </c>
      <c r="BK564" s="42">
        <v>0</v>
      </c>
      <c r="BL564" s="42">
        <v>0</v>
      </c>
      <c r="BM564" s="42">
        <v>0</v>
      </c>
      <c r="BN564" s="42">
        <v>0</v>
      </c>
      <c r="BO564" s="42">
        <v>500</v>
      </c>
      <c r="BP564" s="42">
        <v>0</v>
      </c>
      <c r="BQ564" s="42">
        <v>0</v>
      </c>
      <c r="BR564" s="42">
        <v>0</v>
      </c>
      <c r="BS564" s="42">
        <v>0</v>
      </c>
      <c r="BT564" s="42">
        <v>0</v>
      </c>
      <c r="BU564" s="42">
        <v>0</v>
      </c>
      <c r="BV564" s="42">
        <v>0</v>
      </c>
      <c r="BW564" s="42">
        <v>0</v>
      </c>
      <c r="BX564" s="42">
        <v>0</v>
      </c>
      <c r="BY564" s="42">
        <v>0</v>
      </c>
      <c r="BZ564" s="42">
        <v>0</v>
      </c>
      <c r="CA564" s="42">
        <v>0</v>
      </c>
      <c r="CB564" s="42">
        <v>0</v>
      </c>
      <c r="CC564" s="42">
        <v>0</v>
      </c>
      <c r="CD564" s="42">
        <v>0</v>
      </c>
      <c r="CE564" s="42">
        <v>0</v>
      </c>
      <c r="CF564" s="42">
        <v>0</v>
      </c>
      <c r="CG564" s="42">
        <v>0</v>
      </c>
      <c r="CH564" s="42">
        <v>0</v>
      </c>
      <c r="CI564" s="42">
        <v>0</v>
      </c>
      <c r="CJ564" s="42">
        <v>0</v>
      </c>
      <c r="CK564" s="43">
        <f t="shared" si="66"/>
        <v>10901.963504648924</v>
      </c>
      <c r="CL564" s="66"/>
      <c r="CM564" s="66">
        <v>0</v>
      </c>
      <c r="CN564" s="66">
        <v>0</v>
      </c>
      <c r="CO564" s="66">
        <v>0</v>
      </c>
      <c r="CP564" s="66">
        <v>0</v>
      </c>
      <c r="CQ564" s="66">
        <v>0</v>
      </c>
      <c r="CR564" s="66">
        <v>0</v>
      </c>
      <c r="CS564" s="66">
        <v>0</v>
      </c>
      <c r="CT564" s="66">
        <v>0</v>
      </c>
      <c r="CU564" s="66">
        <v>0</v>
      </c>
      <c r="CV564" s="66">
        <v>0</v>
      </c>
      <c r="CW564" s="66">
        <v>0</v>
      </c>
      <c r="CX564" s="66">
        <v>0</v>
      </c>
      <c r="CY564" s="66">
        <v>0</v>
      </c>
      <c r="CZ564" s="66">
        <v>0</v>
      </c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>
        <f>SUM(Table1[[#This Row],[01-03 Apr]:[Mar-26]])</f>
        <v>0</v>
      </c>
    </row>
    <row r="565" spans="1:115" hidden="1" x14ac:dyDescent="0.2">
      <c r="A565" s="28">
        <v>0</v>
      </c>
      <c r="B565" s="29" t="s">
        <v>1293</v>
      </c>
      <c r="C565" s="29" t="s">
        <v>2503</v>
      </c>
      <c r="D565" s="30" t="s">
        <v>2421</v>
      </c>
      <c r="E565" s="30" t="s">
        <v>943</v>
      </c>
      <c r="F565" s="30"/>
      <c r="G565" s="31"/>
      <c r="H565" s="30">
        <v>387869</v>
      </c>
      <c r="I565" s="30" t="str">
        <f>IF(Table1[[#This Row],[Centre Status]]="Returned","NA",IF(Table1[[#This Row],[SD]]&gt;19000,"Full Payment",IF(Table1[[#This Row],[SD]]&lt;1,"No Payment","Partial Payment")))</f>
        <v>Full Payment</v>
      </c>
      <c r="J565" s="30" t="s">
        <v>58</v>
      </c>
      <c r="K565" s="32">
        <v>110000</v>
      </c>
      <c r="L565" s="33">
        <f>Q565+R565+U565+Table1[[#This Row],[Farmer Payment]]</f>
        <v>71949.500011240118</v>
      </c>
      <c r="M565" s="30"/>
      <c r="N565" s="34"/>
      <c r="O565" s="34"/>
      <c r="P565" s="35">
        <f t="shared" si="63"/>
        <v>38050.499988759882</v>
      </c>
      <c r="Q565" s="33">
        <f>AI565+AV565+CK565+Table1[[#This Row],[FY 25-26]]</f>
        <v>51949.500011240118</v>
      </c>
      <c r="R565" s="36">
        <v>20000</v>
      </c>
      <c r="S565" s="37" t="s">
        <v>1294</v>
      </c>
      <c r="T565" s="38">
        <v>45238</v>
      </c>
      <c r="U565" s="39"/>
      <c r="V565" s="39"/>
      <c r="W565" s="40">
        <v>0</v>
      </c>
      <c r="X565" s="40">
        <v>0</v>
      </c>
      <c r="Y565" s="40">
        <v>0</v>
      </c>
      <c r="Z565" s="40">
        <v>0</v>
      </c>
      <c r="AA565" s="40">
        <v>0</v>
      </c>
      <c r="AB565" s="40">
        <v>0</v>
      </c>
      <c r="AC565" s="40">
        <v>0</v>
      </c>
      <c r="AD565" s="40">
        <v>0</v>
      </c>
      <c r="AE565" s="40">
        <v>0</v>
      </c>
      <c r="AF565" s="40">
        <v>0</v>
      </c>
      <c r="AG565" s="40">
        <v>0</v>
      </c>
      <c r="AH565" s="40">
        <v>0</v>
      </c>
      <c r="AI565" s="41">
        <f t="shared" si="64"/>
        <v>0</v>
      </c>
      <c r="AJ565" s="42">
        <v>0</v>
      </c>
      <c r="AK565" s="42">
        <v>0</v>
      </c>
      <c r="AL565" s="42">
        <v>0</v>
      </c>
      <c r="AM565" s="42">
        <v>0</v>
      </c>
      <c r="AN565" s="42">
        <v>0</v>
      </c>
      <c r="AO565" s="42">
        <v>0</v>
      </c>
      <c r="AP565" s="42">
        <v>0</v>
      </c>
      <c r="AQ565" s="42">
        <v>0</v>
      </c>
      <c r="AR565" s="42">
        <v>0</v>
      </c>
      <c r="AS565" s="42">
        <v>0</v>
      </c>
      <c r="AT565" s="42">
        <v>1861</v>
      </c>
      <c r="AU565" s="42">
        <v>0</v>
      </c>
      <c r="AV565" s="42">
        <f t="shared" si="65"/>
        <v>1861</v>
      </c>
      <c r="AW565" s="42">
        <v>0</v>
      </c>
      <c r="AX565" s="42">
        <v>0</v>
      </c>
      <c r="AY565" s="42">
        <v>2502.5918218752004</v>
      </c>
      <c r="AZ565" s="42">
        <v>6560.1385507173136</v>
      </c>
      <c r="BA565" s="42">
        <v>5113.2811210895234</v>
      </c>
      <c r="BB565" s="42">
        <v>0</v>
      </c>
      <c r="BC565" s="42">
        <v>7269.080554621788</v>
      </c>
      <c r="BD565" s="42">
        <v>0</v>
      </c>
      <c r="BE565" s="42">
        <v>0</v>
      </c>
      <c r="BF565" s="42">
        <v>0</v>
      </c>
      <c r="BG565" s="42">
        <v>0</v>
      </c>
      <c r="BH565" s="42">
        <v>0</v>
      </c>
      <c r="BI565" s="42">
        <v>4755.990731111242</v>
      </c>
      <c r="BJ565" s="42">
        <v>0</v>
      </c>
      <c r="BK565" s="42">
        <v>0</v>
      </c>
      <c r="BL565" s="42">
        <v>0</v>
      </c>
      <c r="BM565" s="42">
        <v>0</v>
      </c>
      <c r="BN565" s="42">
        <v>4885.0772839500805</v>
      </c>
      <c r="BO565" s="42">
        <v>0</v>
      </c>
      <c r="BP565" s="42">
        <v>0</v>
      </c>
      <c r="BQ565" s="42">
        <v>0</v>
      </c>
      <c r="BR565" s="42">
        <v>0</v>
      </c>
      <c r="BS565" s="42">
        <v>5493.3205468208926</v>
      </c>
      <c r="BT565" s="42">
        <v>0</v>
      </c>
      <c r="BU565" s="42">
        <v>0</v>
      </c>
      <c r="BV565" s="42">
        <v>0</v>
      </c>
      <c r="BW565" s="42">
        <v>0</v>
      </c>
      <c r="BX565" s="42">
        <v>0</v>
      </c>
      <c r="BY565" s="42">
        <v>3474.0027045572351</v>
      </c>
      <c r="BZ565" s="42">
        <v>0</v>
      </c>
      <c r="CA565" s="42">
        <v>0</v>
      </c>
      <c r="CB565" s="42">
        <v>0</v>
      </c>
      <c r="CC565" s="42">
        <v>0</v>
      </c>
      <c r="CD565" s="42">
        <v>3366.3669557294638</v>
      </c>
      <c r="CE565" s="42">
        <v>0</v>
      </c>
      <c r="CF565" s="42">
        <v>0</v>
      </c>
      <c r="CG565" s="42">
        <v>0</v>
      </c>
      <c r="CH565" s="42">
        <v>0</v>
      </c>
      <c r="CI565" s="42">
        <v>0</v>
      </c>
      <c r="CJ565" s="42">
        <v>2863.8983673809275</v>
      </c>
      <c r="CK565" s="43">
        <f t="shared" si="66"/>
        <v>46283.748637853663</v>
      </c>
      <c r="CL565" s="66"/>
      <c r="CM565" s="66">
        <v>0</v>
      </c>
      <c r="CN565" s="66">
        <v>0</v>
      </c>
      <c r="CO565" s="66">
        <v>0</v>
      </c>
      <c r="CP565" s="66">
        <v>1943.7513733864562</v>
      </c>
      <c r="CQ565" s="66">
        <v>0</v>
      </c>
      <c r="CR565" s="66">
        <v>0</v>
      </c>
      <c r="CS565" s="66">
        <v>0</v>
      </c>
      <c r="CT565" s="66">
        <v>0</v>
      </c>
      <c r="CU565" s="66">
        <v>0</v>
      </c>
      <c r="CV565" s="66">
        <v>1861</v>
      </c>
      <c r="CW565" s="66">
        <v>0</v>
      </c>
      <c r="CX565" s="66">
        <v>0</v>
      </c>
      <c r="CY565" s="66">
        <v>0</v>
      </c>
      <c r="CZ565" s="66">
        <v>0</v>
      </c>
      <c r="DA565" s="66"/>
      <c r="DB565" s="66"/>
      <c r="DC565" s="66"/>
      <c r="DD565" s="66"/>
      <c r="DE565" s="66"/>
      <c r="DF565" s="66"/>
      <c r="DG565" s="66"/>
      <c r="DH565" s="66"/>
      <c r="DI565" s="66"/>
      <c r="DJ565" s="66"/>
      <c r="DK565" s="66">
        <f>SUM(Table1[[#This Row],[01-03 Apr]:[Mar-26]])</f>
        <v>3804.7513733864562</v>
      </c>
    </row>
    <row r="566" spans="1:115" hidden="1" x14ac:dyDescent="0.2">
      <c r="A566" s="28" t="s">
        <v>2629</v>
      </c>
      <c r="B566" s="29" t="s">
        <v>1295</v>
      </c>
      <c r="C566" s="29" t="s">
        <v>2810</v>
      </c>
      <c r="D566" s="30" t="s">
        <v>1296</v>
      </c>
      <c r="E566" s="30" t="s">
        <v>943</v>
      </c>
      <c r="F566" s="30"/>
      <c r="G566" s="31"/>
      <c r="H566" s="30"/>
      <c r="I566" s="30" t="str">
        <f>IF(Table1[[#This Row],[Centre Status]]="Returned","NA",IF(Table1[[#This Row],[SD]]&gt;19000,"Full Payment",IF(Table1[[#This Row],[SD]]&lt;1,"No Payment","Partial Payment")))</f>
        <v>Full Payment</v>
      </c>
      <c r="J566" s="30" t="s">
        <v>58</v>
      </c>
      <c r="K566" s="32">
        <v>110000</v>
      </c>
      <c r="L566" s="33">
        <f>Q566+R566+U566+Table1[[#This Row],[Farmer Payment]]</f>
        <v>28103</v>
      </c>
      <c r="M566" s="30"/>
      <c r="N566" s="34"/>
      <c r="O566" s="34"/>
      <c r="P566" s="35">
        <f t="shared" si="63"/>
        <v>81897</v>
      </c>
      <c r="Q566" s="33">
        <f>AI566+AV566+CK566+Table1[[#This Row],[FY 25-26]]</f>
        <v>8103</v>
      </c>
      <c r="R566" s="36">
        <v>20000</v>
      </c>
      <c r="S566" s="37" t="s">
        <v>1297</v>
      </c>
      <c r="T566" s="38">
        <v>45241</v>
      </c>
      <c r="U566" s="39"/>
      <c r="V566" s="39"/>
      <c r="W566" s="40">
        <v>0</v>
      </c>
      <c r="X566" s="40">
        <v>0</v>
      </c>
      <c r="Y566" s="40">
        <v>0</v>
      </c>
      <c r="Z566" s="40">
        <v>0</v>
      </c>
      <c r="AA566" s="40">
        <v>0</v>
      </c>
      <c r="AB566" s="40">
        <v>0</v>
      </c>
      <c r="AC566" s="40">
        <v>0</v>
      </c>
      <c r="AD566" s="40">
        <v>0</v>
      </c>
      <c r="AE566" s="40">
        <v>0</v>
      </c>
      <c r="AF566" s="40">
        <v>0</v>
      </c>
      <c r="AG566" s="40">
        <v>0</v>
      </c>
      <c r="AH566" s="40">
        <v>0</v>
      </c>
      <c r="AI566" s="41">
        <f t="shared" si="64"/>
        <v>0</v>
      </c>
      <c r="AJ566" s="42">
        <v>0</v>
      </c>
      <c r="AK566" s="42">
        <v>0</v>
      </c>
      <c r="AL566" s="42">
        <v>0</v>
      </c>
      <c r="AM566" s="42">
        <v>0</v>
      </c>
      <c r="AN566" s="42">
        <v>0</v>
      </c>
      <c r="AO566" s="42">
        <v>0</v>
      </c>
      <c r="AP566" s="42">
        <v>0</v>
      </c>
      <c r="AQ566" s="42">
        <v>0</v>
      </c>
      <c r="AR566" s="42">
        <v>0</v>
      </c>
      <c r="AS566" s="42">
        <v>0</v>
      </c>
      <c r="AT566" s="42">
        <v>0</v>
      </c>
      <c r="AU566" s="42">
        <v>0</v>
      </c>
      <c r="AV566" s="42">
        <f t="shared" si="65"/>
        <v>0</v>
      </c>
      <c r="AW566" s="42">
        <v>0</v>
      </c>
      <c r="AX566" s="42">
        <v>0</v>
      </c>
      <c r="AY566" s="42">
        <v>0</v>
      </c>
      <c r="AZ566" s="42">
        <v>0</v>
      </c>
      <c r="BA566" s="42">
        <v>0</v>
      </c>
      <c r="BB566" s="42">
        <v>0</v>
      </c>
      <c r="BC566" s="42">
        <v>0</v>
      </c>
      <c r="BD566" s="42">
        <v>0</v>
      </c>
      <c r="BE566" s="42">
        <v>0</v>
      </c>
      <c r="BF566" s="42">
        <v>0</v>
      </c>
      <c r="BG566" s="42">
        <v>0</v>
      </c>
      <c r="BH566" s="42">
        <v>0</v>
      </c>
      <c r="BI566" s="42">
        <v>0</v>
      </c>
      <c r="BJ566" s="42">
        <v>0</v>
      </c>
      <c r="BK566" s="42">
        <v>0</v>
      </c>
      <c r="BL566" s="42">
        <v>0</v>
      </c>
      <c r="BM566" s="42">
        <v>0</v>
      </c>
      <c r="BN566" s="42">
        <v>0</v>
      </c>
      <c r="BO566" s="42">
        <v>0</v>
      </c>
      <c r="BP566" s="42">
        <v>0</v>
      </c>
      <c r="BQ566" s="42">
        <v>0</v>
      </c>
      <c r="BR566" s="42">
        <v>0</v>
      </c>
      <c r="BS566" s="42">
        <v>881</v>
      </c>
      <c r="BT566" s="42">
        <v>0</v>
      </c>
      <c r="BU566" s="42">
        <v>0</v>
      </c>
      <c r="BV566" s="42">
        <v>0</v>
      </c>
      <c r="BW566" s="42">
        <v>0</v>
      </c>
      <c r="BX566" s="42">
        <v>0</v>
      </c>
      <c r="BY566" s="42">
        <v>0</v>
      </c>
      <c r="BZ566" s="42">
        <v>0</v>
      </c>
      <c r="CA566" s="42">
        <v>0</v>
      </c>
      <c r="CB566" s="42">
        <v>0</v>
      </c>
      <c r="CC566" s="42">
        <v>0</v>
      </c>
      <c r="CD566" s="42">
        <v>0</v>
      </c>
      <c r="CE566" s="42">
        <v>0</v>
      </c>
      <c r="CF566" s="42">
        <v>0</v>
      </c>
      <c r="CG566" s="42">
        <v>0</v>
      </c>
      <c r="CH566" s="42">
        <v>0</v>
      </c>
      <c r="CI566" s="42">
        <v>500</v>
      </c>
      <c r="CJ566" s="42">
        <v>1361</v>
      </c>
      <c r="CK566" s="43">
        <f t="shared" si="66"/>
        <v>2742</v>
      </c>
      <c r="CL566" s="66"/>
      <c r="CM566" s="66">
        <v>500</v>
      </c>
      <c r="CN566" s="66">
        <v>500</v>
      </c>
      <c r="CO566" s="66">
        <v>500</v>
      </c>
      <c r="CP566" s="66">
        <v>0</v>
      </c>
      <c r="CQ566" s="66">
        <v>500</v>
      </c>
      <c r="CR566" s="66">
        <v>500</v>
      </c>
      <c r="CS566" s="66">
        <v>0</v>
      </c>
      <c r="CT566" s="66">
        <v>0</v>
      </c>
      <c r="CU566" s="66">
        <v>500</v>
      </c>
      <c r="CV566" s="66">
        <v>361</v>
      </c>
      <c r="CW566" s="66">
        <v>500</v>
      </c>
      <c r="CX566" s="66">
        <v>500</v>
      </c>
      <c r="CY566" s="66">
        <v>500</v>
      </c>
      <c r="CZ566" s="66">
        <v>500</v>
      </c>
      <c r="DA566" s="66"/>
      <c r="DB566" s="66"/>
      <c r="DC566" s="66"/>
      <c r="DD566" s="66"/>
      <c r="DE566" s="66"/>
      <c r="DF566" s="66"/>
      <c r="DG566" s="66"/>
      <c r="DH566" s="66"/>
      <c r="DI566" s="66"/>
      <c r="DJ566" s="66"/>
      <c r="DK566" s="66">
        <f>SUM(Table1[[#This Row],[01-03 Apr]:[Mar-26]])</f>
        <v>5361</v>
      </c>
    </row>
    <row r="567" spans="1:115" hidden="1" x14ac:dyDescent="0.2">
      <c r="A567" s="28"/>
      <c r="B567" s="29"/>
      <c r="C567" s="29" t="s">
        <v>2811</v>
      </c>
      <c r="D567" s="30" t="s">
        <v>1201</v>
      </c>
      <c r="E567" s="30" t="s">
        <v>2257</v>
      </c>
      <c r="F567" s="30"/>
      <c r="G567" s="31"/>
      <c r="H567" s="30"/>
      <c r="I567" s="30" t="str">
        <f>IF(Table1[[#This Row],[Centre Status]]="Returned","NA",IF(Table1[[#This Row],[SD]]&gt;19000,"Full Payment",IF(Table1[[#This Row],[SD]]&lt;1,"No Payment","Partial Payment")))</f>
        <v>Full Payment</v>
      </c>
      <c r="J567" s="30" t="s">
        <v>58</v>
      </c>
      <c r="K567" s="32">
        <v>110000</v>
      </c>
      <c r="L567" s="33">
        <f>Q567+R567+U567+Table1[[#This Row],[Farmer Payment]]</f>
        <v>36918.258151864669</v>
      </c>
      <c r="M567" s="30"/>
      <c r="N567" s="34"/>
      <c r="O567" s="34"/>
      <c r="P567" s="35">
        <f>K567-L567+M567</f>
        <v>73081.741848135338</v>
      </c>
      <c r="Q567" s="33">
        <f>AI567+AV567+CK567+Table1[[#This Row],[FY 25-26]]</f>
        <v>16918.258151864669</v>
      </c>
      <c r="R567" s="36">
        <v>20000</v>
      </c>
      <c r="S567" s="37" t="s">
        <v>2812</v>
      </c>
      <c r="T567" s="38">
        <v>45630</v>
      </c>
      <c r="U567" s="39"/>
      <c r="V567" s="39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1">
        <f>SUM(W567:AH567)</f>
        <v>0</v>
      </c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>
        <f>SUM(AJ567:AU567)</f>
        <v>0</v>
      </c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  <c r="BN567" s="42">
        <v>0</v>
      </c>
      <c r="BO567" s="42"/>
      <c r="BP567" s="42">
        <v>0</v>
      </c>
      <c r="BQ567" s="42">
        <v>0</v>
      </c>
      <c r="BR567" s="42">
        <v>0</v>
      </c>
      <c r="BS567" s="42">
        <v>1949.8734159434302</v>
      </c>
      <c r="BT567" s="42">
        <v>0</v>
      </c>
      <c r="BU567" s="42">
        <v>0</v>
      </c>
      <c r="BV567" s="42">
        <v>0</v>
      </c>
      <c r="BW567" s="42">
        <v>0</v>
      </c>
      <c r="BX567" s="42">
        <v>0</v>
      </c>
      <c r="BY567" s="42">
        <v>0</v>
      </c>
      <c r="BZ567" s="42">
        <v>0</v>
      </c>
      <c r="CA567" s="42">
        <v>0</v>
      </c>
      <c r="CB567" s="42">
        <v>0</v>
      </c>
      <c r="CC567" s="42">
        <v>0</v>
      </c>
      <c r="CD567" s="42">
        <v>0</v>
      </c>
      <c r="CE567" s="42">
        <v>0</v>
      </c>
      <c r="CF567" s="42">
        <v>0</v>
      </c>
      <c r="CG567" s="42">
        <v>0</v>
      </c>
      <c r="CH567" s="42">
        <v>0</v>
      </c>
      <c r="CI567" s="42">
        <v>0</v>
      </c>
      <c r="CJ567" s="42">
        <v>5912.67567046972</v>
      </c>
      <c r="CK567" s="43">
        <f t="shared" si="66"/>
        <v>7862.5490864131498</v>
      </c>
      <c r="CL567" s="66"/>
      <c r="CM567" s="66">
        <v>0</v>
      </c>
      <c r="CN567" s="66">
        <v>0</v>
      </c>
      <c r="CO567" s="66">
        <v>0</v>
      </c>
      <c r="CP567" s="66">
        <v>4711.7530232524805</v>
      </c>
      <c r="CQ567" s="66">
        <v>0</v>
      </c>
      <c r="CR567" s="66">
        <v>0</v>
      </c>
      <c r="CS567" s="66">
        <v>0</v>
      </c>
      <c r="CT567" s="66">
        <v>0</v>
      </c>
      <c r="CU567" s="66">
        <v>0</v>
      </c>
      <c r="CV567" s="66">
        <v>4343.95604219904</v>
      </c>
      <c r="CW567" s="66">
        <v>0</v>
      </c>
      <c r="CX567" s="66">
        <v>0</v>
      </c>
      <c r="CY567" s="66">
        <v>0</v>
      </c>
      <c r="CZ567" s="66">
        <v>0</v>
      </c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>
        <f>SUM(Table1[[#This Row],[01-03 Apr]:[Mar-26]])</f>
        <v>9055.7090654515196</v>
      </c>
    </row>
    <row r="568" spans="1:115" x14ac:dyDescent="0.2">
      <c r="A568" s="28" t="s">
        <v>2255</v>
      </c>
      <c r="B568" s="29" t="s">
        <v>1299</v>
      </c>
      <c r="C568" s="29" t="s">
        <v>1300</v>
      </c>
      <c r="D568" s="30" t="s">
        <v>1301</v>
      </c>
      <c r="E568" s="30" t="s">
        <v>906</v>
      </c>
      <c r="F568" s="30"/>
      <c r="G568" s="31"/>
      <c r="H568" s="30">
        <v>2351720</v>
      </c>
      <c r="I568" s="30" t="str">
        <f>IF(Table1[[#This Row],[Centre Status]]="Returned","NA",IF(Table1[[#This Row],[SD]]&gt;19000,"Full Payment",IF(Table1[[#This Row],[SD]]&lt;1,"No Payment","Partial Payment")))</f>
        <v>Partial Payment</v>
      </c>
      <c r="J568" s="30" t="s">
        <v>58</v>
      </c>
      <c r="K568" s="32">
        <v>110000</v>
      </c>
      <c r="L568" s="33">
        <f>Q568+R568+U568+Table1[[#This Row],[Farmer Payment]]</f>
        <v>50442.697489977087</v>
      </c>
      <c r="M568" s="30"/>
      <c r="N568" s="34"/>
      <c r="O568" s="34"/>
      <c r="P568" s="35">
        <f t="shared" si="63"/>
        <v>59557.302510022913</v>
      </c>
      <c r="Q568" s="33">
        <f>AI568+AV568+CK568+Table1[[#This Row],[FY 25-26]]</f>
        <v>40442.697489977087</v>
      </c>
      <c r="R568" s="36">
        <v>10000</v>
      </c>
      <c r="S568" s="37" t="s">
        <v>1302</v>
      </c>
      <c r="T568" s="38">
        <v>45301</v>
      </c>
      <c r="U568" s="39"/>
      <c r="V568" s="39"/>
      <c r="W568" s="40">
        <v>0</v>
      </c>
      <c r="X568" s="40">
        <v>0</v>
      </c>
      <c r="Y568" s="40">
        <v>0</v>
      </c>
      <c r="Z568" s="40">
        <v>0</v>
      </c>
      <c r="AA568" s="40">
        <v>0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>
        <v>0</v>
      </c>
      <c r="AH568" s="40">
        <v>0</v>
      </c>
      <c r="AI568" s="41">
        <f t="shared" si="64"/>
        <v>0</v>
      </c>
      <c r="AJ568" s="42">
        <v>0</v>
      </c>
      <c r="AK568" s="42">
        <v>0</v>
      </c>
      <c r="AL568" s="42">
        <v>0</v>
      </c>
      <c r="AM568" s="42">
        <v>0</v>
      </c>
      <c r="AN568" s="42">
        <v>0</v>
      </c>
      <c r="AO568" s="42">
        <v>0</v>
      </c>
      <c r="AP568" s="42">
        <v>0</v>
      </c>
      <c r="AQ568" s="42">
        <v>0</v>
      </c>
      <c r="AR568" s="42">
        <v>0</v>
      </c>
      <c r="AS568" s="42">
        <v>0</v>
      </c>
      <c r="AT568" s="42">
        <v>70.11</v>
      </c>
      <c r="AU568" s="42">
        <v>1861</v>
      </c>
      <c r="AV568" s="42">
        <f t="shared" si="65"/>
        <v>1931.11</v>
      </c>
      <c r="AW568" s="42">
        <v>1861</v>
      </c>
      <c r="AX568" s="42">
        <v>1861</v>
      </c>
      <c r="AY568" s="42">
        <v>2094.9110782003204</v>
      </c>
      <c r="AZ568" s="42">
        <v>5973.4891155704263</v>
      </c>
      <c r="BA568" s="42">
        <v>3835.405294445854</v>
      </c>
      <c r="BB568" s="42">
        <v>0</v>
      </c>
      <c r="BC568" s="42">
        <v>6211.9870563227323</v>
      </c>
      <c r="BD568" s="42">
        <v>0</v>
      </c>
      <c r="BE568" s="42">
        <v>0</v>
      </c>
      <c r="BF568" s="42">
        <v>0</v>
      </c>
      <c r="BG568" s="42">
        <v>0</v>
      </c>
      <c r="BH568" s="42">
        <v>0</v>
      </c>
      <c r="BI568" s="42">
        <v>3851.7121595054505</v>
      </c>
      <c r="BJ568" s="42">
        <v>0</v>
      </c>
      <c r="BK568" s="42">
        <v>0</v>
      </c>
      <c r="BL568" s="42">
        <v>0</v>
      </c>
      <c r="BM568" s="42">
        <v>0</v>
      </c>
      <c r="BN568" s="42">
        <v>2323.6415577080184</v>
      </c>
      <c r="BO568" s="42">
        <v>0</v>
      </c>
      <c r="BP568" s="42">
        <v>0</v>
      </c>
      <c r="BQ568" s="42">
        <v>0</v>
      </c>
      <c r="BR568" s="42">
        <v>0</v>
      </c>
      <c r="BS568" s="42">
        <v>1904.4412282242822</v>
      </c>
      <c r="BT568" s="42">
        <v>0</v>
      </c>
      <c r="BU568" s="42">
        <v>0</v>
      </c>
      <c r="BV568" s="42">
        <v>0</v>
      </c>
      <c r="BW568" s="42">
        <v>0</v>
      </c>
      <c r="BX568" s="42">
        <v>0</v>
      </c>
      <c r="BY568" s="42">
        <v>1861</v>
      </c>
      <c r="BZ568" s="42">
        <v>0</v>
      </c>
      <c r="CA568" s="42">
        <v>0</v>
      </c>
      <c r="CB568" s="42">
        <v>0</v>
      </c>
      <c r="CC568" s="42">
        <v>0</v>
      </c>
      <c r="CD568" s="42">
        <v>1861</v>
      </c>
      <c r="CE568" s="42">
        <v>0</v>
      </c>
      <c r="CF568" s="42">
        <v>0</v>
      </c>
      <c r="CG568" s="42">
        <v>0</v>
      </c>
      <c r="CH568" s="42">
        <v>0</v>
      </c>
      <c r="CI568" s="42">
        <v>0</v>
      </c>
      <c r="CJ568" s="42">
        <v>1861</v>
      </c>
      <c r="CK568" s="43">
        <f t="shared" si="66"/>
        <v>35500.587489977086</v>
      </c>
      <c r="CL568" s="66"/>
      <c r="CM568" s="66">
        <v>0</v>
      </c>
      <c r="CN568" s="66">
        <v>0</v>
      </c>
      <c r="CO568" s="66">
        <v>0</v>
      </c>
      <c r="CP568" s="66">
        <v>1358</v>
      </c>
      <c r="CQ568" s="66">
        <v>0</v>
      </c>
      <c r="CR568" s="66">
        <v>0</v>
      </c>
      <c r="CS568" s="66">
        <v>0</v>
      </c>
      <c r="CT568" s="66">
        <v>0</v>
      </c>
      <c r="CU568" s="66">
        <v>0</v>
      </c>
      <c r="CV568" s="66">
        <v>1653</v>
      </c>
      <c r="CW568" s="66">
        <v>0</v>
      </c>
      <c r="CX568" s="66">
        <v>0</v>
      </c>
      <c r="CY568" s="66">
        <v>0</v>
      </c>
      <c r="CZ568" s="66">
        <v>0</v>
      </c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>
        <f>SUM(Table1[[#This Row],[01-03 Apr]:[Mar-26]])</f>
        <v>3011</v>
      </c>
    </row>
    <row r="569" spans="1:115" x14ac:dyDescent="0.2">
      <c r="A569" s="28">
        <v>0</v>
      </c>
      <c r="B569" s="29" t="s">
        <v>1303</v>
      </c>
      <c r="C569" s="29" t="s">
        <v>3338</v>
      </c>
      <c r="D569" s="30" t="s">
        <v>1304</v>
      </c>
      <c r="E569" s="30" t="s">
        <v>943</v>
      </c>
      <c r="F569" s="30"/>
      <c r="G569" s="31"/>
      <c r="H569" s="30"/>
      <c r="I569" s="30" t="str">
        <f>IF(Table1[[#This Row],[Centre Status]]="Returned","NA",IF(Table1[[#This Row],[SD]]&gt;19000,"Full Payment",IF(Table1[[#This Row],[SD]]&lt;1,"No Payment","Partial Payment")))</f>
        <v>No Payment</v>
      </c>
      <c r="J569" s="30" t="s">
        <v>58</v>
      </c>
      <c r="K569" s="32">
        <v>110000</v>
      </c>
      <c r="L569" s="33">
        <f>Q569+R569+U569+Table1[[#This Row],[Farmer Payment]]</f>
        <v>1678.0800000000002</v>
      </c>
      <c r="M569" s="30"/>
      <c r="N569" s="34"/>
      <c r="O569" s="34"/>
      <c r="P569" s="35">
        <f t="shared" si="63"/>
        <v>108321.92</v>
      </c>
      <c r="Q569" s="33">
        <f>AI569+AV569+CK569+Table1[[#This Row],[FY 25-26]]</f>
        <v>1678.0800000000002</v>
      </c>
      <c r="R569" s="36"/>
      <c r="S569" s="37"/>
      <c r="T569" s="38"/>
      <c r="U569" s="39"/>
      <c r="V569" s="39"/>
      <c r="W569" s="40">
        <v>0</v>
      </c>
      <c r="X569" s="40">
        <v>0</v>
      </c>
      <c r="Y569" s="40">
        <v>0</v>
      </c>
      <c r="Z569" s="40">
        <v>0</v>
      </c>
      <c r="AA569" s="40">
        <v>0</v>
      </c>
      <c r="AB569" s="40">
        <v>0</v>
      </c>
      <c r="AC569" s="40">
        <v>0</v>
      </c>
      <c r="AD569" s="40">
        <v>0</v>
      </c>
      <c r="AE569" s="40">
        <v>0</v>
      </c>
      <c r="AF569" s="40">
        <v>0</v>
      </c>
      <c r="AG569" s="40">
        <v>0</v>
      </c>
      <c r="AH569" s="40">
        <v>0</v>
      </c>
      <c r="AI569" s="41">
        <f t="shared" si="64"/>
        <v>0</v>
      </c>
      <c r="AJ569" s="42">
        <v>0</v>
      </c>
      <c r="AK569" s="42">
        <v>0</v>
      </c>
      <c r="AL569" s="42">
        <v>0</v>
      </c>
      <c r="AM569" s="42">
        <v>0</v>
      </c>
      <c r="AN569" s="42">
        <v>0</v>
      </c>
      <c r="AO569" s="42">
        <v>0</v>
      </c>
      <c r="AP569" s="42">
        <v>0</v>
      </c>
      <c r="AQ569" s="42">
        <v>0</v>
      </c>
      <c r="AR569" s="42">
        <v>0</v>
      </c>
      <c r="AS569" s="42">
        <v>0</v>
      </c>
      <c r="AT569" s="42">
        <v>1224.0800000000002</v>
      </c>
      <c r="AU569" s="42">
        <v>454</v>
      </c>
      <c r="AV569" s="42">
        <f t="shared" si="65"/>
        <v>1678.0800000000002</v>
      </c>
      <c r="AW569" s="42">
        <v>0</v>
      </c>
      <c r="AX569" s="42">
        <v>0</v>
      </c>
      <c r="AY569" s="42">
        <v>0</v>
      </c>
      <c r="AZ569" s="42">
        <v>0</v>
      </c>
      <c r="BA569" s="42">
        <v>0</v>
      </c>
      <c r="BB569" s="42">
        <v>0</v>
      </c>
      <c r="BC569" s="42">
        <v>0</v>
      </c>
      <c r="BD569" s="42">
        <v>0</v>
      </c>
      <c r="BE569" s="42">
        <v>0</v>
      </c>
      <c r="BF569" s="42">
        <v>0</v>
      </c>
      <c r="BG569" s="42">
        <v>0</v>
      </c>
      <c r="BH569" s="42">
        <v>0</v>
      </c>
      <c r="BI569" s="42">
        <v>0</v>
      </c>
      <c r="BJ569" s="42">
        <v>0</v>
      </c>
      <c r="BK569" s="42">
        <v>0</v>
      </c>
      <c r="BL569" s="42">
        <v>0</v>
      </c>
      <c r="BM569" s="42">
        <v>0</v>
      </c>
      <c r="BN569" s="42">
        <v>0</v>
      </c>
      <c r="BO569" s="42">
        <v>0</v>
      </c>
      <c r="BP569" s="42">
        <v>0</v>
      </c>
      <c r="BQ569" s="42">
        <v>0</v>
      </c>
      <c r="BR569" s="42">
        <v>0</v>
      </c>
      <c r="BS569" s="42">
        <v>0</v>
      </c>
      <c r="BT569" s="42">
        <v>0</v>
      </c>
      <c r="BU569" s="42">
        <v>0</v>
      </c>
      <c r="BV569" s="42">
        <v>0</v>
      </c>
      <c r="BW569" s="42">
        <v>0</v>
      </c>
      <c r="BX569" s="42">
        <v>0</v>
      </c>
      <c r="BY569" s="42">
        <v>0</v>
      </c>
      <c r="BZ569" s="42">
        <v>0</v>
      </c>
      <c r="CA569" s="42">
        <v>0</v>
      </c>
      <c r="CB569" s="42">
        <v>0</v>
      </c>
      <c r="CC569" s="42">
        <v>0</v>
      </c>
      <c r="CD569" s="42">
        <v>0</v>
      </c>
      <c r="CE569" s="42">
        <v>0</v>
      </c>
      <c r="CF569" s="42">
        <v>0</v>
      </c>
      <c r="CG569" s="42">
        <v>0</v>
      </c>
      <c r="CH569" s="42">
        <v>0</v>
      </c>
      <c r="CI569" s="42">
        <v>0</v>
      </c>
      <c r="CJ569" s="42">
        <v>0</v>
      </c>
      <c r="CK569" s="43">
        <f t="shared" si="66"/>
        <v>0</v>
      </c>
      <c r="CL569" s="66"/>
      <c r="CM569" s="66">
        <v>0</v>
      </c>
      <c r="CN569" s="66">
        <v>0</v>
      </c>
      <c r="CO569" s="66">
        <v>0</v>
      </c>
      <c r="CP569" s="66">
        <v>0</v>
      </c>
      <c r="CQ569" s="66">
        <v>0</v>
      </c>
      <c r="CR569" s="66">
        <v>0</v>
      </c>
      <c r="CS569" s="66">
        <v>0</v>
      </c>
      <c r="CT569" s="66">
        <v>0</v>
      </c>
      <c r="CU569" s="66">
        <v>0</v>
      </c>
      <c r="CV569" s="66">
        <v>0</v>
      </c>
      <c r="CW569" s="66">
        <v>0</v>
      </c>
      <c r="CX569" s="66">
        <v>0</v>
      </c>
      <c r="CY569" s="66">
        <v>0</v>
      </c>
      <c r="CZ569" s="66">
        <v>0</v>
      </c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>
        <f>SUM(Table1[[#This Row],[01-03 Apr]:[Mar-26]])</f>
        <v>0</v>
      </c>
    </row>
    <row r="570" spans="1:115" x14ac:dyDescent="0.2">
      <c r="A570" s="28" t="s">
        <v>2253</v>
      </c>
      <c r="B570" s="29" t="s">
        <v>1307</v>
      </c>
      <c r="C570" s="29" t="s">
        <v>1308</v>
      </c>
      <c r="D570" s="30" t="s">
        <v>1309</v>
      </c>
      <c r="E570" s="30" t="s">
        <v>85</v>
      </c>
      <c r="F570" s="30"/>
      <c r="G570" s="31">
        <v>45371</v>
      </c>
      <c r="H570" s="30">
        <v>359785</v>
      </c>
      <c r="I570" s="30" t="str">
        <f>IF(Table1[[#This Row],[Centre Status]]="Returned","NA",IF(Table1[[#This Row],[SD]]&gt;19000,"Full Payment",IF(Table1[[#This Row],[SD]]&lt;1,"No Payment","Partial Payment")))</f>
        <v>Partial Payment</v>
      </c>
      <c r="J570" s="30" t="s">
        <v>58</v>
      </c>
      <c r="K570" s="32">
        <v>110000</v>
      </c>
      <c r="L570" s="33">
        <f>Q570+R570+U570+Table1[[#This Row],[Farmer Payment]]</f>
        <v>56635.60904096836</v>
      </c>
      <c r="M570" s="30"/>
      <c r="N570" s="34"/>
      <c r="O570" s="34"/>
      <c r="P570" s="35">
        <f t="shared" si="63"/>
        <v>53364.39095903164</v>
      </c>
      <c r="Q570" s="33">
        <f>AI570+AV570+CK570+Table1[[#This Row],[FY 25-26]]</f>
        <v>46635.60904096836</v>
      </c>
      <c r="R570" s="36">
        <v>10000</v>
      </c>
      <c r="S570" s="37" t="s">
        <v>2582</v>
      </c>
      <c r="T570" s="38">
        <v>45287</v>
      </c>
      <c r="U570" s="39"/>
      <c r="V570" s="39"/>
      <c r="W570" s="40">
        <v>0</v>
      </c>
      <c r="X570" s="40">
        <v>0</v>
      </c>
      <c r="Y570" s="40">
        <v>0</v>
      </c>
      <c r="Z570" s="40">
        <v>0</v>
      </c>
      <c r="AA570" s="40">
        <v>0</v>
      </c>
      <c r="AB570" s="40">
        <v>0</v>
      </c>
      <c r="AC570" s="40">
        <v>0</v>
      </c>
      <c r="AD570" s="40">
        <v>0</v>
      </c>
      <c r="AE570" s="40">
        <v>0</v>
      </c>
      <c r="AF570" s="40">
        <v>0</v>
      </c>
      <c r="AG570" s="40">
        <v>0</v>
      </c>
      <c r="AH570" s="40">
        <v>0</v>
      </c>
      <c r="AI570" s="41">
        <f t="shared" si="64"/>
        <v>0</v>
      </c>
      <c r="AJ570" s="42">
        <v>0</v>
      </c>
      <c r="AK570" s="42">
        <v>0</v>
      </c>
      <c r="AL570" s="42">
        <v>0</v>
      </c>
      <c r="AM570" s="42">
        <v>0</v>
      </c>
      <c r="AN570" s="42">
        <v>0</v>
      </c>
      <c r="AO570" s="42">
        <v>0</v>
      </c>
      <c r="AP570" s="42">
        <v>0</v>
      </c>
      <c r="AQ570" s="42">
        <v>0</v>
      </c>
      <c r="AR570" s="42">
        <v>0</v>
      </c>
      <c r="AS570" s="42">
        <v>0</v>
      </c>
      <c r="AT570" s="42">
        <v>0</v>
      </c>
      <c r="AU570" s="42">
        <v>0</v>
      </c>
      <c r="AV570" s="42">
        <f t="shared" si="65"/>
        <v>0</v>
      </c>
      <c r="AW570" s="42">
        <v>5386.6606670592</v>
      </c>
      <c r="AX570" s="42">
        <v>4345.5680914176</v>
      </c>
      <c r="AY570" s="42">
        <v>3792.4994466519997</v>
      </c>
      <c r="AZ570" s="42">
        <v>7451.3690348856617</v>
      </c>
      <c r="BA570" s="42">
        <v>3078.915408370056</v>
      </c>
      <c r="BB570" s="42">
        <v>0</v>
      </c>
      <c r="BC570" s="42">
        <v>3627.7397473030328</v>
      </c>
      <c r="BD570" s="42">
        <v>0</v>
      </c>
      <c r="BE570" s="42">
        <v>0</v>
      </c>
      <c r="BF570" s="42">
        <v>0</v>
      </c>
      <c r="BG570" s="42">
        <v>0</v>
      </c>
      <c r="BH570" s="42">
        <v>0</v>
      </c>
      <c r="BI570" s="42">
        <v>2708.1530485252501</v>
      </c>
      <c r="BJ570" s="42">
        <v>0</v>
      </c>
      <c r="BK570" s="42">
        <v>0</v>
      </c>
      <c r="BL570" s="42">
        <v>0</v>
      </c>
      <c r="BM570" s="42">
        <v>0</v>
      </c>
      <c r="BN570" s="42">
        <v>1861</v>
      </c>
      <c r="BO570" s="42">
        <v>0</v>
      </c>
      <c r="BP570" s="42">
        <v>0</v>
      </c>
      <c r="BQ570" s="42">
        <v>0</v>
      </c>
      <c r="BR570" s="42">
        <v>0</v>
      </c>
      <c r="BS570" s="42">
        <v>2967.1537580673721</v>
      </c>
      <c r="BT570" s="42">
        <v>0</v>
      </c>
      <c r="BU570" s="42">
        <v>0</v>
      </c>
      <c r="BV570" s="42">
        <v>0</v>
      </c>
      <c r="BW570" s="42">
        <v>0</v>
      </c>
      <c r="BX570" s="42">
        <v>0</v>
      </c>
      <c r="BY570" s="42">
        <v>0</v>
      </c>
      <c r="BZ570" s="42">
        <v>0</v>
      </c>
      <c r="CA570" s="42">
        <v>0</v>
      </c>
      <c r="CB570" s="42">
        <v>0</v>
      </c>
      <c r="CC570" s="42">
        <v>0</v>
      </c>
      <c r="CD570" s="42">
        <v>4262.4761188761604</v>
      </c>
      <c r="CE570" s="42">
        <v>0</v>
      </c>
      <c r="CF570" s="42">
        <v>0</v>
      </c>
      <c r="CG570" s="42">
        <v>0</v>
      </c>
      <c r="CH570" s="42">
        <v>0</v>
      </c>
      <c r="CI570" s="42">
        <v>0</v>
      </c>
      <c r="CJ570" s="42">
        <v>3888.5731716281612</v>
      </c>
      <c r="CK570" s="43">
        <f t="shared" si="66"/>
        <v>43370.108492784493</v>
      </c>
      <c r="CL570" s="66"/>
      <c r="CM570" s="66">
        <v>0</v>
      </c>
      <c r="CN570" s="66">
        <v>0</v>
      </c>
      <c r="CO570" s="66">
        <v>0</v>
      </c>
      <c r="CP570" s="66">
        <v>2101.5005481838693</v>
      </c>
      <c r="CQ570" s="66">
        <v>0</v>
      </c>
      <c r="CR570" s="66">
        <v>0</v>
      </c>
      <c r="CS570" s="66">
        <v>0</v>
      </c>
      <c r="CT570" s="66">
        <v>0</v>
      </c>
      <c r="CU570" s="66">
        <v>0</v>
      </c>
      <c r="CV570" s="66">
        <v>1164</v>
      </c>
      <c r="CW570" s="66">
        <v>0</v>
      </c>
      <c r="CX570" s="66">
        <v>0</v>
      </c>
      <c r="CY570" s="66">
        <v>0</v>
      </c>
      <c r="CZ570" s="66">
        <v>0</v>
      </c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>
        <f>SUM(Table1[[#This Row],[01-03 Apr]:[Mar-26]])</f>
        <v>3265.5005481838693</v>
      </c>
    </row>
    <row r="571" spans="1:115" x14ac:dyDescent="0.2">
      <c r="A571" s="28" t="s">
        <v>2253</v>
      </c>
      <c r="B571" s="29" t="s">
        <v>1310</v>
      </c>
      <c r="C571" s="29" t="s">
        <v>1311</v>
      </c>
      <c r="D571" s="30" t="s">
        <v>1312</v>
      </c>
      <c r="E571" s="30" t="s">
        <v>85</v>
      </c>
      <c r="F571" s="30"/>
      <c r="G571" s="31">
        <v>44998</v>
      </c>
      <c r="H571" s="30">
        <v>359839</v>
      </c>
      <c r="I571" s="30" t="str">
        <f>IF(Table1[[#This Row],[Centre Status]]="Returned","NA",IF(Table1[[#This Row],[SD]]&gt;19000,"Full Payment",IF(Table1[[#This Row],[SD]]&lt;1,"No Payment","Partial Payment")))</f>
        <v>No Payment</v>
      </c>
      <c r="J571" s="30" t="s">
        <v>58</v>
      </c>
      <c r="K571" s="32">
        <v>110000</v>
      </c>
      <c r="L571" s="33">
        <f>Q571+R571+U571+Table1[[#This Row],[Farmer Payment]]</f>
        <v>31373.109462299057</v>
      </c>
      <c r="M571" s="30"/>
      <c r="N571" s="34"/>
      <c r="O571" s="34"/>
      <c r="P571" s="35">
        <f t="shared" si="63"/>
        <v>78626.890537700936</v>
      </c>
      <c r="Q571" s="33">
        <f>AI571+AV571+CK571+Table1[[#This Row],[FY 25-26]]</f>
        <v>31373.109462299057</v>
      </c>
      <c r="R571" s="36"/>
      <c r="S571" s="37"/>
      <c r="T571" s="38"/>
      <c r="U571" s="39"/>
      <c r="V571" s="39"/>
      <c r="W571" s="40">
        <v>0</v>
      </c>
      <c r="X571" s="40">
        <v>0</v>
      </c>
      <c r="Y571" s="40">
        <v>0</v>
      </c>
      <c r="Z571" s="40">
        <v>0</v>
      </c>
      <c r="AA571" s="40">
        <v>0</v>
      </c>
      <c r="AB571" s="40">
        <v>0</v>
      </c>
      <c r="AC571" s="40">
        <v>0</v>
      </c>
      <c r="AD571" s="40">
        <v>0</v>
      </c>
      <c r="AE571" s="40">
        <v>0</v>
      </c>
      <c r="AF571" s="40">
        <v>0</v>
      </c>
      <c r="AG571" s="40">
        <v>0</v>
      </c>
      <c r="AH571" s="40">
        <v>0</v>
      </c>
      <c r="AI571" s="41">
        <f t="shared" si="64"/>
        <v>0</v>
      </c>
      <c r="AJ571" s="42">
        <v>0</v>
      </c>
      <c r="AK571" s="42">
        <v>0</v>
      </c>
      <c r="AL571" s="42">
        <v>0</v>
      </c>
      <c r="AM571" s="42">
        <v>0</v>
      </c>
      <c r="AN571" s="42">
        <v>0</v>
      </c>
      <c r="AO571" s="42">
        <v>0</v>
      </c>
      <c r="AP571" s="42">
        <v>0</v>
      </c>
      <c r="AQ571" s="42">
        <v>0</v>
      </c>
      <c r="AR571" s="42">
        <v>0</v>
      </c>
      <c r="AS571" s="42">
        <v>0</v>
      </c>
      <c r="AT571" s="42">
        <v>0</v>
      </c>
      <c r="AU571" s="42">
        <v>0</v>
      </c>
      <c r="AV571" s="42">
        <f t="shared" si="65"/>
        <v>0</v>
      </c>
      <c r="AW571" s="42">
        <v>3259.8454250111677</v>
      </c>
      <c r="AX571" s="42">
        <v>2022.7985302272002</v>
      </c>
      <c r="AY571" s="42">
        <v>1431</v>
      </c>
      <c r="AZ571" s="42">
        <v>665</v>
      </c>
      <c r="BA571" s="42">
        <v>556</v>
      </c>
      <c r="BB571" s="42">
        <v>500</v>
      </c>
      <c r="BC571" s="42">
        <v>861</v>
      </c>
      <c r="BD571" s="42">
        <v>500</v>
      </c>
      <c r="BE571" s="42">
        <v>0</v>
      </c>
      <c r="BF571" s="42">
        <v>0</v>
      </c>
      <c r="BG571" s="42">
        <v>0</v>
      </c>
      <c r="BH571" s="42">
        <v>0</v>
      </c>
      <c r="BI571" s="42">
        <v>1861</v>
      </c>
      <c r="BJ571" s="42">
        <v>0</v>
      </c>
      <c r="BK571" s="42">
        <v>0</v>
      </c>
      <c r="BL571" s="42">
        <v>0</v>
      </c>
      <c r="BM571" s="42">
        <v>0</v>
      </c>
      <c r="BN571" s="42">
        <v>1861</v>
      </c>
      <c r="BO571" s="42">
        <v>0</v>
      </c>
      <c r="BP571" s="42">
        <v>0</v>
      </c>
      <c r="BQ571" s="42">
        <v>0</v>
      </c>
      <c r="BR571" s="42">
        <v>0</v>
      </c>
      <c r="BS571" s="42">
        <v>3340.7843467614907</v>
      </c>
      <c r="BT571" s="42">
        <v>0</v>
      </c>
      <c r="BU571" s="42">
        <v>0</v>
      </c>
      <c r="BV571" s="42">
        <v>0</v>
      </c>
      <c r="BW571" s="42">
        <v>0</v>
      </c>
      <c r="BX571" s="42">
        <v>0</v>
      </c>
      <c r="BY571" s="42">
        <v>3848.3125108981017</v>
      </c>
      <c r="BZ571" s="42">
        <v>0</v>
      </c>
      <c r="CA571" s="42">
        <v>0</v>
      </c>
      <c r="CB571" s="42">
        <v>0</v>
      </c>
      <c r="CC571" s="42">
        <v>0</v>
      </c>
      <c r="CD571" s="42">
        <v>4409.5027487019288</v>
      </c>
      <c r="CE571" s="42">
        <v>0</v>
      </c>
      <c r="CF571" s="42">
        <v>0</v>
      </c>
      <c r="CG571" s="42">
        <v>0</v>
      </c>
      <c r="CH571" s="42">
        <v>0</v>
      </c>
      <c r="CI571" s="42">
        <v>0</v>
      </c>
      <c r="CJ571" s="42">
        <v>3490.0296088780974</v>
      </c>
      <c r="CK571" s="43">
        <f t="shared" si="66"/>
        <v>28606.273170477984</v>
      </c>
      <c r="CL571" s="66"/>
      <c r="CM571" s="66">
        <v>0</v>
      </c>
      <c r="CN571" s="66">
        <v>0</v>
      </c>
      <c r="CO571" s="66">
        <v>0</v>
      </c>
      <c r="CP571" s="66">
        <v>2064.8362918210742</v>
      </c>
      <c r="CQ571" s="66">
        <v>0</v>
      </c>
      <c r="CR571" s="66">
        <v>0</v>
      </c>
      <c r="CS571" s="66">
        <v>0</v>
      </c>
      <c r="CT571" s="66">
        <v>0</v>
      </c>
      <c r="CU571" s="66">
        <v>0</v>
      </c>
      <c r="CV571" s="66">
        <v>702</v>
      </c>
      <c r="CW571" s="66">
        <v>0</v>
      </c>
      <c r="CX571" s="66">
        <v>0</v>
      </c>
      <c r="CY571" s="66">
        <v>0</v>
      </c>
      <c r="CZ571" s="66">
        <v>0</v>
      </c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>
        <f>SUM(Table1[[#This Row],[01-03 Apr]:[Mar-26]])</f>
        <v>2766.8362918210742</v>
      </c>
    </row>
    <row r="572" spans="1:115" x14ac:dyDescent="0.2">
      <c r="A572" s="28" t="s">
        <v>2253</v>
      </c>
      <c r="B572" s="29" t="s">
        <v>1313</v>
      </c>
      <c r="C572" s="29" t="s">
        <v>1314</v>
      </c>
      <c r="D572" s="30" t="s">
        <v>1315</v>
      </c>
      <c r="E572" s="30" t="s">
        <v>85</v>
      </c>
      <c r="F572" s="30"/>
      <c r="G572" s="31"/>
      <c r="H572" s="30">
        <v>359961</v>
      </c>
      <c r="I572" s="30" t="str">
        <f>IF(Table1[[#This Row],[Centre Status]]="Returned","NA",IF(Table1[[#This Row],[SD]]&gt;19000,"Full Payment",IF(Table1[[#This Row],[SD]]&lt;1,"No Payment","Partial Payment")))</f>
        <v>No Payment</v>
      </c>
      <c r="J572" s="30" t="s">
        <v>58</v>
      </c>
      <c r="K572" s="32">
        <v>110000</v>
      </c>
      <c r="L572" s="33">
        <f>Q572+R572+U572+Table1[[#This Row],[Farmer Payment]]</f>
        <v>12362</v>
      </c>
      <c r="M572" s="30"/>
      <c r="N572" s="34"/>
      <c r="O572" s="34"/>
      <c r="P572" s="35">
        <f t="shared" si="63"/>
        <v>97638</v>
      </c>
      <c r="Q572" s="33">
        <f>AI572+AV572+CK572+Table1[[#This Row],[FY 25-26]]</f>
        <v>12362</v>
      </c>
      <c r="R572" s="36"/>
      <c r="S572" s="37"/>
      <c r="T572" s="38"/>
      <c r="U572" s="39"/>
      <c r="V572" s="39"/>
      <c r="W572" s="40">
        <v>0</v>
      </c>
      <c r="X572" s="40">
        <v>0</v>
      </c>
      <c r="Y572" s="40">
        <v>0</v>
      </c>
      <c r="Z572" s="40">
        <v>0</v>
      </c>
      <c r="AA572" s="40">
        <v>0</v>
      </c>
      <c r="AB572" s="40">
        <v>0</v>
      </c>
      <c r="AC572" s="40">
        <v>0</v>
      </c>
      <c r="AD572" s="40">
        <v>0</v>
      </c>
      <c r="AE572" s="40">
        <v>0</v>
      </c>
      <c r="AF572" s="40">
        <v>0</v>
      </c>
      <c r="AG572" s="40">
        <v>0</v>
      </c>
      <c r="AH572" s="40">
        <v>0</v>
      </c>
      <c r="AI572" s="41">
        <f t="shared" si="64"/>
        <v>0</v>
      </c>
      <c r="AJ572" s="42">
        <v>0</v>
      </c>
      <c r="AK572" s="42">
        <v>0</v>
      </c>
      <c r="AL572" s="42">
        <v>0</v>
      </c>
      <c r="AM572" s="42">
        <v>0</v>
      </c>
      <c r="AN572" s="42">
        <v>0</v>
      </c>
      <c r="AO572" s="42">
        <v>0</v>
      </c>
      <c r="AP572" s="42">
        <v>0</v>
      </c>
      <c r="AQ572" s="42">
        <v>0</v>
      </c>
      <c r="AR572" s="42">
        <v>0</v>
      </c>
      <c r="AS572" s="42">
        <v>0</v>
      </c>
      <c r="AT572" s="42">
        <v>0</v>
      </c>
      <c r="AU572" s="42">
        <v>0</v>
      </c>
      <c r="AV572" s="42">
        <f t="shared" si="65"/>
        <v>0</v>
      </c>
      <c r="AW572" s="42">
        <v>1861</v>
      </c>
      <c r="AX572" s="42">
        <v>1861</v>
      </c>
      <c r="AY572" s="42">
        <v>1803</v>
      </c>
      <c r="AZ572" s="42">
        <v>0</v>
      </c>
      <c r="BA572" s="42">
        <v>0</v>
      </c>
      <c r="BB572" s="42">
        <v>0</v>
      </c>
      <c r="BC572" s="42">
        <v>0</v>
      </c>
      <c r="BD572" s="42">
        <v>0</v>
      </c>
      <c r="BE572" s="42">
        <v>311</v>
      </c>
      <c r="BF572" s="42">
        <v>500</v>
      </c>
      <c r="BG572" s="42">
        <v>500</v>
      </c>
      <c r="BH572" s="42">
        <v>500</v>
      </c>
      <c r="BI572" s="42">
        <v>0</v>
      </c>
      <c r="BJ572" s="42">
        <v>500</v>
      </c>
      <c r="BK572" s="42">
        <v>500</v>
      </c>
      <c r="BL572" s="42">
        <v>0</v>
      </c>
      <c r="BM572" s="42">
        <v>0</v>
      </c>
      <c r="BN572" s="42">
        <v>0</v>
      </c>
      <c r="BO572" s="42">
        <v>0</v>
      </c>
      <c r="BP572" s="42">
        <v>500</v>
      </c>
      <c r="BQ572" s="42">
        <v>500</v>
      </c>
      <c r="BR572" s="42">
        <v>500</v>
      </c>
      <c r="BS572" s="42">
        <v>0</v>
      </c>
      <c r="BT572" s="42">
        <v>500</v>
      </c>
      <c r="BU572" s="42">
        <v>500</v>
      </c>
      <c r="BV572" s="42">
        <v>0</v>
      </c>
      <c r="BW572" s="42">
        <v>0</v>
      </c>
      <c r="BX572" s="42">
        <v>0</v>
      </c>
      <c r="BY572" s="42">
        <v>1361</v>
      </c>
      <c r="BZ572" s="42">
        <v>0</v>
      </c>
      <c r="CA572" s="42">
        <v>0</v>
      </c>
      <c r="CB572" s="42">
        <v>0</v>
      </c>
      <c r="CC572" s="42">
        <v>0</v>
      </c>
      <c r="CD572" s="42">
        <v>0</v>
      </c>
      <c r="CE572" s="42">
        <v>0</v>
      </c>
      <c r="CF572" s="42">
        <v>0</v>
      </c>
      <c r="CG572" s="42">
        <v>0</v>
      </c>
      <c r="CH572" s="42">
        <v>0</v>
      </c>
      <c r="CI572" s="42">
        <v>0</v>
      </c>
      <c r="CJ572" s="42">
        <v>165</v>
      </c>
      <c r="CK572" s="43">
        <f t="shared" si="66"/>
        <v>12362</v>
      </c>
      <c r="CL572" s="66"/>
      <c r="CM572" s="66">
        <v>0</v>
      </c>
      <c r="CN572" s="66">
        <v>0</v>
      </c>
      <c r="CO572" s="66">
        <v>0</v>
      </c>
      <c r="CP572" s="66">
        <v>0</v>
      </c>
      <c r="CQ572" s="66">
        <v>0</v>
      </c>
      <c r="CR572" s="66">
        <v>0</v>
      </c>
      <c r="CS572" s="66">
        <v>0</v>
      </c>
      <c r="CT572" s="66">
        <v>0</v>
      </c>
      <c r="CU572" s="66">
        <v>0</v>
      </c>
      <c r="CV572" s="66">
        <v>0</v>
      </c>
      <c r="CW572" s="66">
        <v>0</v>
      </c>
      <c r="CX572" s="66">
        <v>0</v>
      </c>
      <c r="CY572" s="66">
        <v>0</v>
      </c>
      <c r="CZ572" s="66">
        <v>0</v>
      </c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>
        <f>SUM(Table1[[#This Row],[01-03 Apr]:[Mar-26]])</f>
        <v>0</v>
      </c>
    </row>
    <row r="573" spans="1:115" x14ac:dyDescent="0.2">
      <c r="A573" s="28" t="s">
        <v>2253</v>
      </c>
      <c r="B573" s="29" t="s">
        <v>1316</v>
      </c>
      <c r="C573" s="29" t="s">
        <v>1317</v>
      </c>
      <c r="D573" s="30" t="s">
        <v>1318</v>
      </c>
      <c r="E573" s="30" t="s">
        <v>85</v>
      </c>
      <c r="F573" s="30"/>
      <c r="G573" s="31"/>
      <c r="H573" s="30">
        <v>360138</v>
      </c>
      <c r="I573" s="30" t="str">
        <f>IF(Table1[[#This Row],[Centre Status]]="Returned","NA",IF(Table1[[#This Row],[SD]]&gt;19000,"Full Payment",IF(Table1[[#This Row],[SD]]&lt;1,"No Payment","Partial Payment")))</f>
        <v>Partial Payment</v>
      </c>
      <c r="J573" s="30" t="s">
        <v>58</v>
      </c>
      <c r="K573" s="32">
        <v>110000</v>
      </c>
      <c r="L573" s="33">
        <f>Q573+R573+U573+Table1[[#This Row],[Farmer Payment]]</f>
        <v>11051</v>
      </c>
      <c r="M573" s="30"/>
      <c r="N573" s="34"/>
      <c r="O573" s="34"/>
      <c r="P573" s="35">
        <f t="shared" si="63"/>
        <v>98949</v>
      </c>
      <c r="Q573" s="33">
        <f>AI573+AV573+CK573+Table1[[#This Row],[FY 25-26]]</f>
        <v>1051</v>
      </c>
      <c r="R573" s="36">
        <v>10000</v>
      </c>
      <c r="S573" s="37" t="s">
        <v>2567</v>
      </c>
      <c r="T573" s="38">
        <v>45222</v>
      </c>
      <c r="U573" s="39"/>
      <c r="V573" s="39"/>
      <c r="W573" s="40">
        <v>0</v>
      </c>
      <c r="X573" s="40">
        <v>0</v>
      </c>
      <c r="Y573" s="40">
        <v>0</v>
      </c>
      <c r="Z573" s="40">
        <v>0</v>
      </c>
      <c r="AA573" s="40">
        <v>0</v>
      </c>
      <c r="AB573" s="40">
        <v>0</v>
      </c>
      <c r="AC573" s="40">
        <v>0</v>
      </c>
      <c r="AD573" s="40">
        <v>0</v>
      </c>
      <c r="AE573" s="40">
        <v>0</v>
      </c>
      <c r="AF573" s="40">
        <v>0</v>
      </c>
      <c r="AG573" s="40">
        <v>0</v>
      </c>
      <c r="AH573" s="40">
        <v>0</v>
      </c>
      <c r="AI573" s="41">
        <f t="shared" si="64"/>
        <v>0</v>
      </c>
      <c r="AJ573" s="42">
        <v>0</v>
      </c>
      <c r="AK573" s="42">
        <v>0</v>
      </c>
      <c r="AL573" s="42">
        <v>0</v>
      </c>
      <c r="AM573" s="42">
        <v>0</v>
      </c>
      <c r="AN573" s="42">
        <v>0</v>
      </c>
      <c r="AO573" s="42">
        <v>0</v>
      </c>
      <c r="AP573" s="42">
        <v>0</v>
      </c>
      <c r="AQ573" s="42">
        <v>0</v>
      </c>
      <c r="AR573" s="42">
        <v>0</v>
      </c>
      <c r="AS573" s="42">
        <v>0</v>
      </c>
      <c r="AT573" s="42">
        <v>0</v>
      </c>
      <c r="AU573" s="42">
        <v>0</v>
      </c>
      <c r="AV573" s="42">
        <f t="shared" si="65"/>
        <v>0</v>
      </c>
      <c r="AW573" s="42">
        <v>12</v>
      </c>
      <c r="AX573" s="42">
        <v>854</v>
      </c>
      <c r="AY573" s="42">
        <v>185</v>
      </c>
      <c r="AZ573" s="42">
        <v>0</v>
      </c>
      <c r="BA573" s="42">
        <v>0</v>
      </c>
      <c r="BB573" s="42">
        <v>0</v>
      </c>
      <c r="BC573" s="42">
        <v>0</v>
      </c>
      <c r="BD573" s="42">
        <v>0</v>
      </c>
      <c r="BE573" s="42">
        <v>0</v>
      </c>
      <c r="BF573" s="42">
        <v>0</v>
      </c>
      <c r="BG573" s="42">
        <v>0</v>
      </c>
      <c r="BH573" s="42">
        <v>0</v>
      </c>
      <c r="BI573" s="42">
        <v>0</v>
      </c>
      <c r="BJ573" s="42">
        <v>0</v>
      </c>
      <c r="BK573" s="42">
        <v>0</v>
      </c>
      <c r="BL573" s="42">
        <v>0</v>
      </c>
      <c r="BM573" s="42">
        <v>0</v>
      </c>
      <c r="BN573" s="42">
        <v>0</v>
      </c>
      <c r="BO573" s="42">
        <v>0</v>
      </c>
      <c r="BP573" s="42">
        <v>0</v>
      </c>
      <c r="BQ573" s="42">
        <v>0</v>
      </c>
      <c r="BR573" s="42">
        <v>0</v>
      </c>
      <c r="BS573" s="42">
        <v>0</v>
      </c>
      <c r="BT573" s="42">
        <v>0</v>
      </c>
      <c r="BU573" s="42">
        <v>0</v>
      </c>
      <c r="BV573" s="42">
        <v>0</v>
      </c>
      <c r="BW573" s="42">
        <v>0</v>
      </c>
      <c r="BX573" s="42">
        <v>0</v>
      </c>
      <c r="BY573" s="42">
        <v>0</v>
      </c>
      <c r="BZ573" s="42">
        <v>0</v>
      </c>
      <c r="CA573" s="42">
        <v>0</v>
      </c>
      <c r="CB573" s="42">
        <v>0</v>
      </c>
      <c r="CC573" s="42">
        <v>0</v>
      </c>
      <c r="CD573" s="42">
        <v>0</v>
      </c>
      <c r="CE573" s="42">
        <v>0</v>
      </c>
      <c r="CF573" s="42">
        <v>0</v>
      </c>
      <c r="CG573" s="42">
        <v>0</v>
      </c>
      <c r="CH573" s="42">
        <v>0</v>
      </c>
      <c r="CI573" s="42">
        <v>0</v>
      </c>
      <c r="CJ573" s="42">
        <v>0</v>
      </c>
      <c r="CK573" s="43">
        <f t="shared" si="66"/>
        <v>1051</v>
      </c>
      <c r="CL573" s="66"/>
      <c r="CM573" s="66">
        <v>0</v>
      </c>
      <c r="CN573" s="66">
        <v>0</v>
      </c>
      <c r="CO573" s="66">
        <v>0</v>
      </c>
      <c r="CP573" s="66">
        <v>0</v>
      </c>
      <c r="CQ573" s="66">
        <v>0</v>
      </c>
      <c r="CR573" s="66">
        <v>0</v>
      </c>
      <c r="CS573" s="66">
        <v>0</v>
      </c>
      <c r="CT573" s="66">
        <v>0</v>
      </c>
      <c r="CU573" s="66">
        <v>0</v>
      </c>
      <c r="CV573" s="66">
        <v>0</v>
      </c>
      <c r="CW573" s="66">
        <v>0</v>
      </c>
      <c r="CX573" s="66">
        <v>0</v>
      </c>
      <c r="CY573" s="66">
        <v>0</v>
      </c>
      <c r="CZ573" s="66">
        <v>0</v>
      </c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>
        <f>SUM(Table1[[#This Row],[01-03 Apr]:[Mar-26]])</f>
        <v>0</v>
      </c>
    </row>
    <row r="574" spans="1:115" x14ac:dyDescent="0.2">
      <c r="A574" s="28" t="s">
        <v>2253</v>
      </c>
      <c r="B574" s="29" t="s">
        <v>1319</v>
      </c>
      <c r="C574" s="29" t="s">
        <v>1320</v>
      </c>
      <c r="D574" s="30" t="s">
        <v>1321</v>
      </c>
      <c r="E574" s="30" t="s">
        <v>85</v>
      </c>
      <c r="F574" s="30"/>
      <c r="G574" s="31"/>
      <c r="H574" s="30">
        <v>368618</v>
      </c>
      <c r="I574" s="30" t="str">
        <f>IF(Table1[[#This Row],[Centre Status]]="Returned","NA",IF(Table1[[#This Row],[SD]]&gt;19000,"Full Payment",IF(Table1[[#This Row],[SD]]&lt;1,"No Payment","Partial Payment")))</f>
        <v>No Payment</v>
      </c>
      <c r="J574" s="30" t="s">
        <v>58</v>
      </c>
      <c r="K574" s="32">
        <v>110000</v>
      </c>
      <c r="L574" s="33">
        <f>Q574+R574+U574+Table1[[#This Row],[Farmer Payment]]</f>
        <v>23839.930977029391</v>
      </c>
      <c r="M574" s="30"/>
      <c r="N574" s="34"/>
      <c r="O574" s="34"/>
      <c r="P574" s="35">
        <f t="shared" si="63"/>
        <v>86160.069022970609</v>
      </c>
      <c r="Q574" s="33">
        <f>AI574+AV574+CK574+Table1[[#This Row],[FY 25-26]]</f>
        <v>23839.930977029391</v>
      </c>
      <c r="R574" s="36"/>
      <c r="S574" s="37"/>
      <c r="T574" s="38"/>
      <c r="U574" s="39"/>
      <c r="V574" s="39"/>
      <c r="W574" s="40">
        <v>0</v>
      </c>
      <c r="X574" s="40">
        <v>0</v>
      </c>
      <c r="Y574" s="40">
        <v>0</v>
      </c>
      <c r="Z574" s="40">
        <v>0</v>
      </c>
      <c r="AA574" s="40">
        <v>0</v>
      </c>
      <c r="AB574" s="40">
        <v>0</v>
      </c>
      <c r="AC574" s="40">
        <v>0</v>
      </c>
      <c r="AD574" s="40">
        <v>0</v>
      </c>
      <c r="AE574" s="40">
        <v>0</v>
      </c>
      <c r="AF574" s="40">
        <v>0</v>
      </c>
      <c r="AG574" s="40">
        <v>0</v>
      </c>
      <c r="AH574" s="40">
        <v>0</v>
      </c>
      <c r="AI574" s="41">
        <f t="shared" si="64"/>
        <v>0</v>
      </c>
      <c r="AJ574" s="42">
        <v>0</v>
      </c>
      <c r="AK574" s="42">
        <v>0</v>
      </c>
      <c r="AL574" s="42">
        <v>0</v>
      </c>
      <c r="AM574" s="42">
        <v>0</v>
      </c>
      <c r="AN574" s="42">
        <v>0</v>
      </c>
      <c r="AO574" s="42">
        <v>0</v>
      </c>
      <c r="AP574" s="42">
        <v>0</v>
      </c>
      <c r="AQ574" s="42">
        <v>0</v>
      </c>
      <c r="AR574" s="42">
        <v>0</v>
      </c>
      <c r="AS574" s="42">
        <v>0</v>
      </c>
      <c r="AT574" s="42">
        <v>0</v>
      </c>
      <c r="AU574" s="42">
        <v>0</v>
      </c>
      <c r="AV574" s="42">
        <f t="shared" si="65"/>
        <v>0</v>
      </c>
      <c r="AW574" s="42">
        <v>2210.4632601180342</v>
      </c>
      <c r="AX574" s="42">
        <v>1861</v>
      </c>
      <c r="AY574" s="42">
        <v>1861</v>
      </c>
      <c r="AZ574" s="42">
        <v>1861</v>
      </c>
      <c r="BA574" s="42">
        <v>1188</v>
      </c>
      <c r="BB574" s="42">
        <v>500</v>
      </c>
      <c r="BC574" s="42">
        <v>861</v>
      </c>
      <c r="BD574" s="42">
        <v>500</v>
      </c>
      <c r="BE574" s="42">
        <v>0</v>
      </c>
      <c r="BF574" s="42">
        <v>0</v>
      </c>
      <c r="BG574" s="42">
        <v>0</v>
      </c>
      <c r="BH574" s="42">
        <v>0</v>
      </c>
      <c r="BI574" s="42">
        <v>1861</v>
      </c>
      <c r="BJ574" s="42">
        <v>0</v>
      </c>
      <c r="BK574" s="42">
        <v>0</v>
      </c>
      <c r="BL574" s="42">
        <v>0</v>
      </c>
      <c r="BM574" s="42">
        <v>0</v>
      </c>
      <c r="BN574" s="42">
        <v>1861</v>
      </c>
      <c r="BO574" s="42">
        <v>0</v>
      </c>
      <c r="BP574" s="42">
        <v>0</v>
      </c>
      <c r="BQ574" s="42">
        <v>0</v>
      </c>
      <c r="BR574" s="42">
        <v>0</v>
      </c>
      <c r="BS574" s="42">
        <v>2594.4577463677265</v>
      </c>
      <c r="BT574" s="42">
        <v>0</v>
      </c>
      <c r="BU574" s="42">
        <v>0</v>
      </c>
      <c r="BV574" s="42">
        <v>0</v>
      </c>
      <c r="BW574" s="42">
        <v>0</v>
      </c>
      <c r="BX574" s="42">
        <v>0</v>
      </c>
      <c r="BY574" s="42">
        <v>2080.0099705436314</v>
      </c>
      <c r="BZ574" s="42">
        <v>0</v>
      </c>
      <c r="CA574" s="42">
        <v>0</v>
      </c>
      <c r="CB574" s="42">
        <v>0</v>
      </c>
      <c r="CC574" s="42">
        <v>0</v>
      </c>
      <c r="CD574" s="42">
        <v>1861</v>
      </c>
      <c r="CE574" s="42">
        <v>0</v>
      </c>
      <c r="CF574" s="42">
        <v>0</v>
      </c>
      <c r="CG574" s="42">
        <v>0</v>
      </c>
      <c r="CH574" s="42">
        <v>0</v>
      </c>
      <c r="CI574" s="42">
        <v>0</v>
      </c>
      <c r="CJ574" s="42">
        <v>1861</v>
      </c>
      <c r="CK574" s="43">
        <f t="shared" si="66"/>
        <v>22960.930977029391</v>
      </c>
      <c r="CL574" s="66"/>
      <c r="CM574" s="66">
        <v>0</v>
      </c>
      <c r="CN574" s="66">
        <v>0</v>
      </c>
      <c r="CO574" s="66">
        <v>0</v>
      </c>
      <c r="CP574" s="66">
        <v>879</v>
      </c>
      <c r="CQ574" s="66">
        <v>0</v>
      </c>
      <c r="CR574" s="66">
        <v>0</v>
      </c>
      <c r="CS574" s="66">
        <v>0</v>
      </c>
      <c r="CT574" s="66">
        <v>0</v>
      </c>
      <c r="CU574" s="66">
        <v>0</v>
      </c>
      <c r="CV574" s="66">
        <v>0</v>
      </c>
      <c r="CW574" s="66">
        <v>0</v>
      </c>
      <c r="CX574" s="66">
        <v>0</v>
      </c>
      <c r="CY574" s="66">
        <v>0</v>
      </c>
      <c r="CZ574" s="66">
        <v>0</v>
      </c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>
        <f>SUM(Table1[[#This Row],[01-03 Apr]:[Mar-26]])</f>
        <v>879</v>
      </c>
    </row>
    <row r="575" spans="1:115" x14ac:dyDescent="0.2">
      <c r="A575" s="28"/>
      <c r="B575" s="29"/>
      <c r="C575" s="29" t="s">
        <v>2636</v>
      </c>
      <c r="D575" s="30" t="s">
        <v>2644</v>
      </c>
      <c r="E575" s="30"/>
      <c r="F575" s="30"/>
      <c r="G575" s="31"/>
      <c r="H575" s="30">
        <v>361579</v>
      </c>
      <c r="I575" s="30" t="str">
        <f>IF(Table1[[#This Row],[Centre Status]]="Returned","NA",IF(Table1[[#This Row],[SD]]&gt;19000,"Full Payment",IF(Table1[[#This Row],[SD]]&lt;1,"No Payment","Partial Payment")))</f>
        <v>No Payment</v>
      </c>
      <c r="J575" s="30" t="s">
        <v>58</v>
      </c>
      <c r="K575" s="32">
        <v>110000</v>
      </c>
      <c r="L575" s="33">
        <f>Q575+R575+U575+Table1[[#This Row],[Farmer Payment]]</f>
        <v>10767</v>
      </c>
      <c r="M575" s="30"/>
      <c r="N575" s="34"/>
      <c r="O575" s="34"/>
      <c r="P575" s="35">
        <f t="shared" si="63"/>
        <v>99233</v>
      </c>
      <c r="Q575" s="33">
        <f>AI575+AV575+CK575+Table1[[#This Row],[FY 25-26]]</f>
        <v>10767</v>
      </c>
      <c r="R575" s="36"/>
      <c r="S575" s="37"/>
      <c r="T575" s="38"/>
      <c r="U575" s="39"/>
      <c r="V575" s="39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1">
        <f t="shared" si="64"/>
        <v>0</v>
      </c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>
        <f t="shared" si="65"/>
        <v>0</v>
      </c>
      <c r="AW575" s="42"/>
      <c r="AX575" s="42"/>
      <c r="AY575" s="42"/>
      <c r="AZ575" s="42"/>
      <c r="BA575" s="42"/>
      <c r="BB575" s="42">
        <v>0</v>
      </c>
      <c r="BC575" s="42">
        <v>0</v>
      </c>
      <c r="BD575" s="42">
        <v>0</v>
      </c>
      <c r="BE575" s="42">
        <v>0</v>
      </c>
      <c r="BF575" s="42">
        <v>500</v>
      </c>
      <c r="BG575" s="42">
        <v>500</v>
      </c>
      <c r="BH575" s="42">
        <v>500</v>
      </c>
      <c r="BI575" s="42">
        <v>0</v>
      </c>
      <c r="BJ575" s="42">
        <v>500</v>
      </c>
      <c r="BK575" s="42">
        <v>500</v>
      </c>
      <c r="BL575" s="42">
        <v>500</v>
      </c>
      <c r="BM575" s="42">
        <v>500</v>
      </c>
      <c r="BN575" s="42">
        <v>0</v>
      </c>
      <c r="BO575" s="42">
        <v>500</v>
      </c>
      <c r="BP575" s="42">
        <v>500</v>
      </c>
      <c r="BQ575" s="42">
        <v>500</v>
      </c>
      <c r="BR575" s="42">
        <v>500</v>
      </c>
      <c r="BS575" s="42">
        <v>0</v>
      </c>
      <c r="BT575" s="42">
        <v>500</v>
      </c>
      <c r="BU575" s="42">
        <v>500</v>
      </c>
      <c r="BV575" s="42">
        <v>0</v>
      </c>
      <c r="BW575" s="42">
        <v>0</v>
      </c>
      <c r="BX575" s="42">
        <v>0</v>
      </c>
      <c r="BY575" s="42">
        <v>0</v>
      </c>
      <c r="BZ575" s="42">
        <v>0</v>
      </c>
      <c r="CA575" s="42">
        <v>500</v>
      </c>
      <c r="CB575" s="42">
        <v>0</v>
      </c>
      <c r="CC575" s="42">
        <v>0</v>
      </c>
      <c r="CD575" s="42">
        <v>1361</v>
      </c>
      <c r="CE575" s="42">
        <v>0</v>
      </c>
      <c r="CF575" s="42">
        <v>0</v>
      </c>
      <c r="CG575" s="42">
        <v>0</v>
      </c>
      <c r="CH575" s="42">
        <v>0</v>
      </c>
      <c r="CI575" s="42">
        <v>0</v>
      </c>
      <c r="CJ575" s="42">
        <v>1861</v>
      </c>
      <c r="CK575" s="43">
        <f t="shared" si="66"/>
        <v>10222</v>
      </c>
      <c r="CL575" s="66"/>
      <c r="CM575" s="66">
        <v>0</v>
      </c>
      <c r="CN575" s="66">
        <v>0</v>
      </c>
      <c r="CO575" s="66">
        <v>0</v>
      </c>
      <c r="CP575" s="66">
        <v>545</v>
      </c>
      <c r="CQ575" s="66">
        <v>0</v>
      </c>
      <c r="CR575" s="66">
        <v>0</v>
      </c>
      <c r="CS575" s="66">
        <v>0</v>
      </c>
      <c r="CT575" s="66">
        <v>0</v>
      </c>
      <c r="CU575" s="66">
        <v>0</v>
      </c>
      <c r="CV575" s="66">
        <v>0</v>
      </c>
      <c r="CW575" s="66">
        <v>0</v>
      </c>
      <c r="CX575" s="66">
        <v>0</v>
      </c>
      <c r="CY575" s="66">
        <v>0</v>
      </c>
      <c r="CZ575" s="66">
        <v>0</v>
      </c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>
        <f>SUM(Table1[[#This Row],[01-03 Apr]:[Mar-26]])</f>
        <v>545</v>
      </c>
    </row>
    <row r="576" spans="1:115" x14ac:dyDescent="0.2">
      <c r="A576" s="28" t="s">
        <v>2253</v>
      </c>
      <c r="B576" s="29" t="s">
        <v>1322</v>
      </c>
      <c r="C576" s="29" t="s">
        <v>1323</v>
      </c>
      <c r="D576" s="30" t="s">
        <v>1324</v>
      </c>
      <c r="E576" s="30" t="s">
        <v>584</v>
      </c>
      <c r="F576" s="30"/>
      <c r="G576" s="31"/>
      <c r="H576" s="30">
        <v>361577</v>
      </c>
      <c r="I576" s="30" t="str">
        <f>IF(Table1[[#This Row],[Centre Status]]="Returned","NA",IF(Table1[[#This Row],[SD]]&gt;19000,"Full Payment",IF(Table1[[#This Row],[SD]]&lt;1,"No Payment","Partial Payment")))</f>
        <v>Partial Payment</v>
      </c>
      <c r="J576" s="30" t="s">
        <v>58</v>
      </c>
      <c r="K576" s="32">
        <v>110000</v>
      </c>
      <c r="L576" s="33">
        <f>Q576+R576+U576+Table1[[#This Row],[Farmer Payment]]</f>
        <v>55230.595701432139</v>
      </c>
      <c r="M576" s="30"/>
      <c r="N576" s="34"/>
      <c r="O576" s="34"/>
      <c r="P576" s="35">
        <f t="shared" si="63"/>
        <v>54769.404298567861</v>
      </c>
      <c r="Q576" s="33">
        <f>AI576+AV576+CK576+Table1[[#This Row],[FY 25-26]]</f>
        <v>45230.595701432139</v>
      </c>
      <c r="R576" s="36">
        <v>10000</v>
      </c>
      <c r="S576" s="37" t="s">
        <v>606</v>
      </c>
      <c r="T576" s="38">
        <v>44894</v>
      </c>
      <c r="U576" s="39"/>
      <c r="V576" s="39"/>
      <c r="W576" s="40">
        <v>0</v>
      </c>
      <c r="X576" s="40">
        <v>0</v>
      </c>
      <c r="Y576" s="40">
        <v>0</v>
      </c>
      <c r="Z576" s="40">
        <v>0</v>
      </c>
      <c r="AA576" s="40">
        <v>0</v>
      </c>
      <c r="AB576" s="40">
        <v>0</v>
      </c>
      <c r="AC576" s="40">
        <v>0</v>
      </c>
      <c r="AD576" s="40">
        <v>0</v>
      </c>
      <c r="AE576" s="40">
        <v>0</v>
      </c>
      <c r="AF576" s="40">
        <v>3452.6224000000007</v>
      </c>
      <c r="AG576" s="40">
        <v>2000</v>
      </c>
      <c r="AH576" s="40">
        <v>0</v>
      </c>
      <c r="AI576" s="41">
        <f t="shared" si="64"/>
        <v>5452.6224000000002</v>
      </c>
      <c r="AJ576" s="42">
        <v>0</v>
      </c>
      <c r="AK576" s="42">
        <v>0</v>
      </c>
      <c r="AL576" s="42">
        <v>0</v>
      </c>
      <c r="AM576" s="42">
        <v>0</v>
      </c>
      <c r="AN576" s="42">
        <v>0</v>
      </c>
      <c r="AO576" s="42">
        <v>0</v>
      </c>
      <c r="AP576" s="42">
        <v>0</v>
      </c>
      <c r="AQ576" s="42">
        <v>0</v>
      </c>
      <c r="AR576" s="42">
        <v>0</v>
      </c>
      <c r="AS576" s="42">
        <v>0</v>
      </c>
      <c r="AT576" s="42">
        <v>0</v>
      </c>
      <c r="AU576" s="42">
        <v>0</v>
      </c>
      <c r="AV576" s="42">
        <f t="shared" si="65"/>
        <v>0</v>
      </c>
      <c r="AW576" s="42">
        <v>4331.1897660233681</v>
      </c>
      <c r="AX576" s="42">
        <v>4593.8414670192606</v>
      </c>
      <c r="AY576" s="42">
        <v>4190.0375181812169</v>
      </c>
      <c r="AZ576" s="42">
        <v>4046.7374454140881</v>
      </c>
      <c r="BA576" s="42">
        <v>1861</v>
      </c>
      <c r="BB576" s="42">
        <v>0</v>
      </c>
      <c r="BC576" s="42">
        <v>1995.4085293334199</v>
      </c>
      <c r="BD576" s="42">
        <v>0</v>
      </c>
      <c r="BE576" s="42">
        <v>0</v>
      </c>
      <c r="BF576" s="42">
        <v>0</v>
      </c>
      <c r="BG576" s="42">
        <v>0</v>
      </c>
      <c r="BH576" s="42">
        <v>0</v>
      </c>
      <c r="BI576" s="42">
        <v>1861</v>
      </c>
      <c r="BJ576" s="42">
        <v>0</v>
      </c>
      <c r="BK576" s="42">
        <v>0</v>
      </c>
      <c r="BL576" s="42">
        <v>0</v>
      </c>
      <c r="BM576" s="42">
        <v>0</v>
      </c>
      <c r="BN576" s="42">
        <v>1861</v>
      </c>
      <c r="BO576" s="42">
        <v>0</v>
      </c>
      <c r="BP576" s="42">
        <v>0</v>
      </c>
      <c r="BQ576" s="42">
        <v>0</v>
      </c>
      <c r="BR576" s="42">
        <v>0</v>
      </c>
      <c r="BS576" s="42">
        <v>2352.0923197073121</v>
      </c>
      <c r="BT576" s="42">
        <v>0</v>
      </c>
      <c r="BU576" s="42">
        <v>0</v>
      </c>
      <c r="BV576" s="42">
        <v>0</v>
      </c>
      <c r="BW576" s="42">
        <v>0</v>
      </c>
      <c r="BX576" s="42">
        <v>0</v>
      </c>
      <c r="BY576" s="42">
        <v>2037.68652805391</v>
      </c>
      <c r="BZ576" s="42">
        <v>0</v>
      </c>
      <c r="CA576" s="42">
        <v>0</v>
      </c>
      <c r="CB576" s="42">
        <v>0</v>
      </c>
      <c r="CC576" s="42">
        <v>0</v>
      </c>
      <c r="CD576" s="42">
        <v>1861</v>
      </c>
      <c r="CE576" s="42">
        <v>0</v>
      </c>
      <c r="CF576" s="42">
        <v>0</v>
      </c>
      <c r="CG576" s="42">
        <v>0</v>
      </c>
      <c r="CH576" s="42">
        <v>0</v>
      </c>
      <c r="CI576" s="42">
        <v>0</v>
      </c>
      <c r="CJ576" s="42">
        <v>3047.2764209450206</v>
      </c>
      <c r="CK576" s="43">
        <f t="shared" si="66"/>
        <v>34038.269994677597</v>
      </c>
      <c r="CL576" s="66"/>
      <c r="CM576" s="66">
        <v>0</v>
      </c>
      <c r="CN576" s="66">
        <v>0</v>
      </c>
      <c r="CO576" s="66">
        <v>0</v>
      </c>
      <c r="CP576" s="66">
        <v>2642.5946595887212</v>
      </c>
      <c r="CQ576" s="66">
        <v>0</v>
      </c>
      <c r="CR576" s="66">
        <v>0</v>
      </c>
      <c r="CS576" s="66">
        <v>0</v>
      </c>
      <c r="CT576" s="66">
        <v>0</v>
      </c>
      <c r="CU576" s="66">
        <v>0</v>
      </c>
      <c r="CV576" s="66">
        <v>3097.1086471658191</v>
      </c>
      <c r="CW576" s="66">
        <v>0</v>
      </c>
      <c r="CX576" s="66">
        <v>0</v>
      </c>
      <c r="CY576" s="66">
        <v>0</v>
      </c>
      <c r="CZ576" s="66">
        <v>0</v>
      </c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>
        <f>SUM(Table1[[#This Row],[01-03 Apr]:[Mar-26]])</f>
        <v>5739.7033067545399</v>
      </c>
    </row>
    <row r="577" spans="1:115" hidden="1" x14ac:dyDescent="0.2">
      <c r="A577" s="28" t="s">
        <v>2253</v>
      </c>
      <c r="B577" s="29" t="s">
        <v>1325</v>
      </c>
      <c r="C577" s="29" t="s">
        <v>1326</v>
      </c>
      <c r="D577" s="30" t="s">
        <v>789</v>
      </c>
      <c r="E577" s="30" t="s">
        <v>57</v>
      </c>
      <c r="F577" s="30"/>
      <c r="G577" s="31"/>
      <c r="H577" s="30">
        <v>368636</v>
      </c>
      <c r="I577" s="30" t="str">
        <f>IF(Table1[[#This Row],[Centre Status]]="Returned","NA",IF(Table1[[#This Row],[SD]]&gt;19000,"Full Payment",IF(Table1[[#This Row],[SD]]&lt;1,"No Payment","Partial Payment")))</f>
        <v>Full Payment</v>
      </c>
      <c r="J577" s="30" t="s">
        <v>58</v>
      </c>
      <c r="K577" s="32">
        <v>110000</v>
      </c>
      <c r="L577" s="33">
        <f>Q577+R577+U577+Table1[[#This Row],[Farmer Payment]]</f>
        <v>51960.82481472005</v>
      </c>
      <c r="M577" s="30"/>
      <c r="N577" s="34"/>
      <c r="O577" s="34"/>
      <c r="P577" s="35">
        <f t="shared" si="63"/>
        <v>58039.17518527995</v>
      </c>
      <c r="Q577" s="33">
        <f>AI577+AV577+CK577+Table1[[#This Row],[FY 25-26]]</f>
        <v>31960.824814720054</v>
      </c>
      <c r="R577" s="36">
        <v>20000</v>
      </c>
      <c r="S577" s="37" t="s">
        <v>790</v>
      </c>
      <c r="T577" s="38">
        <v>44847</v>
      </c>
      <c r="U577" s="39"/>
      <c r="V577" s="39"/>
      <c r="W577" s="40">
        <v>0</v>
      </c>
      <c r="X577" s="40">
        <v>0</v>
      </c>
      <c r="Y577" s="40">
        <v>0</v>
      </c>
      <c r="Z577" s="40">
        <v>0</v>
      </c>
      <c r="AA577" s="40">
        <v>0</v>
      </c>
      <c r="AB577" s="40">
        <v>0</v>
      </c>
      <c r="AC577" s="40">
        <v>0</v>
      </c>
      <c r="AD577" s="40">
        <v>0</v>
      </c>
      <c r="AE577" s="40">
        <v>0</v>
      </c>
      <c r="AF577" s="40">
        <v>0</v>
      </c>
      <c r="AG577" s="40">
        <v>0</v>
      </c>
      <c r="AH577" s="40">
        <v>0</v>
      </c>
      <c r="AI577" s="41">
        <f t="shared" si="64"/>
        <v>0</v>
      </c>
      <c r="AJ577" s="42">
        <v>0</v>
      </c>
      <c r="AK577" s="42">
        <v>0</v>
      </c>
      <c r="AL577" s="42">
        <v>0</v>
      </c>
      <c r="AM577" s="42">
        <v>0</v>
      </c>
      <c r="AN577" s="42">
        <v>0</v>
      </c>
      <c r="AO577" s="42">
        <v>0</v>
      </c>
      <c r="AP577" s="42">
        <v>0</v>
      </c>
      <c r="AQ577" s="42">
        <v>0</v>
      </c>
      <c r="AR577" s="42">
        <v>0</v>
      </c>
      <c r="AS577" s="42">
        <v>0</v>
      </c>
      <c r="AT577" s="42">
        <v>0</v>
      </c>
      <c r="AU577" s="42">
        <v>0</v>
      </c>
      <c r="AV577" s="42">
        <f t="shared" si="65"/>
        <v>0</v>
      </c>
      <c r="AW577" s="42">
        <v>3595.5736002048002</v>
      </c>
      <c r="AX577" s="42">
        <v>2978.3501688576002</v>
      </c>
      <c r="AY577" s="42">
        <v>2600.2982853888007</v>
      </c>
      <c r="AZ577" s="42">
        <v>3352.0414087070399</v>
      </c>
      <c r="BA577" s="42">
        <v>2400.5317449836225</v>
      </c>
      <c r="BB577" s="42">
        <v>0</v>
      </c>
      <c r="BC577" s="42">
        <v>2371.9487636006779</v>
      </c>
      <c r="BD577" s="42">
        <v>0</v>
      </c>
      <c r="BE577" s="42">
        <v>0</v>
      </c>
      <c r="BF577" s="42">
        <v>0</v>
      </c>
      <c r="BG577" s="42">
        <v>0</v>
      </c>
      <c r="BH577" s="42">
        <v>0</v>
      </c>
      <c r="BI577" s="42">
        <v>1861</v>
      </c>
      <c r="BJ577" s="42">
        <v>0</v>
      </c>
      <c r="BK577" s="42">
        <v>0</v>
      </c>
      <c r="BL577" s="42">
        <v>0</v>
      </c>
      <c r="BM577" s="42">
        <v>0</v>
      </c>
      <c r="BN577" s="42">
        <v>1861</v>
      </c>
      <c r="BO577" s="42">
        <v>0</v>
      </c>
      <c r="BP577" s="42">
        <v>0</v>
      </c>
      <c r="BQ577" s="42">
        <v>0</v>
      </c>
      <c r="BR577" s="42">
        <v>0</v>
      </c>
      <c r="BS577" s="42">
        <v>2773.7018279398503</v>
      </c>
      <c r="BT577" s="42">
        <v>0</v>
      </c>
      <c r="BU577" s="42">
        <v>0</v>
      </c>
      <c r="BV577" s="42">
        <v>0</v>
      </c>
      <c r="BW577" s="42">
        <v>0</v>
      </c>
      <c r="BX577" s="42">
        <v>0</v>
      </c>
      <c r="BY577" s="42">
        <v>1912.3790150376601</v>
      </c>
      <c r="BZ577" s="42">
        <v>0</v>
      </c>
      <c r="CA577" s="42">
        <v>0</v>
      </c>
      <c r="CB577" s="42">
        <v>0</v>
      </c>
      <c r="CC577" s="42">
        <v>0</v>
      </c>
      <c r="CD577" s="42">
        <v>1861</v>
      </c>
      <c r="CE577" s="42">
        <v>0</v>
      </c>
      <c r="CF577" s="42">
        <v>0</v>
      </c>
      <c r="CG577" s="42">
        <v>0</v>
      </c>
      <c r="CH577" s="42">
        <v>0</v>
      </c>
      <c r="CI577" s="42">
        <v>0</v>
      </c>
      <c r="CJ577" s="42">
        <v>1861</v>
      </c>
      <c r="CK577" s="43">
        <f t="shared" si="66"/>
        <v>29428.824814720054</v>
      </c>
      <c r="CL577" s="66"/>
      <c r="CM577" s="66">
        <v>0</v>
      </c>
      <c r="CN577" s="66">
        <v>0</v>
      </c>
      <c r="CO577" s="66">
        <v>0</v>
      </c>
      <c r="CP577" s="66">
        <v>1517</v>
      </c>
      <c r="CQ577" s="66">
        <v>0</v>
      </c>
      <c r="CR577" s="66">
        <v>0</v>
      </c>
      <c r="CS577" s="66">
        <v>0</v>
      </c>
      <c r="CT577" s="66">
        <v>0</v>
      </c>
      <c r="CU577" s="66">
        <v>0</v>
      </c>
      <c r="CV577" s="66">
        <v>1015</v>
      </c>
      <c r="CW577" s="66">
        <v>0</v>
      </c>
      <c r="CX577" s="66">
        <v>0</v>
      </c>
      <c r="CY577" s="66">
        <v>0</v>
      </c>
      <c r="CZ577" s="66">
        <v>0</v>
      </c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>
        <f>SUM(Table1[[#This Row],[01-03 Apr]:[Mar-26]])</f>
        <v>2532</v>
      </c>
    </row>
    <row r="578" spans="1:115" x14ac:dyDescent="0.2">
      <c r="A578" s="28" t="s">
        <v>2253</v>
      </c>
      <c r="B578" s="29" t="s">
        <v>1327</v>
      </c>
      <c r="C578" s="29" t="s">
        <v>1328</v>
      </c>
      <c r="D578" s="30" t="s">
        <v>1329</v>
      </c>
      <c r="E578" s="30" t="s">
        <v>297</v>
      </c>
      <c r="F578" s="30"/>
      <c r="G578" s="31"/>
      <c r="H578" s="30">
        <v>310436</v>
      </c>
      <c r="I578" s="30" t="str">
        <f>IF(Table1[[#This Row],[Centre Status]]="Returned","NA",IF(Table1[[#This Row],[SD]]&gt;19000,"Full Payment",IF(Table1[[#This Row],[SD]]&lt;1,"No Payment","Partial Payment")))</f>
        <v>No Payment</v>
      </c>
      <c r="J578" s="30" t="s">
        <v>58</v>
      </c>
      <c r="K578" s="32">
        <v>110000</v>
      </c>
      <c r="L578" s="33">
        <f>Q578+R578+U578+Table1[[#This Row],[Farmer Payment]]</f>
        <v>23108</v>
      </c>
      <c r="M578" s="30"/>
      <c r="N578" s="34"/>
      <c r="O578" s="34"/>
      <c r="P578" s="35">
        <f t="shared" si="63"/>
        <v>86892</v>
      </c>
      <c r="Q578" s="33">
        <f>AI578+AV578+CK578+Table1[[#This Row],[FY 25-26]]</f>
        <v>23108</v>
      </c>
      <c r="R578" s="36"/>
      <c r="S578" s="37"/>
      <c r="T578" s="38"/>
      <c r="U578" s="39"/>
      <c r="V578" s="39"/>
      <c r="W578" s="40">
        <v>0</v>
      </c>
      <c r="X578" s="40">
        <v>0</v>
      </c>
      <c r="Y578" s="40">
        <v>0</v>
      </c>
      <c r="Z578" s="40">
        <v>0</v>
      </c>
      <c r="AA578" s="40">
        <v>0</v>
      </c>
      <c r="AB578" s="40">
        <v>0</v>
      </c>
      <c r="AC578" s="40">
        <v>0</v>
      </c>
      <c r="AD578" s="40">
        <v>0</v>
      </c>
      <c r="AE578" s="40">
        <v>0</v>
      </c>
      <c r="AF578" s="40">
        <v>0</v>
      </c>
      <c r="AG578" s="40">
        <v>0</v>
      </c>
      <c r="AH578" s="40">
        <v>0</v>
      </c>
      <c r="AI578" s="41">
        <f t="shared" si="64"/>
        <v>0</v>
      </c>
      <c r="AJ578" s="42">
        <v>0</v>
      </c>
      <c r="AK578" s="42">
        <v>0</v>
      </c>
      <c r="AL578" s="42">
        <v>0</v>
      </c>
      <c r="AM578" s="42">
        <v>0</v>
      </c>
      <c r="AN578" s="42">
        <v>0</v>
      </c>
      <c r="AO578" s="42">
        <v>0</v>
      </c>
      <c r="AP578" s="42">
        <v>0</v>
      </c>
      <c r="AQ578" s="42">
        <v>0</v>
      </c>
      <c r="AR578" s="42">
        <v>0</v>
      </c>
      <c r="AS578" s="42">
        <v>0</v>
      </c>
      <c r="AT578" s="42">
        <v>0</v>
      </c>
      <c r="AU578" s="42">
        <v>0</v>
      </c>
      <c r="AV578" s="42">
        <f t="shared" si="65"/>
        <v>0</v>
      </c>
      <c r="AW578" s="42">
        <v>0</v>
      </c>
      <c r="AX578" s="42">
        <v>440</v>
      </c>
      <c r="AY578" s="42">
        <v>1737</v>
      </c>
      <c r="AZ578" s="42">
        <v>0</v>
      </c>
      <c r="BA578" s="42">
        <v>1431</v>
      </c>
      <c r="BB578" s="42">
        <v>500</v>
      </c>
      <c r="BC578" s="42">
        <v>0</v>
      </c>
      <c r="BD578" s="42">
        <v>500</v>
      </c>
      <c r="BE578" s="42">
        <v>500</v>
      </c>
      <c r="BF578" s="42">
        <v>500</v>
      </c>
      <c r="BG578" s="42">
        <v>500</v>
      </c>
      <c r="BH578" s="42">
        <v>500</v>
      </c>
      <c r="BI578" s="42">
        <v>0</v>
      </c>
      <c r="BJ578" s="42">
        <v>500</v>
      </c>
      <c r="BK578" s="42">
        <v>500</v>
      </c>
      <c r="BL578" s="42">
        <v>500</v>
      </c>
      <c r="BM578" s="42">
        <v>500</v>
      </c>
      <c r="BN578" s="42">
        <v>0</v>
      </c>
      <c r="BO578" s="42">
        <v>500</v>
      </c>
      <c r="BP578" s="42">
        <v>500</v>
      </c>
      <c r="BQ578" s="42">
        <v>500</v>
      </c>
      <c r="BR578" s="42">
        <v>500</v>
      </c>
      <c r="BS578" s="42">
        <v>0</v>
      </c>
      <c r="BT578" s="42">
        <v>500</v>
      </c>
      <c r="BU578" s="42">
        <v>500</v>
      </c>
      <c r="BV578" s="42">
        <v>500</v>
      </c>
      <c r="BW578" s="42">
        <v>500</v>
      </c>
      <c r="BX578" s="42">
        <v>500</v>
      </c>
      <c r="BY578" s="42">
        <v>0</v>
      </c>
      <c r="BZ578" s="42">
        <v>500</v>
      </c>
      <c r="CA578" s="42">
        <v>500</v>
      </c>
      <c r="CB578" s="42">
        <v>500</v>
      </c>
      <c r="CC578" s="42">
        <v>500</v>
      </c>
      <c r="CD578" s="42">
        <v>0</v>
      </c>
      <c r="CE578" s="42">
        <v>500</v>
      </c>
      <c r="CF578" s="42">
        <v>500</v>
      </c>
      <c r="CG578" s="42">
        <v>500</v>
      </c>
      <c r="CH578" s="42">
        <v>500</v>
      </c>
      <c r="CI578" s="42">
        <v>500</v>
      </c>
      <c r="CJ578" s="42">
        <v>0</v>
      </c>
      <c r="CK578" s="43">
        <f t="shared" si="66"/>
        <v>17608</v>
      </c>
      <c r="CL578" s="66"/>
      <c r="CM578" s="66">
        <v>500</v>
      </c>
      <c r="CN578" s="66">
        <v>500</v>
      </c>
      <c r="CO578" s="66">
        <v>500</v>
      </c>
      <c r="CP578" s="66">
        <v>0</v>
      </c>
      <c r="CQ578" s="66">
        <v>500</v>
      </c>
      <c r="CR578" s="66">
        <v>500</v>
      </c>
      <c r="CS578" s="66">
        <v>0</v>
      </c>
      <c r="CT578" s="66">
        <v>500</v>
      </c>
      <c r="CU578" s="66">
        <v>500</v>
      </c>
      <c r="CV578" s="66">
        <v>0</v>
      </c>
      <c r="CW578" s="66">
        <v>500</v>
      </c>
      <c r="CX578" s="66">
        <v>500</v>
      </c>
      <c r="CY578" s="66">
        <v>500</v>
      </c>
      <c r="CZ578" s="66">
        <v>500</v>
      </c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>
        <f>SUM(Table1[[#This Row],[01-03 Apr]:[Mar-26]])</f>
        <v>5500</v>
      </c>
    </row>
    <row r="579" spans="1:115" x14ac:dyDescent="0.2">
      <c r="A579" s="28" t="s">
        <v>2255</v>
      </c>
      <c r="B579" s="29" t="s">
        <v>1330</v>
      </c>
      <c r="C579" s="29" t="s">
        <v>1331</v>
      </c>
      <c r="D579" s="30" t="s">
        <v>1332</v>
      </c>
      <c r="E579" s="30" t="s">
        <v>85</v>
      </c>
      <c r="F579" s="30"/>
      <c r="G579" s="31"/>
      <c r="H579" s="30">
        <v>312434</v>
      </c>
      <c r="I579" s="30" t="str">
        <f>IF(Table1[[#This Row],[Centre Status]]="Returned","NA",IF(Table1[[#This Row],[SD]]&gt;19000,"Full Payment",IF(Table1[[#This Row],[SD]]&lt;1,"No Payment","Partial Payment")))</f>
        <v>Partial Payment</v>
      </c>
      <c r="J579" s="30" t="s">
        <v>58</v>
      </c>
      <c r="K579" s="32">
        <v>110000</v>
      </c>
      <c r="L579" s="33">
        <f>Q579+R579+U579+Table1[[#This Row],[Farmer Payment]]</f>
        <v>28214.361996577558</v>
      </c>
      <c r="M579" s="30"/>
      <c r="N579" s="34"/>
      <c r="O579" s="34"/>
      <c r="P579" s="35">
        <f t="shared" si="63"/>
        <v>81785.638003422442</v>
      </c>
      <c r="Q579" s="33">
        <f>AI579+AV579+CK579+Table1[[#This Row],[FY 25-26]]</f>
        <v>23214.361996577558</v>
      </c>
      <c r="R579" s="36">
        <v>5000</v>
      </c>
      <c r="S579" s="37" t="s">
        <v>2568</v>
      </c>
      <c r="T579" s="38">
        <v>45224</v>
      </c>
      <c r="U579" s="39"/>
      <c r="V579" s="39"/>
      <c r="W579" s="40">
        <v>0</v>
      </c>
      <c r="X579" s="40">
        <v>0</v>
      </c>
      <c r="Y579" s="40">
        <v>0</v>
      </c>
      <c r="Z579" s="40">
        <v>0</v>
      </c>
      <c r="AA579" s="40">
        <v>0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>
        <v>0</v>
      </c>
      <c r="AH579" s="40">
        <v>0</v>
      </c>
      <c r="AI579" s="41">
        <f t="shared" si="64"/>
        <v>0</v>
      </c>
      <c r="AJ579" s="42">
        <v>0</v>
      </c>
      <c r="AK579" s="42">
        <v>0</v>
      </c>
      <c r="AL579" s="42">
        <v>0</v>
      </c>
      <c r="AM579" s="42">
        <v>0</v>
      </c>
      <c r="AN579" s="42">
        <v>0</v>
      </c>
      <c r="AO579" s="42">
        <v>0</v>
      </c>
      <c r="AP579" s="42">
        <v>0</v>
      </c>
      <c r="AQ579" s="42">
        <v>0</v>
      </c>
      <c r="AR579" s="42">
        <v>0</v>
      </c>
      <c r="AS579" s="42">
        <v>0</v>
      </c>
      <c r="AT579" s="42">
        <v>0</v>
      </c>
      <c r="AU579" s="42">
        <v>0</v>
      </c>
      <c r="AV579" s="42">
        <f t="shared" si="65"/>
        <v>0</v>
      </c>
      <c r="AW579" s="42">
        <v>3743.8384605077404</v>
      </c>
      <c r="AX579" s="42">
        <v>2149.1781030307402</v>
      </c>
      <c r="AY579" s="42">
        <v>1861</v>
      </c>
      <c r="AZ579" s="42">
        <v>2513.5580970999845</v>
      </c>
      <c r="BA579" s="42">
        <v>1861</v>
      </c>
      <c r="BB579" s="42">
        <v>0</v>
      </c>
      <c r="BC579" s="42">
        <v>2256.6541335262964</v>
      </c>
      <c r="BD579" s="42">
        <v>0</v>
      </c>
      <c r="BE579" s="42">
        <v>0</v>
      </c>
      <c r="BF579" s="42">
        <v>0</v>
      </c>
      <c r="BG579" s="42">
        <v>0</v>
      </c>
      <c r="BH579" s="42">
        <v>0</v>
      </c>
      <c r="BI579" s="42">
        <v>3088.1332024128001</v>
      </c>
      <c r="BJ579" s="42">
        <v>0</v>
      </c>
      <c r="BK579" s="42">
        <v>0</v>
      </c>
      <c r="BL579" s="42">
        <v>0</v>
      </c>
      <c r="BM579" s="42">
        <v>0</v>
      </c>
      <c r="BN579" s="42">
        <v>1734</v>
      </c>
      <c r="BO579" s="42">
        <v>0</v>
      </c>
      <c r="BP579" s="42">
        <v>0</v>
      </c>
      <c r="BQ579" s="42">
        <v>0</v>
      </c>
      <c r="BR579" s="42">
        <v>0</v>
      </c>
      <c r="BS579" s="42">
        <v>1074</v>
      </c>
      <c r="BT579" s="42">
        <v>0</v>
      </c>
      <c r="BU579" s="42">
        <v>0</v>
      </c>
      <c r="BV579" s="42">
        <v>500</v>
      </c>
      <c r="BW579" s="42">
        <v>500</v>
      </c>
      <c r="BX579" s="42">
        <v>500</v>
      </c>
      <c r="BY579" s="42">
        <v>361</v>
      </c>
      <c r="BZ579" s="42">
        <v>500</v>
      </c>
      <c r="CA579" s="42">
        <v>0</v>
      </c>
      <c r="CB579" s="42">
        <v>0</v>
      </c>
      <c r="CC579" s="42">
        <v>0</v>
      </c>
      <c r="CD579" s="42">
        <v>572</v>
      </c>
      <c r="CE579" s="42">
        <v>0</v>
      </c>
      <c r="CF579" s="42">
        <v>0</v>
      </c>
      <c r="CG579" s="42">
        <v>0</v>
      </c>
      <c r="CH579" s="42">
        <v>0</v>
      </c>
      <c r="CI579" s="42">
        <v>0</v>
      </c>
      <c r="CJ579" s="42">
        <v>0</v>
      </c>
      <c r="CK579" s="43">
        <f t="shared" si="66"/>
        <v>23214.361996577558</v>
      </c>
      <c r="CL579" s="66"/>
      <c r="CM579" s="66">
        <v>0</v>
      </c>
      <c r="CN579" s="66">
        <v>0</v>
      </c>
      <c r="CO579" s="66">
        <v>0</v>
      </c>
      <c r="CP579" s="66">
        <v>0</v>
      </c>
      <c r="CQ579" s="66">
        <v>0</v>
      </c>
      <c r="CR579" s="66">
        <v>0</v>
      </c>
      <c r="CS579" s="66">
        <v>0</v>
      </c>
      <c r="CT579" s="66">
        <v>0</v>
      </c>
      <c r="CU579" s="66">
        <v>0</v>
      </c>
      <c r="CV579" s="66">
        <v>0</v>
      </c>
      <c r="CW579" s="66">
        <v>0</v>
      </c>
      <c r="CX579" s="66">
        <v>0</v>
      </c>
      <c r="CY579" s="66">
        <v>0</v>
      </c>
      <c r="CZ579" s="66">
        <v>0</v>
      </c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>
        <f>SUM(Table1[[#This Row],[01-03 Apr]:[Mar-26]])</f>
        <v>0</v>
      </c>
    </row>
    <row r="580" spans="1:115" x14ac:dyDescent="0.2">
      <c r="A580" s="28" t="s">
        <v>2255</v>
      </c>
      <c r="B580" s="29" t="s">
        <v>1333</v>
      </c>
      <c r="C580" s="29" t="s">
        <v>1334</v>
      </c>
      <c r="D580" s="30" t="s">
        <v>1335</v>
      </c>
      <c r="E580" s="30" t="s">
        <v>906</v>
      </c>
      <c r="F580" s="30"/>
      <c r="G580" s="31"/>
      <c r="H580" s="30">
        <v>387787</v>
      </c>
      <c r="I580" s="30" t="str">
        <f>IF(Table1[[#This Row],[Centre Status]]="Returned","NA",IF(Table1[[#This Row],[SD]]&gt;19000,"Full Payment",IF(Table1[[#This Row],[SD]]&lt;1,"No Payment","Partial Payment")))</f>
        <v>No Payment</v>
      </c>
      <c r="J580" s="30" t="s">
        <v>58</v>
      </c>
      <c r="K580" s="32">
        <v>110000</v>
      </c>
      <c r="L580" s="33">
        <f>Q580+R580+U580+Table1[[#This Row],[Farmer Payment]]</f>
        <v>31521.260754517651</v>
      </c>
      <c r="M580" s="30"/>
      <c r="N580" s="34"/>
      <c r="O580" s="34"/>
      <c r="P580" s="35">
        <f t="shared" si="63"/>
        <v>78478.739245482342</v>
      </c>
      <c r="Q580" s="33">
        <f>AI580+AV580+CK580+Table1[[#This Row],[FY 25-26]]</f>
        <v>31521.260754517651</v>
      </c>
      <c r="R580" s="36"/>
      <c r="S580" s="37"/>
      <c r="T580" s="38"/>
      <c r="U580" s="39"/>
      <c r="V580" s="39"/>
      <c r="W580" s="40">
        <v>0</v>
      </c>
      <c r="X580" s="40">
        <v>0</v>
      </c>
      <c r="Y580" s="40">
        <v>0</v>
      </c>
      <c r="Z580" s="40">
        <v>0</v>
      </c>
      <c r="AA580" s="40">
        <v>0</v>
      </c>
      <c r="AB580" s="40">
        <v>0</v>
      </c>
      <c r="AC580" s="40">
        <v>0</v>
      </c>
      <c r="AD580" s="40">
        <v>0</v>
      </c>
      <c r="AE580" s="40">
        <v>0</v>
      </c>
      <c r="AF580" s="40">
        <v>0</v>
      </c>
      <c r="AG580" s="40">
        <v>0</v>
      </c>
      <c r="AH580" s="40">
        <v>0</v>
      </c>
      <c r="AI580" s="41">
        <f t="shared" si="64"/>
        <v>0</v>
      </c>
      <c r="AJ580" s="42">
        <v>0</v>
      </c>
      <c r="AK580" s="42">
        <v>0</v>
      </c>
      <c r="AL580" s="42">
        <v>0</v>
      </c>
      <c r="AM580" s="42">
        <v>0</v>
      </c>
      <c r="AN580" s="42">
        <v>0</v>
      </c>
      <c r="AO580" s="42">
        <v>0</v>
      </c>
      <c r="AP580" s="42">
        <v>0</v>
      </c>
      <c r="AQ580" s="42">
        <v>0</v>
      </c>
      <c r="AR580" s="42">
        <v>0</v>
      </c>
      <c r="AS580" s="42">
        <v>0</v>
      </c>
      <c r="AT580" s="42">
        <v>0</v>
      </c>
      <c r="AU580" s="42">
        <v>0</v>
      </c>
      <c r="AV580" s="42">
        <f t="shared" si="65"/>
        <v>0</v>
      </c>
      <c r="AW580" s="42">
        <v>2212.1279833728563</v>
      </c>
      <c r="AX580" s="42">
        <v>1426</v>
      </c>
      <c r="AY580" s="42">
        <v>474</v>
      </c>
      <c r="AZ580" s="42">
        <v>0</v>
      </c>
      <c r="BA580" s="42">
        <v>1078</v>
      </c>
      <c r="BB580" s="42">
        <v>500</v>
      </c>
      <c r="BC580" s="42">
        <v>2869.3526658125884</v>
      </c>
      <c r="BD580" s="42">
        <v>500</v>
      </c>
      <c r="BE580" s="42">
        <v>0</v>
      </c>
      <c r="BF580" s="42">
        <v>0</v>
      </c>
      <c r="BG580" s="42">
        <v>0</v>
      </c>
      <c r="BH580" s="42">
        <v>0</v>
      </c>
      <c r="BI580" s="42">
        <v>2475.8683577826641</v>
      </c>
      <c r="BJ580" s="42">
        <v>0</v>
      </c>
      <c r="BK580" s="42">
        <v>0</v>
      </c>
      <c r="BL580" s="42">
        <v>0</v>
      </c>
      <c r="BM580" s="42">
        <v>0</v>
      </c>
      <c r="BN580" s="42">
        <v>1861</v>
      </c>
      <c r="BO580" s="42">
        <v>0</v>
      </c>
      <c r="BP580" s="42">
        <v>0</v>
      </c>
      <c r="BQ580" s="42">
        <v>0</v>
      </c>
      <c r="BR580" s="42">
        <v>0</v>
      </c>
      <c r="BS580" s="42">
        <v>3136.7507651195601</v>
      </c>
      <c r="BT580" s="42">
        <v>0</v>
      </c>
      <c r="BU580" s="42">
        <v>0</v>
      </c>
      <c r="BV580" s="42">
        <v>0</v>
      </c>
      <c r="BW580" s="42">
        <v>0</v>
      </c>
      <c r="BX580" s="42">
        <v>0</v>
      </c>
      <c r="BY580" s="42">
        <v>1861</v>
      </c>
      <c r="BZ580" s="42">
        <v>0</v>
      </c>
      <c r="CA580" s="42">
        <v>0</v>
      </c>
      <c r="CB580" s="42">
        <v>0</v>
      </c>
      <c r="CC580" s="42">
        <v>0</v>
      </c>
      <c r="CD580" s="42">
        <v>1861</v>
      </c>
      <c r="CE580" s="42">
        <v>0</v>
      </c>
      <c r="CF580" s="42">
        <v>0</v>
      </c>
      <c r="CG580" s="42">
        <v>0</v>
      </c>
      <c r="CH580" s="42">
        <v>0</v>
      </c>
      <c r="CI580" s="42">
        <v>0</v>
      </c>
      <c r="CJ580" s="42">
        <v>4388.04442220074</v>
      </c>
      <c r="CK580" s="43">
        <f t="shared" si="66"/>
        <v>24643.144194288408</v>
      </c>
      <c r="CL580" s="66"/>
      <c r="CM580" s="66">
        <v>0</v>
      </c>
      <c r="CN580" s="66">
        <v>0</v>
      </c>
      <c r="CO580" s="66">
        <v>0</v>
      </c>
      <c r="CP580" s="66">
        <v>3153.5066424619845</v>
      </c>
      <c r="CQ580" s="66">
        <v>0</v>
      </c>
      <c r="CR580" s="66">
        <v>0</v>
      </c>
      <c r="CS580" s="66">
        <v>0</v>
      </c>
      <c r="CT580" s="66">
        <v>0</v>
      </c>
      <c r="CU580" s="66">
        <v>0</v>
      </c>
      <c r="CV580" s="66">
        <v>3724.6099177672586</v>
      </c>
      <c r="CW580" s="66">
        <v>0</v>
      </c>
      <c r="CX580" s="66">
        <v>0</v>
      </c>
      <c r="CY580" s="66">
        <v>0</v>
      </c>
      <c r="CZ580" s="66">
        <v>0</v>
      </c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>
        <f>SUM(Table1[[#This Row],[01-03 Apr]:[Mar-26]])</f>
        <v>6878.1165602292431</v>
      </c>
    </row>
    <row r="581" spans="1:115" x14ac:dyDescent="0.2">
      <c r="A581" s="28" t="s">
        <v>2255</v>
      </c>
      <c r="B581" s="29" t="s">
        <v>1336</v>
      </c>
      <c r="C581" s="29" t="s">
        <v>1337</v>
      </c>
      <c r="D581" s="30" t="s">
        <v>1338</v>
      </c>
      <c r="E581" s="30" t="s">
        <v>297</v>
      </c>
      <c r="F581" s="30"/>
      <c r="G581" s="31"/>
      <c r="H581" s="30">
        <v>385563</v>
      </c>
      <c r="I581" s="30" t="str">
        <f>IF(Table1[[#This Row],[Centre Status]]="Returned","NA",IF(Table1[[#This Row],[SD]]&gt;19000,"Full Payment",IF(Table1[[#This Row],[SD]]&lt;1,"No Payment","Partial Payment")))</f>
        <v>No Payment</v>
      </c>
      <c r="J581" s="30" t="s">
        <v>58</v>
      </c>
      <c r="K581" s="32">
        <v>110000</v>
      </c>
      <c r="L581" s="33">
        <f>Q581+R581+U581+Table1[[#This Row],[Farmer Payment]]</f>
        <v>25064</v>
      </c>
      <c r="M581" s="30"/>
      <c r="N581" s="34"/>
      <c r="O581" s="34"/>
      <c r="P581" s="35">
        <f t="shared" si="63"/>
        <v>84936</v>
      </c>
      <c r="Q581" s="33">
        <f>AI581+AV581+CK581+Table1[[#This Row],[FY 25-26]]</f>
        <v>25064</v>
      </c>
      <c r="R581" s="36"/>
      <c r="S581" s="37"/>
      <c r="T581" s="38"/>
      <c r="U581" s="39"/>
      <c r="V581" s="39"/>
      <c r="W581" s="40">
        <v>0</v>
      </c>
      <c r="X581" s="40">
        <v>0</v>
      </c>
      <c r="Y581" s="40">
        <v>0</v>
      </c>
      <c r="Z581" s="40">
        <v>0</v>
      </c>
      <c r="AA581" s="40">
        <v>0</v>
      </c>
      <c r="AB581" s="40">
        <v>0</v>
      </c>
      <c r="AC581" s="40">
        <v>0</v>
      </c>
      <c r="AD581" s="40">
        <v>0</v>
      </c>
      <c r="AE581" s="40">
        <v>0</v>
      </c>
      <c r="AF581" s="40">
        <v>0</v>
      </c>
      <c r="AG581" s="40">
        <v>0</v>
      </c>
      <c r="AH581" s="40">
        <v>0</v>
      </c>
      <c r="AI581" s="41">
        <f t="shared" si="64"/>
        <v>0</v>
      </c>
      <c r="AJ581" s="42">
        <v>0</v>
      </c>
      <c r="AK581" s="42">
        <v>0</v>
      </c>
      <c r="AL581" s="42">
        <v>0</v>
      </c>
      <c r="AM581" s="42">
        <v>0</v>
      </c>
      <c r="AN581" s="42">
        <v>0</v>
      </c>
      <c r="AO581" s="42">
        <v>0</v>
      </c>
      <c r="AP581" s="42">
        <v>0</v>
      </c>
      <c r="AQ581" s="42">
        <v>0</v>
      </c>
      <c r="AR581" s="42">
        <v>0</v>
      </c>
      <c r="AS581" s="42">
        <v>0</v>
      </c>
      <c r="AT581" s="42">
        <v>0</v>
      </c>
      <c r="AU581" s="42">
        <v>0</v>
      </c>
      <c r="AV581" s="42">
        <f t="shared" si="65"/>
        <v>0</v>
      </c>
      <c r="AW581" s="42">
        <v>1861</v>
      </c>
      <c r="AX581" s="42">
        <v>1861</v>
      </c>
      <c r="AY581" s="42">
        <v>1126</v>
      </c>
      <c r="AZ581" s="42">
        <v>109</v>
      </c>
      <c r="BA581" s="42">
        <v>0</v>
      </c>
      <c r="BB581" s="42">
        <v>500</v>
      </c>
      <c r="BC581" s="42">
        <v>0</v>
      </c>
      <c r="BD581" s="42">
        <v>607</v>
      </c>
      <c r="BE581" s="42">
        <v>500</v>
      </c>
      <c r="BF581" s="42">
        <v>500</v>
      </c>
      <c r="BG581" s="42">
        <v>500</v>
      </c>
      <c r="BH581" s="42">
        <v>500</v>
      </c>
      <c r="BI581" s="42">
        <v>0</v>
      </c>
      <c r="BJ581" s="42">
        <v>500</v>
      </c>
      <c r="BK581" s="42">
        <v>500</v>
      </c>
      <c r="BL581" s="42">
        <v>500</v>
      </c>
      <c r="BM581" s="42">
        <v>500</v>
      </c>
      <c r="BN581" s="42">
        <v>0</v>
      </c>
      <c r="BO581" s="42">
        <v>500</v>
      </c>
      <c r="BP581" s="42">
        <v>500</v>
      </c>
      <c r="BQ581" s="42">
        <v>500</v>
      </c>
      <c r="BR581" s="42">
        <v>500</v>
      </c>
      <c r="BS581" s="42">
        <v>0</v>
      </c>
      <c r="BT581" s="42">
        <v>500</v>
      </c>
      <c r="BU581" s="42">
        <v>500</v>
      </c>
      <c r="BV581" s="42">
        <v>500</v>
      </c>
      <c r="BW581" s="42">
        <v>500</v>
      </c>
      <c r="BX581" s="42">
        <v>500</v>
      </c>
      <c r="BY581" s="42">
        <v>0</v>
      </c>
      <c r="BZ581" s="42">
        <v>500</v>
      </c>
      <c r="CA581" s="42">
        <v>500</v>
      </c>
      <c r="CB581" s="42">
        <v>500</v>
      </c>
      <c r="CC581" s="42">
        <v>500</v>
      </c>
      <c r="CD581" s="42">
        <v>0</v>
      </c>
      <c r="CE581" s="42">
        <v>500</v>
      </c>
      <c r="CF581" s="42">
        <v>500</v>
      </c>
      <c r="CG581" s="42">
        <v>500</v>
      </c>
      <c r="CH581" s="42">
        <v>500</v>
      </c>
      <c r="CI581" s="42">
        <v>500</v>
      </c>
      <c r="CJ581" s="42">
        <v>0</v>
      </c>
      <c r="CK581" s="43">
        <f t="shared" si="66"/>
        <v>19064</v>
      </c>
      <c r="CL581" s="66"/>
      <c r="CM581" s="66">
        <v>500</v>
      </c>
      <c r="CN581" s="66">
        <v>500</v>
      </c>
      <c r="CO581" s="66">
        <v>500</v>
      </c>
      <c r="CP581" s="66">
        <v>0</v>
      </c>
      <c r="CQ581" s="66">
        <v>500</v>
      </c>
      <c r="CR581" s="66">
        <v>500</v>
      </c>
      <c r="CS581" s="66">
        <v>500</v>
      </c>
      <c r="CT581" s="66">
        <v>500</v>
      </c>
      <c r="CU581" s="66">
        <v>500</v>
      </c>
      <c r="CV581" s="66">
        <v>0</v>
      </c>
      <c r="CW581" s="66">
        <v>500</v>
      </c>
      <c r="CX581" s="66">
        <v>500</v>
      </c>
      <c r="CY581" s="66">
        <v>500</v>
      </c>
      <c r="CZ581" s="66">
        <v>500</v>
      </c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>
        <f>SUM(Table1[[#This Row],[01-03 Apr]:[Mar-26]])</f>
        <v>6000</v>
      </c>
    </row>
    <row r="582" spans="1:115" x14ac:dyDescent="0.2">
      <c r="A582" s="28"/>
      <c r="B582" s="29"/>
      <c r="C582" s="29" t="s">
        <v>2638</v>
      </c>
      <c r="D582" s="30"/>
      <c r="E582" s="30"/>
      <c r="F582" s="30"/>
      <c r="G582" s="31"/>
      <c r="H582" s="30">
        <v>385564</v>
      </c>
      <c r="I582" s="30" t="str">
        <f>IF(Table1[[#This Row],[Centre Status]]="Returned","NA",IF(Table1[[#This Row],[SD]]&gt;19000,"Full Payment",IF(Table1[[#This Row],[SD]]&lt;1,"No Payment","Partial Payment")))</f>
        <v>No Payment</v>
      </c>
      <c r="J582" s="30" t="s">
        <v>58</v>
      </c>
      <c r="K582" s="32">
        <v>110000</v>
      </c>
      <c r="L582" s="33">
        <f>Q582+R582+U582+Table1[[#This Row],[Farmer Payment]]</f>
        <v>18756</v>
      </c>
      <c r="M582" s="30"/>
      <c r="N582" s="34"/>
      <c r="O582" s="34"/>
      <c r="P582" s="35">
        <f t="shared" si="63"/>
        <v>91244</v>
      </c>
      <c r="Q582" s="33">
        <f>AI582+AV582+CK582+Table1[[#This Row],[FY 25-26]]</f>
        <v>18756</v>
      </c>
      <c r="R582" s="36"/>
      <c r="S582" s="37"/>
      <c r="T582" s="38"/>
      <c r="U582" s="39"/>
      <c r="V582" s="39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1">
        <f t="shared" si="64"/>
        <v>0</v>
      </c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>
        <f t="shared" si="65"/>
        <v>0</v>
      </c>
      <c r="AW582" s="42"/>
      <c r="AX582" s="42"/>
      <c r="AY582" s="42"/>
      <c r="AZ582" s="42"/>
      <c r="BA582" s="42"/>
      <c r="BB582" s="42">
        <v>0</v>
      </c>
      <c r="BC582" s="42">
        <v>256</v>
      </c>
      <c r="BD582" s="42">
        <v>0</v>
      </c>
      <c r="BE582" s="42">
        <v>500</v>
      </c>
      <c r="BF582" s="42">
        <v>500</v>
      </c>
      <c r="BG582" s="42">
        <v>500</v>
      </c>
      <c r="BH582" s="42">
        <v>500</v>
      </c>
      <c r="BI582" s="42">
        <v>0</v>
      </c>
      <c r="BJ582" s="42">
        <v>500</v>
      </c>
      <c r="BK582" s="42">
        <v>500</v>
      </c>
      <c r="BL582" s="42">
        <v>500</v>
      </c>
      <c r="BM582" s="42">
        <v>500</v>
      </c>
      <c r="BN582" s="42">
        <v>0</v>
      </c>
      <c r="BO582" s="42">
        <v>500</v>
      </c>
      <c r="BP582" s="42">
        <v>500</v>
      </c>
      <c r="BQ582" s="42">
        <v>500</v>
      </c>
      <c r="BR582" s="42">
        <v>500</v>
      </c>
      <c r="BS582" s="42">
        <v>0</v>
      </c>
      <c r="BT582" s="42">
        <v>500</v>
      </c>
      <c r="BU582" s="42">
        <v>500</v>
      </c>
      <c r="BV582" s="42">
        <v>500</v>
      </c>
      <c r="BW582" s="42">
        <v>500</v>
      </c>
      <c r="BX582" s="42">
        <v>500</v>
      </c>
      <c r="BY582" s="42">
        <v>0</v>
      </c>
      <c r="BZ582" s="42">
        <v>500</v>
      </c>
      <c r="CA582" s="42">
        <v>500</v>
      </c>
      <c r="CB582" s="42">
        <v>500</v>
      </c>
      <c r="CC582" s="42">
        <v>500</v>
      </c>
      <c r="CD582" s="42">
        <v>0</v>
      </c>
      <c r="CE582" s="42">
        <v>500</v>
      </c>
      <c r="CF582" s="42">
        <v>500</v>
      </c>
      <c r="CG582" s="42">
        <v>500</v>
      </c>
      <c r="CH582" s="42">
        <v>500</v>
      </c>
      <c r="CI582" s="42">
        <v>500</v>
      </c>
      <c r="CJ582" s="42">
        <v>0</v>
      </c>
      <c r="CK582" s="43">
        <f t="shared" si="66"/>
        <v>13256</v>
      </c>
      <c r="CL582" s="66"/>
      <c r="CM582" s="66">
        <v>500</v>
      </c>
      <c r="CN582" s="66">
        <v>500</v>
      </c>
      <c r="CO582" s="66">
        <v>500</v>
      </c>
      <c r="CP582" s="66">
        <v>0</v>
      </c>
      <c r="CQ582" s="66">
        <v>500</v>
      </c>
      <c r="CR582" s="66">
        <v>500</v>
      </c>
      <c r="CS582" s="66">
        <v>500</v>
      </c>
      <c r="CT582" s="66">
        <v>500</v>
      </c>
      <c r="CU582" s="66">
        <v>0</v>
      </c>
      <c r="CV582" s="66">
        <v>0</v>
      </c>
      <c r="CW582" s="66">
        <v>500</v>
      </c>
      <c r="CX582" s="66">
        <v>500</v>
      </c>
      <c r="CY582" s="66">
        <v>500</v>
      </c>
      <c r="CZ582" s="66">
        <v>500</v>
      </c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>
        <f>SUM(Table1[[#This Row],[01-03 Apr]:[Mar-26]])</f>
        <v>5500</v>
      </c>
    </row>
    <row r="583" spans="1:115" x14ac:dyDescent="0.2">
      <c r="A583" s="28" t="s">
        <v>2255</v>
      </c>
      <c r="B583" s="29" t="s">
        <v>1341</v>
      </c>
      <c r="C583" s="29" t="s">
        <v>1342</v>
      </c>
      <c r="D583" s="30" t="s">
        <v>1343</v>
      </c>
      <c r="E583" s="30" t="s">
        <v>906</v>
      </c>
      <c r="F583" s="30"/>
      <c r="G583" s="31"/>
      <c r="H583" s="30">
        <v>385573</v>
      </c>
      <c r="I583" s="30" t="str">
        <f>IF(Table1[[#This Row],[Centre Status]]="Returned","NA",IF(Table1[[#This Row],[SD]]&gt;19000,"Full Payment",IF(Table1[[#This Row],[SD]]&lt;1,"No Payment","Partial Payment")))</f>
        <v>No Payment</v>
      </c>
      <c r="J583" s="30" t="s">
        <v>58</v>
      </c>
      <c r="K583" s="32">
        <v>110000</v>
      </c>
      <c r="L583" s="33">
        <f>Q583+R583+U583+Table1[[#This Row],[Farmer Payment]]</f>
        <v>12893.4297720912</v>
      </c>
      <c r="M583" s="30"/>
      <c r="N583" s="34"/>
      <c r="O583" s="34"/>
      <c r="P583" s="35">
        <f t="shared" si="63"/>
        <v>97106.5702279088</v>
      </c>
      <c r="Q583" s="33">
        <f>AI583+AV583+CK583+Table1[[#This Row],[FY 25-26]]</f>
        <v>12893.4297720912</v>
      </c>
      <c r="R583" s="36"/>
      <c r="S583" s="37"/>
      <c r="T583" s="38"/>
      <c r="U583" s="39"/>
      <c r="V583" s="39"/>
      <c r="W583" s="40">
        <v>0</v>
      </c>
      <c r="X583" s="40">
        <v>0</v>
      </c>
      <c r="Y583" s="40">
        <v>0</v>
      </c>
      <c r="Z583" s="40">
        <v>0</v>
      </c>
      <c r="AA583" s="40">
        <v>0</v>
      </c>
      <c r="AB583" s="40">
        <v>0</v>
      </c>
      <c r="AC583" s="40">
        <v>0</v>
      </c>
      <c r="AD583" s="40">
        <v>0</v>
      </c>
      <c r="AE583" s="40">
        <v>0</v>
      </c>
      <c r="AF583" s="40">
        <v>0</v>
      </c>
      <c r="AG583" s="40">
        <v>0</v>
      </c>
      <c r="AH583" s="40">
        <v>0</v>
      </c>
      <c r="AI583" s="41">
        <f t="shared" si="64"/>
        <v>0</v>
      </c>
      <c r="AJ583" s="42">
        <v>0</v>
      </c>
      <c r="AK583" s="42">
        <v>0</v>
      </c>
      <c r="AL583" s="42">
        <v>0</v>
      </c>
      <c r="AM583" s="42">
        <v>0</v>
      </c>
      <c r="AN583" s="42">
        <v>0</v>
      </c>
      <c r="AO583" s="42">
        <v>0</v>
      </c>
      <c r="AP583" s="42">
        <v>0</v>
      </c>
      <c r="AQ583" s="42">
        <v>0</v>
      </c>
      <c r="AR583" s="42">
        <v>0</v>
      </c>
      <c r="AS583" s="42">
        <v>0</v>
      </c>
      <c r="AT583" s="42">
        <v>0</v>
      </c>
      <c r="AU583" s="42">
        <v>0</v>
      </c>
      <c r="AV583" s="42">
        <f t="shared" si="65"/>
        <v>0</v>
      </c>
      <c r="AW583" s="42">
        <v>1949.4297720912002</v>
      </c>
      <c r="AX583" s="42">
        <v>1722</v>
      </c>
      <c r="AY583" s="42">
        <v>1384</v>
      </c>
      <c r="AZ583" s="42">
        <v>665</v>
      </c>
      <c r="BA583" s="42">
        <v>0</v>
      </c>
      <c r="BB583" s="42">
        <v>500</v>
      </c>
      <c r="BC583" s="42">
        <v>0</v>
      </c>
      <c r="BD583" s="42">
        <v>500</v>
      </c>
      <c r="BE583" s="42">
        <v>500</v>
      </c>
      <c r="BF583" s="42">
        <v>500</v>
      </c>
      <c r="BG583" s="42">
        <v>500</v>
      </c>
      <c r="BH583" s="42">
        <v>500</v>
      </c>
      <c r="BI583" s="42">
        <v>0</v>
      </c>
      <c r="BJ583" s="42">
        <v>500</v>
      </c>
      <c r="BK583" s="42">
        <v>500</v>
      </c>
      <c r="BL583" s="42">
        <v>500</v>
      </c>
      <c r="BM583" s="42">
        <v>500</v>
      </c>
      <c r="BN583" s="42">
        <v>0</v>
      </c>
      <c r="BO583" s="42">
        <v>500</v>
      </c>
      <c r="BP583" s="42">
        <v>500</v>
      </c>
      <c r="BQ583" s="42">
        <v>500</v>
      </c>
      <c r="BR583" s="42">
        <v>500</v>
      </c>
      <c r="BS583" s="42">
        <v>0</v>
      </c>
      <c r="BT583" s="42">
        <v>173</v>
      </c>
      <c r="BU583" s="42">
        <v>0</v>
      </c>
      <c r="BV583" s="42">
        <v>0</v>
      </c>
      <c r="BW583" s="42">
        <v>0</v>
      </c>
      <c r="BX583" s="42">
        <v>0</v>
      </c>
      <c r="BY583" s="42">
        <v>0</v>
      </c>
      <c r="BZ583" s="42">
        <v>0</v>
      </c>
      <c r="CA583" s="42">
        <v>0</v>
      </c>
      <c r="CB583" s="42">
        <v>0</v>
      </c>
      <c r="CC583" s="42">
        <v>0</v>
      </c>
      <c r="CD583" s="42">
        <v>0</v>
      </c>
      <c r="CE583" s="42">
        <v>0</v>
      </c>
      <c r="CF583" s="42">
        <v>0</v>
      </c>
      <c r="CG583" s="42">
        <v>0</v>
      </c>
      <c r="CH583" s="42">
        <v>0</v>
      </c>
      <c r="CI583" s="42">
        <v>0</v>
      </c>
      <c r="CJ583" s="42">
        <v>0</v>
      </c>
      <c r="CK583" s="43">
        <f t="shared" si="66"/>
        <v>12893.4297720912</v>
      </c>
      <c r="CL583" s="66"/>
      <c r="CM583" s="66">
        <v>0</v>
      </c>
      <c r="CN583" s="66">
        <v>0</v>
      </c>
      <c r="CO583" s="66">
        <v>0</v>
      </c>
      <c r="CP583" s="66">
        <v>0</v>
      </c>
      <c r="CQ583" s="66">
        <v>0</v>
      </c>
      <c r="CR583" s="66">
        <v>0</v>
      </c>
      <c r="CS583" s="66">
        <v>0</v>
      </c>
      <c r="CT583" s="66">
        <v>0</v>
      </c>
      <c r="CU583" s="66">
        <v>0</v>
      </c>
      <c r="CV583" s="66">
        <v>0</v>
      </c>
      <c r="CW583" s="66">
        <v>0</v>
      </c>
      <c r="CX583" s="66">
        <v>0</v>
      </c>
      <c r="CY583" s="66">
        <v>0</v>
      </c>
      <c r="CZ583" s="66">
        <v>0</v>
      </c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>
        <f>SUM(Table1[[#This Row],[01-03 Apr]:[Mar-26]])</f>
        <v>0</v>
      </c>
    </row>
    <row r="584" spans="1:115" x14ac:dyDescent="0.2">
      <c r="A584" s="28" t="s">
        <v>2255</v>
      </c>
      <c r="B584" s="29" t="s">
        <v>1344</v>
      </c>
      <c r="C584" s="29" t="s">
        <v>1345</v>
      </c>
      <c r="D584" s="30" t="s">
        <v>1346</v>
      </c>
      <c r="E584" s="30" t="s">
        <v>297</v>
      </c>
      <c r="F584" s="30"/>
      <c r="G584" s="31"/>
      <c r="H584" s="30">
        <v>385554</v>
      </c>
      <c r="I584" s="30" t="str">
        <f>IF(Table1[[#This Row],[Centre Status]]="Returned","NA",IF(Table1[[#This Row],[SD]]&gt;19000,"Full Payment",IF(Table1[[#This Row],[SD]]&lt;1,"No Payment","Partial Payment")))</f>
        <v>No Payment</v>
      </c>
      <c r="J584" s="30" t="s">
        <v>58</v>
      </c>
      <c r="K584" s="32">
        <v>110000</v>
      </c>
      <c r="L584" s="33">
        <f>Q584+R584+U584+Table1[[#This Row],[Farmer Payment]]</f>
        <v>9814</v>
      </c>
      <c r="M584" s="30"/>
      <c r="N584" s="34"/>
      <c r="O584" s="34"/>
      <c r="P584" s="35">
        <f t="shared" si="63"/>
        <v>100186</v>
      </c>
      <c r="Q584" s="33">
        <f>AI584+AV584+CK584+Table1[[#This Row],[FY 25-26]]</f>
        <v>9814</v>
      </c>
      <c r="R584" s="36"/>
      <c r="S584" s="37"/>
      <c r="T584" s="38"/>
      <c r="U584" s="39"/>
      <c r="V584" s="39"/>
      <c r="W584" s="40">
        <v>0</v>
      </c>
      <c r="X584" s="40">
        <v>0</v>
      </c>
      <c r="Y584" s="40">
        <v>0</v>
      </c>
      <c r="Z584" s="40">
        <v>0</v>
      </c>
      <c r="AA584" s="40">
        <v>0</v>
      </c>
      <c r="AB584" s="40">
        <v>0</v>
      </c>
      <c r="AC584" s="40">
        <v>0</v>
      </c>
      <c r="AD584" s="40">
        <v>0</v>
      </c>
      <c r="AE584" s="40">
        <v>0</v>
      </c>
      <c r="AF584" s="40">
        <v>0</v>
      </c>
      <c r="AG584" s="40">
        <v>0</v>
      </c>
      <c r="AH584" s="40">
        <v>0</v>
      </c>
      <c r="AI584" s="41">
        <f t="shared" si="64"/>
        <v>0</v>
      </c>
      <c r="AJ584" s="42">
        <v>0</v>
      </c>
      <c r="AK584" s="42">
        <v>0</v>
      </c>
      <c r="AL584" s="42">
        <v>0</v>
      </c>
      <c r="AM584" s="42">
        <v>0</v>
      </c>
      <c r="AN584" s="42">
        <v>0</v>
      </c>
      <c r="AO584" s="42">
        <v>0</v>
      </c>
      <c r="AP584" s="42">
        <v>0</v>
      </c>
      <c r="AQ584" s="42">
        <v>0</v>
      </c>
      <c r="AR584" s="42">
        <v>0</v>
      </c>
      <c r="AS584" s="42">
        <v>0</v>
      </c>
      <c r="AT584" s="42">
        <v>0</v>
      </c>
      <c r="AU584" s="42">
        <v>0</v>
      </c>
      <c r="AV584" s="42">
        <f t="shared" si="65"/>
        <v>0</v>
      </c>
      <c r="AW584" s="42">
        <v>1452</v>
      </c>
      <c r="AX584" s="42">
        <v>1076</v>
      </c>
      <c r="AY584" s="42">
        <v>0</v>
      </c>
      <c r="AZ584" s="42">
        <v>0</v>
      </c>
      <c r="BA584" s="42">
        <v>0</v>
      </c>
      <c r="BB584" s="42">
        <v>500</v>
      </c>
      <c r="BC584" s="42">
        <v>0</v>
      </c>
      <c r="BD584" s="42">
        <v>500</v>
      </c>
      <c r="BE584" s="42">
        <v>500</v>
      </c>
      <c r="BF584" s="42">
        <v>500</v>
      </c>
      <c r="BG584" s="42">
        <v>0</v>
      </c>
      <c r="BH584" s="42">
        <v>0</v>
      </c>
      <c r="BI584" s="42">
        <v>0</v>
      </c>
      <c r="BJ584" s="42">
        <v>0</v>
      </c>
      <c r="BK584" s="42">
        <v>500</v>
      </c>
      <c r="BL584" s="42">
        <v>500</v>
      </c>
      <c r="BM584" s="42">
        <v>500</v>
      </c>
      <c r="BN584" s="42">
        <v>0</v>
      </c>
      <c r="BO584" s="42">
        <v>500</v>
      </c>
      <c r="BP584" s="42">
        <v>500</v>
      </c>
      <c r="BQ584" s="42">
        <v>500</v>
      </c>
      <c r="BR584" s="42">
        <v>500</v>
      </c>
      <c r="BS584" s="42">
        <v>0</v>
      </c>
      <c r="BT584" s="42">
        <v>500</v>
      </c>
      <c r="BU584" s="42">
        <v>500</v>
      </c>
      <c r="BV584" s="42">
        <v>500</v>
      </c>
      <c r="BW584" s="42">
        <v>0</v>
      </c>
      <c r="BX584" s="42">
        <v>0</v>
      </c>
      <c r="BY584" s="42">
        <v>0</v>
      </c>
      <c r="BZ584" s="42">
        <v>0</v>
      </c>
      <c r="CA584" s="42">
        <v>286</v>
      </c>
      <c r="CB584" s="42">
        <v>0</v>
      </c>
      <c r="CC584" s="42">
        <v>0</v>
      </c>
      <c r="CD584" s="42">
        <v>0</v>
      </c>
      <c r="CE584" s="42">
        <v>0</v>
      </c>
      <c r="CF584" s="42">
        <v>0</v>
      </c>
      <c r="CG584" s="42">
        <v>0</v>
      </c>
      <c r="CH584" s="42">
        <v>0</v>
      </c>
      <c r="CI584" s="42">
        <v>0</v>
      </c>
      <c r="CJ584" s="42">
        <v>0</v>
      </c>
      <c r="CK584" s="43">
        <f t="shared" si="66"/>
        <v>9814</v>
      </c>
      <c r="CL584" s="66"/>
      <c r="CM584" s="66">
        <v>0</v>
      </c>
      <c r="CN584" s="66">
        <v>0</v>
      </c>
      <c r="CO584" s="66">
        <v>0</v>
      </c>
      <c r="CP584" s="66">
        <v>0</v>
      </c>
      <c r="CQ584" s="66">
        <v>0</v>
      </c>
      <c r="CR584" s="66">
        <v>0</v>
      </c>
      <c r="CS584" s="66">
        <v>0</v>
      </c>
      <c r="CT584" s="66">
        <v>0</v>
      </c>
      <c r="CU584" s="66">
        <v>0</v>
      </c>
      <c r="CV584" s="66">
        <v>0</v>
      </c>
      <c r="CW584" s="66">
        <v>0</v>
      </c>
      <c r="CX584" s="66">
        <v>0</v>
      </c>
      <c r="CY584" s="66">
        <v>0</v>
      </c>
      <c r="CZ584" s="66">
        <v>0</v>
      </c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>
        <f>SUM(Table1[[#This Row],[01-03 Apr]:[Mar-26]])</f>
        <v>0</v>
      </c>
    </row>
    <row r="585" spans="1:115" x14ac:dyDescent="0.2">
      <c r="A585" s="28" t="s">
        <v>2255</v>
      </c>
      <c r="B585" s="29" t="s">
        <v>1347</v>
      </c>
      <c r="C585" s="29" t="s">
        <v>1348</v>
      </c>
      <c r="D585" s="30" t="s">
        <v>1349</v>
      </c>
      <c r="E585" s="30" t="s">
        <v>297</v>
      </c>
      <c r="F585" s="30"/>
      <c r="G585" s="31"/>
      <c r="H585" s="30">
        <v>382430</v>
      </c>
      <c r="I585" s="30" t="str">
        <f>IF(Table1[[#This Row],[Centre Status]]="Returned","NA",IF(Table1[[#This Row],[SD]]&gt;19000,"Full Payment",IF(Table1[[#This Row],[SD]]&lt;1,"No Payment","Partial Payment")))</f>
        <v>No Payment</v>
      </c>
      <c r="J585" s="30" t="s">
        <v>58</v>
      </c>
      <c r="K585" s="32">
        <v>110000</v>
      </c>
      <c r="L585" s="33">
        <f>Q585+R585+U585+Table1[[#This Row],[Farmer Payment]]</f>
        <v>31612.939049766403</v>
      </c>
      <c r="M585" s="30"/>
      <c r="N585" s="34"/>
      <c r="O585" s="34"/>
      <c r="P585" s="35">
        <f t="shared" si="63"/>
        <v>78387.060950233601</v>
      </c>
      <c r="Q585" s="33">
        <f>AI585+AV585+CK585+Table1[[#This Row],[FY 25-26]]</f>
        <v>31612.939049766403</v>
      </c>
      <c r="R585" s="36"/>
      <c r="S585" s="37"/>
      <c r="T585" s="38"/>
      <c r="U585" s="39"/>
      <c r="V585" s="39"/>
      <c r="W585" s="40">
        <v>0</v>
      </c>
      <c r="X585" s="40">
        <v>0</v>
      </c>
      <c r="Y585" s="40">
        <v>0</v>
      </c>
      <c r="Z585" s="40">
        <v>0</v>
      </c>
      <c r="AA585" s="40">
        <v>0</v>
      </c>
      <c r="AB585" s="40">
        <v>0</v>
      </c>
      <c r="AC585" s="40">
        <v>0</v>
      </c>
      <c r="AD585" s="40">
        <v>0</v>
      </c>
      <c r="AE585" s="40">
        <v>0</v>
      </c>
      <c r="AF585" s="40">
        <v>0</v>
      </c>
      <c r="AG585" s="40">
        <v>0</v>
      </c>
      <c r="AH585" s="40">
        <v>0</v>
      </c>
      <c r="AI585" s="41">
        <f t="shared" si="64"/>
        <v>0</v>
      </c>
      <c r="AJ585" s="42">
        <v>0</v>
      </c>
      <c r="AK585" s="42">
        <v>0</v>
      </c>
      <c r="AL585" s="42">
        <v>0</v>
      </c>
      <c r="AM585" s="42">
        <v>0</v>
      </c>
      <c r="AN585" s="42">
        <v>0</v>
      </c>
      <c r="AO585" s="42">
        <v>0</v>
      </c>
      <c r="AP585" s="42">
        <v>0</v>
      </c>
      <c r="AQ585" s="42">
        <v>0</v>
      </c>
      <c r="AR585" s="42">
        <v>0</v>
      </c>
      <c r="AS585" s="42">
        <v>0</v>
      </c>
      <c r="AT585" s="42">
        <v>0</v>
      </c>
      <c r="AU585" s="42">
        <v>0</v>
      </c>
      <c r="AV585" s="42">
        <f t="shared" si="65"/>
        <v>0</v>
      </c>
      <c r="AW585" s="42">
        <v>2944.3784951040011</v>
      </c>
      <c r="AX585" s="42">
        <v>2499.7836227404805</v>
      </c>
      <c r="AY585" s="42">
        <v>2934.2119683072001</v>
      </c>
      <c r="AZ585" s="42">
        <v>3616.7410967040005</v>
      </c>
      <c r="BA585" s="42">
        <v>2719.7887103001599</v>
      </c>
      <c r="BB585" s="42">
        <v>0</v>
      </c>
      <c r="BC585" s="42">
        <v>2530.0351566105596</v>
      </c>
      <c r="BD585" s="42">
        <v>0</v>
      </c>
      <c r="BE585" s="42">
        <v>0</v>
      </c>
      <c r="BF585" s="42">
        <v>0</v>
      </c>
      <c r="BG585" s="42">
        <v>0</v>
      </c>
      <c r="BH585" s="42">
        <v>0</v>
      </c>
      <c r="BI585" s="42">
        <v>1724</v>
      </c>
      <c r="BJ585" s="42">
        <v>0</v>
      </c>
      <c r="BK585" s="42">
        <v>0</v>
      </c>
      <c r="BL585" s="42">
        <v>500</v>
      </c>
      <c r="BM585" s="42">
        <v>500</v>
      </c>
      <c r="BN585" s="42">
        <v>861</v>
      </c>
      <c r="BO585" s="42">
        <v>500</v>
      </c>
      <c r="BP585" s="42">
        <v>500</v>
      </c>
      <c r="BQ585" s="42">
        <v>500</v>
      </c>
      <c r="BR585" s="42">
        <v>500</v>
      </c>
      <c r="BS585" s="42">
        <v>0</v>
      </c>
      <c r="BT585" s="42">
        <v>500</v>
      </c>
      <c r="BU585" s="42">
        <v>500</v>
      </c>
      <c r="BV585" s="42">
        <v>500</v>
      </c>
      <c r="BW585" s="42">
        <v>500</v>
      </c>
      <c r="BX585" s="42">
        <v>500</v>
      </c>
      <c r="BY585" s="42">
        <v>0</v>
      </c>
      <c r="BZ585" s="42">
        <v>500</v>
      </c>
      <c r="CA585" s="42">
        <v>500</v>
      </c>
      <c r="CB585" s="42">
        <v>500</v>
      </c>
      <c r="CC585" s="42">
        <v>500</v>
      </c>
      <c r="CD585" s="42">
        <v>0</v>
      </c>
      <c r="CE585" s="42">
        <v>500</v>
      </c>
      <c r="CF585" s="42">
        <v>500</v>
      </c>
      <c r="CG585" s="42">
        <v>500</v>
      </c>
      <c r="CH585" s="42">
        <v>500</v>
      </c>
      <c r="CI585" s="42">
        <v>500</v>
      </c>
      <c r="CJ585" s="42">
        <v>0</v>
      </c>
      <c r="CK585" s="43">
        <f t="shared" si="66"/>
        <v>29829.939049766403</v>
      </c>
      <c r="CL585" s="66"/>
      <c r="CM585" s="66">
        <v>500</v>
      </c>
      <c r="CN585" s="66">
        <v>500</v>
      </c>
      <c r="CO585" s="66">
        <v>500</v>
      </c>
      <c r="CP585" s="66">
        <v>0</v>
      </c>
      <c r="CQ585" s="66">
        <v>283</v>
      </c>
      <c r="CR585" s="66">
        <v>0</v>
      </c>
      <c r="CS585" s="66">
        <v>0</v>
      </c>
      <c r="CT585" s="66">
        <v>0</v>
      </c>
      <c r="CU585" s="66">
        <v>0</v>
      </c>
      <c r="CV585" s="66">
        <v>0</v>
      </c>
      <c r="CW585" s="66">
        <v>0</v>
      </c>
      <c r="CX585" s="66">
        <v>0</v>
      </c>
      <c r="CY585" s="66">
        <v>0</v>
      </c>
      <c r="CZ585" s="66">
        <v>0</v>
      </c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>
        <f>SUM(Table1[[#This Row],[01-03 Apr]:[Mar-26]])</f>
        <v>1783</v>
      </c>
    </row>
    <row r="586" spans="1:115" x14ac:dyDescent="0.2">
      <c r="A586" s="28" t="s">
        <v>2255</v>
      </c>
      <c r="B586" s="29" t="s">
        <v>1350</v>
      </c>
      <c r="C586" s="29" t="s">
        <v>1351</v>
      </c>
      <c r="D586" s="30" t="s">
        <v>1352</v>
      </c>
      <c r="E586" s="30" t="s">
        <v>297</v>
      </c>
      <c r="F586" s="30"/>
      <c r="G586" s="31"/>
      <c r="H586" s="30">
        <v>387873</v>
      </c>
      <c r="I586" s="30" t="str">
        <f>IF(Table1[[#This Row],[Centre Status]]="Returned","NA",IF(Table1[[#This Row],[SD]]&gt;19000,"Full Payment",IF(Table1[[#This Row],[SD]]&lt;1,"No Payment","Partial Payment")))</f>
        <v>No Payment</v>
      </c>
      <c r="J586" s="30" t="s">
        <v>58</v>
      </c>
      <c r="K586" s="32">
        <v>110000</v>
      </c>
      <c r="L586" s="33">
        <f>Q586+R586+U586+Table1[[#This Row],[Farmer Payment]]</f>
        <v>19200</v>
      </c>
      <c r="M586" s="30"/>
      <c r="N586" s="34"/>
      <c r="O586" s="34"/>
      <c r="P586" s="35">
        <f t="shared" si="63"/>
        <v>90800</v>
      </c>
      <c r="Q586" s="33">
        <f>AI586+AV586+CK586+Table1[[#This Row],[FY 25-26]]</f>
        <v>19200</v>
      </c>
      <c r="R586" s="36"/>
      <c r="S586" s="37"/>
      <c r="T586" s="38"/>
      <c r="U586" s="39"/>
      <c r="V586" s="39"/>
      <c r="W586" s="40">
        <v>0</v>
      </c>
      <c r="X586" s="40">
        <v>0</v>
      </c>
      <c r="Y586" s="40">
        <v>0</v>
      </c>
      <c r="Z586" s="40">
        <v>0</v>
      </c>
      <c r="AA586" s="40">
        <v>0</v>
      </c>
      <c r="AB586" s="40">
        <v>0</v>
      </c>
      <c r="AC586" s="40">
        <v>0</v>
      </c>
      <c r="AD586" s="40">
        <v>0</v>
      </c>
      <c r="AE586" s="40">
        <v>0</v>
      </c>
      <c r="AF586" s="40">
        <v>0</v>
      </c>
      <c r="AG586" s="40">
        <v>0</v>
      </c>
      <c r="AH586" s="40">
        <v>0</v>
      </c>
      <c r="AI586" s="41">
        <f t="shared" si="64"/>
        <v>0</v>
      </c>
      <c r="AJ586" s="42">
        <v>0</v>
      </c>
      <c r="AK586" s="42">
        <v>0</v>
      </c>
      <c r="AL586" s="42">
        <v>0</v>
      </c>
      <c r="AM586" s="42">
        <v>0</v>
      </c>
      <c r="AN586" s="42">
        <v>0</v>
      </c>
      <c r="AO586" s="42">
        <v>0</v>
      </c>
      <c r="AP586" s="42">
        <v>0</v>
      </c>
      <c r="AQ586" s="42">
        <v>0</v>
      </c>
      <c r="AR586" s="42">
        <v>0</v>
      </c>
      <c r="AS586" s="42">
        <v>0</v>
      </c>
      <c r="AT586" s="42">
        <v>0</v>
      </c>
      <c r="AU586" s="42">
        <v>0</v>
      </c>
      <c r="AV586" s="42">
        <f t="shared" si="65"/>
        <v>0</v>
      </c>
      <c r="AW586" s="42">
        <v>0</v>
      </c>
      <c r="AX586" s="42">
        <v>0</v>
      </c>
      <c r="AY586" s="42">
        <v>68</v>
      </c>
      <c r="AZ586" s="42">
        <v>0</v>
      </c>
      <c r="BA586" s="42">
        <v>0</v>
      </c>
      <c r="BB586" s="42">
        <v>500</v>
      </c>
      <c r="BC586" s="42">
        <v>132</v>
      </c>
      <c r="BD586" s="42">
        <v>500</v>
      </c>
      <c r="BE586" s="42">
        <v>500</v>
      </c>
      <c r="BF586" s="42">
        <v>500</v>
      </c>
      <c r="BG586" s="42">
        <v>500</v>
      </c>
      <c r="BH586" s="42">
        <v>500</v>
      </c>
      <c r="BI586" s="42">
        <v>0</v>
      </c>
      <c r="BJ586" s="42">
        <v>500</v>
      </c>
      <c r="BK586" s="42">
        <v>500</v>
      </c>
      <c r="BL586" s="42">
        <v>500</v>
      </c>
      <c r="BM586" s="42">
        <v>500</v>
      </c>
      <c r="BN586" s="42">
        <v>0</v>
      </c>
      <c r="BO586" s="42">
        <v>500</v>
      </c>
      <c r="BP586" s="42">
        <v>500</v>
      </c>
      <c r="BQ586" s="42">
        <v>500</v>
      </c>
      <c r="BR586" s="42">
        <v>500</v>
      </c>
      <c r="BS586" s="42">
        <v>0</v>
      </c>
      <c r="BT586" s="42">
        <v>500</v>
      </c>
      <c r="BU586" s="42">
        <v>500</v>
      </c>
      <c r="BV586" s="42">
        <v>500</v>
      </c>
      <c r="BW586" s="42">
        <v>500</v>
      </c>
      <c r="BX586" s="42">
        <v>500</v>
      </c>
      <c r="BY586" s="42">
        <v>0</v>
      </c>
      <c r="BZ586" s="42">
        <v>500</v>
      </c>
      <c r="CA586" s="42">
        <v>500</v>
      </c>
      <c r="CB586" s="42">
        <v>500</v>
      </c>
      <c r="CC586" s="42">
        <v>500</v>
      </c>
      <c r="CD586" s="42">
        <v>0</v>
      </c>
      <c r="CE586" s="42">
        <v>500</v>
      </c>
      <c r="CF586" s="42">
        <v>500</v>
      </c>
      <c r="CG586" s="42">
        <v>500</v>
      </c>
      <c r="CH586" s="42">
        <v>500</v>
      </c>
      <c r="CI586" s="42">
        <v>500</v>
      </c>
      <c r="CJ586" s="42">
        <v>0</v>
      </c>
      <c r="CK586" s="43">
        <f t="shared" si="66"/>
        <v>14200</v>
      </c>
      <c r="CL586" s="66"/>
      <c r="CM586" s="66">
        <v>500</v>
      </c>
      <c r="CN586" s="66">
        <v>500</v>
      </c>
      <c r="CO586" s="66">
        <v>500</v>
      </c>
      <c r="CP586" s="66">
        <v>0</v>
      </c>
      <c r="CQ586" s="66">
        <v>500</v>
      </c>
      <c r="CR586" s="66">
        <v>500</v>
      </c>
      <c r="CS586" s="66">
        <v>0</v>
      </c>
      <c r="CT586" s="66">
        <v>500</v>
      </c>
      <c r="CU586" s="66">
        <v>0</v>
      </c>
      <c r="CV586" s="66">
        <v>0</v>
      </c>
      <c r="CW586" s="66">
        <v>500</v>
      </c>
      <c r="CX586" s="66">
        <v>500</v>
      </c>
      <c r="CY586" s="66">
        <v>500</v>
      </c>
      <c r="CZ586" s="66">
        <v>500</v>
      </c>
      <c r="DA586" s="66"/>
      <c r="DB586" s="66"/>
      <c r="DC586" s="66"/>
      <c r="DD586" s="66"/>
      <c r="DE586" s="66"/>
      <c r="DF586" s="66"/>
      <c r="DG586" s="66"/>
      <c r="DH586" s="66"/>
      <c r="DI586" s="66"/>
      <c r="DJ586" s="66"/>
      <c r="DK586" s="66">
        <f>SUM(Table1[[#This Row],[01-03 Apr]:[Mar-26]])</f>
        <v>5000</v>
      </c>
    </row>
    <row r="587" spans="1:115" hidden="1" x14ac:dyDescent="0.2">
      <c r="A587" s="28"/>
      <c r="B587" s="29"/>
      <c r="C587" s="29" t="s">
        <v>2412</v>
      </c>
      <c r="D587" s="30" t="s">
        <v>2403</v>
      </c>
      <c r="E587" s="30" t="s">
        <v>217</v>
      </c>
      <c r="F587" s="30"/>
      <c r="G587" s="31"/>
      <c r="H587" s="30">
        <v>2346107</v>
      </c>
      <c r="I587" s="30" t="str">
        <f>IF(Table1[[#This Row],[Centre Status]]="Returned","NA",IF(Table1[[#This Row],[SD]]&gt;19000,"Full Payment",IF(Table1[[#This Row],[SD]]&lt;1,"No Payment","Partial Payment")))</f>
        <v>NA</v>
      </c>
      <c r="J587" s="30" t="s">
        <v>1903</v>
      </c>
      <c r="K587" s="32">
        <v>110000</v>
      </c>
      <c r="L587" s="33">
        <f>Q587+R587+U587+Table1[[#This Row],[Farmer Payment]]</f>
        <v>20074</v>
      </c>
      <c r="M587" s="30">
        <v>20000</v>
      </c>
      <c r="N587" s="34">
        <v>45723</v>
      </c>
      <c r="O587" s="34" t="s">
        <v>2889</v>
      </c>
      <c r="P587" s="35">
        <f t="shared" si="63"/>
        <v>109926</v>
      </c>
      <c r="Q587" s="33">
        <f>AI587+AV587+CK587+Table1[[#This Row],[FY 25-26]]</f>
        <v>74</v>
      </c>
      <c r="R587" s="36">
        <v>20000</v>
      </c>
      <c r="S587" s="37" t="s">
        <v>2419</v>
      </c>
      <c r="T587" s="38">
        <v>45470</v>
      </c>
      <c r="U587" s="39"/>
      <c r="V587" s="39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1">
        <f t="shared" si="64"/>
        <v>0</v>
      </c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>
        <f t="shared" si="65"/>
        <v>0</v>
      </c>
      <c r="AW587" s="42"/>
      <c r="AX587" s="42"/>
      <c r="AY587" s="42">
        <v>0</v>
      </c>
      <c r="AZ587" s="42">
        <v>0</v>
      </c>
      <c r="BA587" s="42">
        <v>0</v>
      </c>
      <c r="BB587" s="42">
        <v>0</v>
      </c>
      <c r="BC587" s="42">
        <v>0</v>
      </c>
      <c r="BD587" s="42">
        <v>0</v>
      </c>
      <c r="BE587" s="42">
        <v>0</v>
      </c>
      <c r="BF587" s="42">
        <v>0</v>
      </c>
      <c r="BG587" s="42">
        <v>0</v>
      </c>
      <c r="BH587" s="42">
        <v>0</v>
      </c>
      <c r="BI587" s="42">
        <v>0</v>
      </c>
      <c r="BJ587" s="42">
        <v>0</v>
      </c>
      <c r="BK587" s="42">
        <v>0</v>
      </c>
      <c r="BL587" s="42">
        <v>0</v>
      </c>
      <c r="BM587" s="42">
        <v>0</v>
      </c>
      <c r="BN587" s="42">
        <v>0</v>
      </c>
      <c r="BO587" s="42">
        <v>0</v>
      </c>
      <c r="BP587" s="42">
        <v>0</v>
      </c>
      <c r="BQ587" s="42">
        <v>0</v>
      </c>
      <c r="BR587" s="42">
        <v>0</v>
      </c>
      <c r="BS587" s="42">
        <v>74</v>
      </c>
      <c r="BT587" s="42">
        <v>0</v>
      </c>
      <c r="BU587" s="42">
        <v>0</v>
      </c>
      <c r="BV587" s="42">
        <v>0</v>
      </c>
      <c r="BW587" s="42">
        <v>0</v>
      </c>
      <c r="BX587" s="42">
        <v>0</v>
      </c>
      <c r="BY587" s="42">
        <v>0</v>
      </c>
      <c r="BZ587" s="42">
        <v>0</v>
      </c>
      <c r="CA587" s="42">
        <v>0</v>
      </c>
      <c r="CB587" s="42">
        <v>0</v>
      </c>
      <c r="CC587" s="42">
        <v>0</v>
      </c>
      <c r="CD587" s="42">
        <v>0</v>
      </c>
      <c r="CE587" s="42">
        <v>0</v>
      </c>
      <c r="CF587" s="42">
        <v>0</v>
      </c>
      <c r="CG587" s="42">
        <v>0</v>
      </c>
      <c r="CH587" s="42">
        <v>0</v>
      </c>
      <c r="CI587" s="42">
        <v>0</v>
      </c>
      <c r="CJ587" s="42">
        <v>0</v>
      </c>
      <c r="CK587" s="43">
        <f t="shared" si="66"/>
        <v>74</v>
      </c>
      <c r="CL587" s="66"/>
      <c r="CM587" s="66">
        <v>0</v>
      </c>
      <c r="CN587" s="66">
        <v>0</v>
      </c>
      <c r="CO587" s="66">
        <v>0</v>
      </c>
      <c r="CP587" s="66">
        <v>0</v>
      </c>
      <c r="CQ587" s="66">
        <v>0</v>
      </c>
      <c r="CR587" s="66">
        <v>0</v>
      </c>
      <c r="CS587" s="66">
        <v>0</v>
      </c>
      <c r="CT587" s="66">
        <v>0</v>
      </c>
      <c r="CU587" s="66">
        <v>0</v>
      </c>
      <c r="CV587" s="66">
        <v>0</v>
      </c>
      <c r="CW587" s="66">
        <v>0</v>
      </c>
      <c r="CX587" s="66">
        <v>0</v>
      </c>
      <c r="CY587" s="66">
        <v>0</v>
      </c>
      <c r="CZ587" s="66">
        <v>0</v>
      </c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>
        <f>SUM(Table1[[#This Row],[01-03 Apr]:[Mar-26]])</f>
        <v>0</v>
      </c>
    </row>
    <row r="588" spans="1:115" hidden="1" x14ac:dyDescent="0.2">
      <c r="A588" s="28" t="s">
        <v>2255</v>
      </c>
      <c r="B588" s="29" t="s">
        <v>1484</v>
      </c>
      <c r="C588" s="29" t="s">
        <v>2413</v>
      </c>
      <c r="D588" s="30" t="s">
        <v>2404</v>
      </c>
      <c r="E588" s="30" t="s">
        <v>217</v>
      </c>
      <c r="F588" s="30"/>
      <c r="G588" s="31"/>
      <c r="H588" s="30">
        <v>386973</v>
      </c>
      <c r="I588" s="30" t="str">
        <f>IF(Table1[[#This Row],[Centre Status]]="Returned","NA",IF(Table1[[#This Row],[SD]]&gt;19000,"Full Payment",IF(Table1[[#This Row],[SD]]&lt;1,"No Payment","Partial Payment")))</f>
        <v>NA</v>
      </c>
      <c r="J588" s="30" t="s">
        <v>1903</v>
      </c>
      <c r="K588" s="32">
        <v>110000</v>
      </c>
      <c r="L588" s="33">
        <f>Q588+R588+U588+Table1[[#This Row],[Farmer Payment]]</f>
        <v>827</v>
      </c>
      <c r="M588" s="30">
        <v>10000</v>
      </c>
      <c r="N588" s="34">
        <v>45687</v>
      </c>
      <c r="O588" s="34" t="s">
        <v>2696</v>
      </c>
      <c r="P588" s="35">
        <f t="shared" si="63"/>
        <v>119173</v>
      </c>
      <c r="Q588" s="33">
        <f>AI588+AV588+CK588+Table1[[#This Row],[FY 25-26]]</f>
        <v>827</v>
      </c>
      <c r="R588" s="36"/>
      <c r="S588" s="37"/>
      <c r="T588" s="38"/>
      <c r="U588" s="39"/>
      <c r="V588" s="39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1">
        <f t="shared" si="64"/>
        <v>0</v>
      </c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>
        <f t="shared" si="65"/>
        <v>0</v>
      </c>
      <c r="AW588" s="42"/>
      <c r="AX588" s="42"/>
      <c r="AY588" s="42">
        <v>0</v>
      </c>
      <c r="AZ588" s="42">
        <v>707</v>
      </c>
      <c r="BA588" s="42">
        <v>120</v>
      </c>
      <c r="BB588" s="42">
        <v>0</v>
      </c>
      <c r="BC588" s="42">
        <v>0</v>
      </c>
      <c r="BD588" s="42">
        <v>0</v>
      </c>
      <c r="BE588" s="42">
        <v>0</v>
      </c>
      <c r="BF588" s="42">
        <v>0</v>
      </c>
      <c r="BG588" s="42">
        <v>0</v>
      </c>
      <c r="BH588" s="42">
        <v>0</v>
      </c>
      <c r="BI588" s="42">
        <v>0</v>
      </c>
      <c r="BJ588" s="42">
        <v>0</v>
      </c>
      <c r="BK588" s="42">
        <v>0</v>
      </c>
      <c r="BL588" s="42">
        <v>0</v>
      </c>
      <c r="BM588" s="42">
        <v>0</v>
      </c>
      <c r="BN588" s="42">
        <v>0</v>
      </c>
      <c r="BO588" s="42">
        <v>0</v>
      </c>
      <c r="BP588" s="42">
        <v>0</v>
      </c>
      <c r="BQ588" s="42">
        <v>0</v>
      </c>
      <c r="BR588" s="42">
        <v>0</v>
      </c>
      <c r="BS588" s="42">
        <v>0</v>
      </c>
      <c r="BT588" s="42">
        <v>0</v>
      </c>
      <c r="BU588" s="42">
        <v>0</v>
      </c>
      <c r="BV588" s="42">
        <v>0</v>
      </c>
      <c r="BW588" s="42">
        <v>0</v>
      </c>
      <c r="BX588" s="42">
        <v>0</v>
      </c>
      <c r="BY588" s="42">
        <v>0</v>
      </c>
      <c r="BZ588" s="42">
        <v>0</v>
      </c>
      <c r="CA588" s="42">
        <v>0</v>
      </c>
      <c r="CB588" s="42">
        <v>0</v>
      </c>
      <c r="CC588" s="42">
        <v>0</v>
      </c>
      <c r="CD588" s="42">
        <v>0</v>
      </c>
      <c r="CE588" s="42">
        <v>0</v>
      </c>
      <c r="CF588" s="42">
        <v>0</v>
      </c>
      <c r="CG588" s="42">
        <v>0</v>
      </c>
      <c r="CH588" s="42">
        <v>0</v>
      </c>
      <c r="CI588" s="42">
        <v>0</v>
      </c>
      <c r="CJ588" s="42">
        <v>0</v>
      </c>
      <c r="CK588" s="43">
        <f t="shared" si="66"/>
        <v>827</v>
      </c>
      <c r="CL588" s="66"/>
      <c r="CM588" s="66">
        <v>0</v>
      </c>
      <c r="CN588" s="66">
        <v>0</v>
      </c>
      <c r="CO588" s="66">
        <v>0</v>
      </c>
      <c r="CP588" s="66">
        <v>0</v>
      </c>
      <c r="CQ588" s="66">
        <v>0</v>
      </c>
      <c r="CR588" s="66">
        <v>0</v>
      </c>
      <c r="CS588" s="66">
        <v>0</v>
      </c>
      <c r="CT588" s="66">
        <v>0</v>
      </c>
      <c r="CU588" s="66">
        <v>0</v>
      </c>
      <c r="CV588" s="66">
        <v>0</v>
      </c>
      <c r="CW588" s="66">
        <v>0</v>
      </c>
      <c r="CX588" s="66">
        <v>0</v>
      </c>
      <c r="CY588" s="66">
        <v>0</v>
      </c>
      <c r="CZ588" s="66">
        <v>0</v>
      </c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>
        <f>SUM(Table1[[#This Row],[01-03 Apr]:[Mar-26]])</f>
        <v>0</v>
      </c>
    </row>
    <row r="589" spans="1:115" hidden="1" x14ac:dyDescent="0.2">
      <c r="A589" s="28"/>
      <c r="B589" s="29"/>
      <c r="C589" s="29" t="s">
        <v>2411</v>
      </c>
      <c r="D589" s="30" t="s">
        <v>2405</v>
      </c>
      <c r="E589" s="30" t="s">
        <v>297</v>
      </c>
      <c r="F589" s="30"/>
      <c r="G589" s="31"/>
      <c r="H589" s="30">
        <v>378249</v>
      </c>
      <c r="I589" s="30" t="str">
        <f>IF(Table1[[#This Row],[Centre Status]]="Returned","NA",IF(Table1[[#This Row],[SD]]&gt;19000,"Full Payment",IF(Table1[[#This Row],[SD]]&lt;1,"No Payment","Partial Payment")))</f>
        <v>Full Payment</v>
      </c>
      <c r="J589" s="30" t="s">
        <v>58</v>
      </c>
      <c r="K589" s="32">
        <v>110000</v>
      </c>
      <c r="L589" s="33">
        <f>Q589+R589+U589+Table1[[#This Row],[Farmer Payment]]</f>
        <v>41532</v>
      </c>
      <c r="M589" s="30"/>
      <c r="N589" s="34"/>
      <c r="O589" s="34"/>
      <c r="P589" s="35">
        <f t="shared" si="63"/>
        <v>68468</v>
      </c>
      <c r="Q589" s="33">
        <f>AI589+AV589+CK589+Table1[[#This Row],[FY 25-26]]</f>
        <v>21532</v>
      </c>
      <c r="R589" s="36">
        <v>20000</v>
      </c>
      <c r="S589" s="37" t="s">
        <v>2417</v>
      </c>
      <c r="T589" s="38">
        <v>45463</v>
      </c>
      <c r="U589" s="39"/>
      <c r="V589" s="39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1">
        <f t="shared" si="64"/>
        <v>0</v>
      </c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>
        <f t="shared" si="65"/>
        <v>0</v>
      </c>
      <c r="AW589" s="42"/>
      <c r="AX589" s="42"/>
      <c r="AY589" s="42">
        <v>0</v>
      </c>
      <c r="AZ589" s="42">
        <v>1166</v>
      </c>
      <c r="BA589" s="42">
        <v>1298</v>
      </c>
      <c r="BB589" s="42">
        <v>500</v>
      </c>
      <c r="BC589" s="42">
        <v>861</v>
      </c>
      <c r="BD589" s="42">
        <v>500</v>
      </c>
      <c r="BE589" s="42">
        <v>0</v>
      </c>
      <c r="BF589" s="42">
        <v>0</v>
      </c>
      <c r="BG589" s="42">
        <v>0</v>
      </c>
      <c r="BH589" s="42">
        <v>0</v>
      </c>
      <c r="BI589" s="42">
        <v>1451</v>
      </c>
      <c r="BJ589" s="42">
        <v>0</v>
      </c>
      <c r="BK589" s="42">
        <v>0</v>
      </c>
      <c r="BL589" s="42">
        <v>500</v>
      </c>
      <c r="BM589" s="42">
        <v>500</v>
      </c>
      <c r="BN589" s="42">
        <v>256</v>
      </c>
      <c r="BO589" s="42">
        <v>500</v>
      </c>
      <c r="BP589" s="42">
        <v>500</v>
      </c>
      <c r="BQ589" s="42">
        <v>500</v>
      </c>
      <c r="BR589" s="42">
        <v>500</v>
      </c>
      <c r="BS589" s="42">
        <v>0</v>
      </c>
      <c r="BT589" s="42">
        <v>500</v>
      </c>
      <c r="BU589" s="42">
        <v>500</v>
      </c>
      <c r="BV589" s="42">
        <v>500</v>
      </c>
      <c r="BW589" s="42">
        <v>500</v>
      </c>
      <c r="BX589" s="42">
        <v>500</v>
      </c>
      <c r="BY589" s="42">
        <v>0</v>
      </c>
      <c r="BZ589" s="42">
        <v>500</v>
      </c>
      <c r="CA589" s="42">
        <v>500</v>
      </c>
      <c r="CB589" s="42">
        <v>500</v>
      </c>
      <c r="CC589" s="42">
        <v>500</v>
      </c>
      <c r="CD589" s="42">
        <v>0</v>
      </c>
      <c r="CE589" s="42">
        <v>500</v>
      </c>
      <c r="CF589" s="42">
        <v>500</v>
      </c>
      <c r="CG589" s="42">
        <v>500</v>
      </c>
      <c r="CH589" s="42">
        <v>500</v>
      </c>
      <c r="CI589" s="42">
        <v>500</v>
      </c>
      <c r="CJ589" s="42">
        <v>0</v>
      </c>
      <c r="CK589" s="43">
        <f t="shared" si="66"/>
        <v>16032</v>
      </c>
      <c r="CL589" s="66"/>
      <c r="CM589" s="66">
        <v>500</v>
      </c>
      <c r="CN589" s="66">
        <v>500</v>
      </c>
      <c r="CO589" s="66">
        <v>500</v>
      </c>
      <c r="CP589" s="66">
        <v>0</v>
      </c>
      <c r="CQ589" s="66">
        <v>500</v>
      </c>
      <c r="CR589" s="66">
        <v>500</v>
      </c>
      <c r="CS589" s="66">
        <v>500</v>
      </c>
      <c r="CT589" s="66">
        <v>500</v>
      </c>
      <c r="CU589" s="66">
        <v>0</v>
      </c>
      <c r="CV589" s="66">
        <v>0</v>
      </c>
      <c r="CW589" s="66">
        <v>500</v>
      </c>
      <c r="CX589" s="66">
        <v>500</v>
      </c>
      <c r="CY589" s="66">
        <v>500</v>
      </c>
      <c r="CZ589" s="66">
        <v>500</v>
      </c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>
        <f>SUM(Table1[[#This Row],[01-03 Apr]:[Mar-26]])</f>
        <v>5500</v>
      </c>
    </row>
    <row r="590" spans="1:115" hidden="1" x14ac:dyDescent="0.2">
      <c r="A590" s="28"/>
      <c r="B590" s="29"/>
      <c r="C590" s="29" t="s">
        <v>2415</v>
      </c>
      <c r="D590" s="30" t="s">
        <v>2406</v>
      </c>
      <c r="E590" s="30" t="s">
        <v>217</v>
      </c>
      <c r="F590" s="30"/>
      <c r="G590" s="31"/>
      <c r="H590" s="30">
        <v>368510</v>
      </c>
      <c r="I590" s="30" t="str">
        <f>IF(Table1[[#This Row],[Centre Status]]="Returned","NA",IF(Table1[[#This Row],[SD]]&gt;19000,"Full Payment",IF(Table1[[#This Row],[SD]]&lt;1,"No Payment","Partial Payment")))</f>
        <v>Full Payment</v>
      </c>
      <c r="J590" s="30" t="s">
        <v>58</v>
      </c>
      <c r="K590" s="32">
        <v>110000</v>
      </c>
      <c r="L590" s="33">
        <f>Q590+R590+U590+Table1[[#This Row],[Farmer Payment]]</f>
        <v>23010</v>
      </c>
      <c r="M590" s="30"/>
      <c r="N590" s="34"/>
      <c r="O590" s="34"/>
      <c r="P590" s="35">
        <f t="shared" si="63"/>
        <v>86990</v>
      </c>
      <c r="Q590" s="33">
        <f>AI590+AV590+CK590+Table1[[#This Row],[FY 25-26]]</f>
        <v>3010</v>
      </c>
      <c r="R590" s="36">
        <v>20000</v>
      </c>
      <c r="S590" s="37" t="s">
        <v>2420</v>
      </c>
      <c r="T590" s="38">
        <v>45456</v>
      </c>
      <c r="U590" s="39"/>
      <c r="V590" s="39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1">
        <f t="shared" si="64"/>
        <v>0</v>
      </c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>
        <f t="shared" si="65"/>
        <v>0</v>
      </c>
      <c r="AW590" s="42"/>
      <c r="AX590" s="42"/>
      <c r="AY590" s="42">
        <v>0</v>
      </c>
      <c r="AZ590" s="42">
        <v>676</v>
      </c>
      <c r="BA590" s="42">
        <v>940</v>
      </c>
      <c r="BB590" s="42">
        <v>500</v>
      </c>
      <c r="BC590" s="42">
        <v>894</v>
      </c>
      <c r="BD590" s="42">
        <v>0</v>
      </c>
      <c r="BE590" s="42">
        <v>0</v>
      </c>
      <c r="BF590" s="42">
        <v>0</v>
      </c>
      <c r="BG590" s="42">
        <v>0</v>
      </c>
      <c r="BH590" s="42">
        <v>0</v>
      </c>
      <c r="BI590" s="42">
        <v>0</v>
      </c>
      <c r="BJ590" s="42">
        <v>0</v>
      </c>
      <c r="BK590" s="42">
        <v>0</v>
      </c>
      <c r="BL590" s="42">
        <v>0</v>
      </c>
      <c r="BM590" s="42">
        <v>0</v>
      </c>
      <c r="BN590" s="42">
        <v>0</v>
      </c>
      <c r="BO590" s="42">
        <v>0</v>
      </c>
      <c r="BP590" s="42">
        <v>0</v>
      </c>
      <c r="BQ590" s="42">
        <v>0</v>
      </c>
      <c r="BR590" s="42">
        <v>0</v>
      </c>
      <c r="BS590" s="42">
        <v>0</v>
      </c>
      <c r="BT590" s="42">
        <v>0</v>
      </c>
      <c r="BU590" s="42">
        <v>0</v>
      </c>
      <c r="BV590" s="42">
        <v>0</v>
      </c>
      <c r="BW590" s="42">
        <v>0</v>
      </c>
      <c r="BX590" s="42">
        <v>0</v>
      </c>
      <c r="BY590" s="42">
        <v>0</v>
      </c>
      <c r="BZ590" s="42">
        <v>0</v>
      </c>
      <c r="CA590" s="42">
        <v>0</v>
      </c>
      <c r="CB590" s="42">
        <v>0</v>
      </c>
      <c r="CC590" s="42">
        <v>0</v>
      </c>
      <c r="CD590" s="42">
        <v>0</v>
      </c>
      <c r="CE590" s="42">
        <v>0</v>
      </c>
      <c r="CF590" s="42">
        <v>0</v>
      </c>
      <c r="CG590" s="42">
        <v>0</v>
      </c>
      <c r="CH590" s="42">
        <v>0</v>
      </c>
      <c r="CI590" s="42">
        <v>0</v>
      </c>
      <c r="CJ590" s="42">
        <v>0</v>
      </c>
      <c r="CK590" s="43">
        <f t="shared" si="66"/>
        <v>3010</v>
      </c>
      <c r="CL590" s="66"/>
      <c r="CM590" s="66">
        <v>0</v>
      </c>
      <c r="CN590" s="66">
        <v>0</v>
      </c>
      <c r="CO590" s="66">
        <v>0</v>
      </c>
      <c r="CP590" s="66">
        <v>0</v>
      </c>
      <c r="CQ590" s="66">
        <v>0</v>
      </c>
      <c r="CR590" s="66">
        <v>0</v>
      </c>
      <c r="CS590" s="66">
        <v>0</v>
      </c>
      <c r="CT590" s="66">
        <v>0</v>
      </c>
      <c r="CU590" s="66">
        <v>0</v>
      </c>
      <c r="CV590" s="66">
        <v>0</v>
      </c>
      <c r="CW590" s="66">
        <v>0</v>
      </c>
      <c r="CX590" s="66">
        <v>0</v>
      </c>
      <c r="CY590" s="66">
        <v>0</v>
      </c>
      <c r="CZ590" s="66">
        <v>0</v>
      </c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>
        <f>SUM(Table1[[#This Row],[01-03 Apr]:[Mar-26]])</f>
        <v>0</v>
      </c>
    </row>
    <row r="591" spans="1:115" x14ac:dyDescent="0.2">
      <c r="A591" s="28"/>
      <c r="B591" s="29"/>
      <c r="C591" s="29" t="s">
        <v>2416</v>
      </c>
      <c r="D591" s="30" t="s">
        <v>2407</v>
      </c>
      <c r="E591" s="30" t="s">
        <v>217</v>
      </c>
      <c r="F591" s="30"/>
      <c r="G591" s="31"/>
      <c r="H591" s="30">
        <v>378746</v>
      </c>
      <c r="I591" s="30" t="str">
        <f>IF(Table1[[#This Row],[Centre Status]]="Returned","NA",IF(Table1[[#This Row],[SD]]&gt;19000,"Full Payment",IF(Table1[[#This Row],[SD]]&lt;1,"No Payment","Partial Payment")))</f>
        <v>No Payment</v>
      </c>
      <c r="J591" s="30" t="s">
        <v>58</v>
      </c>
      <c r="K591" s="32">
        <v>110000</v>
      </c>
      <c r="L591" s="33">
        <f>Q591+R591+U591+Table1[[#This Row],[Farmer Payment]]</f>
        <v>3957</v>
      </c>
      <c r="M591" s="30"/>
      <c r="N591" s="34"/>
      <c r="O591" s="34"/>
      <c r="P591" s="35">
        <f t="shared" si="63"/>
        <v>106043</v>
      </c>
      <c r="Q591" s="33">
        <f>AI591+AV591+CK591+Table1[[#This Row],[FY 25-26]]</f>
        <v>3957</v>
      </c>
      <c r="R591" s="36"/>
      <c r="S591" s="37"/>
      <c r="T591" s="38"/>
      <c r="U591" s="39"/>
      <c r="V591" s="39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1">
        <f t="shared" si="64"/>
        <v>0</v>
      </c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>
        <f t="shared" si="65"/>
        <v>0</v>
      </c>
      <c r="AW591" s="42"/>
      <c r="AX591" s="42"/>
      <c r="AY591" s="42">
        <v>0</v>
      </c>
      <c r="AZ591" s="42">
        <v>770</v>
      </c>
      <c r="BA591" s="42">
        <v>462</v>
      </c>
      <c r="BB591" s="42">
        <v>500</v>
      </c>
      <c r="BC591" s="42">
        <v>538</v>
      </c>
      <c r="BD591" s="42">
        <v>500</v>
      </c>
      <c r="BE591" s="42">
        <v>0</v>
      </c>
      <c r="BF591" s="42">
        <v>0</v>
      </c>
      <c r="BG591" s="42">
        <v>0</v>
      </c>
      <c r="BH591" s="42">
        <v>0</v>
      </c>
      <c r="BI591" s="42">
        <v>0</v>
      </c>
      <c r="BJ591" s="42">
        <v>0</v>
      </c>
      <c r="BK591" s="42">
        <v>0</v>
      </c>
      <c r="BL591" s="42">
        <v>0</v>
      </c>
      <c r="BM591" s="42">
        <v>0</v>
      </c>
      <c r="BN591" s="42">
        <v>0</v>
      </c>
      <c r="BO591" s="42">
        <v>0</v>
      </c>
      <c r="BP591" s="42">
        <v>0</v>
      </c>
      <c r="BQ591" s="42">
        <v>0</v>
      </c>
      <c r="BR591" s="42">
        <v>0</v>
      </c>
      <c r="BS591" s="42">
        <v>0</v>
      </c>
      <c r="BT591" s="42">
        <v>0</v>
      </c>
      <c r="BU591" s="42">
        <v>0</v>
      </c>
      <c r="BV591" s="42">
        <v>0</v>
      </c>
      <c r="BW591" s="42">
        <v>0</v>
      </c>
      <c r="BX591" s="42">
        <v>0</v>
      </c>
      <c r="BY591" s="42">
        <v>0</v>
      </c>
      <c r="BZ591" s="42">
        <v>0</v>
      </c>
      <c r="CA591" s="42">
        <v>500</v>
      </c>
      <c r="CB591" s="42">
        <v>0</v>
      </c>
      <c r="CC591" s="42">
        <v>0</v>
      </c>
      <c r="CD591" s="42">
        <v>0</v>
      </c>
      <c r="CE591" s="42">
        <v>0</v>
      </c>
      <c r="CF591" s="42">
        <v>0</v>
      </c>
      <c r="CG591" s="42">
        <v>0</v>
      </c>
      <c r="CH591" s="42">
        <v>0</v>
      </c>
      <c r="CI591" s="42">
        <v>0</v>
      </c>
      <c r="CJ591" s="42">
        <v>687</v>
      </c>
      <c r="CK591" s="43">
        <f t="shared" si="66"/>
        <v>3957</v>
      </c>
      <c r="CL591" s="66"/>
      <c r="CM591" s="66">
        <v>0</v>
      </c>
      <c r="CN591" s="66">
        <v>0</v>
      </c>
      <c r="CO591" s="66">
        <v>0</v>
      </c>
      <c r="CP591" s="66">
        <v>0</v>
      </c>
      <c r="CQ591" s="66">
        <v>0</v>
      </c>
      <c r="CR591" s="66">
        <v>0</v>
      </c>
      <c r="CS591" s="66">
        <v>0</v>
      </c>
      <c r="CT591" s="66">
        <v>0</v>
      </c>
      <c r="CU591" s="66">
        <v>0</v>
      </c>
      <c r="CV591" s="66">
        <v>0</v>
      </c>
      <c r="CW591" s="66">
        <v>0</v>
      </c>
      <c r="CX591" s="66">
        <v>0</v>
      </c>
      <c r="CY591" s="66">
        <v>0</v>
      </c>
      <c r="CZ591" s="66">
        <v>0</v>
      </c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>
        <f>SUM(Table1[[#This Row],[01-03 Apr]:[Mar-26]])</f>
        <v>0</v>
      </c>
    </row>
    <row r="592" spans="1:115" x14ac:dyDescent="0.2">
      <c r="A592" s="28"/>
      <c r="B592" s="29"/>
      <c r="C592" s="29" t="s">
        <v>2410</v>
      </c>
      <c r="D592" s="30" t="s">
        <v>2408</v>
      </c>
      <c r="E592" s="30" t="s">
        <v>297</v>
      </c>
      <c r="F592" s="30"/>
      <c r="G592" s="31"/>
      <c r="H592" s="30">
        <v>388109</v>
      </c>
      <c r="I592" s="30" t="str">
        <f>IF(Table1[[#This Row],[Centre Status]]="Returned","NA",IF(Table1[[#This Row],[SD]]&gt;19000,"Full Payment",IF(Table1[[#This Row],[SD]]&lt;1,"No Payment","Partial Payment")))</f>
        <v>Partial Payment</v>
      </c>
      <c r="J592" s="30" t="s">
        <v>58</v>
      </c>
      <c r="K592" s="32">
        <v>110000</v>
      </c>
      <c r="L592" s="33">
        <f>Q592+R592+U592+Table1[[#This Row],[Farmer Payment]]</f>
        <v>18375</v>
      </c>
      <c r="M592" s="30"/>
      <c r="N592" s="34"/>
      <c r="O592" s="34"/>
      <c r="P592" s="35">
        <f t="shared" si="63"/>
        <v>91625</v>
      </c>
      <c r="Q592" s="33">
        <f>AI592+AV592+CK592+Table1[[#This Row],[FY 25-26]]</f>
        <v>3375</v>
      </c>
      <c r="R592" s="36">
        <v>15000</v>
      </c>
      <c r="S592" s="37" t="s">
        <v>2418</v>
      </c>
      <c r="T592" s="38">
        <v>45465</v>
      </c>
      <c r="U592" s="39"/>
      <c r="V592" s="39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1">
        <f t="shared" si="64"/>
        <v>0</v>
      </c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>
        <f t="shared" si="65"/>
        <v>0</v>
      </c>
      <c r="AW592" s="42"/>
      <c r="AX592" s="42"/>
      <c r="AY592" s="42">
        <v>0</v>
      </c>
      <c r="AZ592" s="42">
        <v>16</v>
      </c>
      <c r="BA592" s="42">
        <v>1067</v>
      </c>
      <c r="BB592" s="42">
        <v>500</v>
      </c>
      <c r="BC592" s="42">
        <v>861</v>
      </c>
      <c r="BD592" s="42">
        <v>500</v>
      </c>
      <c r="BE592" s="42">
        <v>0</v>
      </c>
      <c r="BF592" s="42">
        <v>0</v>
      </c>
      <c r="BG592" s="42">
        <v>0</v>
      </c>
      <c r="BH592" s="42">
        <v>0</v>
      </c>
      <c r="BI592" s="42">
        <v>349</v>
      </c>
      <c r="BJ592" s="42">
        <v>0</v>
      </c>
      <c r="BK592" s="42">
        <v>0</v>
      </c>
      <c r="BL592" s="42">
        <v>0</v>
      </c>
      <c r="BM592" s="42">
        <v>0</v>
      </c>
      <c r="BN592" s="42">
        <v>82</v>
      </c>
      <c r="BO592" s="42">
        <v>0</v>
      </c>
      <c r="BP592" s="42">
        <v>0</v>
      </c>
      <c r="BQ592" s="42">
        <v>0</v>
      </c>
      <c r="BR592" s="42">
        <v>0</v>
      </c>
      <c r="BS592" s="42">
        <v>0</v>
      </c>
      <c r="BT592" s="42">
        <v>0</v>
      </c>
      <c r="BU592" s="42">
        <v>0</v>
      </c>
      <c r="BV592" s="42">
        <v>0</v>
      </c>
      <c r="BW592" s="42">
        <v>0</v>
      </c>
      <c r="BX592" s="42">
        <v>0</v>
      </c>
      <c r="BY592" s="42">
        <v>0</v>
      </c>
      <c r="BZ592" s="42">
        <v>0</v>
      </c>
      <c r="CA592" s="42">
        <v>0</v>
      </c>
      <c r="CB592" s="42">
        <v>0</v>
      </c>
      <c r="CC592" s="42">
        <v>0</v>
      </c>
      <c r="CD592" s="42">
        <v>0</v>
      </c>
      <c r="CE592" s="42">
        <v>0</v>
      </c>
      <c r="CF592" s="42">
        <v>0</v>
      </c>
      <c r="CG592" s="42">
        <v>0</v>
      </c>
      <c r="CH592" s="42">
        <v>0</v>
      </c>
      <c r="CI592" s="42">
        <v>0</v>
      </c>
      <c r="CJ592" s="42">
        <v>0</v>
      </c>
      <c r="CK592" s="43">
        <f t="shared" si="66"/>
        <v>3375</v>
      </c>
      <c r="CL592" s="66"/>
      <c r="CM592" s="66">
        <v>0</v>
      </c>
      <c r="CN592" s="66">
        <v>0</v>
      </c>
      <c r="CO592" s="66">
        <v>0</v>
      </c>
      <c r="CP592" s="66">
        <v>0</v>
      </c>
      <c r="CQ592" s="66">
        <v>0</v>
      </c>
      <c r="CR592" s="66">
        <v>0</v>
      </c>
      <c r="CS592" s="66">
        <v>0</v>
      </c>
      <c r="CT592" s="66">
        <v>0</v>
      </c>
      <c r="CU592" s="66">
        <v>0</v>
      </c>
      <c r="CV592" s="66">
        <v>0</v>
      </c>
      <c r="CW592" s="66">
        <v>0</v>
      </c>
      <c r="CX592" s="66">
        <v>0</v>
      </c>
      <c r="CY592" s="66">
        <v>0</v>
      </c>
      <c r="CZ592" s="66">
        <v>0</v>
      </c>
      <c r="DA592" s="66"/>
      <c r="DB592" s="66"/>
      <c r="DC592" s="66"/>
      <c r="DD592" s="66"/>
      <c r="DE592" s="66"/>
      <c r="DF592" s="66"/>
      <c r="DG592" s="66"/>
      <c r="DH592" s="66"/>
      <c r="DI592" s="66"/>
      <c r="DJ592" s="66"/>
      <c r="DK592" s="66">
        <f>SUM(Table1[[#This Row],[01-03 Apr]:[Mar-26]])</f>
        <v>0</v>
      </c>
    </row>
    <row r="593" spans="1:115" x14ac:dyDescent="0.2">
      <c r="A593" s="28" t="s">
        <v>2255</v>
      </c>
      <c r="B593" s="29"/>
      <c r="C593" s="29" t="s">
        <v>2414</v>
      </c>
      <c r="D593" s="30" t="s">
        <v>2409</v>
      </c>
      <c r="E593" s="30" t="s">
        <v>217</v>
      </c>
      <c r="F593" s="30"/>
      <c r="G593" s="31"/>
      <c r="H593" s="30">
        <v>2345662</v>
      </c>
      <c r="I593" s="30" t="str">
        <f>IF(Table1[[#This Row],[Centre Status]]="Returned","NA",IF(Table1[[#This Row],[SD]]&gt;19000,"Full Payment",IF(Table1[[#This Row],[SD]]&lt;1,"No Payment","Partial Payment")))</f>
        <v>No Payment</v>
      </c>
      <c r="J593" s="30" t="s">
        <v>58</v>
      </c>
      <c r="K593" s="32">
        <v>110000</v>
      </c>
      <c r="L593" s="33">
        <f>Q593+R593+U593+Table1[[#This Row],[Farmer Payment]]</f>
        <v>23160.757766561281</v>
      </c>
      <c r="M593" s="30"/>
      <c r="N593" s="34"/>
      <c r="O593" s="34"/>
      <c r="P593" s="35">
        <f t="shared" si="63"/>
        <v>86839.242233438723</v>
      </c>
      <c r="Q593" s="33">
        <f>AI593+AV593+CK593+Table1[[#This Row],[FY 25-26]]</f>
        <v>23160.757766561281</v>
      </c>
      <c r="R593" s="36"/>
      <c r="S593" s="37"/>
      <c r="T593" s="38"/>
      <c r="U593" s="39"/>
      <c r="V593" s="39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1">
        <f t="shared" si="64"/>
        <v>0</v>
      </c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>
        <f t="shared" si="65"/>
        <v>0</v>
      </c>
      <c r="AW593" s="42"/>
      <c r="AX593" s="42"/>
      <c r="AY593" s="42">
        <v>0</v>
      </c>
      <c r="AZ593" s="42">
        <v>876</v>
      </c>
      <c r="BA593" s="42">
        <v>1520</v>
      </c>
      <c r="BB593" s="42">
        <v>500</v>
      </c>
      <c r="BC593" s="42">
        <v>861</v>
      </c>
      <c r="BD593" s="42">
        <v>500</v>
      </c>
      <c r="BE593" s="42">
        <v>0</v>
      </c>
      <c r="BF593" s="42">
        <v>0</v>
      </c>
      <c r="BG593" s="42">
        <v>0</v>
      </c>
      <c r="BH593" s="42">
        <v>0</v>
      </c>
      <c r="BI593" s="42">
        <v>1861</v>
      </c>
      <c r="BJ593" s="42">
        <v>0</v>
      </c>
      <c r="BK593" s="42">
        <v>0</v>
      </c>
      <c r="BL593" s="42">
        <v>500</v>
      </c>
      <c r="BM593" s="42">
        <v>500</v>
      </c>
      <c r="BN593" s="42">
        <v>774</v>
      </c>
      <c r="BO593" s="42">
        <v>500</v>
      </c>
      <c r="BP593" s="42">
        <v>500</v>
      </c>
      <c r="BQ593" s="42">
        <v>500</v>
      </c>
      <c r="BR593" s="42">
        <v>500</v>
      </c>
      <c r="BS593" s="42">
        <v>0</v>
      </c>
      <c r="BT593" s="42">
        <v>500</v>
      </c>
      <c r="BU593" s="42">
        <v>500</v>
      </c>
      <c r="BV593" s="42">
        <v>500</v>
      </c>
      <c r="BW593" s="42">
        <v>500</v>
      </c>
      <c r="BX593" s="42">
        <v>500</v>
      </c>
      <c r="BY593" s="42">
        <v>0</v>
      </c>
      <c r="BZ593" s="42">
        <v>500</v>
      </c>
      <c r="CA593" s="42">
        <v>0</v>
      </c>
      <c r="CB593" s="42">
        <v>500</v>
      </c>
      <c r="CC593" s="42">
        <v>500</v>
      </c>
      <c r="CD593" s="42">
        <v>546.75776656128028</v>
      </c>
      <c r="CE593" s="42">
        <v>500</v>
      </c>
      <c r="CF593" s="42">
        <v>500</v>
      </c>
      <c r="CG593" s="42">
        <v>500</v>
      </c>
      <c r="CH593" s="42">
        <v>500</v>
      </c>
      <c r="CI593" s="42">
        <v>0</v>
      </c>
      <c r="CJ593" s="42">
        <v>361</v>
      </c>
      <c r="CK593" s="43">
        <f t="shared" si="66"/>
        <v>16799.757766561281</v>
      </c>
      <c r="CL593" s="66"/>
      <c r="CM593" s="66">
        <v>500</v>
      </c>
      <c r="CN593" s="66">
        <v>500</v>
      </c>
      <c r="CO593" s="66">
        <v>500</v>
      </c>
      <c r="CP593" s="66">
        <v>0</v>
      </c>
      <c r="CQ593" s="66">
        <v>500</v>
      </c>
      <c r="CR593" s="66">
        <v>500</v>
      </c>
      <c r="CS593" s="66">
        <v>500</v>
      </c>
      <c r="CT593" s="66">
        <v>500</v>
      </c>
      <c r="CU593" s="66">
        <v>500</v>
      </c>
      <c r="CV593" s="66">
        <v>361</v>
      </c>
      <c r="CW593" s="66">
        <v>500</v>
      </c>
      <c r="CX593" s="66">
        <v>500</v>
      </c>
      <c r="CY593" s="66">
        <v>500</v>
      </c>
      <c r="CZ593" s="66">
        <v>500</v>
      </c>
      <c r="DA593" s="66"/>
      <c r="DB593" s="66"/>
      <c r="DC593" s="66"/>
      <c r="DD593" s="66"/>
      <c r="DE593" s="66"/>
      <c r="DF593" s="66"/>
      <c r="DG593" s="66"/>
      <c r="DH593" s="66"/>
      <c r="DI593" s="66"/>
      <c r="DJ593" s="66"/>
      <c r="DK593" s="66">
        <f>SUM(Table1[[#This Row],[01-03 Apr]:[Mar-26]])</f>
        <v>6361</v>
      </c>
    </row>
    <row r="594" spans="1:115" x14ac:dyDescent="0.2">
      <c r="A594" s="28" t="s">
        <v>2255</v>
      </c>
      <c r="B594" s="29" t="s">
        <v>1353</v>
      </c>
      <c r="C594" s="29" t="s">
        <v>1354</v>
      </c>
      <c r="D594" s="30" t="s">
        <v>1355</v>
      </c>
      <c r="E594" s="30" t="s">
        <v>297</v>
      </c>
      <c r="F594" s="30"/>
      <c r="G594" s="31"/>
      <c r="H594" s="30">
        <v>382419</v>
      </c>
      <c r="I594" s="30" t="str">
        <f>IF(Table1[[#This Row],[Centre Status]]="Returned","NA",IF(Table1[[#This Row],[SD]]&gt;19000,"Full Payment",IF(Table1[[#This Row],[SD]]&lt;1,"No Payment","Partial Payment")))</f>
        <v>No Payment</v>
      </c>
      <c r="J594" s="30" t="s">
        <v>58</v>
      </c>
      <c r="K594" s="32">
        <v>110000</v>
      </c>
      <c r="L594" s="33">
        <f>Q594+R594+U594+Table1[[#This Row],[Farmer Payment]]</f>
        <v>26855.085847754111</v>
      </c>
      <c r="M594" s="30"/>
      <c r="N594" s="34"/>
      <c r="O594" s="34"/>
      <c r="P594" s="35">
        <f t="shared" si="63"/>
        <v>83144.914152245881</v>
      </c>
      <c r="Q594" s="33">
        <f>AI594+AV594+CK594+Table1[[#This Row],[FY 25-26]]</f>
        <v>26855.085847754111</v>
      </c>
      <c r="R594" s="36"/>
      <c r="S594" s="37"/>
      <c r="T594" s="38"/>
      <c r="U594" s="39"/>
      <c r="V594" s="39"/>
      <c r="W594" s="40">
        <v>0</v>
      </c>
      <c r="X594" s="40">
        <v>0</v>
      </c>
      <c r="Y594" s="40">
        <v>0</v>
      </c>
      <c r="Z594" s="40">
        <v>0</v>
      </c>
      <c r="AA594" s="40">
        <v>0</v>
      </c>
      <c r="AB594" s="40">
        <v>0</v>
      </c>
      <c r="AC594" s="40">
        <v>0</v>
      </c>
      <c r="AD594" s="40">
        <v>0</v>
      </c>
      <c r="AE594" s="40">
        <v>0</v>
      </c>
      <c r="AF594" s="40">
        <v>0</v>
      </c>
      <c r="AG594" s="40">
        <v>0</v>
      </c>
      <c r="AH594" s="40">
        <v>0</v>
      </c>
      <c r="AI594" s="41">
        <f t="shared" si="64"/>
        <v>0</v>
      </c>
      <c r="AJ594" s="42">
        <v>0</v>
      </c>
      <c r="AK594" s="42">
        <v>0</v>
      </c>
      <c r="AL594" s="42">
        <v>0</v>
      </c>
      <c r="AM594" s="42">
        <v>0</v>
      </c>
      <c r="AN594" s="42">
        <v>0</v>
      </c>
      <c r="AO594" s="42">
        <v>0</v>
      </c>
      <c r="AP594" s="42">
        <v>0</v>
      </c>
      <c r="AQ594" s="42">
        <v>0</v>
      </c>
      <c r="AR594" s="42">
        <v>0</v>
      </c>
      <c r="AS594" s="42">
        <v>0</v>
      </c>
      <c r="AT594" s="42">
        <v>0</v>
      </c>
      <c r="AU594" s="42">
        <v>0</v>
      </c>
      <c r="AV594" s="42">
        <f t="shared" si="65"/>
        <v>0</v>
      </c>
      <c r="AW594" s="42">
        <v>2152.5442214849181</v>
      </c>
      <c r="AX594" s="42">
        <v>1749</v>
      </c>
      <c r="AY594" s="42">
        <v>1861</v>
      </c>
      <c r="AZ594" s="42">
        <v>1861</v>
      </c>
      <c r="BA594" s="42">
        <v>1861</v>
      </c>
      <c r="BB594" s="42">
        <v>0</v>
      </c>
      <c r="BC594" s="42">
        <v>1191</v>
      </c>
      <c r="BD594" s="42">
        <v>0</v>
      </c>
      <c r="BE594" s="42">
        <v>500</v>
      </c>
      <c r="BF594" s="42">
        <v>500</v>
      </c>
      <c r="BG594" s="42">
        <v>500</v>
      </c>
      <c r="BH594" s="42">
        <v>500</v>
      </c>
      <c r="BI594" s="42">
        <v>0</v>
      </c>
      <c r="BJ594" s="42">
        <v>500</v>
      </c>
      <c r="BK594" s="42">
        <v>500</v>
      </c>
      <c r="BL594" s="42">
        <v>500</v>
      </c>
      <c r="BM594" s="42">
        <v>500</v>
      </c>
      <c r="BN594" s="42">
        <v>0</v>
      </c>
      <c r="BO594" s="42">
        <v>500</v>
      </c>
      <c r="BP594" s="42">
        <v>500</v>
      </c>
      <c r="BQ594" s="42">
        <v>500</v>
      </c>
      <c r="BR594" s="42">
        <v>500</v>
      </c>
      <c r="BS594" s="42">
        <v>0</v>
      </c>
      <c r="BT594" s="42">
        <v>500</v>
      </c>
      <c r="BU594" s="42">
        <v>500</v>
      </c>
      <c r="BV594" s="42">
        <v>0</v>
      </c>
      <c r="BW594" s="42">
        <v>0</v>
      </c>
      <c r="BX594" s="42">
        <v>0</v>
      </c>
      <c r="BY594" s="42">
        <v>0</v>
      </c>
      <c r="BZ594" s="42">
        <v>0</v>
      </c>
      <c r="CA594" s="42">
        <v>0</v>
      </c>
      <c r="CB594" s="42">
        <v>0</v>
      </c>
      <c r="CC594" s="42">
        <v>0</v>
      </c>
      <c r="CD594" s="42">
        <v>2793.5604564782407</v>
      </c>
      <c r="CE594" s="42">
        <v>0</v>
      </c>
      <c r="CF594" s="42">
        <v>0</v>
      </c>
      <c r="CG594" s="42">
        <v>0</v>
      </c>
      <c r="CH594" s="42">
        <v>0</v>
      </c>
      <c r="CI594" s="42">
        <v>0</v>
      </c>
      <c r="CJ594" s="42">
        <v>2663.9811697909522</v>
      </c>
      <c r="CK594" s="43">
        <f t="shared" si="66"/>
        <v>23133.085847754111</v>
      </c>
      <c r="CL594" s="66"/>
      <c r="CM594" s="66">
        <v>0</v>
      </c>
      <c r="CN594" s="66">
        <v>0</v>
      </c>
      <c r="CO594" s="66">
        <v>0</v>
      </c>
      <c r="CP594" s="66">
        <v>1861</v>
      </c>
      <c r="CQ594" s="66">
        <v>0</v>
      </c>
      <c r="CR594" s="66">
        <v>0</v>
      </c>
      <c r="CS594" s="66">
        <v>0</v>
      </c>
      <c r="CT594" s="66">
        <v>0</v>
      </c>
      <c r="CU594" s="66">
        <v>0</v>
      </c>
      <c r="CV594" s="66">
        <v>1861</v>
      </c>
      <c r="CW594" s="66">
        <v>0</v>
      </c>
      <c r="CX594" s="66">
        <v>0</v>
      </c>
      <c r="CY594" s="66">
        <v>0</v>
      </c>
      <c r="CZ594" s="66">
        <v>0</v>
      </c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>
        <f>SUM(Table1[[#This Row],[01-03 Apr]:[Mar-26]])</f>
        <v>3722</v>
      </c>
    </row>
    <row r="595" spans="1:115" x14ac:dyDescent="0.2">
      <c r="A595" s="28" t="s">
        <v>2255</v>
      </c>
      <c r="B595" s="29" t="s">
        <v>1356</v>
      </c>
      <c r="C595" s="29" t="s">
        <v>1357</v>
      </c>
      <c r="D595" s="30" t="s">
        <v>1358</v>
      </c>
      <c r="E595" s="30" t="s">
        <v>217</v>
      </c>
      <c r="F595" s="30"/>
      <c r="G595" s="31"/>
      <c r="H595" s="30">
        <v>387859</v>
      </c>
      <c r="I595" s="30" t="str">
        <f>IF(Table1[[#This Row],[Centre Status]]="Returned","NA",IF(Table1[[#This Row],[SD]]&gt;19000,"Full Payment",IF(Table1[[#This Row],[SD]]&lt;1,"No Payment","Partial Payment")))</f>
        <v>No Payment</v>
      </c>
      <c r="J595" s="30" t="s">
        <v>58</v>
      </c>
      <c r="K595" s="32">
        <v>110000</v>
      </c>
      <c r="L595" s="33">
        <f>Q595+R595+U595+Table1[[#This Row],[Farmer Payment]]</f>
        <v>23868.265833054906</v>
      </c>
      <c r="M595" s="30"/>
      <c r="N595" s="34"/>
      <c r="O595" s="34"/>
      <c r="P595" s="35">
        <f t="shared" si="63"/>
        <v>86131.734166945098</v>
      </c>
      <c r="Q595" s="33">
        <f>AI595+AV595+CK595+Table1[[#This Row],[FY 25-26]]</f>
        <v>23868.265833054906</v>
      </c>
      <c r="R595" s="36"/>
      <c r="S595" s="37"/>
      <c r="T595" s="38"/>
      <c r="U595" s="39"/>
      <c r="V595" s="39"/>
      <c r="W595" s="40">
        <v>0</v>
      </c>
      <c r="X595" s="40">
        <v>0</v>
      </c>
      <c r="Y595" s="40">
        <v>0</v>
      </c>
      <c r="Z595" s="40">
        <v>0</v>
      </c>
      <c r="AA595" s="40">
        <v>0</v>
      </c>
      <c r="AB595" s="40">
        <v>0</v>
      </c>
      <c r="AC595" s="40">
        <v>0</v>
      </c>
      <c r="AD595" s="40">
        <v>0</v>
      </c>
      <c r="AE595" s="40">
        <v>0</v>
      </c>
      <c r="AF595" s="40">
        <v>0</v>
      </c>
      <c r="AG595" s="40">
        <v>0</v>
      </c>
      <c r="AH595" s="40">
        <v>0</v>
      </c>
      <c r="AI595" s="41">
        <f t="shared" si="64"/>
        <v>0</v>
      </c>
      <c r="AJ595" s="42">
        <v>0</v>
      </c>
      <c r="AK595" s="42">
        <v>0</v>
      </c>
      <c r="AL595" s="42">
        <v>0</v>
      </c>
      <c r="AM595" s="42">
        <v>0</v>
      </c>
      <c r="AN595" s="42">
        <v>0</v>
      </c>
      <c r="AO595" s="42">
        <v>0</v>
      </c>
      <c r="AP595" s="42">
        <v>0</v>
      </c>
      <c r="AQ595" s="42">
        <v>0</v>
      </c>
      <c r="AR595" s="42">
        <v>0</v>
      </c>
      <c r="AS595" s="42">
        <v>0</v>
      </c>
      <c r="AT595" s="42">
        <v>0</v>
      </c>
      <c r="AU595" s="42">
        <v>0</v>
      </c>
      <c r="AV595" s="42">
        <f t="shared" si="65"/>
        <v>0</v>
      </c>
      <c r="AW595" s="42">
        <v>1861</v>
      </c>
      <c r="AX595" s="42">
        <v>1861</v>
      </c>
      <c r="AY595" s="42">
        <v>530</v>
      </c>
      <c r="AZ595" s="42">
        <v>0</v>
      </c>
      <c r="BA595" s="42">
        <v>636</v>
      </c>
      <c r="BB595" s="42">
        <v>500</v>
      </c>
      <c r="BC595" s="42">
        <v>2080.2658330549061</v>
      </c>
      <c r="BD595" s="42">
        <v>500</v>
      </c>
      <c r="BE595" s="42">
        <v>0</v>
      </c>
      <c r="BF595" s="42">
        <v>0</v>
      </c>
      <c r="BG595" s="42">
        <v>0</v>
      </c>
      <c r="BH595" s="42">
        <v>0</v>
      </c>
      <c r="BI595" s="42">
        <v>39</v>
      </c>
      <c r="BJ595" s="42">
        <v>0</v>
      </c>
      <c r="BK595" s="42">
        <v>0</v>
      </c>
      <c r="BL595" s="42">
        <v>500</v>
      </c>
      <c r="BM595" s="42">
        <v>500</v>
      </c>
      <c r="BN595" s="42">
        <v>0</v>
      </c>
      <c r="BO595" s="42">
        <v>500</v>
      </c>
      <c r="BP595" s="42">
        <v>500</v>
      </c>
      <c r="BQ595" s="42">
        <v>500</v>
      </c>
      <c r="BR595" s="42">
        <v>500</v>
      </c>
      <c r="BS595" s="42">
        <v>0</v>
      </c>
      <c r="BT595" s="42">
        <v>500</v>
      </c>
      <c r="BU595" s="42">
        <v>500</v>
      </c>
      <c r="BV595" s="42">
        <v>500</v>
      </c>
      <c r="BW595" s="42">
        <v>500</v>
      </c>
      <c r="BX595" s="42">
        <v>500</v>
      </c>
      <c r="BY595" s="42">
        <v>0</v>
      </c>
      <c r="BZ595" s="42">
        <v>500</v>
      </c>
      <c r="CA595" s="42">
        <v>500</v>
      </c>
      <c r="CB595" s="42">
        <v>500</v>
      </c>
      <c r="CC595" s="42">
        <v>500</v>
      </c>
      <c r="CD595" s="42">
        <v>0</v>
      </c>
      <c r="CE595" s="42">
        <v>500</v>
      </c>
      <c r="CF595" s="42">
        <v>500</v>
      </c>
      <c r="CG595" s="42">
        <v>500</v>
      </c>
      <c r="CH595" s="42">
        <v>500</v>
      </c>
      <c r="CI595" s="42">
        <v>500</v>
      </c>
      <c r="CJ595" s="42">
        <v>0</v>
      </c>
      <c r="CK595" s="43">
        <f t="shared" si="66"/>
        <v>18007.265833054906</v>
      </c>
      <c r="CL595" s="66"/>
      <c r="CM595" s="66">
        <v>500</v>
      </c>
      <c r="CN595" s="66">
        <v>500</v>
      </c>
      <c r="CO595" s="66">
        <v>500</v>
      </c>
      <c r="CP595" s="66">
        <v>0</v>
      </c>
      <c r="CQ595" s="66">
        <v>500</v>
      </c>
      <c r="CR595" s="66">
        <v>500</v>
      </c>
      <c r="CS595" s="66">
        <v>0</v>
      </c>
      <c r="CT595" s="66">
        <v>500</v>
      </c>
      <c r="CU595" s="66">
        <v>500</v>
      </c>
      <c r="CV595" s="66">
        <v>361</v>
      </c>
      <c r="CW595" s="66">
        <v>500</v>
      </c>
      <c r="CX595" s="66">
        <v>500</v>
      </c>
      <c r="CY595" s="66">
        <v>500</v>
      </c>
      <c r="CZ595" s="66">
        <v>500</v>
      </c>
      <c r="DA595" s="66"/>
      <c r="DB595" s="66"/>
      <c r="DC595" s="66"/>
      <c r="DD595" s="66"/>
      <c r="DE595" s="66"/>
      <c r="DF595" s="66"/>
      <c r="DG595" s="66"/>
      <c r="DH595" s="66"/>
      <c r="DI595" s="66"/>
      <c r="DJ595" s="66"/>
      <c r="DK595" s="66">
        <f>SUM(Table1[[#This Row],[01-03 Apr]:[Mar-26]])</f>
        <v>5861</v>
      </c>
    </row>
    <row r="596" spans="1:115" hidden="1" x14ac:dyDescent="0.2">
      <c r="A596" s="28" t="s">
        <v>2255</v>
      </c>
      <c r="B596" s="29" t="s">
        <v>1359</v>
      </c>
      <c r="C596" s="29" t="s">
        <v>3339</v>
      </c>
      <c r="D596" s="30" t="s">
        <v>1360</v>
      </c>
      <c r="E596" s="30" t="s">
        <v>217</v>
      </c>
      <c r="F596" s="30"/>
      <c r="G596" s="31"/>
      <c r="H596" s="30">
        <v>385556</v>
      </c>
      <c r="I596" s="30" t="str">
        <f>IF(Table1[[#This Row],[Centre Status]]="Returned","NA",IF(Table1[[#This Row],[SD]]&gt;19000,"Full Payment",IF(Table1[[#This Row],[SD]]&lt;1,"No Payment","Partial Payment")))</f>
        <v>NA</v>
      </c>
      <c r="J596" s="30" t="s">
        <v>1903</v>
      </c>
      <c r="K596" s="32">
        <v>110000</v>
      </c>
      <c r="L596" s="33">
        <f>Q596+R596+U596+Table1[[#This Row],[Farmer Payment]]</f>
        <v>0</v>
      </c>
      <c r="M596" s="30"/>
      <c r="N596" s="34"/>
      <c r="O596" s="34"/>
      <c r="P596" s="35">
        <f t="shared" si="63"/>
        <v>110000</v>
      </c>
      <c r="Q596" s="33">
        <f>AI596+AV596+CK596+Table1[[#This Row],[FY 25-26]]</f>
        <v>0</v>
      </c>
      <c r="R596" s="36"/>
      <c r="S596" s="37"/>
      <c r="T596" s="38"/>
      <c r="U596" s="39"/>
      <c r="V596" s="39"/>
      <c r="W596" s="40">
        <v>0</v>
      </c>
      <c r="X596" s="40">
        <v>0</v>
      </c>
      <c r="Y596" s="40">
        <v>0</v>
      </c>
      <c r="Z596" s="40">
        <v>0</v>
      </c>
      <c r="AA596" s="40">
        <v>0</v>
      </c>
      <c r="AB596" s="40">
        <v>0</v>
      </c>
      <c r="AC596" s="40">
        <v>0</v>
      </c>
      <c r="AD596" s="40">
        <v>0</v>
      </c>
      <c r="AE596" s="40">
        <v>0</v>
      </c>
      <c r="AF596" s="40">
        <v>0</v>
      </c>
      <c r="AG596" s="40">
        <v>0</v>
      </c>
      <c r="AH596" s="40">
        <v>0</v>
      </c>
      <c r="AI596" s="41">
        <f t="shared" si="64"/>
        <v>0</v>
      </c>
      <c r="AJ596" s="42">
        <v>0</v>
      </c>
      <c r="AK596" s="42">
        <v>0</v>
      </c>
      <c r="AL596" s="42">
        <v>0</v>
      </c>
      <c r="AM596" s="42">
        <v>0</v>
      </c>
      <c r="AN596" s="42">
        <v>0</v>
      </c>
      <c r="AO596" s="42">
        <v>0</v>
      </c>
      <c r="AP596" s="42">
        <v>0</v>
      </c>
      <c r="AQ596" s="42">
        <v>0</v>
      </c>
      <c r="AR596" s="42">
        <v>0</v>
      </c>
      <c r="AS596" s="42">
        <v>0</v>
      </c>
      <c r="AT596" s="42">
        <v>0</v>
      </c>
      <c r="AU596" s="42">
        <v>0</v>
      </c>
      <c r="AV596" s="42">
        <f t="shared" si="65"/>
        <v>0</v>
      </c>
      <c r="AW596" s="42">
        <v>0</v>
      </c>
      <c r="AX596" s="42">
        <v>0</v>
      </c>
      <c r="AY596" s="42">
        <v>0</v>
      </c>
      <c r="AZ596" s="42">
        <v>0</v>
      </c>
      <c r="BA596" s="42">
        <v>0</v>
      </c>
      <c r="BB596" s="42">
        <v>0</v>
      </c>
      <c r="BC596" s="42">
        <v>0</v>
      </c>
      <c r="BD596" s="42">
        <v>0</v>
      </c>
      <c r="BE596" s="42">
        <v>0</v>
      </c>
      <c r="BF596" s="42">
        <v>0</v>
      </c>
      <c r="BG596" s="42">
        <v>0</v>
      </c>
      <c r="BH596" s="42">
        <v>0</v>
      </c>
      <c r="BI596" s="42">
        <v>0</v>
      </c>
      <c r="BJ596" s="42">
        <v>0</v>
      </c>
      <c r="BK596" s="42">
        <v>0</v>
      </c>
      <c r="BL596" s="42">
        <v>0</v>
      </c>
      <c r="BM596" s="42">
        <v>0</v>
      </c>
      <c r="BN596" s="42">
        <v>0</v>
      </c>
      <c r="BO596" s="42">
        <v>0</v>
      </c>
      <c r="BP596" s="42">
        <v>0</v>
      </c>
      <c r="BQ596" s="42">
        <v>0</v>
      </c>
      <c r="BR596" s="42">
        <v>0</v>
      </c>
      <c r="BS596" s="42">
        <v>0</v>
      </c>
      <c r="BT596" s="42">
        <v>0</v>
      </c>
      <c r="BU596" s="42">
        <v>0</v>
      </c>
      <c r="BV596" s="42">
        <v>0</v>
      </c>
      <c r="BW596" s="42">
        <v>0</v>
      </c>
      <c r="BX596" s="42">
        <v>0</v>
      </c>
      <c r="BY596" s="42">
        <v>0</v>
      </c>
      <c r="BZ596" s="42">
        <v>0</v>
      </c>
      <c r="CA596" s="42">
        <v>0</v>
      </c>
      <c r="CB596" s="42">
        <v>0</v>
      </c>
      <c r="CC596" s="42">
        <v>0</v>
      </c>
      <c r="CD596" s="42">
        <v>0</v>
      </c>
      <c r="CE596" s="42">
        <v>0</v>
      </c>
      <c r="CF596" s="42">
        <v>0</v>
      </c>
      <c r="CG596" s="42">
        <v>0</v>
      </c>
      <c r="CH596" s="42">
        <v>0</v>
      </c>
      <c r="CI596" s="42">
        <v>0</v>
      </c>
      <c r="CJ596" s="42">
        <v>0</v>
      </c>
      <c r="CK596" s="43">
        <f t="shared" si="66"/>
        <v>0</v>
      </c>
      <c r="CL596" s="66"/>
      <c r="CM596" s="66">
        <v>0</v>
      </c>
      <c r="CN596" s="66">
        <v>0</v>
      </c>
      <c r="CO596" s="66">
        <v>0</v>
      </c>
      <c r="CP596" s="66">
        <v>0</v>
      </c>
      <c r="CQ596" s="66">
        <v>0</v>
      </c>
      <c r="CR596" s="66">
        <v>0</v>
      </c>
      <c r="CS596" s="66">
        <v>0</v>
      </c>
      <c r="CT596" s="66">
        <v>0</v>
      </c>
      <c r="CU596" s="66">
        <v>0</v>
      </c>
      <c r="CV596" s="66">
        <v>0</v>
      </c>
      <c r="CW596" s="66">
        <v>0</v>
      </c>
      <c r="CX596" s="66">
        <v>0</v>
      </c>
      <c r="CY596" s="66">
        <v>0</v>
      </c>
      <c r="CZ596" s="66">
        <v>0</v>
      </c>
      <c r="DA596" s="66"/>
      <c r="DB596" s="66"/>
      <c r="DC596" s="66"/>
      <c r="DD596" s="66"/>
      <c r="DE596" s="66"/>
      <c r="DF596" s="66"/>
      <c r="DG596" s="66"/>
      <c r="DH596" s="66"/>
      <c r="DI596" s="66"/>
      <c r="DJ596" s="66"/>
      <c r="DK596" s="66">
        <f>SUM(Table1[[#This Row],[01-03 Apr]:[Mar-26]])</f>
        <v>0</v>
      </c>
    </row>
    <row r="597" spans="1:115" hidden="1" x14ac:dyDescent="0.2">
      <c r="A597" s="28" t="s">
        <v>2255</v>
      </c>
      <c r="B597" s="29" t="s">
        <v>1363</v>
      </c>
      <c r="C597" s="29" t="s">
        <v>1364</v>
      </c>
      <c r="D597" s="30" t="s">
        <v>1365</v>
      </c>
      <c r="E597" s="30" t="s">
        <v>943</v>
      </c>
      <c r="F597" s="30"/>
      <c r="G597" s="31"/>
      <c r="H597" s="30">
        <v>385576</v>
      </c>
      <c r="I597" s="30" t="str">
        <f>IF(Table1[[#This Row],[Centre Status]]="Returned","NA",IF(Table1[[#This Row],[SD]]&gt;19000,"Full Payment",IF(Table1[[#This Row],[SD]]&lt;1,"No Payment","Partial Payment")))</f>
        <v>Full Payment</v>
      </c>
      <c r="J597" s="30" t="s">
        <v>58</v>
      </c>
      <c r="K597" s="32">
        <v>110000</v>
      </c>
      <c r="L597" s="33">
        <f>Q597+R597+U597+Table1[[#This Row],[Farmer Payment]]</f>
        <v>68874.254154682101</v>
      </c>
      <c r="M597" s="30"/>
      <c r="N597" s="34"/>
      <c r="O597" s="34"/>
      <c r="P597" s="35">
        <f t="shared" si="63"/>
        <v>41125.745845317899</v>
      </c>
      <c r="Q597" s="33">
        <f>AI597+AV597+CK597+Table1[[#This Row],[FY 25-26]]</f>
        <v>48874.254154682094</v>
      </c>
      <c r="R597" s="36">
        <v>20000</v>
      </c>
      <c r="S597" s="37" t="s">
        <v>3003</v>
      </c>
      <c r="T597" s="38">
        <v>45301</v>
      </c>
      <c r="U597" s="39"/>
      <c r="V597" s="39"/>
      <c r="W597" s="40">
        <v>0</v>
      </c>
      <c r="X597" s="40">
        <v>0</v>
      </c>
      <c r="Y597" s="40">
        <v>0</v>
      </c>
      <c r="Z597" s="40">
        <v>0</v>
      </c>
      <c r="AA597" s="40">
        <v>0</v>
      </c>
      <c r="AB597" s="40">
        <v>0</v>
      </c>
      <c r="AC597" s="40">
        <v>0</v>
      </c>
      <c r="AD597" s="40">
        <v>0</v>
      </c>
      <c r="AE597" s="40">
        <v>0</v>
      </c>
      <c r="AF597" s="40">
        <v>0</v>
      </c>
      <c r="AG597" s="40">
        <v>0</v>
      </c>
      <c r="AH597" s="40">
        <v>0</v>
      </c>
      <c r="AI597" s="41">
        <f t="shared" si="64"/>
        <v>0</v>
      </c>
      <c r="AJ597" s="42">
        <v>0</v>
      </c>
      <c r="AK597" s="42">
        <v>0</v>
      </c>
      <c r="AL597" s="42">
        <v>0</v>
      </c>
      <c r="AM597" s="42">
        <v>0</v>
      </c>
      <c r="AN597" s="42">
        <v>0</v>
      </c>
      <c r="AO597" s="42">
        <v>0</v>
      </c>
      <c r="AP597" s="42">
        <v>0</v>
      </c>
      <c r="AQ597" s="42">
        <v>0</v>
      </c>
      <c r="AR597" s="42">
        <v>0</v>
      </c>
      <c r="AS597" s="42">
        <v>0</v>
      </c>
      <c r="AT597" s="42">
        <v>0</v>
      </c>
      <c r="AU597" s="42">
        <v>0</v>
      </c>
      <c r="AV597" s="42">
        <f t="shared" si="65"/>
        <v>0</v>
      </c>
      <c r="AW597" s="42">
        <v>5288.8191137433596</v>
      </c>
      <c r="AX597" s="42">
        <v>4229.4678289920002</v>
      </c>
      <c r="AY597" s="42">
        <v>3707.6898941183999</v>
      </c>
      <c r="AZ597" s="42">
        <v>3231.3897676185602</v>
      </c>
      <c r="BA597" s="42">
        <v>2060.4609567283205</v>
      </c>
      <c r="BB597" s="42">
        <v>0</v>
      </c>
      <c r="BC597" s="42">
        <v>2976.5434658117533</v>
      </c>
      <c r="BD597" s="42">
        <v>0</v>
      </c>
      <c r="BE597" s="42">
        <v>0</v>
      </c>
      <c r="BF597" s="42">
        <v>0</v>
      </c>
      <c r="BG597" s="42">
        <v>0</v>
      </c>
      <c r="BH597" s="42">
        <v>0</v>
      </c>
      <c r="BI597" s="42">
        <v>2212.1768363283004</v>
      </c>
      <c r="BJ597" s="42">
        <v>0</v>
      </c>
      <c r="BK597" s="42">
        <v>0</v>
      </c>
      <c r="BL597" s="42">
        <v>0</v>
      </c>
      <c r="BM597" s="42">
        <v>0</v>
      </c>
      <c r="BN597" s="42">
        <v>2813.0350244049387</v>
      </c>
      <c r="BO597" s="42">
        <v>0</v>
      </c>
      <c r="BP597" s="42">
        <v>0</v>
      </c>
      <c r="BQ597" s="42">
        <v>0</v>
      </c>
      <c r="BR597" s="42">
        <v>0</v>
      </c>
      <c r="BS597" s="42">
        <v>4932.8270450718546</v>
      </c>
      <c r="BT597" s="42">
        <v>0</v>
      </c>
      <c r="BU597" s="42">
        <v>0</v>
      </c>
      <c r="BV597" s="42">
        <v>0</v>
      </c>
      <c r="BW597" s="42">
        <v>0</v>
      </c>
      <c r="BX597" s="42">
        <v>0</v>
      </c>
      <c r="BY597" s="42">
        <v>3821.3619124782681</v>
      </c>
      <c r="BZ597" s="42">
        <v>0</v>
      </c>
      <c r="CA597" s="42">
        <v>0</v>
      </c>
      <c r="CB597" s="42">
        <v>0</v>
      </c>
      <c r="CC597" s="42">
        <v>0</v>
      </c>
      <c r="CD597" s="42">
        <v>4636.9123119373426</v>
      </c>
      <c r="CE597" s="42">
        <v>0</v>
      </c>
      <c r="CF597" s="42">
        <v>0</v>
      </c>
      <c r="CG597" s="42">
        <v>0</v>
      </c>
      <c r="CH597" s="42">
        <v>0</v>
      </c>
      <c r="CI597" s="42">
        <v>0</v>
      </c>
      <c r="CJ597" s="42">
        <v>4569.1419998361598</v>
      </c>
      <c r="CK597" s="43">
        <f t="shared" si="66"/>
        <v>44479.826157069256</v>
      </c>
      <c r="CL597" s="66"/>
      <c r="CM597" s="66">
        <v>0</v>
      </c>
      <c r="CN597" s="66">
        <v>0</v>
      </c>
      <c r="CO597" s="66">
        <v>0</v>
      </c>
      <c r="CP597" s="66">
        <v>2533.42799761284</v>
      </c>
      <c r="CQ597" s="66">
        <v>0</v>
      </c>
      <c r="CR597" s="66">
        <v>0</v>
      </c>
      <c r="CS597" s="66">
        <v>0</v>
      </c>
      <c r="CT597" s="66">
        <v>0</v>
      </c>
      <c r="CU597" s="66">
        <v>0</v>
      </c>
      <c r="CV597" s="66">
        <v>1861</v>
      </c>
      <c r="CW597" s="66">
        <v>0</v>
      </c>
      <c r="CX597" s="66">
        <v>0</v>
      </c>
      <c r="CY597" s="66">
        <v>0</v>
      </c>
      <c r="CZ597" s="66">
        <v>0</v>
      </c>
      <c r="DA597" s="66"/>
      <c r="DB597" s="66"/>
      <c r="DC597" s="66"/>
      <c r="DD597" s="66"/>
      <c r="DE597" s="66"/>
      <c r="DF597" s="66"/>
      <c r="DG597" s="66"/>
      <c r="DH597" s="66"/>
      <c r="DI597" s="66"/>
      <c r="DJ597" s="66"/>
      <c r="DK597" s="66">
        <f>SUM(Table1[[#This Row],[01-03 Apr]:[Mar-26]])</f>
        <v>4394.42799761284</v>
      </c>
    </row>
    <row r="598" spans="1:115" hidden="1" x14ac:dyDescent="0.2">
      <c r="A598" s="28" t="s">
        <v>2255</v>
      </c>
      <c r="B598" s="29" t="s">
        <v>1369</v>
      </c>
      <c r="C598" s="29" t="s">
        <v>1370</v>
      </c>
      <c r="D598" s="30" t="s">
        <v>1371</v>
      </c>
      <c r="E598" s="30" t="s">
        <v>85</v>
      </c>
      <c r="F598" s="30"/>
      <c r="G598" s="31"/>
      <c r="H598" s="30">
        <v>276098</v>
      </c>
      <c r="I598" s="30" t="str">
        <f>IF(Table1[[#This Row],[Centre Status]]="Returned","NA",IF(Table1[[#This Row],[SD]]&gt;19000,"Full Payment",IF(Table1[[#This Row],[SD]]&lt;1,"No Payment","Partial Payment")))</f>
        <v>NA</v>
      </c>
      <c r="J598" s="30" t="s">
        <v>1903</v>
      </c>
      <c r="K598" s="32">
        <v>110000</v>
      </c>
      <c r="L598" s="33">
        <f>Q598+R598+U598+Table1[[#This Row],[Farmer Payment]]</f>
        <v>11861</v>
      </c>
      <c r="M598" s="30">
        <v>10000</v>
      </c>
      <c r="N598" s="34">
        <v>45565</v>
      </c>
      <c r="O598" s="34" t="s">
        <v>2425</v>
      </c>
      <c r="P598" s="35">
        <f t="shared" si="63"/>
        <v>108139</v>
      </c>
      <c r="Q598" s="33">
        <f>AI598+AV598+CK598+Table1[[#This Row],[FY 25-26]]</f>
        <v>1861</v>
      </c>
      <c r="R598" s="36">
        <v>10000</v>
      </c>
      <c r="S598" s="37" t="s">
        <v>2573</v>
      </c>
      <c r="T598" s="38">
        <v>45230</v>
      </c>
      <c r="U598" s="39"/>
      <c r="V598" s="39"/>
      <c r="W598" s="40">
        <v>0</v>
      </c>
      <c r="X598" s="40">
        <v>0</v>
      </c>
      <c r="Y598" s="40">
        <v>0</v>
      </c>
      <c r="Z598" s="40">
        <v>0</v>
      </c>
      <c r="AA598" s="40">
        <v>0</v>
      </c>
      <c r="AB598" s="40">
        <v>0</v>
      </c>
      <c r="AC598" s="40">
        <v>0</v>
      </c>
      <c r="AD598" s="40">
        <v>0</v>
      </c>
      <c r="AE598" s="40">
        <v>0</v>
      </c>
      <c r="AF598" s="40">
        <v>0</v>
      </c>
      <c r="AG598" s="40">
        <v>0</v>
      </c>
      <c r="AH598" s="40">
        <v>0</v>
      </c>
      <c r="AI598" s="41">
        <f t="shared" si="64"/>
        <v>0</v>
      </c>
      <c r="AJ598" s="42">
        <v>0</v>
      </c>
      <c r="AK598" s="42">
        <v>0</v>
      </c>
      <c r="AL598" s="42">
        <v>0</v>
      </c>
      <c r="AM598" s="42">
        <v>0</v>
      </c>
      <c r="AN598" s="42">
        <v>0</v>
      </c>
      <c r="AO598" s="42">
        <v>0</v>
      </c>
      <c r="AP598" s="42">
        <v>0</v>
      </c>
      <c r="AQ598" s="42">
        <v>0</v>
      </c>
      <c r="AR598" s="42">
        <v>0</v>
      </c>
      <c r="AS598" s="42">
        <v>0</v>
      </c>
      <c r="AT598" s="42">
        <v>0</v>
      </c>
      <c r="AU598" s="42">
        <v>0</v>
      </c>
      <c r="AV598" s="42">
        <f t="shared" si="65"/>
        <v>0</v>
      </c>
      <c r="AW598" s="42">
        <v>1861</v>
      </c>
      <c r="AX598" s="42">
        <v>0</v>
      </c>
      <c r="AY598" s="42">
        <v>0</v>
      </c>
      <c r="AZ598" s="42">
        <v>0</v>
      </c>
      <c r="BA598" s="42">
        <v>0</v>
      </c>
      <c r="BB598" s="42">
        <v>0</v>
      </c>
      <c r="BC598" s="42">
        <v>0</v>
      </c>
      <c r="BD598" s="42">
        <v>0</v>
      </c>
      <c r="BE598" s="42">
        <v>0</v>
      </c>
      <c r="BF598" s="42">
        <v>0</v>
      </c>
      <c r="BG598" s="42">
        <v>0</v>
      </c>
      <c r="BH598" s="42">
        <v>0</v>
      </c>
      <c r="BI598" s="42">
        <v>0</v>
      </c>
      <c r="BJ598" s="42">
        <v>0</v>
      </c>
      <c r="BK598" s="42">
        <v>0</v>
      </c>
      <c r="BL598" s="42">
        <v>0</v>
      </c>
      <c r="BM598" s="42">
        <v>0</v>
      </c>
      <c r="BN598" s="42">
        <v>0</v>
      </c>
      <c r="BO598" s="42">
        <v>0</v>
      </c>
      <c r="BP598" s="42">
        <v>0</v>
      </c>
      <c r="BQ598" s="42">
        <v>0</v>
      </c>
      <c r="BR598" s="42">
        <v>0</v>
      </c>
      <c r="BS598" s="42">
        <v>0</v>
      </c>
      <c r="BT598" s="42">
        <v>0</v>
      </c>
      <c r="BU598" s="42">
        <v>0</v>
      </c>
      <c r="BV598" s="42">
        <v>0</v>
      </c>
      <c r="BW598" s="42">
        <v>0</v>
      </c>
      <c r="BX598" s="42">
        <v>0</v>
      </c>
      <c r="BY598" s="42">
        <v>0</v>
      </c>
      <c r="BZ598" s="42">
        <v>0</v>
      </c>
      <c r="CA598" s="42">
        <v>0</v>
      </c>
      <c r="CB598" s="42">
        <v>0</v>
      </c>
      <c r="CC598" s="42">
        <v>0</v>
      </c>
      <c r="CD598" s="42">
        <v>0</v>
      </c>
      <c r="CE598" s="42">
        <v>0</v>
      </c>
      <c r="CF598" s="42">
        <v>0</v>
      </c>
      <c r="CG598" s="42">
        <v>0</v>
      </c>
      <c r="CH598" s="42">
        <v>0</v>
      </c>
      <c r="CI598" s="42">
        <v>0</v>
      </c>
      <c r="CJ598" s="42">
        <v>0</v>
      </c>
      <c r="CK598" s="43">
        <f t="shared" si="66"/>
        <v>1861</v>
      </c>
      <c r="CL598" s="66"/>
      <c r="CM598" s="66">
        <v>0</v>
      </c>
      <c r="CN598" s="66">
        <v>0</v>
      </c>
      <c r="CO598" s="66">
        <v>0</v>
      </c>
      <c r="CP598" s="66">
        <v>0</v>
      </c>
      <c r="CQ598" s="66">
        <v>0</v>
      </c>
      <c r="CR598" s="66">
        <v>0</v>
      </c>
      <c r="CS598" s="66">
        <v>0</v>
      </c>
      <c r="CT598" s="66">
        <v>0</v>
      </c>
      <c r="CU598" s="66">
        <v>0</v>
      </c>
      <c r="CV598" s="66">
        <v>0</v>
      </c>
      <c r="CW598" s="66">
        <v>0</v>
      </c>
      <c r="CX598" s="66">
        <v>0</v>
      </c>
      <c r="CY598" s="66">
        <v>0</v>
      </c>
      <c r="CZ598" s="66">
        <v>0</v>
      </c>
      <c r="DA598" s="66"/>
      <c r="DB598" s="66"/>
      <c r="DC598" s="66"/>
      <c r="DD598" s="66"/>
      <c r="DE598" s="66"/>
      <c r="DF598" s="66"/>
      <c r="DG598" s="66"/>
      <c r="DH598" s="66"/>
      <c r="DI598" s="66"/>
      <c r="DJ598" s="66"/>
      <c r="DK598" s="66">
        <f>SUM(Table1[[#This Row],[01-03 Apr]:[Mar-26]])</f>
        <v>0</v>
      </c>
    </row>
    <row r="599" spans="1:115" hidden="1" x14ac:dyDescent="0.2">
      <c r="A599" s="28" t="s">
        <v>2255</v>
      </c>
      <c r="B599" s="29" t="s">
        <v>1374</v>
      </c>
      <c r="C599" s="29" t="s">
        <v>1375</v>
      </c>
      <c r="D599" s="30" t="s">
        <v>1376</v>
      </c>
      <c r="E599" s="30" t="s">
        <v>217</v>
      </c>
      <c r="F599" s="30"/>
      <c r="G599" s="31"/>
      <c r="H599" s="30">
        <v>2345663</v>
      </c>
      <c r="I599" s="30" t="str">
        <f>IF(Table1[[#This Row],[Centre Status]]="Returned","NA",IF(Table1[[#This Row],[SD]]&gt;19000,"Full Payment",IF(Table1[[#This Row],[SD]]&lt;1,"No Payment","Partial Payment")))</f>
        <v>NA</v>
      </c>
      <c r="J599" s="30" t="s">
        <v>1903</v>
      </c>
      <c r="K599" s="32">
        <v>110000</v>
      </c>
      <c r="L599" s="33">
        <f>Q599+R599+U599+Table1[[#This Row],[Farmer Payment]]</f>
        <v>13715.682405873646</v>
      </c>
      <c r="M599" s="30">
        <v>5000</v>
      </c>
      <c r="N599" s="34">
        <v>45666</v>
      </c>
      <c r="O599" s="34" t="s">
        <v>2696</v>
      </c>
      <c r="P599" s="35">
        <f t="shared" si="63"/>
        <v>101284.31759412636</v>
      </c>
      <c r="Q599" s="33">
        <f>AI599+AV599+CK599+Table1[[#This Row],[FY 25-26]]</f>
        <v>13715.682405873646</v>
      </c>
      <c r="R599" s="36"/>
      <c r="S599" s="37"/>
      <c r="T599" s="38"/>
      <c r="U599" s="39"/>
      <c r="V599" s="39"/>
      <c r="W599" s="40">
        <v>0</v>
      </c>
      <c r="X599" s="40">
        <v>0</v>
      </c>
      <c r="Y599" s="40">
        <v>0</v>
      </c>
      <c r="Z599" s="40">
        <v>0</v>
      </c>
      <c r="AA599" s="40">
        <v>0</v>
      </c>
      <c r="AB599" s="40">
        <v>0</v>
      </c>
      <c r="AC599" s="40">
        <v>0</v>
      </c>
      <c r="AD599" s="40">
        <v>0</v>
      </c>
      <c r="AE599" s="40">
        <v>0</v>
      </c>
      <c r="AF599" s="40">
        <v>0</v>
      </c>
      <c r="AG599" s="40">
        <v>0</v>
      </c>
      <c r="AH599" s="40">
        <v>0</v>
      </c>
      <c r="AI599" s="41">
        <f t="shared" si="64"/>
        <v>0</v>
      </c>
      <c r="AJ599" s="42">
        <v>0</v>
      </c>
      <c r="AK599" s="42">
        <v>0</v>
      </c>
      <c r="AL599" s="42">
        <v>0</v>
      </c>
      <c r="AM599" s="42">
        <v>0</v>
      </c>
      <c r="AN599" s="42">
        <v>0</v>
      </c>
      <c r="AO599" s="42">
        <v>0</v>
      </c>
      <c r="AP599" s="42">
        <v>0</v>
      </c>
      <c r="AQ599" s="42">
        <v>0</v>
      </c>
      <c r="AR599" s="42">
        <v>0</v>
      </c>
      <c r="AS599" s="42">
        <v>0</v>
      </c>
      <c r="AT599" s="42">
        <v>0</v>
      </c>
      <c r="AU599" s="42">
        <v>0</v>
      </c>
      <c r="AV599" s="42">
        <f t="shared" si="65"/>
        <v>0</v>
      </c>
      <c r="AW599" s="42">
        <v>2369.5224091078062</v>
      </c>
      <c r="AX599" s="42">
        <v>1861</v>
      </c>
      <c r="AY599" s="42">
        <v>1455</v>
      </c>
      <c r="AZ599" s="42">
        <v>0</v>
      </c>
      <c r="BA599" s="42">
        <v>0</v>
      </c>
      <c r="BB599" s="42">
        <v>500</v>
      </c>
      <c r="BC599" s="42">
        <v>5169.1599967658394</v>
      </c>
      <c r="BD599" s="42">
        <v>500</v>
      </c>
      <c r="BE599" s="42">
        <v>0</v>
      </c>
      <c r="BF599" s="42">
        <v>0</v>
      </c>
      <c r="BG599" s="42">
        <v>0</v>
      </c>
      <c r="BH599" s="42">
        <v>0</v>
      </c>
      <c r="BI599" s="42">
        <v>1861</v>
      </c>
      <c r="BJ599" s="42">
        <v>0</v>
      </c>
      <c r="BK599" s="42">
        <v>0</v>
      </c>
      <c r="BL599" s="42">
        <v>0</v>
      </c>
      <c r="BM599" s="42">
        <v>0</v>
      </c>
      <c r="BN599" s="42">
        <v>0</v>
      </c>
      <c r="BO599" s="42">
        <v>0</v>
      </c>
      <c r="BP599" s="42">
        <v>0</v>
      </c>
      <c r="BQ599" s="42">
        <v>0</v>
      </c>
      <c r="BR599" s="42">
        <v>0</v>
      </c>
      <c r="BS599" s="42">
        <v>0</v>
      </c>
      <c r="BT599" s="42">
        <v>0</v>
      </c>
      <c r="BU599" s="42">
        <v>0</v>
      </c>
      <c r="BV599" s="42">
        <v>0</v>
      </c>
      <c r="BW599" s="42">
        <v>0</v>
      </c>
      <c r="BX599" s="42">
        <v>0</v>
      </c>
      <c r="BY599" s="42">
        <v>0</v>
      </c>
      <c r="BZ599" s="42">
        <v>0</v>
      </c>
      <c r="CA599" s="42">
        <v>0</v>
      </c>
      <c r="CB599" s="42">
        <v>0</v>
      </c>
      <c r="CC599" s="42">
        <v>0</v>
      </c>
      <c r="CD599" s="42">
        <v>0</v>
      </c>
      <c r="CE599" s="42">
        <v>0</v>
      </c>
      <c r="CF599" s="42">
        <v>0</v>
      </c>
      <c r="CG599" s="42">
        <v>0</v>
      </c>
      <c r="CH599" s="42">
        <v>0</v>
      </c>
      <c r="CI599" s="42">
        <v>0</v>
      </c>
      <c r="CJ599" s="42">
        <v>0</v>
      </c>
      <c r="CK599" s="43">
        <f t="shared" si="66"/>
        <v>13715.682405873646</v>
      </c>
      <c r="CL599" s="66"/>
      <c r="CM599" s="66">
        <v>0</v>
      </c>
      <c r="CN599" s="66">
        <v>0</v>
      </c>
      <c r="CO599" s="66">
        <v>0</v>
      </c>
      <c r="CP599" s="66">
        <v>0</v>
      </c>
      <c r="CQ599" s="66">
        <v>0</v>
      </c>
      <c r="CR599" s="66">
        <v>0</v>
      </c>
      <c r="CS599" s="66">
        <v>0</v>
      </c>
      <c r="CT599" s="66">
        <v>0</v>
      </c>
      <c r="CU599" s="66">
        <v>0</v>
      </c>
      <c r="CV599" s="66">
        <v>0</v>
      </c>
      <c r="CW599" s="66">
        <v>0</v>
      </c>
      <c r="CX599" s="66">
        <v>0</v>
      </c>
      <c r="CY599" s="66">
        <v>0</v>
      </c>
      <c r="CZ599" s="66">
        <v>0</v>
      </c>
      <c r="DA599" s="66"/>
      <c r="DB599" s="66"/>
      <c r="DC599" s="66"/>
      <c r="DD599" s="66"/>
      <c r="DE599" s="66"/>
      <c r="DF599" s="66"/>
      <c r="DG599" s="66"/>
      <c r="DH599" s="66"/>
      <c r="DI599" s="66"/>
      <c r="DJ599" s="66"/>
      <c r="DK599" s="66">
        <f>SUM(Table1[[#This Row],[01-03 Apr]:[Mar-26]])</f>
        <v>0</v>
      </c>
    </row>
    <row r="600" spans="1:115" hidden="1" x14ac:dyDescent="0.2">
      <c r="A600" s="28" t="s">
        <v>2255</v>
      </c>
      <c r="B600" s="29" t="s">
        <v>1379</v>
      </c>
      <c r="C600" s="29" t="s">
        <v>1380</v>
      </c>
      <c r="D600" s="30" t="s">
        <v>1381</v>
      </c>
      <c r="E600" s="30" t="s">
        <v>85</v>
      </c>
      <c r="F600" s="30"/>
      <c r="G600" s="31"/>
      <c r="H600" s="30">
        <v>391983</v>
      </c>
      <c r="I600" s="30" t="str">
        <f>IF(Table1[[#This Row],[Centre Status]]="Returned","NA",IF(Table1[[#This Row],[SD]]&gt;19000,"Full Payment",IF(Table1[[#This Row],[SD]]&lt;1,"No Payment","Partial Payment")))</f>
        <v>Full Payment</v>
      </c>
      <c r="J600" s="30" t="s">
        <v>58</v>
      </c>
      <c r="K600" s="32">
        <v>110000</v>
      </c>
      <c r="L600" s="33">
        <f>Q600+R600+U600+Table1[[#This Row],[Farmer Payment]]</f>
        <v>47801.199347056099</v>
      </c>
      <c r="M600" s="30"/>
      <c r="N600" s="34"/>
      <c r="O600" s="34"/>
      <c r="P600" s="35">
        <f t="shared" si="63"/>
        <v>62198.800652943901</v>
      </c>
      <c r="Q600" s="33">
        <f>AI600+AV600+CK600+Table1[[#This Row],[FY 25-26]]</f>
        <v>27801.199347056099</v>
      </c>
      <c r="R600" s="36">
        <v>20000</v>
      </c>
      <c r="S600" s="37" t="s">
        <v>2349</v>
      </c>
      <c r="T600" s="38">
        <v>45281</v>
      </c>
      <c r="U600" s="39"/>
      <c r="V600" s="39"/>
      <c r="W600" s="40">
        <v>0</v>
      </c>
      <c r="X600" s="40">
        <v>0</v>
      </c>
      <c r="Y600" s="40">
        <v>0</v>
      </c>
      <c r="Z600" s="40">
        <v>0</v>
      </c>
      <c r="AA600" s="40">
        <v>0</v>
      </c>
      <c r="AB600" s="40">
        <v>0</v>
      </c>
      <c r="AC600" s="40">
        <v>0</v>
      </c>
      <c r="AD600" s="40">
        <v>0</v>
      </c>
      <c r="AE600" s="40">
        <v>0</v>
      </c>
      <c r="AF600" s="40">
        <v>0</v>
      </c>
      <c r="AG600" s="40">
        <v>0</v>
      </c>
      <c r="AH600" s="40">
        <v>0</v>
      </c>
      <c r="AI600" s="41">
        <f t="shared" si="64"/>
        <v>0</v>
      </c>
      <c r="AJ600" s="42">
        <v>0</v>
      </c>
      <c r="AK600" s="42">
        <v>0</v>
      </c>
      <c r="AL600" s="42">
        <v>0</v>
      </c>
      <c r="AM600" s="42">
        <v>0</v>
      </c>
      <c r="AN600" s="42">
        <v>0</v>
      </c>
      <c r="AO600" s="42">
        <v>0</v>
      </c>
      <c r="AP600" s="42">
        <v>0</v>
      </c>
      <c r="AQ600" s="42">
        <v>0</v>
      </c>
      <c r="AR600" s="42">
        <v>0</v>
      </c>
      <c r="AS600" s="42">
        <v>0</v>
      </c>
      <c r="AT600" s="42">
        <v>0</v>
      </c>
      <c r="AU600" s="42">
        <v>0</v>
      </c>
      <c r="AV600" s="42">
        <f t="shared" si="65"/>
        <v>0</v>
      </c>
      <c r="AW600" s="42">
        <v>1959.7713978624001</v>
      </c>
      <c r="AX600" s="42">
        <v>1861</v>
      </c>
      <c r="AY600" s="42">
        <v>1861</v>
      </c>
      <c r="AZ600" s="42">
        <v>907</v>
      </c>
      <c r="BA600" s="42">
        <v>633</v>
      </c>
      <c r="BB600" s="42">
        <v>500</v>
      </c>
      <c r="BC600" s="42">
        <v>432</v>
      </c>
      <c r="BD600" s="42">
        <v>500</v>
      </c>
      <c r="BE600" s="42">
        <v>500</v>
      </c>
      <c r="BF600" s="42">
        <v>500</v>
      </c>
      <c r="BG600" s="42">
        <v>500</v>
      </c>
      <c r="BH600" s="42">
        <v>500</v>
      </c>
      <c r="BI600" s="42">
        <v>0</v>
      </c>
      <c r="BJ600" s="42">
        <v>500</v>
      </c>
      <c r="BK600" s="42">
        <v>500</v>
      </c>
      <c r="BL600" s="42">
        <v>500</v>
      </c>
      <c r="BM600" s="42">
        <v>500</v>
      </c>
      <c r="BN600" s="42">
        <v>0</v>
      </c>
      <c r="BO600" s="42">
        <v>0</v>
      </c>
      <c r="BP600" s="42">
        <v>0</v>
      </c>
      <c r="BQ600" s="42">
        <v>0</v>
      </c>
      <c r="BR600" s="42">
        <v>0</v>
      </c>
      <c r="BS600" s="42">
        <v>2731.6421476608002</v>
      </c>
      <c r="BT600" s="42">
        <v>0</v>
      </c>
      <c r="BU600" s="42">
        <v>0</v>
      </c>
      <c r="BV600" s="42">
        <v>0</v>
      </c>
      <c r="BW600" s="42">
        <v>0</v>
      </c>
      <c r="BX600" s="42">
        <v>0</v>
      </c>
      <c r="BY600" s="42">
        <v>2199.4526972928002</v>
      </c>
      <c r="BZ600" s="42">
        <v>0</v>
      </c>
      <c r="CA600" s="42">
        <v>0</v>
      </c>
      <c r="CB600" s="42">
        <v>0</v>
      </c>
      <c r="CC600" s="42">
        <v>0</v>
      </c>
      <c r="CD600" s="42">
        <v>3040.1866723430403</v>
      </c>
      <c r="CE600" s="42">
        <v>0</v>
      </c>
      <c r="CF600" s="42">
        <v>0</v>
      </c>
      <c r="CG600" s="42">
        <v>0</v>
      </c>
      <c r="CH600" s="42">
        <v>0</v>
      </c>
      <c r="CI600" s="42">
        <v>0</v>
      </c>
      <c r="CJ600" s="42">
        <v>2947.3118833920007</v>
      </c>
      <c r="CK600" s="43">
        <f t="shared" si="66"/>
        <v>23572.36479855104</v>
      </c>
      <c r="CL600" s="66"/>
      <c r="CM600" s="66">
        <v>0</v>
      </c>
      <c r="CN600" s="66">
        <v>0</v>
      </c>
      <c r="CO600" s="66">
        <v>0</v>
      </c>
      <c r="CP600" s="66">
        <v>2367.8345485050577</v>
      </c>
      <c r="CQ600" s="66">
        <v>0</v>
      </c>
      <c r="CR600" s="66">
        <v>0</v>
      </c>
      <c r="CS600" s="66">
        <v>0</v>
      </c>
      <c r="CT600" s="66">
        <v>0</v>
      </c>
      <c r="CU600" s="66">
        <v>0</v>
      </c>
      <c r="CV600" s="66">
        <v>1861</v>
      </c>
      <c r="CW600" s="66">
        <v>0</v>
      </c>
      <c r="CX600" s="66">
        <v>0</v>
      </c>
      <c r="CY600" s="66">
        <v>0</v>
      </c>
      <c r="CZ600" s="66">
        <v>0</v>
      </c>
      <c r="DA600" s="66"/>
      <c r="DB600" s="66"/>
      <c r="DC600" s="66"/>
      <c r="DD600" s="66"/>
      <c r="DE600" s="66"/>
      <c r="DF600" s="66"/>
      <c r="DG600" s="66"/>
      <c r="DH600" s="66"/>
      <c r="DI600" s="66"/>
      <c r="DJ600" s="66"/>
      <c r="DK600" s="66">
        <f>SUM(Table1[[#This Row],[01-03 Apr]:[Mar-26]])</f>
        <v>4228.8345485050577</v>
      </c>
    </row>
    <row r="601" spans="1:115" hidden="1" x14ac:dyDescent="0.2">
      <c r="A601" s="28" t="s">
        <v>2255</v>
      </c>
      <c r="B601" s="29" t="s">
        <v>1382</v>
      </c>
      <c r="C601" s="29" t="s">
        <v>1383</v>
      </c>
      <c r="D601" s="30" t="s">
        <v>1384</v>
      </c>
      <c r="E601" s="30" t="s">
        <v>85</v>
      </c>
      <c r="F601" s="30"/>
      <c r="G601" s="31"/>
      <c r="H601" s="30">
        <v>328166</v>
      </c>
      <c r="I601" s="30" t="str">
        <f>IF(Table1[[#This Row],[Centre Status]]="Returned","NA",IF(Table1[[#This Row],[SD]]&gt;19000,"Full Payment",IF(Table1[[#This Row],[SD]]&lt;1,"No Payment","Partial Payment")))</f>
        <v>Full Payment</v>
      </c>
      <c r="J601" s="30" t="s">
        <v>58</v>
      </c>
      <c r="K601" s="32">
        <v>110000</v>
      </c>
      <c r="L601" s="33">
        <f>Q601+R601+U601+Table1[[#This Row],[Farmer Payment]]</f>
        <v>24299</v>
      </c>
      <c r="M601" s="30"/>
      <c r="N601" s="34"/>
      <c r="O601" s="34"/>
      <c r="P601" s="35">
        <f t="shared" si="63"/>
        <v>85701</v>
      </c>
      <c r="Q601" s="33">
        <f>AI601+AV601+CK601+Table1[[#This Row],[FY 25-26]]</f>
        <v>4299</v>
      </c>
      <c r="R601" s="36">
        <f>10000+10000</f>
        <v>20000</v>
      </c>
      <c r="S601" s="37" t="s">
        <v>2583</v>
      </c>
      <c r="T601" s="38">
        <v>45257</v>
      </c>
      <c r="U601" s="39"/>
      <c r="V601" s="39"/>
      <c r="W601" s="40">
        <v>0</v>
      </c>
      <c r="X601" s="40">
        <v>0</v>
      </c>
      <c r="Y601" s="40">
        <v>0</v>
      </c>
      <c r="Z601" s="40">
        <v>0</v>
      </c>
      <c r="AA601" s="40">
        <v>0</v>
      </c>
      <c r="AB601" s="40">
        <v>0</v>
      </c>
      <c r="AC601" s="40">
        <v>0</v>
      </c>
      <c r="AD601" s="40">
        <v>0</v>
      </c>
      <c r="AE601" s="40">
        <v>0</v>
      </c>
      <c r="AF601" s="40">
        <v>0</v>
      </c>
      <c r="AG601" s="40">
        <v>0</v>
      </c>
      <c r="AH601" s="40">
        <v>0</v>
      </c>
      <c r="AI601" s="41">
        <f t="shared" si="64"/>
        <v>0</v>
      </c>
      <c r="AJ601" s="42">
        <v>0</v>
      </c>
      <c r="AK601" s="42">
        <v>0</v>
      </c>
      <c r="AL601" s="42">
        <v>0</v>
      </c>
      <c r="AM601" s="42">
        <v>0</v>
      </c>
      <c r="AN601" s="42">
        <v>0</v>
      </c>
      <c r="AO601" s="42">
        <v>0</v>
      </c>
      <c r="AP601" s="42">
        <v>0</v>
      </c>
      <c r="AQ601" s="42">
        <v>0</v>
      </c>
      <c r="AR601" s="42">
        <v>0</v>
      </c>
      <c r="AS601" s="42">
        <v>0</v>
      </c>
      <c r="AT601" s="42">
        <v>0</v>
      </c>
      <c r="AU601" s="42">
        <v>0</v>
      </c>
      <c r="AV601" s="42">
        <f t="shared" si="65"/>
        <v>0</v>
      </c>
      <c r="AW601" s="42">
        <v>1861</v>
      </c>
      <c r="AX601" s="42">
        <v>1861</v>
      </c>
      <c r="AY601" s="42">
        <v>577</v>
      </c>
      <c r="AZ601" s="42">
        <v>0</v>
      </c>
      <c r="BA601" s="42">
        <v>0</v>
      </c>
      <c r="BB601" s="42">
        <v>0</v>
      </c>
      <c r="BC601" s="42">
        <v>0</v>
      </c>
      <c r="BD601" s="42">
        <v>0</v>
      </c>
      <c r="BE601" s="42">
        <v>0</v>
      </c>
      <c r="BF601" s="42">
        <v>0</v>
      </c>
      <c r="BG601" s="42">
        <v>0</v>
      </c>
      <c r="BH601" s="42">
        <v>0</v>
      </c>
      <c r="BI601" s="42">
        <v>0</v>
      </c>
      <c r="BJ601" s="42">
        <v>0</v>
      </c>
      <c r="BK601" s="42">
        <v>0</v>
      </c>
      <c r="BL601" s="42">
        <v>0</v>
      </c>
      <c r="BM601" s="42">
        <v>0</v>
      </c>
      <c r="BN601" s="42">
        <v>0</v>
      </c>
      <c r="BO601" s="42">
        <v>0</v>
      </c>
      <c r="BP601" s="42">
        <v>0</v>
      </c>
      <c r="BQ601" s="42">
        <v>0</v>
      </c>
      <c r="BR601" s="42">
        <v>0</v>
      </c>
      <c r="BS601" s="42">
        <v>0</v>
      </c>
      <c r="BT601" s="42">
        <v>0</v>
      </c>
      <c r="BU601" s="42">
        <v>0</v>
      </c>
      <c r="BV601" s="42">
        <v>0</v>
      </c>
      <c r="BW601" s="42">
        <v>0</v>
      </c>
      <c r="BX601" s="42">
        <v>0</v>
      </c>
      <c r="BY601" s="42">
        <v>0</v>
      </c>
      <c r="BZ601" s="42">
        <v>0</v>
      </c>
      <c r="CA601" s="42">
        <v>0</v>
      </c>
      <c r="CB601" s="42">
        <v>0</v>
      </c>
      <c r="CC601" s="42">
        <v>0</v>
      </c>
      <c r="CD601" s="42">
        <v>0</v>
      </c>
      <c r="CE601" s="42">
        <v>0</v>
      </c>
      <c r="CF601" s="42">
        <v>0</v>
      </c>
      <c r="CG601" s="42">
        <v>0</v>
      </c>
      <c r="CH601" s="42">
        <v>0</v>
      </c>
      <c r="CI601" s="42">
        <v>0</v>
      </c>
      <c r="CJ601" s="42">
        <v>0</v>
      </c>
      <c r="CK601" s="43">
        <f t="shared" si="66"/>
        <v>4299</v>
      </c>
      <c r="CL601" s="66"/>
      <c r="CM601" s="66">
        <v>0</v>
      </c>
      <c r="CN601" s="66">
        <v>0</v>
      </c>
      <c r="CO601" s="66">
        <v>0</v>
      </c>
      <c r="CP601" s="66">
        <v>0</v>
      </c>
      <c r="CQ601" s="66">
        <v>0</v>
      </c>
      <c r="CR601" s="66">
        <v>0</v>
      </c>
      <c r="CS601" s="66">
        <v>0</v>
      </c>
      <c r="CT601" s="66">
        <v>0</v>
      </c>
      <c r="CU601" s="66">
        <v>0</v>
      </c>
      <c r="CV601" s="66">
        <v>0</v>
      </c>
      <c r="CW601" s="66">
        <v>0</v>
      </c>
      <c r="CX601" s="66">
        <v>0</v>
      </c>
      <c r="CY601" s="66">
        <v>0</v>
      </c>
      <c r="CZ601" s="66">
        <v>0</v>
      </c>
      <c r="DA601" s="66"/>
      <c r="DB601" s="66"/>
      <c r="DC601" s="66"/>
      <c r="DD601" s="66"/>
      <c r="DE601" s="66"/>
      <c r="DF601" s="66"/>
      <c r="DG601" s="66"/>
      <c r="DH601" s="66"/>
      <c r="DI601" s="66"/>
      <c r="DJ601" s="66"/>
      <c r="DK601" s="66">
        <f>SUM(Table1[[#This Row],[01-03 Apr]:[Mar-26]])</f>
        <v>0</v>
      </c>
    </row>
    <row r="602" spans="1:115" x14ac:dyDescent="0.2">
      <c r="A602" s="28" t="s">
        <v>2255</v>
      </c>
      <c r="B602" s="29" t="s">
        <v>1385</v>
      </c>
      <c r="C602" s="29" t="s">
        <v>1386</v>
      </c>
      <c r="D602" s="30" t="s">
        <v>1387</v>
      </c>
      <c r="E602" s="30" t="s">
        <v>1630</v>
      </c>
      <c r="F602" s="30"/>
      <c r="G602" s="31"/>
      <c r="H602" s="30">
        <v>389865</v>
      </c>
      <c r="I602" s="30" t="str">
        <f>IF(Table1[[#This Row],[Centre Status]]="Returned","NA",IF(Table1[[#This Row],[SD]]&gt;19000,"Full Payment",IF(Table1[[#This Row],[SD]]&lt;1,"No Payment","Partial Payment")))</f>
        <v>No Payment</v>
      </c>
      <c r="J602" s="30" t="s">
        <v>58</v>
      </c>
      <c r="K602" s="32">
        <v>110000</v>
      </c>
      <c r="L602" s="33">
        <f>Q602+R602+U602+Table1[[#This Row],[Farmer Payment]]</f>
        <v>44808.473050174798</v>
      </c>
      <c r="M602" s="30"/>
      <c r="N602" s="34"/>
      <c r="O602" s="34"/>
      <c r="P602" s="35">
        <f t="shared" si="63"/>
        <v>65191.526949825202</v>
      </c>
      <c r="Q602" s="33">
        <f>AI602+AV602+CK602+Table1[[#This Row],[FY 25-26]]</f>
        <v>44808.473050174798</v>
      </c>
      <c r="R602" s="36"/>
      <c r="S602" s="37"/>
      <c r="T602" s="38"/>
      <c r="U602" s="39"/>
      <c r="V602" s="39"/>
      <c r="W602" s="40">
        <v>0</v>
      </c>
      <c r="X602" s="40">
        <v>0</v>
      </c>
      <c r="Y602" s="40">
        <v>0</v>
      </c>
      <c r="Z602" s="40">
        <v>0</v>
      </c>
      <c r="AA602" s="40">
        <v>0</v>
      </c>
      <c r="AB602" s="40">
        <v>0</v>
      </c>
      <c r="AC602" s="40">
        <v>0</v>
      </c>
      <c r="AD602" s="40">
        <v>0</v>
      </c>
      <c r="AE602" s="40">
        <v>0</v>
      </c>
      <c r="AF602" s="40">
        <v>0</v>
      </c>
      <c r="AG602" s="40">
        <v>0</v>
      </c>
      <c r="AH602" s="40">
        <v>0</v>
      </c>
      <c r="AI602" s="41">
        <f t="shared" si="64"/>
        <v>0</v>
      </c>
      <c r="AJ602" s="42">
        <v>0</v>
      </c>
      <c r="AK602" s="42">
        <v>0</v>
      </c>
      <c r="AL602" s="42">
        <v>0</v>
      </c>
      <c r="AM602" s="42">
        <v>0</v>
      </c>
      <c r="AN602" s="42">
        <v>0</v>
      </c>
      <c r="AO602" s="42">
        <v>0</v>
      </c>
      <c r="AP602" s="42">
        <v>0</v>
      </c>
      <c r="AQ602" s="42">
        <v>0</v>
      </c>
      <c r="AR602" s="42">
        <v>0</v>
      </c>
      <c r="AS602" s="42">
        <v>0</v>
      </c>
      <c r="AT602" s="42">
        <v>0</v>
      </c>
      <c r="AU602" s="42">
        <v>0</v>
      </c>
      <c r="AV602" s="42">
        <f t="shared" si="65"/>
        <v>0</v>
      </c>
      <c r="AW602" s="42">
        <v>1861</v>
      </c>
      <c r="AX602" s="42">
        <v>1861</v>
      </c>
      <c r="AY602" s="42">
        <v>1861</v>
      </c>
      <c r="AZ602" s="42">
        <v>2066.357602176</v>
      </c>
      <c r="BA602" s="42">
        <v>1861</v>
      </c>
      <c r="BB602" s="42">
        <v>0</v>
      </c>
      <c r="BC602" s="42">
        <v>3078.3796008980207</v>
      </c>
      <c r="BD602" s="42">
        <v>0</v>
      </c>
      <c r="BE602" s="42">
        <v>0</v>
      </c>
      <c r="BF602" s="42">
        <v>0</v>
      </c>
      <c r="BG602" s="42">
        <v>0</v>
      </c>
      <c r="BH602" s="42">
        <v>0</v>
      </c>
      <c r="BI602" s="42">
        <v>2671.4646029177688</v>
      </c>
      <c r="BJ602" s="42">
        <v>0</v>
      </c>
      <c r="BK602" s="42">
        <v>0</v>
      </c>
      <c r="BL602" s="42">
        <v>0</v>
      </c>
      <c r="BM602" s="42">
        <v>0</v>
      </c>
      <c r="BN602" s="42">
        <v>2944.8245517111764</v>
      </c>
      <c r="BO602" s="42">
        <v>0</v>
      </c>
      <c r="BP602" s="42">
        <v>0</v>
      </c>
      <c r="BQ602" s="42">
        <v>0</v>
      </c>
      <c r="BR602" s="42">
        <v>0</v>
      </c>
      <c r="BS602" s="42">
        <v>4818.2695873146204</v>
      </c>
      <c r="BT602" s="42">
        <v>0</v>
      </c>
      <c r="BU602" s="42">
        <v>0</v>
      </c>
      <c r="BV602" s="42">
        <v>0</v>
      </c>
      <c r="BW602" s="42">
        <v>0</v>
      </c>
      <c r="BX602" s="42">
        <v>0</v>
      </c>
      <c r="BY602" s="42">
        <v>4796.0924658601198</v>
      </c>
      <c r="BZ602" s="42">
        <v>0</v>
      </c>
      <c r="CA602" s="42">
        <v>0</v>
      </c>
      <c r="CB602" s="42">
        <v>0</v>
      </c>
      <c r="CC602" s="42">
        <v>0</v>
      </c>
      <c r="CD602" s="42">
        <v>4542.8879042058907</v>
      </c>
      <c r="CE602" s="42">
        <v>0</v>
      </c>
      <c r="CF602" s="42">
        <v>0</v>
      </c>
      <c r="CG602" s="42">
        <v>0</v>
      </c>
      <c r="CH602" s="42">
        <v>0</v>
      </c>
      <c r="CI602" s="42">
        <v>0</v>
      </c>
      <c r="CJ602" s="42">
        <v>4473.5687226624004</v>
      </c>
      <c r="CK602" s="43">
        <f t="shared" si="66"/>
        <v>36835.845037745996</v>
      </c>
      <c r="CL602" s="66"/>
      <c r="CM602" s="66">
        <v>0</v>
      </c>
      <c r="CN602" s="66">
        <v>0</v>
      </c>
      <c r="CO602" s="66">
        <v>0</v>
      </c>
      <c r="CP602" s="66">
        <v>4279.8700420608002</v>
      </c>
      <c r="CQ602" s="66">
        <v>0</v>
      </c>
      <c r="CR602" s="66">
        <v>0</v>
      </c>
      <c r="CS602" s="66">
        <v>0</v>
      </c>
      <c r="CT602" s="66">
        <v>0</v>
      </c>
      <c r="CU602" s="66">
        <v>0</v>
      </c>
      <c r="CV602" s="66">
        <v>3692.7579703680003</v>
      </c>
      <c r="CW602" s="66">
        <v>0</v>
      </c>
      <c r="CX602" s="66">
        <v>0</v>
      </c>
      <c r="CY602" s="66">
        <v>0</v>
      </c>
      <c r="CZ602" s="66">
        <v>0</v>
      </c>
      <c r="DA602" s="66"/>
      <c r="DB602" s="66"/>
      <c r="DC602" s="66"/>
      <c r="DD602" s="66"/>
      <c r="DE602" s="66"/>
      <c r="DF602" s="66"/>
      <c r="DG602" s="66"/>
      <c r="DH602" s="66"/>
      <c r="DI602" s="66"/>
      <c r="DJ602" s="66"/>
      <c r="DK602" s="66">
        <f>SUM(Table1[[#This Row],[01-03 Apr]:[Mar-26]])</f>
        <v>7972.6280124288005</v>
      </c>
    </row>
    <row r="603" spans="1:115" hidden="1" x14ac:dyDescent="0.2">
      <c r="A603" s="28" t="s">
        <v>2255</v>
      </c>
      <c r="B603" s="29" t="s">
        <v>1388</v>
      </c>
      <c r="C603" s="29" t="s">
        <v>1389</v>
      </c>
      <c r="D603" s="30" t="s">
        <v>1390</v>
      </c>
      <c r="E603" s="30" t="s">
        <v>1630</v>
      </c>
      <c r="F603" s="30"/>
      <c r="G603" s="31"/>
      <c r="H603" s="30">
        <v>390553</v>
      </c>
      <c r="I603" s="30" t="str">
        <f>IF(Table1[[#This Row],[Centre Status]]="Returned","NA",IF(Table1[[#This Row],[SD]]&gt;19000,"Full Payment",IF(Table1[[#This Row],[SD]]&lt;1,"No Payment","Partial Payment")))</f>
        <v>NA</v>
      </c>
      <c r="J603" s="30" t="s">
        <v>1903</v>
      </c>
      <c r="K603" s="32">
        <v>110000</v>
      </c>
      <c r="L603" s="33">
        <f>Q603+R603+U603+Table1[[#This Row],[Farmer Payment]]</f>
        <v>41983</v>
      </c>
      <c r="M603" s="30">
        <v>21803</v>
      </c>
      <c r="N603" s="34">
        <v>45777</v>
      </c>
      <c r="O603" s="34" t="s">
        <v>3289</v>
      </c>
      <c r="P603" s="35">
        <f t="shared" si="63"/>
        <v>89820</v>
      </c>
      <c r="Q603" s="33">
        <f>AI603+AV603+CK603+Table1[[#This Row],[FY 25-26]]</f>
        <v>21983</v>
      </c>
      <c r="R603" s="36">
        <v>20000</v>
      </c>
      <c r="S603" s="37" t="s">
        <v>3206</v>
      </c>
      <c r="T603" s="38">
        <v>45338</v>
      </c>
      <c r="U603" s="39"/>
      <c r="V603" s="39"/>
      <c r="W603" s="40">
        <v>0</v>
      </c>
      <c r="X603" s="40">
        <v>0</v>
      </c>
      <c r="Y603" s="40">
        <v>0</v>
      </c>
      <c r="Z603" s="40">
        <v>0</v>
      </c>
      <c r="AA603" s="40">
        <v>0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>
        <v>0</v>
      </c>
      <c r="AH603" s="40">
        <v>0</v>
      </c>
      <c r="AI603" s="41">
        <f t="shared" si="64"/>
        <v>0</v>
      </c>
      <c r="AJ603" s="42">
        <v>0</v>
      </c>
      <c r="AK603" s="42">
        <v>0</v>
      </c>
      <c r="AL603" s="42">
        <v>0</v>
      </c>
      <c r="AM603" s="42">
        <v>0</v>
      </c>
      <c r="AN603" s="42">
        <v>0</v>
      </c>
      <c r="AO603" s="42">
        <v>0</v>
      </c>
      <c r="AP603" s="42">
        <v>0</v>
      </c>
      <c r="AQ603" s="42">
        <v>0</v>
      </c>
      <c r="AR603" s="42">
        <v>0</v>
      </c>
      <c r="AS603" s="42">
        <v>0</v>
      </c>
      <c r="AT603" s="42">
        <v>0</v>
      </c>
      <c r="AU603" s="42">
        <v>0</v>
      </c>
      <c r="AV603" s="42">
        <f t="shared" si="65"/>
        <v>0</v>
      </c>
      <c r="AW603" s="42">
        <v>546</v>
      </c>
      <c r="AX603" s="42">
        <v>1748</v>
      </c>
      <c r="AY603" s="42">
        <v>1861</v>
      </c>
      <c r="AZ603" s="42">
        <v>1861</v>
      </c>
      <c r="BA603" s="42">
        <v>1326</v>
      </c>
      <c r="BB603" s="42">
        <v>500</v>
      </c>
      <c r="BC603" s="42">
        <v>861</v>
      </c>
      <c r="BD603" s="42">
        <v>500</v>
      </c>
      <c r="BE603" s="42">
        <v>500</v>
      </c>
      <c r="BF603" s="42">
        <v>500</v>
      </c>
      <c r="BG603" s="42">
        <v>500</v>
      </c>
      <c r="BH603" s="42">
        <v>500</v>
      </c>
      <c r="BI603" s="42">
        <v>0</v>
      </c>
      <c r="BJ603" s="42">
        <v>500</v>
      </c>
      <c r="BK603" s="42">
        <v>500</v>
      </c>
      <c r="BL603" s="42">
        <v>500</v>
      </c>
      <c r="BM603" s="42">
        <v>500</v>
      </c>
      <c r="BN603" s="42">
        <v>0</v>
      </c>
      <c r="BO603" s="42">
        <v>500</v>
      </c>
      <c r="BP603" s="42">
        <v>500</v>
      </c>
      <c r="BQ603" s="42">
        <v>500</v>
      </c>
      <c r="BR603" s="42">
        <v>500</v>
      </c>
      <c r="BS603" s="42">
        <v>0</v>
      </c>
      <c r="BT603" s="42">
        <v>500</v>
      </c>
      <c r="BU603" s="42">
        <v>500</v>
      </c>
      <c r="BV603" s="42">
        <v>500</v>
      </c>
      <c r="BW603" s="42">
        <v>500</v>
      </c>
      <c r="BX603" s="42">
        <v>500</v>
      </c>
      <c r="BY603" s="42">
        <v>0</v>
      </c>
      <c r="BZ603" s="42">
        <v>500</v>
      </c>
      <c r="CA603" s="42">
        <v>500</v>
      </c>
      <c r="CB603" s="42">
        <v>500</v>
      </c>
      <c r="CC603" s="42">
        <v>500</v>
      </c>
      <c r="CD603" s="42">
        <v>0</v>
      </c>
      <c r="CE603" s="42">
        <v>500</v>
      </c>
      <c r="CF603" s="42">
        <v>500</v>
      </c>
      <c r="CG603" s="42">
        <v>500</v>
      </c>
      <c r="CH603" s="42">
        <v>500</v>
      </c>
      <c r="CI603" s="42">
        <v>280</v>
      </c>
      <c r="CJ603" s="42">
        <v>0</v>
      </c>
      <c r="CK603" s="43">
        <f t="shared" si="66"/>
        <v>21983</v>
      </c>
      <c r="CL603" s="66"/>
      <c r="CM603" s="66">
        <v>0</v>
      </c>
      <c r="CN603" s="66">
        <v>0</v>
      </c>
      <c r="CO603" s="66">
        <v>0</v>
      </c>
      <c r="CP603" s="66">
        <v>0</v>
      </c>
      <c r="CQ603" s="66">
        <v>0</v>
      </c>
      <c r="CR603" s="66">
        <v>0</v>
      </c>
      <c r="CS603" s="66">
        <v>0</v>
      </c>
      <c r="CT603" s="66">
        <v>0</v>
      </c>
      <c r="CU603" s="66">
        <v>0</v>
      </c>
      <c r="CV603" s="66">
        <v>0</v>
      </c>
      <c r="CW603" s="66">
        <v>0</v>
      </c>
      <c r="CX603" s="66">
        <v>0</v>
      </c>
      <c r="CY603" s="66">
        <v>0</v>
      </c>
      <c r="CZ603" s="66">
        <v>0</v>
      </c>
      <c r="DA603" s="66"/>
      <c r="DB603" s="66"/>
      <c r="DC603" s="66"/>
      <c r="DD603" s="66"/>
      <c r="DE603" s="66"/>
      <c r="DF603" s="66"/>
      <c r="DG603" s="66"/>
      <c r="DH603" s="66"/>
      <c r="DI603" s="66"/>
      <c r="DJ603" s="66"/>
      <c r="DK603" s="66">
        <f>SUM(Table1[[#This Row],[01-03 Apr]:[Mar-26]])</f>
        <v>0</v>
      </c>
    </row>
    <row r="604" spans="1:115" x14ac:dyDescent="0.2">
      <c r="A604" s="28" t="s">
        <v>2255</v>
      </c>
      <c r="B604" s="29" t="s">
        <v>1391</v>
      </c>
      <c r="C604" s="29" t="s">
        <v>1392</v>
      </c>
      <c r="D604" s="30" t="s">
        <v>1393</v>
      </c>
      <c r="E604" s="30" t="s">
        <v>1630</v>
      </c>
      <c r="F604" s="30"/>
      <c r="G604" s="31"/>
      <c r="H604" s="30">
        <v>389863</v>
      </c>
      <c r="I604" s="30" t="str">
        <f>IF(Table1[[#This Row],[Centre Status]]="Returned","NA",IF(Table1[[#This Row],[SD]]&gt;19000,"Full Payment",IF(Table1[[#This Row],[SD]]&lt;1,"No Payment","Partial Payment")))</f>
        <v>No Payment</v>
      </c>
      <c r="J604" s="30" t="s">
        <v>58</v>
      </c>
      <c r="K604" s="32">
        <v>110000</v>
      </c>
      <c r="L604" s="33">
        <f>Q604+R604+U604+Table1[[#This Row],[Farmer Payment]]</f>
        <v>36031.766694571532</v>
      </c>
      <c r="M604" s="30"/>
      <c r="N604" s="34"/>
      <c r="O604" s="34"/>
      <c r="P604" s="35">
        <f t="shared" si="63"/>
        <v>73968.233305428468</v>
      </c>
      <c r="Q604" s="33">
        <f>AI604+AV604+CK604+Table1[[#This Row],[FY 25-26]]</f>
        <v>36031.766694571532</v>
      </c>
      <c r="R604" s="36"/>
      <c r="S604" s="37"/>
      <c r="T604" s="38"/>
      <c r="U604" s="39"/>
      <c r="V604" s="39"/>
      <c r="W604" s="40">
        <v>0</v>
      </c>
      <c r="X604" s="40">
        <v>0</v>
      </c>
      <c r="Y604" s="40">
        <v>0</v>
      </c>
      <c r="Z604" s="40">
        <v>0</v>
      </c>
      <c r="AA604" s="40">
        <v>0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>
        <v>0</v>
      </c>
      <c r="AH604" s="40">
        <v>0</v>
      </c>
      <c r="AI604" s="41">
        <f t="shared" si="64"/>
        <v>0</v>
      </c>
      <c r="AJ604" s="42">
        <v>0</v>
      </c>
      <c r="AK604" s="42">
        <v>0</v>
      </c>
      <c r="AL604" s="42">
        <v>0</v>
      </c>
      <c r="AM604" s="42">
        <v>0</v>
      </c>
      <c r="AN604" s="42">
        <v>0</v>
      </c>
      <c r="AO604" s="42">
        <v>0</v>
      </c>
      <c r="AP604" s="42">
        <v>0</v>
      </c>
      <c r="AQ604" s="42">
        <v>0</v>
      </c>
      <c r="AR604" s="42">
        <v>0</v>
      </c>
      <c r="AS604" s="42">
        <v>0</v>
      </c>
      <c r="AT604" s="42">
        <v>0</v>
      </c>
      <c r="AU604" s="42">
        <v>0</v>
      </c>
      <c r="AV604" s="42">
        <f t="shared" si="65"/>
        <v>0</v>
      </c>
      <c r="AW604" s="42">
        <v>1559</v>
      </c>
      <c r="AX604" s="42">
        <v>1861</v>
      </c>
      <c r="AY604" s="42">
        <v>1861</v>
      </c>
      <c r="AZ604" s="42">
        <v>2799.1915946496006</v>
      </c>
      <c r="BA604" s="42">
        <v>2378.6134550016</v>
      </c>
      <c r="BB604" s="42">
        <v>0</v>
      </c>
      <c r="BC604" s="42">
        <v>3512.6776204569605</v>
      </c>
      <c r="BD604" s="42">
        <v>0</v>
      </c>
      <c r="BE604" s="42">
        <v>0</v>
      </c>
      <c r="BF604" s="42">
        <v>0</v>
      </c>
      <c r="BG604" s="42">
        <v>0</v>
      </c>
      <c r="BH604" s="42">
        <v>0</v>
      </c>
      <c r="BI604" s="42">
        <v>2431.0459979462403</v>
      </c>
      <c r="BJ604" s="42">
        <v>0</v>
      </c>
      <c r="BK604" s="42">
        <v>0</v>
      </c>
      <c r="BL604" s="42">
        <v>0</v>
      </c>
      <c r="BM604" s="42">
        <v>0</v>
      </c>
      <c r="BN604" s="42">
        <v>2525.665138079808</v>
      </c>
      <c r="BO604" s="42">
        <v>0</v>
      </c>
      <c r="BP604" s="42">
        <v>0</v>
      </c>
      <c r="BQ604" s="42">
        <v>0</v>
      </c>
      <c r="BR604" s="42">
        <v>0</v>
      </c>
      <c r="BS604" s="42">
        <v>3879.8720619185442</v>
      </c>
      <c r="BT604" s="42">
        <v>0</v>
      </c>
      <c r="BU604" s="42">
        <v>0</v>
      </c>
      <c r="BV604" s="42">
        <v>0</v>
      </c>
      <c r="BW604" s="42">
        <v>0</v>
      </c>
      <c r="BX604" s="42">
        <v>0</v>
      </c>
      <c r="BY604" s="42">
        <v>3422.489951854684</v>
      </c>
      <c r="BZ604" s="42">
        <v>0</v>
      </c>
      <c r="CA604" s="42">
        <v>0</v>
      </c>
      <c r="CB604" s="42">
        <v>0</v>
      </c>
      <c r="CC604" s="42">
        <v>0</v>
      </c>
      <c r="CD604" s="42">
        <v>3123.1774757954931</v>
      </c>
      <c r="CE604" s="42">
        <v>0</v>
      </c>
      <c r="CF604" s="42">
        <v>0</v>
      </c>
      <c r="CG604" s="42">
        <v>0</v>
      </c>
      <c r="CH604" s="42">
        <v>0</v>
      </c>
      <c r="CI604" s="42">
        <v>0</v>
      </c>
      <c r="CJ604" s="42">
        <v>2932.4165048269201</v>
      </c>
      <c r="CK604" s="43">
        <f t="shared" si="66"/>
        <v>32286.149800529849</v>
      </c>
      <c r="CL604" s="66"/>
      <c r="CM604" s="66">
        <v>0</v>
      </c>
      <c r="CN604" s="66">
        <v>0</v>
      </c>
      <c r="CO604" s="66">
        <v>0</v>
      </c>
      <c r="CP604" s="66">
        <v>1861</v>
      </c>
      <c r="CQ604" s="66">
        <v>0</v>
      </c>
      <c r="CR604" s="66">
        <v>0</v>
      </c>
      <c r="CS604" s="66">
        <v>0</v>
      </c>
      <c r="CT604" s="66">
        <v>0</v>
      </c>
      <c r="CU604" s="66">
        <v>0</v>
      </c>
      <c r="CV604" s="66">
        <v>1884.6168940416824</v>
      </c>
      <c r="CW604" s="66">
        <v>0</v>
      </c>
      <c r="CX604" s="66">
        <v>0</v>
      </c>
      <c r="CY604" s="66">
        <v>0</v>
      </c>
      <c r="CZ604" s="66">
        <v>0</v>
      </c>
      <c r="DA604" s="66"/>
      <c r="DB604" s="66"/>
      <c r="DC604" s="66"/>
      <c r="DD604" s="66"/>
      <c r="DE604" s="66"/>
      <c r="DF604" s="66"/>
      <c r="DG604" s="66"/>
      <c r="DH604" s="66"/>
      <c r="DI604" s="66"/>
      <c r="DJ604" s="66"/>
      <c r="DK604" s="66">
        <f>SUM(Table1[[#This Row],[01-03 Apr]:[Mar-26]])</f>
        <v>3745.6168940416824</v>
      </c>
    </row>
    <row r="605" spans="1:115" x14ac:dyDescent="0.2">
      <c r="A605" s="28" t="s">
        <v>2255</v>
      </c>
      <c r="B605" s="29" t="s">
        <v>1394</v>
      </c>
      <c r="C605" s="29" t="s">
        <v>1395</v>
      </c>
      <c r="D605" s="30" t="s">
        <v>1396</v>
      </c>
      <c r="E605" s="30" t="s">
        <v>1630</v>
      </c>
      <c r="F605" s="30"/>
      <c r="G605" s="31"/>
      <c r="H605" s="30">
        <v>396091</v>
      </c>
      <c r="I605" s="30" t="str">
        <f>IF(Table1[[#This Row],[Centre Status]]="Returned","NA",IF(Table1[[#This Row],[SD]]&gt;19000,"Full Payment",IF(Table1[[#This Row],[SD]]&lt;1,"No Payment","Partial Payment")))</f>
        <v>No Payment</v>
      </c>
      <c r="J605" s="30" t="s">
        <v>58</v>
      </c>
      <c r="K605" s="32">
        <v>110000</v>
      </c>
      <c r="L605" s="33">
        <f>Q605+R605+U605+Table1[[#This Row],[Farmer Payment]]</f>
        <v>27909.654667865394</v>
      </c>
      <c r="M605" s="30"/>
      <c r="N605" s="34"/>
      <c r="O605" s="34"/>
      <c r="P605" s="35">
        <f t="shared" si="63"/>
        <v>82090.345332134602</v>
      </c>
      <c r="Q605" s="33">
        <f>AI605+AV605+CK605+Table1[[#This Row],[FY 25-26]]</f>
        <v>27909.654667865394</v>
      </c>
      <c r="R605" s="36"/>
      <c r="S605" s="37"/>
      <c r="T605" s="38"/>
      <c r="U605" s="39"/>
      <c r="V605" s="39"/>
      <c r="W605" s="40">
        <v>0</v>
      </c>
      <c r="X605" s="40">
        <v>0</v>
      </c>
      <c r="Y605" s="40">
        <v>0</v>
      </c>
      <c r="Z605" s="40">
        <v>0</v>
      </c>
      <c r="AA605" s="40">
        <v>0</v>
      </c>
      <c r="AB605" s="40">
        <v>0</v>
      </c>
      <c r="AC605" s="40">
        <v>0</v>
      </c>
      <c r="AD605" s="40">
        <v>0</v>
      </c>
      <c r="AE605" s="40">
        <v>0</v>
      </c>
      <c r="AF605" s="40">
        <v>0</v>
      </c>
      <c r="AG605" s="40">
        <v>0</v>
      </c>
      <c r="AH605" s="40">
        <v>0</v>
      </c>
      <c r="AI605" s="41">
        <f t="shared" si="64"/>
        <v>0</v>
      </c>
      <c r="AJ605" s="42">
        <v>0</v>
      </c>
      <c r="AK605" s="42">
        <v>0</v>
      </c>
      <c r="AL605" s="42">
        <v>0</v>
      </c>
      <c r="AM605" s="42">
        <v>0</v>
      </c>
      <c r="AN605" s="42">
        <v>0</v>
      </c>
      <c r="AO605" s="42">
        <v>0</v>
      </c>
      <c r="AP605" s="42">
        <v>0</v>
      </c>
      <c r="AQ605" s="42">
        <v>0</v>
      </c>
      <c r="AR605" s="42">
        <v>0</v>
      </c>
      <c r="AS605" s="42">
        <v>0</v>
      </c>
      <c r="AT605" s="42">
        <v>0</v>
      </c>
      <c r="AU605" s="42">
        <v>0</v>
      </c>
      <c r="AV605" s="42">
        <f t="shared" si="65"/>
        <v>0</v>
      </c>
      <c r="AW605" s="42">
        <v>1182</v>
      </c>
      <c r="AX605" s="42">
        <v>1861</v>
      </c>
      <c r="AY605" s="42">
        <v>1861</v>
      </c>
      <c r="AZ605" s="42">
        <v>2266.3349982001605</v>
      </c>
      <c r="BA605" s="42">
        <v>3563.8318859875499</v>
      </c>
      <c r="BB605" s="42">
        <v>0</v>
      </c>
      <c r="BC605" s="42">
        <v>3024.4877836776832</v>
      </c>
      <c r="BD605" s="42">
        <v>0</v>
      </c>
      <c r="BE605" s="42">
        <v>0</v>
      </c>
      <c r="BF605" s="42">
        <v>0</v>
      </c>
      <c r="BG605" s="42">
        <v>0</v>
      </c>
      <c r="BH605" s="42">
        <v>0</v>
      </c>
      <c r="BI605" s="42">
        <v>1861</v>
      </c>
      <c r="BJ605" s="42">
        <v>0</v>
      </c>
      <c r="BK605" s="42">
        <v>0</v>
      </c>
      <c r="BL605" s="42">
        <v>0</v>
      </c>
      <c r="BM605" s="42">
        <v>0</v>
      </c>
      <c r="BN605" s="42">
        <v>1634</v>
      </c>
      <c r="BO605" s="42">
        <v>0</v>
      </c>
      <c r="BP605" s="42">
        <v>0</v>
      </c>
      <c r="BQ605" s="42">
        <v>0</v>
      </c>
      <c r="BR605" s="42">
        <v>0</v>
      </c>
      <c r="BS605" s="42">
        <v>1156</v>
      </c>
      <c r="BT605" s="42">
        <v>0</v>
      </c>
      <c r="BU605" s="42">
        <v>0</v>
      </c>
      <c r="BV605" s="42">
        <v>500</v>
      </c>
      <c r="BW605" s="42">
        <v>500</v>
      </c>
      <c r="BX605" s="42">
        <v>500</v>
      </c>
      <c r="BY605" s="42">
        <v>0</v>
      </c>
      <c r="BZ605" s="42">
        <v>500</v>
      </c>
      <c r="CA605" s="42">
        <v>500</v>
      </c>
      <c r="CB605" s="42">
        <v>500</v>
      </c>
      <c r="CC605" s="42">
        <v>500</v>
      </c>
      <c r="CD605" s="42">
        <v>0</v>
      </c>
      <c r="CE605" s="42">
        <v>500</v>
      </c>
      <c r="CF605" s="42">
        <v>500</v>
      </c>
      <c r="CG605" s="42">
        <v>500</v>
      </c>
      <c r="CH605" s="42">
        <v>500</v>
      </c>
      <c r="CI605" s="42">
        <v>500</v>
      </c>
      <c r="CJ605" s="42">
        <v>0</v>
      </c>
      <c r="CK605" s="43">
        <f t="shared" si="66"/>
        <v>24409.654667865394</v>
      </c>
      <c r="CL605" s="66"/>
      <c r="CM605" s="66">
        <v>500</v>
      </c>
      <c r="CN605" s="66">
        <v>500</v>
      </c>
      <c r="CO605" s="66">
        <v>500</v>
      </c>
      <c r="CP605" s="66">
        <v>0</v>
      </c>
      <c r="CQ605" s="66">
        <v>500</v>
      </c>
      <c r="CR605" s="66">
        <v>500</v>
      </c>
      <c r="CS605" s="66">
        <v>500</v>
      </c>
      <c r="CT605" s="66">
        <v>500</v>
      </c>
      <c r="CU605" s="66">
        <v>0</v>
      </c>
      <c r="CV605" s="66">
        <v>0</v>
      </c>
      <c r="CW605" s="66">
        <v>0</v>
      </c>
      <c r="CX605" s="66">
        <v>0</v>
      </c>
      <c r="CY605" s="66">
        <v>0</v>
      </c>
      <c r="CZ605" s="66">
        <v>0</v>
      </c>
      <c r="DA605" s="66"/>
      <c r="DB605" s="66"/>
      <c r="DC605" s="66"/>
      <c r="DD605" s="66"/>
      <c r="DE605" s="66"/>
      <c r="DF605" s="66"/>
      <c r="DG605" s="66"/>
      <c r="DH605" s="66"/>
      <c r="DI605" s="66"/>
      <c r="DJ605" s="66"/>
      <c r="DK605" s="66">
        <f>SUM(Table1[[#This Row],[01-03 Apr]:[Mar-26]])</f>
        <v>3500</v>
      </c>
    </row>
    <row r="606" spans="1:115" hidden="1" x14ac:dyDescent="0.2">
      <c r="A606" s="28" t="s">
        <v>2255</v>
      </c>
      <c r="B606" s="29" t="s">
        <v>1397</v>
      </c>
      <c r="C606" s="29" t="s">
        <v>1398</v>
      </c>
      <c r="D606" s="30" t="s">
        <v>1399</v>
      </c>
      <c r="E606" s="30" t="s">
        <v>57</v>
      </c>
      <c r="F606" s="30"/>
      <c r="G606" s="31"/>
      <c r="H606" s="30">
        <v>384292</v>
      </c>
      <c r="I606" s="30" t="str">
        <f>IF(Table1[[#This Row],[Centre Status]]="Returned","NA",IF(Table1[[#This Row],[SD]]&gt;19000,"Full Payment",IF(Table1[[#This Row],[SD]]&lt;1,"No Payment","Partial Payment")))</f>
        <v>Full Payment</v>
      </c>
      <c r="J606" s="30" t="s">
        <v>58</v>
      </c>
      <c r="K606" s="32">
        <v>110000</v>
      </c>
      <c r="L606" s="33">
        <f>Q606+R606+U606+Table1[[#This Row],[Farmer Payment]]</f>
        <v>70326.565233987785</v>
      </c>
      <c r="M606" s="30"/>
      <c r="N606" s="34"/>
      <c r="O606" s="34"/>
      <c r="P606" s="35">
        <f t="shared" si="63"/>
        <v>39673.434766012215</v>
      </c>
      <c r="Q606" s="33">
        <f>AI606+AV606+CK606+Table1[[#This Row],[FY 25-26]]</f>
        <v>50326.565233987778</v>
      </c>
      <c r="R606" s="36">
        <v>20000</v>
      </c>
      <c r="S606" s="37" t="s">
        <v>2314</v>
      </c>
      <c r="T606" s="38">
        <v>45279</v>
      </c>
      <c r="U606" s="39"/>
      <c r="V606" s="39"/>
      <c r="W606" s="40">
        <v>0</v>
      </c>
      <c r="X606" s="40">
        <v>0</v>
      </c>
      <c r="Y606" s="40">
        <v>0</v>
      </c>
      <c r="Z606" s="40">
        <v>0</v>
      </c>
      <c r="AA606" s="40">
        <v>0</v>
      </c>
      <c r="AB606" s="40">
        <v>0</v>
      </c>
      <c r="AC606" s="40">
        <v>0</v>
      </c>
      <c r="AD606" s="40">
        <v>0</v>
      </c>
      <c r="AE606" s="40">
        <v>0</v>
      </c>
      <c r="AF606" s="40">
        <v>0</v>
      </c>
      <c r="AG606" s="40">
        <v>0</v>
      </c>
      <c r="AH606" s="40">
        <v>0</v>
      </c>
      <c r="AI606" s="41">
        <f t="shared" si="64"/>
        <v>0</v>
      </c>
      <c r="AJ606" s="42">
        <v>0</v>
      </c>
      <c r="AK606" s="42">
        <v>0</v>
      </c>
      <c r="AL606" s="42">
        <v>0</v>
      </c>
      <c r="AM606" s="42">
        <v>0</v>
      </c>
      <c r="AN606" s="42">
        <v>0</v>
      </c>
      <c r="AO606" s="42">
        <v>0</v>
      </c>
      <c r="AP606" s="42">
        <v>0</v>
      </c>
      <c r="AQ606" s="42">
        <v>0</v>
      </c>
      <c r="AR606" s="42">
        <v>0</v>
      </c>
      <c r="AS606" s="42">
        <v>0</v>
      </c>
      <c r="AT606" s="42">
        <v>0</v>
      </c>
      <c r="AU606" s="42">
        <v>0</v>
      </c>
      <c r="AV606" s="42">
        <f t="shared" si="65"/>
        <v>0</v>
      </c>
      <c r="AW606" s="42">
        <v>1861</v>
      </c>
      <c r="AX606" s="42">
        <v>1943.3669799753964</v>
      </c>
      <c r="AY606" s="42">
        <v>2340.9730150027663</v>
      </c>
      <c r="AZ606" s="42">
        <v>4249.5606835207063</v>
      </c>
      <c r="BA606" s="42">
        <v>3140.6811447695763</v>
      </c>
      <c r="BB606" s="42">
        <v>0</v>
      </c>
      <c r="BC606" s="42">
        <v>7223.1469792634625</v>
      </c>
      <c r="BD606" s="42">
        <v>0</v>
      </c>
      <c r="BE606" s="42">
        <v>0</v>
      </c>
      <c r="BF606" s="42">
        <v>0</v>
      </c>
      <c r="BG606" s="42">
        <v>0</v>
      </c>
      <c r="BH606" s="42">
        <v>0</v>
      </c>
      <c r="BI606" s="42">
        <v>5492.9217483277298</v>
      </c>
      <c r="BJ606" s="42">
        <v>0</v>
      </c>
      <c r="BK606" s="42">
        <v>0</v>
      </c>
      <c r="BL606" s="42">
        <v>0</v>
      </c>
      <c r="BM606" s="42">
        <v>0</v>
      </c>
      <c r="BN606" s="42">
        <v>3799.7834733262116</v>
      </c>
      <c r="BO606" s="42">
        <v>0</v>
      </c>
      <c r="BP606" s="42">
        <v>0</v>
      </c>
      <c r="BQ606" s="42">
        <v>0</v>
      </c>
      <c r="BR606" s="42">
        <v>0</v>
      </c>
      <c r="BS606" s="42">
        <v>3704.6867041581659</v>
      </c>
      <c r="BT606" s="42">
        <v>0</v>
      </c>
      <c r="BU606" s="42">
        <v>0</v>
      </c>
      <c r="BV606" s="42">
        <v>0</v>
      </c>
      <c r="BW606" s="42">
        <v>0</v>
      </c>
      <c r="BX606" s="42">
        <v>0</v>
      </c>
      <c r="BY606" s="42">
        <v>4169.3950143838347</v>
      </c>
      <c r="BZ606" s="42">
        <v>0</v>
      </c>
      <c r="CA606" s="42">
        <v>0</v>
      </c>
      <c r="CB606" s="42">
        <v>0</v>
      </c>
      <c r="CC606" s="42">
        <v>0</v>
      </c>
      <c r="CD606" s="42">
        <v>4308.4713941251612</v>
      </c>
      <c r="CE606" s="42">
        <v>0</v>
      </c>
      <c r="CF606" s="42">
        <v>0</v>
      </c>
      <c r="CG606" s="42">
        <v>0</v>
      </c>
      <c r="CH606" s="42">
        <v>0</v>
      </c>
      <c r="CI606" s="42">
        <v>0</v>
      </c>
      <c r="CJ606" s="42">
        <v>3622.5708534148916</v>
      </c>
      <c r="CK606" s="43">
        <f t="shared" si="66"/>
        <v>45856.557990267909</v>
      </c>
      <c r="CL606" s="66"/>
      <c r="CM606" s="66">
        <v>0</v>
      </c>
      <c r="CN606" s="66">
        <v>0</v>
      </c>
      <c r="CO606" s="66">
        <v>0</v>
      </c>
      <c r="CP606" s="66">
        <v>2609.0072437198678</v>
      </c>
      <c r="CQ606" s="66">
        <v>0</v>
      </c>
      <c r="CR606" s="66">
        <v>0</v>
      </c>
      <c r="CS606" s="66">
        <v>0</v>
      </c>
      <c r="CT606" s="66">
        <v>0</v>
      </c>
      <c r="CU606" s="66">
        <v>0</v>
      </c>
      <c r="CV606" s="66">
        <v>1861</v>
      </c>
      <c r="CW606" s="66">
        <v>0</v>
      </c>
      <c r="CX606" s="66">
        <v>0</v>
      </c>
      <c r="CY606" s="66">
        <v>0</v>
      </c>
      <c r="CZ606" s="66">
        <v>0</v>
      </c>
      <c r="DA606" s="66"/>
      <c r="DB606" s="66"/>
      <c r="DC606" s="66"/>
      <c r="DD606" s="66"/>
      <c r="DE606" s="66"/>
      <c r="DF606" s="66"/>
      <c r="DG606" s="66"/>
      <c r="DH606" s="66"/>
      <c r="DI606" s="66"/>
      <c r="DJ606" s="66"/>
      <c r="DK606" s="66">
        <f>SUM(Table1[[#This Row],[01-03 Apr]:[Mar-26]])</f>
        <v>4470.0072437198678</v>
      </c>
    </row>
    <row r="607" spans="1:115" hidden="1" x14ac:dyDescent="0.2">
      <c r="A607" s="28" t="s">
        <v>2255</v>
      </c>
      <c r="B607" s="29" t="s">
        <v>1400</v>
      </c>
      <c r="C607" s="29" t="s">
        <v>1401</v>
      </c>
      <c r="D607" s="30" t="s">
        <v>1402</v>
      </c>
      <c r="E607" s="30" t="s">
        <v>57</v>
      </c>
      <c r="F607" s="30"/>
      <c r="G607" s="31"/>
      <c r="H607" s="30">
        <v>391988</v>
      </c>
      <c r="I607" s="30" t="str">
        <f>IF(Table1[[#This Row],[Centre Status]]="Returned","NA",IF(Table1[[#This Row],[SD]]&gt;19000,"Full Payment",IF(Table1[[#This Row],[SD]]&lt;1,"No Payment","Partial Payment")))</f>
        <v>NA</v>
      </c>
      <c r="J607" s="30" t="s">
        <v>1903</v>
      </c>
      <c r="K607" s="32">
        <v>110000</v>
      </c>
      <c r="L607" s="33">
        <f>Q607+R607+U607+Table1[[#This Row],[Farmer Payment]]</f>
        <v>33057.336784884537</v>
      </c>
      <c r="M607" s="30">
        <v>20000</v>
      </c>
      <c r="N607" s="34">
        <v>45652</v>
      </c>
      <c r="O607" s="34" t="s">
        <v>2440</v>
      </c>
      <c r="P607" s="35">
        <f t="shared" si="63"/>
        <v>96942.663215115463</v>
      </c>
      <c r="Q607" s="33">
        <f>AI607+AV607+CK607+Table1[[#This Row],[FY 25-26]]</f>
        <v>13057.336784884541</v>
      </c>
      <c r="R607" s="36">
        <v>20000</v>
      </c>
      <c r="S607" s="37" t="s">
        <v>2315</v>
      </c>
      <c r="T607" s="38">
        <v>45279</v>
      </c>
      <c r="U607" s="39"/>
      <c r="V607" s="39"/>
      <c r="W607" s="40">
        <v>0</v>
      </c>
      <c r="X607" s="40">
        <v>0</v>
      </c>
      <c r="Y607" s="40">
        <v>0</v>
      </c>
      <c r="Z607" s="40">
        <v>0</v>
      </c>
      <c r="AA607" s="40">
        <v>0</v>
      </c>
      <c r="AB607" s="40">
        <v>0</v>
      </c>
      <c r="AC607" s="40">
        <v>0</v>
      </c>
      <c r="AD607" s="40">
        <v>0</v>
      </c>
      <c r="AE607" s="40">
        <v>0</v>
      </c>
      <c r="AF607" s="40">
        <v>0</v>
      </c>
      <c r="AG607" s="40">
        <v>0</v>
      </c>
      <c r="AH607" s="40">
        <v>0</v>
      </c>
      <c r="AI607" s="41">
        <f t="shared" si="64"/>
        <v>0</v>
      </c>
      <c r="AJ607" s="42">
        <v>0</v>
      </c>
      <c r="AK607" s="42">
        <v>0</v>
      </c>
      <c r="AL607" s="42">
        <v>0</v>
      </c>
      <c r="AM607" s="42">
        <v>0</v>
      </c>
      <c r="AN607" s="42">
        <v>0</v>
      </c>
      <c r="AO607" s="42">
        <v>0</v>
      </c>
      <c r="AP607" s="42">
        <v>0</v>
      </c>
      <c r="AQ607" s="42">
        <v>0</v>
      </c>
      <c r="AR607" s="42">
        <v>0</v>
      </c>
      <c r="AS607" s="42">
        <v>0</v>
      </c>
      <c r="AT607" s="42">
        <v>0</v>
      </c>
      <c r="AU607" s="42">
        <v>0</v>
      </c>
      <c r="AV607" s="42">
        <f t="shared" si="65"/>
        <v>0</v>
      </c>
      <c r="AW607" s="42">
        <v>1891.3367848845403</v>
      </c>
      <c r="AX607" s="42">
        <v>1861</v>
      </c>
      <c r="AY607" s="42">
        <v>1861</v>
      </c>
      <c r="AZ607" s="42">
        <v>1861</v>
      </c>
      <c r="BA607" s="42">
        <v>1861</v>
      </c>
      <c r="BB607" s="42">
        <v>0</v>
      </c>
      <c r="BC607" s="42">
        <v>1861</v>
      </c>
      <c r="BD607" s="42">
        <v>0</v>
      </c>
      <c r="BE607" s="42">
        <v>0</v>
      </c>
      <c r="BF607" s="42">
        <v>0</v>
      </c>
      <c r="BG607" s="42">
        <v>0</v>
      </c>
      <c r="BH607" s="42">
        <v>0</v>
      </c>
      <c r="BI607" s="42">
        <v>1861</v>
      </c>
      <c r="BJ607" s="42">
        <v>0</v>
      </c>
      <c r="BK607" s="42">
        <v>0</v>
      </c>
      <c r="BL607" s="42">
        <v>0</v>
      </c>
      <c r="BM607" s="42">
        <v>0</v>
      </c>
      <c r="BN607" s="42">
        <v>0</v>
      </c>
      <c r="BO607" s="42">
        <v>0</v>
      </c>
      <c r="BP607" s="42">
        <v>0</v>
      </c>
      <c r="BQ607" s="42">
        <v>0</v>
      </c>
      <c r="BR607" s="42">
        <v>0</v>
      </c>
      <c r="BS607" s="42">
        <v>0</v>
      </c>
      <c r="BT607" s="42">
        <v>0</v>
      </c>
      <c r="BU607" s="42">
        <v>0</v>
      </c>
      <c r="BV607" s="42">
        <v>0</v>
      </c>
      <c r="BW607" s="42">
        <v>0</v>
      </c>
      <c r="BX607" s="42">
        <v>0</v>
      </c>
      <c r="BY607" s="42">
        <v>0</v>
      </c>
      <c r="BZ607" s="42">
        <v>0</v>
      </c>
      <c r="CA607" s="42">
        <v>0</v>
      </c>
      <c r="CB607" s="42">
        <v>0</v>
      </c>
      <c r="CC607" s="42">
        <v>0</v>
      </c>
      <c r="CD607" s="42">
        <v>0</v>
      </c>
      <c r="CE607" s="42">
        <v>0</v>
      </c>
      <c r="CF607" s="42">
        <v>0</v>
      </c>
      <c r="CG607" s="42">
        <v>0</v>
      </c>
      <c r="CH607" s="42">
        <v>0</v>
      </c>
      <c r="CI607" s="42">
        <v>0</v>
      </c>
      <c r="CJ607" s="42">
        <v>0</v>
      </c>
      <c r="CK607" s="43">
        <f t="shared" si="66"/>
        <v>13057.336784884541</v>
      </c>
      <c r="CL607" s="66"/>
      <c r="CM607" s="66">
        <v>0</v>
      </c>
      <c r="CN607" s="66">
        <v>0</v>
      </c>
      <c r="CO607" s="66">
        <v>0</v>
      </c>
      <c r="CP607" s="66">
        <v>0</v>
      </c>
      <c r="CQ607" s="66">
        <v>0</v>
      </c>
      <c r="CR607" s="66">
        <v>0</v>
      </c>
      <c r="CS607" s="66">
        <v>0</v>
      </c>
      <c r="CT607" s="66">
        <v>0</v>
      </c>
      <c r="CU607" s="66">
        <v>0</v>
      </c>
      <c r="CV607" s="66">
        <v>0</v>
      </c>
      <c r="CW607" s="66">
        <v>0</v>
      </c>
      <c r="CX607" s="66">
        <v>0</v>
      </c>
      <c r="CY607" s="66">
        <v>0</v>
      </c>
      <c r="CZ607" s="66">
        <v>0</v>
      </c>
      <c r="DA607" s="66"/>
      <c r="DB607" s="66"/>
      <c r="DC607" s="66"/>
      <c r="DD607" s="66"/>
      <c r="DE607" s="66"/>
      <c r="DF607" s="66"/>
      <c r="DG607" s="66"/>
      <c r="DH607" s="66"/>
      <c r="DI607" s="66"/>
      <c r="DJ607" s="66"/>
      <c r="DK607" s="66">
        <f>SUM(Table1[[#This Row],[01-03 Apr]:[Mar-26]])</f>
        <v>0</v>
      </c>
    </row>
    <row r="608" spans="1:115" hidden="1" x14ac:dyDescent="0.2">
      <c r="A608" s="28" t="s">
        <v>2255</v>
      </c>
      <c r="B608" s="29" t="s">
        <v>1403</v>
      </c>
      <c r="C608" s="29" t="s">
        <v>1404</v>
      </c>
      <c r="D608" s="30" t="s">
        <v>1405</v>
      </c>
      <c r="E608" s="30" t="s">
        <v>1321</v>
      </c>
      <c r="F608" s="30"/>
      <c r="G608" s="31"/>
      <c r="H608" s="30">
        <v>391984</v>
      </c>
      <c r="I608" s="30" t="str">
        <f>IF(Table1[[#This Row],[Centre Status]]="Returned","NA",IF(Table1[[#This Row],[SD]]&gt;19000,"Full Payment",IF(Table1[[#This Row],[SD]]&lt;1,"No Payment","Partial Payment")))</f>
        <v>Full Payment</v>
      </c>
      <c r="J608" s="30" t="s">
        <v>58</v>
      </c>
      <c r="K608" s="32">
        <v>110000</v>
      </c>
      <c r="L608" s="33">
        <f>Q608+R608+U608+Table1[[#This Row],[Farmer Payment]]</f>
        <v>46473.130515938494</v>
      </c>
      <c r="M608" s="30"/>
      <c r="N608" s="34"/>
      <c r="O608" s="34"/>
      <c r="P608" s="35">
        <f t="shared" si="63"/>
        <v>63526.869484061506</v>
      </c>
      <c r="Q608" s="33">
        <f>AI608+AV608+CK608+Table1[[#This Row],[FY 25-26]]</f>
        <v>26473.130515938494</v>
      </c>
      <c r="R608" s="36">
        <v>20000</v>
      </c>
      <c r="S608" s="37" t="s">
        <v>90</v>
      </c>
      <c r="T608" s="38">
        <v>45307</v>
      </c>
      <c r="U608" s="39"/>
      <c r="V608" s="39"/>
      <c r="W608" s="40">
        <v>0</v>
      </c>
      <c r="X608" s="40">
        <v>0</v>
      </c>
      <c r="Y608" s="40">
        <v>0</v>
      </c>
      <c r="Z608" s="40">
        <v>0</v>
      </c>
      <c r="AA608" s="40">
        <v>0</v>
      </c>
      <c r="AB608" s="40">
        <v>0</v>
      </c>
      <c r="AC608" s="40">
        <v>0</v>
      </c>
      <c r="AD608" s="40">
        <v>0</v>
      </c>
      <c r="AE608" s="40">
        <v>0</v>
      </c>
      <c r="AF608" s="40">
        <v>0</v>
      </c>
      <c r="AG608" s="40">
        <v>0</v>
      </c>
      <c r="AH608" s="40">
        <v>0</v>
      </c>
      <c r="AI608" s="41">
        <f t="shared" si="64"/>
        <v>0</v>
      </c>
      <c r="AJ608" s="42">
        <v>0</v>
      </c>
      <c r="AK608" s="42">
        <v>0</v>
      </c>
      <c r="AL608" s="42">
        <v>0</v>
      </c>
      <c r="AM608" s="42">
        <v>0</v>
      </c>
      <c r="AN608" s="42">
        <v>0</v>
      </c>
      <c r="AO608" s="42">
        <v>0</v>
      </c>
      <c r="AP608" s="42">
        <v>0</v>
      </c>
      <c r="AQ608" s="42">
        <v>0</v>
      </c>
      <c r="AR608" s="42">
        <v>0</v>
      </c>
      <c r="AS608" s="42">
        <v>0</v>
      </c>
      <c r="AT608" s="42">
        <v>0</v>
      </c>
      <c r="AU608" s="42">
        <v>0</v>
      </c>
      <c r="AV608" s="42">
        <f t="shared" si="65"/>
        <v>0</v>
      </c>
      <c r="AW608" s="42">
        <v>1905.7891457237165</v>
      </c>
      <c r="AX608" s="42">
        <v>1861</v>
      </c>
      <c r="AY608" s="42">
        <v>1861</v>
      </c>
      <c r="AZ608" s="42">
        <v>2478.3413702147764</v>
      </c>
      <c r="BA608" s="42">
        <v>1861</v>
      </c>
      <c r="BB608" s="42">
        <v>0</v>
      </c>
      <c r="BC608" s="42">
        <v>1861</v>
      </c>
      <c r="BD608" s="42">
        <v>0</v>
      </c>
      <c r="BE608" s="42">
        <v>0</v>
      </c>
      <c r="BF608" s="42">
        <v>0</v>
      </c>
      <c r="BG608" s="42">
        <v>0</v>
      </c>
      <c r="BH608" s="42">
        <v>0</v>
      </c>
      <c r="BI608" s="42">
        <v>0</v>
      </c>
      <c r="BJ608" s="42">
        <v>0</v>
      </c>
      <c r="BK608" s="42">
        <v>0</v>
      </c>
      <c r="BL608" s="42">
        <v>500</v>
      </c>
      <c r="BM608" s="42">
        <v>500</v>
      </c>
      <c r="BN608" s="42">
        <v>0</v>
      </c>
      <c r="BO608" s="42">
        <v>500</v>
      </c>
      <c r="BP608" s="42">
        <v>500</v>
      </c>
      <c r="BQ608" s="42">
        <v>500</v>
      </c>
      <c r="BR608" s="42">
        <v>500</v>
      </c>
      <c r="BS608" s="42">
        <v>0</v>
      </c>
      <c r="BT608" s="42">
        <v>500</v>
      </c>
      <c r="BU608" s="42">
        <v>500</v>
      </c>
      <c r="BV608" s="42">
        <v>500</v>
      </c>
      <c r="BW608" s="42">
        <v>500</v>
      </c>
      <c r="BX608" s="42">
        <v>500</v>
      </c>
      <c r="BY608" s="42">
        <v>284</v>
      </c>
      <c r="BZ608" s="42">
        <v>500</v>
      </c>
      <c r="CA608" s="42">
        <v>500</v>
      </c>
      <c r="CB608" s="42">
        <v>500</v>
      </c>
      <c r="CC608" s="42">
        <v>500</v>
      </c>
      <c r="CD608" s="42">
        <v>0</v>
      </c>
      <c r="CE608" s="42">
        <v>500</v>
      </c>
      <c r="CF608" s="42">
        <v>500</v>
      </c>
      <c r="CG608" s="42">
        <v>500</v>
      </c>
      <c r="CH608" s="42">
        <v>500</v>
      </c>
      <c r="CI608" s="42">
        <v>500</v>
      </c>
      <c r="CJ608" s="42">
        <v>0</v>
      </c>
      <c r="CK608" s="43">
        <f t="shared" ref="CK608:CK679" si="67">SUM(AW608:CJ608)</f>
        <v>22112.130515938494</v>
      </c>
      <c r="CL608" s="66"/>
      <c r="CM608" s="66">
        <v>500</v>
      </c>
      <c r="CN608" s="66">
        <v>500</v>
      </c>
      <c r="CO608" s="66">
        <v>500</v>
      </c>
      <c r="CP608" s="66">
        <v>0</v>
      </c>
      <c r="CQ608" s="66">
        <v>500</v>
      </c>
      <c r="CR608" s="66">
        <v>500</v>
      </c>
      <c r="CS608" s="66">
        <v>0</v>
      </c>
      <c r="CT608" s="66">
        <v>500</v>
      </c>
      <c r="CU608" s="66">
        <v>500</v>
      </c>
      <c r="CV608" s="66">
        <v>361</v>
      </c>
      <c r="CW608" s="66">
        <v>0</v>
      </c>
      <c r="CX608" s="66">
        <v>0</v>
      </c>
      <c r="CY608" s="66">
        <v>0</v>
      </c>
      <c r="CZ608" s="66">
        <v>500</v>
      </c>
      <c r="DA608" s="66"/>
      <c r="DB608" s="66"/>
      <c r="DC608" s="66"/>
      <c r="DD608" s="66"/>
      <c r="DE608" s="66"/>
      <c r="DF608" s="66"/>
      <c r="DG608" s="66"/>
      <c r="DH608" s="66"/>
      <c r="DI608" s="66"/>
      <c r="DJ608" s="66"/>
      <c r="DK608" s="66">
        <f>SUM(Table1[[#This Row],[01-03 Apr]:[Mar-26]])</f>
        <v>4361</v>
      </c>
    </row>
    <row r="609" spans="1:115" x14ac:dyDescent="0.2">
      <c r="A609" s="28"/>
      <c r="B609" s="29"/>
      <c r="C609" s="29" t="s">
        <v>2935</v>
      </c>
      <c r="D609" s="30" t="s">
        <v>2927</v>
      </c>
      <c r="E609" s="30" t="s">
        <v>217</v>
      </c>
      <c r="F609" s="30"/>
      <c r="G609" s="31"/>
      <c r="H609" s="30"/>
      <c r="I609" s="30" t="str">
        <f>IF(Table1[[#This Row],[Centre Status]]="Returned","NA",IF(Table1[[#This Row],[SD]]&gt;19000,"Full Payment",IF(Table1[[#This Row],[SD]]&lt;1,"No Payment","Partial Payment")))</f>
        <v>Partial Payment</v>
      </c>
      <c r="J609" s="30" t="s">
        <v>58</v>
      </c>
      <c r="K609" s="32">
        <v>110000</v>
      </c>
      <c r="L609" s="33">
        <f>Q609+R609+U609+Table1[[#This Row],[Farmer Payment]]</f>
        <v>17101.914623189641</v>
      </c>
      <c r="M609" s="30"/>
      <c r="N609" s="34"/>
      <c r="O609" s="34"/>
      <c r="P609" s="35">
        <f>K609-L609+M609</f>
        <v>92898.085376810355</v>
      </c>
      <c r="Q609" s="33">
        <f>AI609+AV609+CK609+Table1[[#This Row],[FY 25-26]]</f>
        <v>2101.9146231896398</v>
      </c>
      <c r="R609" s="36">
        <v>15000</v>
      </c>
      <c r="S609" s="37" t="s">
        <v>2931</v>
      </c>
      <c r="T609" s="38">
        <v>45657</v>
      </c>
      <c r="U609" s="39"/>
      <c r="V609" s="39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1">
        <f>SUM(W609:AH609)</f>
        <v>0</v>
      </c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>
        <f>SUM(AJ609:AU609)</f>
        <v>0</v>
      </c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  <c r="BN609" s="42"/>
      <c r="BO609" s="42"/>
      <c r="BP609" s="42">
        <v>0</v>
      </c>
      <c r="BQ609" s="42"/>
      <c r="BR609" s="42">
        <v>0</v>
      </c>
      <c r="BS609" s="42"/>
      <c r="BT609" s="42"/>
      <c r="BU609" s="42"/>
      <c r="BV609" s="42">
        <v>0</v>
      </c>
      <c r="BW609" s="42">
        <v>0</v>
      </c>
      <c r="BX609" s="42">
        <v>0</v>
      </c>
      <c r="BY609" s="42">
        <v>0</v>
      </c>
      <c r="BZ609" s="42">
        <v>0</v>
      </c>
      <c r="CA609" s="42">
        <v>0</v>
      </c>
      <c r="CB609" s="42">
        <v>0</v>
      </c>
      <c r="CC609" s="42">
        <v>0</v>
      </c>
      <c r="CD609" s="42">
        <v>0</v>
      </c>
      <c r="CE609" s="42">
        <v>0</v>
      </c>
      <c r="CF609" s="42">
        <v>0</v>
      </c>
      <c r="CG609" s="42">
        <v>0</v>
      </c>
      <c r="CH609" s="42">
        <v>0</v>
      </c>
      <c r="CI609" s="42">
        <v>0</v>
      </c>
      <c r="CJ609" s="42">
        <v>2101.9146231896398</v>
      </c>
      <c r="CK609" s="43">
        <f>SUM(AW609:CJ609)</f>
        <v>2101.9146231896398</v>
      </c>
      <c r="CL609" s="66"/>
      <c r="CM609" s="66">
        <v>0</v>
      </c>
      <c r="CN609" s="66">
        <v>0</v>
      </c>
      <c r="CO609" s="66">
        <v>0</v>
      </c>
      <c r="CP609" s="66">
        <v>0</v>
      </c>
      <c r="CQ609" s="66">
        <v>0</v>
      </c>
      <c r="CR609" s="66">
        <v>0</v>
      </c>
      <c r="CS609" s="66">
        <v>0</v>
      </c>
      <c r="CT609" s="66">
        <v>0</v>
      </c>
      <c r="CU609" s="66">
        <v>0</v>
      </c>
      <c r="CV609" s="66">
        <v>0</v>
      </c>
      <c r="CW609" s="66">
        <v>0</v>
      </c>
      <c r="CX609" s="66">
        <v>0</v>
      </c>
      <c r="CY609" s="66">
        <v>0</v>
      </c>
      <c r="CZ609" s="66">
        <v>0</v>
      </c>
      <c r="DA609" s="66"/>
      <c r="DB609" s="66"/>
      <c r="DC609" s="66"/>
      <c r="DD609" s="66"/>
      <c r="DE609" s="66"/>
      <c r="DF609" s="66"/>
      <c r="DG609" s="66"/>
      <c r="DH609" s="66"/>
      <c r="DI609" s="66"/>
      <c r="DJ609" s="66"/>
      <c r="DK609" s="66">
        <f>SUM(Table1[[#This Row],[01-03 Apr]:[Mar-26]])</f>
        <v>0</v>
      </c>
    </row>
    <row r="610" spans="1:115" hidden="1" x14ac:dyDescent="0.2">
      <c r="A610" s="28"/>
      <c r="B610" s="29"/>
      <c r="C610" s="29" t="s">
        <v>3257</v>
      </c>
      <c r="D610" s="30" t="s">
        <v>2928</v>
      </c>
      <c r="E610" s="30" t="s">
        <v>217</v>
      </c>
      <c r="F610" s="30"/>
      <c r="G610" s="31"/>
      <c r="H610" s="30"/>
      <c r="I610" s="30" t="str">
        <f>IF(Table1[[#This Row],[Centre Status]]="Returned","NA",IF(Table1[[#This Row],[SD]]&gt;19000,"Full Payment",IF(Table1[[#This Row],[SD]]&lt;1,"No Payment","Partial Payment")))</f>
        <v>Full Payment</v>
      </c>
      <c r="J610" s="30" t="s">
        <v>58</v>
      </c>
      <c r="K610" s="32">
        <v>110000</v>
      </c>
      <c r="L610" s="33">
        <f>Q610+R610+U610+Table1[[#This Row],[Farmer Payment]]</f>
        <v>24856.230793752846</v>
      </c>
      <c r="M610" s="30"/>
      <c r="N610" s="34"/>
      <c r="O610" s="34"/>
      <c r="P610" s="35">
        <f>K610-L610+M610</f>
        <v>85143.769206247147</v>
      </c>
      <c r="Q610" s="33">
        <f>AI610+AV610+CK610+Table1[[#This Row],[FY 25-26]]</f>
        <v>4856.230793752844</v>
      </c>
      <c r="R610" s="36">
        <v>20000</v>
      </c>
      <c r="S610" s="37" t="s">
        <v>2932</v>
      </c>
      <c r="T610" s="38">
        <v>45669</v>
      </c>
      <c r="U610" s="39"/>
      <c r="V610" s="39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1">
        <f>SUM(W610:AH610)</f>
        <v>0</v>
      </c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>
        <f>SUM(AJ610:AU610)</f>
        <v>0</v>
      </c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  <c r="BN610" s="42"/>
      <c r="BO610" s="42"/>
      <c r="BP610" s="42">
        <v>0</v>
      </c>
      <c r="BQ610" s="42"/>
      <c r="BR610" s="42">
        <v>0</v>
      </c>
      <c r="BS610" s="42"/>
      <c r="BT610" s="42"/>
      <c r="BU610" s="42"/>
      <c r="BV610" s="42">
        <v>0</v>
      </c>
      <c r="BW610" s="42">
        <v>0</v>
      </c>
      <c r="BX610" s="42">
        <v>0</v>
      </c>
      <c r="BY610" s="42">
        <v>0</v>
      </c>
      <c r="BZ610" s="42">
        <v>0</v>
      </c>
      <c r="CA610" s="42">
        <v>0</v>
      </c>
      <c r="CB610" s="42">
        <v>0</v>
      </c>
      <c r="CC610" s="42">
        <v>0</v>
      </c>
      <c r="CD610" s="42">
        <v>0</v>
      </c>
      <c r="CE610" s="42">
        <v>0</v>
      </c>
      <c r="CF610" s="42">
        <v>0</v>
      </c>
      <c r="CG610" s="42">
        <v>0</v>
      </c>
      <c r="CH610" s="42">
        <v>0</v>
      </c>
      <c r="CI610" s="42">
        <v>0</v>
      </c>
      <c r="CJ610" s="42">
        <v>2449.1046796536443</v>
      </c>
      <c r="CK610" s="43">
        <f>SUM(AW610:CJ610)</f>
        <v>2449.1046796536443</v>
      </c>
      <c r="CL610" s="66"/>
      <c r="CM610" s="66">
        <v>0</v>
      </c>
      <c r="CN610" s="66">
        <v>0</v>
      </c>
      <c r="CO610" s="66">
        <v>0</v>
      </c>
      <c r="CP610" s="66">
        <v>0</v>
      </c>
      <c r="CQ610" s="66">
        <v>0</v>
      </c>
      <c r="CR610" s="66">
        <v>0</v>
      </c>
      <c r="CS610" s="66">
        <v>0</v>
      </c>
      <c r="CT610" s="66">
        <v>0</v>
      </c>
      <c r="CU610" s="66">
        <v>0</v>
      </c>
      <c r="CV610" s="66">
        <v>2407.1261140992001</v>
      </c>
      <c r="CW610" s="66">
        <v>0</v>
      </c>
      <c r="CX610" s="66">
        <v>0</v>
      </c>
      <c r="CY610" s="66">
        <v>0</v>
      </c>
      <c r="CZ610" s="66">
        <v>0</v>
      </c>
      <c r="DA610" s="66"/>
      <c r="DB610" s="66"/>
      <c r="DC610" s="66"/>
      <c r="DD610" s="66"/>
      <c r="DE610" s="66"/>
      <c r="DF610" s="66"/>
      <c r="DG610" s="66"/>
      <c r="DH610" s="66"/>
      <c r="DI610" s="66"/>
      <c r="DJ610" s="66"/>
      <c r="DK610" s="66">
        <f>SUM(Table1[[#This Row],[01-03 Apr]:[Mar-26]])</f>
        <v>2407.1261140992001</v>
      </c>
    </row>
    <row r="611" spans="1:115" hidden="1" x14ac:dyDescent="0.2">
      <c r="A611" s="28"/>
      <c r="B611" s="29"/>
      <c r="C611" s="29" t="s">
        <v>3258</v>
      </c>
      <c r="D611" s="30" t="s">
        <v>2929</v>
      </c>
      <c r="E611" s="30" t="s">
        <v>217</v>
      </c>
      <c r="F611" s="30"/>
      <c r="G611" s="31"/>
      <c r="H611" s="30"/>
      <c r="I611" s="30" t="str">
        <f>IF(Table1[[#This Row],[Centre Status]]="Returned","NA",IF(Table1[[#This Row],[SD]]&gt;19000,"Full Payment",IF(Table1[[#This Row],[SD]]&lt;1,"No Payment","Partial Payment")))</f>
        <v>Full Payment</v>
      </c>
      <c r="J611" s="30" t="s">
        <v>58</v>
      </c>
      <c r="K611" s="32">
        <v>110000</v>
      </c>
      <c r="L611" s="33">
        <f>Q611+R611+U611+Table1[[#This Row],[Farmer Payment]]</f>
        <v>32997.769619190025</v>
      </c>
      <c r="M611" s="30"/>
      <c r="N611" s="34"/>
      <c r="O611" s="34"/>
      <c r="P611" s="35">
        <f>K611-L611+M611</f>
        <v>77002.230380809982</v>
      </c>
      <c r="Q611" s="33">
        <f>AI611+AV611+CK611+Table1[[#This Row],[FY 25-26]]</f>
        <v>12997.769619190025</v>
      </c>
      <c r="R611" s="36">
        <v>20000</v>
      </c>
      <c r="S611" s="37" t="s">
        <v>2933</v>
      </c>
      <c r="T611" s="38">
        <v>45674</v>
      </c>
      <c r="U611" s="39"/>
      <c r="V611" s="39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1">
        <f>SUM(W611:AH611)</f>
        <v>0</v>
      </c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>
        <f>SUM(AJ611:AU611)</f>
        <v>0</v>
      </c>
      <c r="AW611" s="42"/>
      <c r="AX611" s="42"/>
      <c r="AY611" s="42"/>
      <c r="AZ611" s="42"/>
      <c r="BA611" s="42"/>
      <c r="BB611" s="42"/>
      <c r="BC611" s="42"/>
      <c r="BD611" s="42"/>
      <c r="BE611" s="42"/>
      <c r="BF611" s="42"/>
      <c r="BG611" s="42"/>
      <c r="BH611" s="42"/>
      <c r="BI611" s="42"/>
      <c r="BJ611" s="42"/>
      <c r="BK611" s="42"/>
      <c r="BL611" s="42"/>
      <c r="BM611" s="42"/>
      <c r="BN611" s="42"/>
      <c r="BO611" s="42"/>
      <c r="BP611" s="42">
        <v>0</v>
      </c>
      <c r="BQ611" s="42"/>
      <c r="BR611" s="42">
        <v>0</v>
      </c>
      <c r="BS611" s="42"/>
      <c r="BT611" s="42"/>
      <c r="BU611" s="42"/>
      <c r="BV611" s="42">
        <v>0</v>
      </c>
      <c r="BW611" s="42">
        <v>0</v>
      </c>
      <c r="BX611" s="42">
        <v>0</v>
      </c>
      <c r="BY611" s="42">
        <v>0</v>
      </c>
      <c r="BZ611" s="42">
        <v>0</v>
      </c>
      <c r="CA611" s="42">
        <v>0</v>
      </c>
      <c r="CB611" s="42">
        <v>0</v>
      </c>
      <c r="CC611" s="42">
        <v>0</v>
      </c>
      <c r="CD611" s="42">
        <v>0</v>
      </c>
      <c r="CE611" s="42">
        <v>0</v>
      </c>
      <c r="CF611" s="42">
        <v>0</v>
      </c>
      <c r="CG611" s="42">
        <v>0</v>
      </c>
      <c r="CH611" s="42">
        <v>0</v>
      </c>
      <c r="CI611" s="42">
        <v>0</v>
      </c>
      <c r="CJ611" s="42">
        <v>7223.2061771415702</v>
      </c>
      <c r="CK611" s="43">
        <f>SUM(AW611:CJ611)</f>
        <v>7223.2061771415702</v>
      </c>
      <c r="CL611" s="66"/>
      <c r="CM611" s="66">
        <v>0</v>
      </c>
      <c r="CN611" s="66">
        <v>0</v>
      </c>
      <c r="CO611" s="66">
        <v>0</v>
      </c>
      <c r="CP611" s="66">
        <v>0</v>
      </c>
      <c r="CQ611" s="66">
        <v>0</v>
      </c>
      <c r="CR611" s="66">
        <v>0</v>
      </c>
      <c r="CS611" s="66">
        <v>0</v>
      </c>
      <c r="CT611" s="66">
        <v>0</v>
      </c>
      <c r="CU611" s="66">
        <v>0</v>
      </c>
      <c r="CV611" s="66">
        <v>5774.5634420484557</v>
      </c>
      <c r="CW611" s="66">
        <v>0</v>
      </c>
      <c r="CX611" s="66">
        <v>0</v>
      </c>
      <c r="CY611" s="66">
        <v>0</v>
      </c>
      <c r="CZ611" s="66">
        <v>0</v>
      </c>
      <c r="DA611" s="66"/>
      <c r="DB611" s="66"/>
      <c r="DC611" s="66"/>
      <c r="DD611" s="66"/>
      <c r="DE611" s="66"/>
      <c r="DF611" s="66"/>
      <c r="DG611" s="66"/>
      <c r="DH611" s="66"/>
      <c r="DI611" s="66"/>
      <c r="DJ611" s="66"/>
      <c r="DK611" s="66">
        <f>SUM(Table1[[#This Row],[01-03 Apr]:[Mar-26]])</f>
        <v>5774.5634420484557</v>
      </c>
    </row>
    <row r="612" spans="1:115" hidden="1" x14ac:dyDescent="0.2">
      <c r="A612" s="28"/>
      <c r="B612" s="29"/>
      <c r="C612" s="29" t="s">
        <v>3259</v>
      </c>
      <c r="D612" s="30" t="s">
        <v>2930</v>
      </c>
      <c r="E612" s="30" t="s">
        <v>217</v>
      </c>
      <c r="F612" s="30"/>
      <c r="G612" s="31"/>
      <c r="H612" s="30"/>
      <c r="I612" s="30" t="str">
        <f>IF(Table1[[#This Row],[Centre Status]]="Returned","NA",IF(Table1[[#This Row],[SD]]&gt;19000,"Full Payment",IF(Table1[[#This Row],[SD]]&lt;1,"No Payment","Partial Payment")))</f>
        <v>Full Payment</v>
      </c>
      <c r="J612" s="30" t="s">
        <v>58</v>
      </c>
      <c r="K612" s="32">
        <v>110000</v>
      </c>
      <c r="L612" s="33">
        <f>Q612+R612+U612+Table1[[#This Row],[Farmer Payment]]</f>
        <v>20000</v>
      </c>
      <c r="M612" s="30"/>
      <c r="N612" s="34"/>
      <c r="O612" s="34"/>
      <c r="P612" s="35">
        <f>K612-L612+M612</f>
        <v>90000</v>
      </c>
      <c r="Q612" s="33">
        <f>AI612+AV612+CK612+Table1[[#This Row],[FY 25-26]]</f>
        <v>0</v>
      </c>
      <c r="R612" s="36">
        <v>20000</v>
      </c>
      <c r="S612" s="37" t="s">
        <v>2934</v>
      </c>
      <c r="T612" s="38">
        <v>45671</v>
      </c>
      <c r="U612" s="39"/>
      <c r="V612" s="39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1">
        <f>SUM(W612:AH612)</f>
        <v>0</v>
      </c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>
        <f>SUM(AJ612:AU612)</f>
        <v>0</v>
      </c>
      <c r="AW612" s="42"/>
      <c r="AX612" s="42"/>
      <c r="AY612" s="42"/>
      <c r="AZ612" s="42"/>
      <c r="BA612" s="42"/>
      <c r="BB612" s="42"/>
      <c r="BC612" s="42"/>
      <c r="BD612" s="42"/>
      <c r="BE612" s="42"/>
      <c r="BF612" s="42"/>
      <c r="BG612" s="42"/>
      <c r="BH612" s="42"/>
      <c r="BI612" s="42"/>
      <c r="BJ612" s="42"/>
      <c r="BK612" s="42"/>
      <c r="BL612" s="42"/>
      <c r="BM612" s="42"/>
      <c r="BN612" s="42"/>
      <c r="BO612" s="42"/>
      <c r="BP612" s="42">
        <v>0</v>
      </c>
      <c r="BQ612" s="42"/>
      <c r="BR612" s="42">
        <v>0</v>
      </c>
      <c r="BS612" s="42"/>
      <c r="BT612" s="42"/>
      <c r="BU612" s="42"/>
      <c r="BV612" s="42">
        <v>0</v>
      </c>
      <c r="BW612" s="42">
        <v>0</v>
      </c>
      <c r="BX612" s="42">
        <v>0</v>
      </c>
      <c r="BY612" s="42">
        <v>0</v>
      </c>
      <c r="BZ612" s="42">
        <v>0</v>
      </c>
      <c r="CA612" s="42">
        <v>0</v>
      </c>
      <c r="CB612" s="42">
        <v>0</v>
      </c>
      <c r="CC612" s="42">
        <v>0</v>
      </c>
      <c r="CD612" s="42">
        <v>0</v>
      </c>
      <c r="CE612" s="42">
        <v>0</v>
      </c>
      <c r="CF612" s="42">
        <v>0</v>
      </c>
      <c r="CG612" s="42">
        <v>0</v>
      </c>
      <c r="CH612" s="42">
        <v>0</v>
      </c>
      <c r="CI612" s="42">
        <v>0</v>
      </c>
      <c r="CJ612" s="42">
        <v>0</v>
      </c>
      <c r="CK612" s="43">
        <f>SUM(AW612:CJ612)</f>
        <v>0</v>
      </c>
      <c r="CL612" s="66"/>
      <c r="CM612" s="66">
        <v>0</v>
      </c>
      <c r="CN612" s="66">
        <v>0</v>
      </c>
      <c r="CO612" s="66">
        <v>0</v>
      </c>
      <c r="CP612" s="66">
        <v>0</v>
      </c>
      <c r="CQ612" s="66">
        <v>0</v>
      </c>
      <c r="CR612" s="66">
        <v>0</v>
      </c>
      <c r="CS612" s="66">
        <v>0</v>
      </c>
      <c r="CT612" s="66">
        <v>0</v>
      </c>
      <c r="CU612" s="66">
        <v>0</v>
      </c>
      <c r="CV612" s="66">
        <v>0</v>
      </c>
      <c r="CW612" s="66">
        <v>0</v>
      </c>
      <c r="CX612" s="66">
        <v>0</v>
      </c>
      <c r="CY612" s="66">
        <v>0</v>
      </c>
      <c r="CZ612" s="66">
        <v>0</v>
      </c>
      <c r="DA612" s="66"/>
      <c r="DB612" s="66"/>
      <c r="DC612" s="66"/>
      <c r="DD612" s="66"/>
      <c r="DE612" s="66"/>
      <c r="DF612" s="66"/>
      <c r="DG612" s="66"/>
      <c r="DH612" s="66"/>
      <c r="DI612" s="66"/>
      <c r="DJ612" s="66"/>
      <c r="DK612" s="66">
        <f>SUM(Table1[[#This Row],[01-03 Apr]:[Mar-26]])</f>
        <v>0</v>
      </c>
    </row>
    <row r="613" spans="1:115" hidden="1" x14ac:dyDescent="0.2">
      <c r="A613" s="28" t="s">
        <v>2255</v>
      </c>
      <c r="B613" s="29" t="s">
        <v>1406</v>
      </c>
      <c r="C613" s="29" t="s">
        <v>1407</v>
      </c>
      <c r="D613" s="30" t="s">
        <v>1408</v>
      </c>
      <c r="E613" s="30" t="s">
        <v>584</v>
      </c>
      <c r="F613" s="30"/>
      <c r="G613" s="31"/>
      <c r="H613" s="30">
        <v>396150</v>
      </c>
      <c r="I613" s="30" t="str">
        <f>IF(Table1[[#This Row],[Centre Status]]="Returned","NA",IF(Table1[[#This Row],[SD]]&gt;19000,"Full Payment",IF(Table1[[#This Row],[SD]]&lt;1,"No Payment","Partial Payment")))</f>
        <v>Full Payment</v>
      </c>
      <c r="J613" s="30" t="s">
        <v>58</v>
      </c>
      <c r="K613" s="32">
        <v>110000</v>
      </c>
      <c r="L613" s="33">
        <f>Q613+R613+U613+Table1[[#This Row],[Farmer Payment]]</f>
        <v>48157.96093984363</v>
      </c>
      <c r="M613" s="30"/>
      <c r="N613" s="34"/>
      <c r="O613" s="34"/>
      <c r="P613" s="35">
        <f t="shared" ref="P613:P680" si="68">K613-L613+M613</f>
        <v>61842.03906015637</v>
      </c>
      <c r="Q613" s="33">
        <f>AI613+AV613+CK613+Table1[[#This Row],[FY 25-26]]</f>
        <v>28157.96093984363</v>
      </c>
      <c r="R613" s="36">
        <v>20000</v>
      </c>
      <c r="S613" s="37" t="s">
        <v>2313</v>
      </c>
      <c r="T613" s="38">
        <v>45267</v>
      </c>
      <c r="U613" s="39"/>
      <c r="V613" s="39"/>
      <c r="W613" s="40">
        <v>0</v>
      </c>
      <c r="X613" s="40">
        <v>0</v>
      </c>
      <c r="Y613" s="40">
        <v>0</v>
      </c>
      <c r="Z613" s="40">
        <v>0</v>
      </c>
      <c r="AA613" s="40">
        <v>0</v>
      </c>
      <c r="AB613" s="40">
        <v>0</v>
      </c>
      <c r="AC613" s="40">
        <v>0</v>
      </c>
      <c r="AD613" s="40">
        <v>0</v>
      </c>
      <c r="AE613" s="40">
        <v>0</v>
      </c>
      <c r="AF613" s="40">
        <v>0</v>
      </c>
      <c r="AG613" s="40">
        <v>0</v>
      </c>
      <c r="AH613" s="40">
        <v>0</v>
      </c>
      <c r="AI613" s="41">
        <f t="shared" ref="AI613:AI680" si="69">SUM(W613:AH613)</f>
        <v>0</v>
      </c>
      <c r="AJ613" s="42">
        <v>0</v>
      </c>
      <c r="AK613" s="42">
        <v>0</v>
      </c>
      <c r="AL613" s="42">
        <v>0</v>
      </c>
      <c r="AM613" s="42">
        <v>0</v>
      </c>
      <c r="AN613" s="42">
        <v>0</v>
      </c>
      <c r="AO613" s="42">
        <v>0</v>
      </c>
      <c r="AP613" s="42">
        <v>0</v>
      </c>
      <c r="AQ613" s="42">
        <v>0</v>
      </c>
      <c r="AR613" s="42">
        <v>0</v>
      </c>
      <c r="AS613" s="42">
        <v>0</v>
      </c>
      <c r="AT613" s="42">
        <v>0</v>
      </c>
      <c r="AU613" s="42">
        <v>0</v>
      </c>
      <c r="AV613" s="42">
        <f t="shared" ref="AV613:AV680" si="70">SUM(AJ613:AU613)</f>
        <v>0</v>
      </c>
      <c r="AW613" s="42">
        <v>1861</v>
      </c>
      <c r="AX613" s="42">
        <v>1861</v>
      </c>
      <c r="AY613" s="42">
        <v>1861</v>
      </c>
      <c r="AZ613" s="42">
        <v>2197.3651732011604</v>
      </c>
      <c r="BA613" s="42">
        <v>1861</v>
      </c>
      <c r="BB613" s="42">
        <v>0</v>
      </c>
      <c r="BC613" s="42">
        <v>2316.8417812991997</v>
      </c>
      <c r="BD613" s="42">
        <v>0</v>
      </c>
      <c r="BE613" s="42">
        <v>0</v>
      </c>
      <c r="BF613" s="42">
        <v>0</v>
      </c>
      <c r="BG613" s="42">
        <v>0</v>
      </c>
      <c r="BH613" s="42">
        <v>0</v>
      </c>
      <c r="BI613" s="42">
        <v>1861</v>
      </c>
      <c r="BJ613" s="42">
        <v>0</v>
      </c>
      <c r="BK613" s="42">
        <v>0</v>
      </c>
      <c r="BL613" s="42">
        <v>0</v>
      </c>
      <c r="BM613" s="42">
        <v>0</v>
      </c>
      <c r="BN613" s="42">
        <v>1861</v>
      </c>
      <c r="BO613" s="42">
        <v>0</v>
      </c>
      <c r="BP613" s="42">
        <v>0</v>
      </c>
      <c r="BQ613" s="42">
        <v>0</v>
      </c>
      <c r="BR613" s="42">
        <v>0</v>
      </c>
      <c r="BS613" s="42">
        <v>1861</v>
      </c>
      <c r="BT613" s="42">
        <v>0</v>
      </c>
      <c r="BU613" s="42">
        <v>0</v>
      </c>
      <c r="BV613" s="42">
        <v>0</v>
      </c>
      <c r="BW613" s="42">
        <v>0</v>
      </c>
      <c r="BX613" s="42">
        <v>0</v>
      </c>
      <c r="BY613" s="42">
        <v>1861</v>
      </c>
      <c r="BZ613" s="42">
        <v>0</v>
      </c>
      <c r="CA613" s="42">
        <v>0</v>
      </c>
      <c r="CB613" s="42">
        <v>0</v>
      </c>
      <c r="CC613" s="42">
        <v>0</v>
      </c>
      <c r="CD613" s="42">
        <v>2239.1563944854001</v>
      </c>
      <c r="CE613" s="42">
        <v>0</v>
      </c>
      <c r="CF613" s="42">
        <v>0</v>
      </c>
      <c r="CG613" s="42">
        <v>0</v>
      </c>
      <c r="CH613" s="42">
        <v>0</v>
      </c>
      <c r="CI613" s="42">
        <v>0</v>
      </c>
      <c r="CJ613" s="42">
        <v>2672.0322017481244</v>
      </c>
      <c r="CK613" s="43">
        <f t="shared" si="67"/>
        <v>24313.395550733883</v>
      </c>
      <c r="CL613" s="66"/>
      <c r="CM613" s="66">
        <v>0</v>
      </c>
      <c r="CN613" s="66">
        <v>0</v>
      </c>
      <c r="CO613" s="66">
        <v>0</v>
      </c>
      <c r="CP613" s="66">
        <v>1908.0182459212001</v>
      </c>
      <c r="CQ613" s="66">
        <v>0</v>
      </c>
      <c r="CR613" s="66">
        <v>0</v>
      </c>
      <c r="CS613" s="66">
        <v>0</v>
      </c>
      <c r="CT613" s="66">
        <v>0</v>
      </c>
      <c r="CU613" s="66">
        <v>0</v>
      </c>
      <c r="CV613" s="66">
        <v>1936.5471431885442</v>
      </c>
      <c r="CW613" s="66">
        <v>0</v>
      </c>
      <c r="CX613" s="66">
        <v>0</v>
      </c>
      <c r="CY613" s="66">
        <v>0</v>
      </c>
      <c r="CZ613" s="66">
        <v>0</v>
      </c>
      <c r="DA613" s="66"/>
      <c r="DB613" s="66"/>
      <c r="DC613" s="66"/>
      <c r="DD613" s="66"/>
      <c r="DE613" s="66"/>
      <c r="DF613" s="66"/>
      <c r="DG613" s="66"/>
      <c r="DH613" s="66"/>
      <c r="DI613" s="66"/>
      <c r="DJ613" s="66"/>
      <c r="DK613" s="66">
        <f>SUM(Table1[[#This Row],[01-03 Apr]:[Mar-26]])</f>
        <v>3844.5653891097445</v>
      </c>
    </row>
    <row r="614" spans="1:115" hidden="1" x14ac:dyDescent="0.2">
      <c r="A614" s="28" t="s">
        <v>2255</v>
      </c>
      <c r="B614" s="29" t="s">
        <v>1409</v>
      </c>
      <c r="C614" s="29" t="s">
        <v>1410</v>
      </c>
      <c r="D614" s="30" t="s">
        <v>1411</v>
      </c>
      <c r="E614" s="30" t="s">
        <v>584</v>
      </c>
      <c r="F614" s="30"/>
      <c r="G614" s="31"/>
      <c r="H614" s="30">
        <v>390571</v>
      </c>
      <c r="I614" s="30" t="str">
        <f>IF(Table1[[#This Row],[Centre Status]]="Returned","NA",IF(Table1[[#This Row],[SD]]&gt;19000,"Full Payment",IF(Table1[[#This Row],[SD]]&lt;1,"No Payment","Partial Payment")))</f>
        <v>Full Payment</v>
      </c>
      <c r="J614" s="30" t="s">
        <v>58</v>
      </c>
      <c r="K614" s="32">
        <v>110000</v>
      </c>
      <c r="L614" s="33">
        <f>Q614+R614+U614+Table1[[#This Row],[Farmer Payment]]</f>
        <v>45564.398628590978</v>
      </c>
      <c r="M614" s="30"/>
      <c r="N614" s="34"/>
      <c r="O614" s="34"/>
      <c r="P614" s="35">
        <f t="shared" si="68"/>
        <v>64435.601371409022</v>
      </c>
      <c r="Q614" s="33">
        <f>AI614+AV614+CK614+Table1[[#This Row],[FY 25-26]]</f>
        <v>25564.398628590981</v>
      </c>
      <c r="R614" s="36">
        <v>20000</v>
      </c>
      <c r="S614" s="37" t="s">
        <v>2311</v>
      </c>
      <c r="T614" s="38">
        <v>45267</v>
      </c>
      <c r="U614" s="39"/>
      <c r="V614" s="39"/>
      <c r="W614" s="40">
        <v>0</v>
      </c>
      <c r="X614" s="40">
        <v>0</v>
      </c>
      <c r="Y614" s="40">
        <v>0</v>
      </c>
      <c r="Z614" s="40">
        <v>0</v>
      </c>
      <c r="AA614" s="40">
        <v>0</v>
      </c>
      <c r="AB614" s="40">
        <v>0</v>
      </c>
      <c r="AC614" s="40">
        <v>0</v>
      </c>
      <c r="AD614" s="40">
        <v>0</v>
      </c>
      <c r="AE614" s="40">
        <v>0</v>
      </c>
      <c r="AF614" s="40">
        <v>0</v>
      </c>
      <c r="AG614" s="40">
        <v>0</v>
      </c>
      <c r="AH614" s="40">
        <v>0</v>
      </c>
      <c r="AI614" s="41">
        <f t="shared" si="69"/>
        <v>0</v>
      </c>
      <c r="AJ614" s="42">
        <v>0</v>
      </c>
      <c r="AK614" s="42">
        <v>0</v>
      </c>
      <c r="AL614" s="42">
        <v>0</v>
      </c>
      <c r="AM614" s="42">
        <v>0</v>
      </c>
      <c r="AN614" s="42">
        <v>0</v>
      </c>
      <c r="AO614" s="42">
        <v>0</v>
      </c>
      <c r="AP614" s="42">
        <v>0</v>
      </c>
      <c r="AQ614" s="42">
        <v>0</v>
      </c>
      <c r="AR614" s="42">
        <v>0</v>
      </c>
      <c r="AS614" s="42">
        <v>0</v>
      </c>
      <c r="AT614" s="42">
        <v>0</v>
      </c>
      <c r="AU614" s="42">
        <v>0</v>
      </c>
      <c r="AV614" s="42">
        <f t="shared" si="70"/>
        <v>0</v>
      </c>
      <c r="AW614" s="42">
        <v>2422.5250788864</v>
      </c>
      <c r="AX614" s="42">
        <v>2416.0287053568004</v>
      </c>
      <c r="AY614" s="42">
        <v>2202.641529216</v>
      </c>
      <c r="AZ614" s="42">
        <v>2574.7032789504001</v>
      </c>
      <c r="BA614" s="42">
        <v>1922.3613622272001</v>
      </c>
      <c r="BB614" s="42">
        <v>0</v>
      </c>
      <c r="BC614" s="42">
        <v>2382.5877053225863</v>
      </c>
      <c r="BD614" s="42">
        <v>0</v>
      </c>
      <c r="BE614" s="42">
        <v>0</v>
      </c>
      <c r="BF614" s="42">
        <v>0</v>
      </c>
      <c r="BG614" s="42">
        <v>0</v>
      </c>
      <c r="BH614" s="42">
        <v>0</v>
      </c>
      <c r="BI614" s="42">
        <v>2215.2471276704682</v>
      </c>
      <c r="BJ614" s="42">
        <v>0</v>
      </c>
      <c r="BK614" s="42">
        <v>0</v>
      </c>
      <c r="BL614" s="42">
        <v>0</v>
      </c>
      <c r="BM614" s="42">
        <v>0</v>
      </c>
      <c r="BN614" s="42">
        <v>2233.3437312285964</v>
      </c>
      <c r="BO614" s="42">
        <v>0</v>
      </c>
      <c r="BP614" s="42">
        <v>0</v>
      </c>
      <c r="BQ614" s="42">
        <v>0</v>
      </c>
      <c r="BR614" s="42">
        <v>0</v>
      </c>
      <c r="BS614" s="42">
        <v>2958.3906440957044</v>
      </c>
      <c r="BT614" s="42">
        <v>0</v>
      </c>
      <c r="BU614" s="42">
        <v>0</v>
      </c>
      <c r="BV614" s="42">
        <v>0</v>
      </c>
      <c r="BW614" s="42">
        <v>0</v>
      </c>
      <c r="BX614" s="42">
        <v>0</v>
      </c>
      <c r="BY614" s="42">
        <v>2172.7169969753281</v>
      </c>
      <c r="BZ614" s="42">
        <v>0</v>
      </c>
      <c r="CA614" s="42">
        <v>0</v>
      </c>
      <c r="CB614" s="42">
        <v>0</v>
      </c>
      <c r="CC614" s="42">
        <v>0</v>
      </c>
      <c r="CD614" s="42">
        <v>2063.8524686614974</v>
      </c>
      <c r="CE614" s="42">
        <v>0</v>
      </c>
      <c r="CF614" s="42">
        <v>0</v>
      </c>
      <c r="CG614" s="42">
        <v>0</v>
      </c>
      <c r="CH614" s="42">
        <v>0</v>
      </c>
      <c r="CI614" s="42">
        <v>0</v>
      </c>
      <c r="CJ614" s="42">
        <v>0</v>
      </c>
      <c r="CK614" s="43">
        <f t="shared" si="67"/>
        <v>25564.398628590981</v>
      </c>
      <c r="CL614" s="66"/>
      <c r="CM614" s="66">
        <v>0</v>
      </c>
      <c r="CN614" s="66">
        <v>0</v>
      </c>
      <c r="CO614" s="66">
        <v>0</v>
      </c>
      <c r="CP614" s="66">
        <v>0</v>
      </c>
      <c r="CQ614" s="66">
        <v>0</v>
      </c>
      <c r="CR614" s="66">
        <v>0</v>
      </c>
      <c r="CS614" s="66">
        <v>0</v>
      </c>
      <c r="CT614" s="66">
        <v>0</v>
      </c>
      <c r="CU614" s="66">
        <v>0</v>
      </c>
      <c r="CV614" s="66">
        <v>0</v>
      </c>
      <c r="CW614" s="66">
        <v>0</v>
      </c>
      <c r="CX614" s="66">
        <v>0</v>
      </c>
      <c r="CY614" s="66">
        <v>0</v>
      </c>
      <c r="CZ614" s="66">
        <v>0</v>
      </c>
      <c r="DA614" s="66"/>
      <c r="DB614" s="66"/>
      <c r="DC614" s="66"/>
      <c r="DD614" s="66"/>
      <c r="DE614" s="66"/>
      <c r="DF614" s="66"/>
      <c r="DG614" s="66"/>
      <c r="DH614" s="66"/>
      <c r="DI614" s="66"/>
      <c r="DJ614" s="66"/>
      <c r="DK614" s="66">
        <f>SUM(Table1[[#This Row],[01-03 Apr]:[Mar-26]])</f>
        <v>0</v>
      </c>
    </row>
    <row r="615" spans="1:115" hidden="1" x14ac:dyDescent="0.2">
      <c r="A615" s="28" t="s">
        <v>2255</v>
      </c>
      <c r="B615" s="29" t="s">
        <v>1412</v>
      </c>
      <c r="C615" s="29" t="s">
        <v>1413</v>
      </c>
      <c r="D615" s="30" t="s">
        <v>1414</v>
      </c>
      <c r="E615" s="30" t="s">
        <v>584</v>
      </c>
      <c r="F615" s="30"/>
      <c r="G615" s="31"/>
      <c r="H615" s="30">
        <v>391603</v>
      </c>
      <c r="I615" s="30" t="str">
        <f>IF(Table1[[#This Row],[Centre Status]]="Returned","NA",IF(Table1[[#This Row],[SD]]&gt;19000,"Full Payment",IF(Table1[[#This Row],[SD]]&lt;1,"No Payment","Partial Payment")))</f>
        <v>NA</v>
      </c>
      <c r="J615" s="30" t="s">
        <v>1903</v>
      </c>
      <c r="K615" s="32">
        <v>110000</v>
      </c>
      <c r="L615" s="33">
        <f>Q615+R615+U615+Table1[[#This Row],[Farmer Payment]]</f>
        <v>11969</v>
      </c>
      <c r="M615" s="30">
        <v>10000</v>
      </c>
      <c r="N615" s="34">
        <v>45622</v>
      </c>
      <c r="O615" s="34"/>
      <c r="P615" s="35">
        <f t="shared" si="68"/>
        <v>108031</v>
      </c>
      <c r="Q615" s="33">
        <f>AI615+AV615+CK615+Table1[[#This Row],[FY 25-26]]</f>
        <v>1969</v>
      </c>
      <c r="R615" s="36">
        <v>10000</v>
      </c>
      <c r="S615" s="37" t="s">
        <v>2317</v>
      </c>
      <c r="T615" s="38">
        <v>45291</v>
      </c>
      <c r="U615" s="39"/>
      <c r="V615" s="39"/>
      <c r="W615" s="40">
        <v>0</v>
      </c>
      <c r="X615" s="40">
        <v>0</v>
      </c>
      <c r="Y615" s="40">
        <v>0</v>
      </c>
      <c r="Z615" s="40">
        <v>0</v>
      </c>
      <c r="AA615" s="40">
        <v>0</v>
      </c>
      <c r="AB615" s="40">
        <v>0</v>
      </c>
      <c r="AC615" s="40">
        <v>0</v>
      </c>
      <c r="AD615" s="40">
        <v>0</v>
      </c>
      <c r="AE615" s="40">
        <v>0</v>
      </c>
      <c r="AF615" s="40">
        <v>0</v>
      </c>
      <c r="AG615" s="40">
        <v>0</v>
      </c>
      <c r="AH615" s="40">
        <v>0</v>
      </c>
      <c r="AI615" s="41">
        <f t="shared" si="69"/>
        <v>0</v>
      </c>
      <c r="AJ615" s="42">
        <v>0</v>
      </c>
      <c r="AK615" s="42">
        <v>0</v>
      </c>
      <c r="AL615" s="42">
        <v>0</v>
      </c>
      <c r="AM615" s="42">
        <v>0</v>
      </c>
      <c r="AN615" s="42">
        <v>0</v>
      </c>
      <c r="AO615" s="42">
        <v>0</v>
      </c>
      <c r="AP615" s="42">
        <v>0</v>
      </c>
      <c r="AQ615" s="42">
        <v>0</v>
      </c>
      <c r="AR615" s="42">
        <v>0</v>
      </c>
      <c r="AS615" s="42">
        <v>0</v>
      </c>
      <c r="AT615" s="42">
        <v>0</v>
      </c>
      <c r="AU615" s="42">
        <v>0</v>
      </c>
      <c r="AV615" s="42">
        <f t="shared" si="70"/>
        <v>0</v>
      </c>
      <c r="AW615" s="42">
        <v>684</v>
      </c>
      <c r="AX615" s="42">
        <v>1285</v>
      </c>
      <c r="AY615" s="42">
        <v>0</v>
      </c>
      <c r="AZ615" s="42">
        <v>0</v>
      </c>
      <c r="BA615" s="42">
        <v>0</v>
      </c>
      <c r="BB615" s="42">
        <v>0</v>
      </c>
      <c r="BC615" s="42">
        <v>0</v>
      </c>
      <c r="BD615" s="42">
        <v>0</v>
      </c>
      <c r="BE615" s="42">
        <v>0</v>
      </c>
      <c r="BF615" s="42">
        <v>0</v>
      </c>
      <c r="BG615" s="42">
        <v>0</v>
      </c>
      <c r="BH615" s="42">
        <v>0</v>
      </c>
      <c r="BI615" s="42">
        <v>0</v>
      </c>
      <c r="BJ615" s="42">
        <v>0</v>
      </c>
      <c r="BK615" s="42">
        <v>0</v>
      </c>
      <c r="BL615" s="42">
        <v>0</v>
      </c>
      <c r="BM615" s="42">
        <v>0</v>
      </c>
      <c r="BN615" s="42">
        <v>0</v>
      </c>
      <c r="BO615" s="42">
        <v>0</v>
      </c>
      <c r="BP615" s="42">
        <v>0</v>
      </c>
      <c r="BQ615" s="42">
        <v>0</v>
      </c>
      <c r="BR615" s="42">
        <v>0</v>
      </c>
      <c r="BS615" s="42">
        <v>0</v>
      </c>
      <c r="BT615" s="42">
        <v>0</v>
      </c>
      <c r="BU615" s="42">
        <v>0</v>
      </c>
      <c r="BV615" s="42">
        <v>0</v>
      </c>
      <c r="BW615" s="42">
        <v>0</v>
      </c>
      <c r="BX615" s="42">
        <v>0</v>
      </c>
      <c r="BY615" s="42">
        <v>0</v>
      </c>
      <c r="BZ615" s="42">
        <v>0</v>
      </c>
      <c r="CA615" s="42">
        <v>0</v>
      </c>
      <c r="CB615" s="42">
        <v>0</v>
      </c>
      <c r="CC615" s="42">
        <v>0</v>
      </c>
      <c r="CD615" s="42">
        <v>0</v>
      </c>
      <c r="CE615" s="42">
        <v>0</v>
      </c>
      <c r="CF615" s="42">
        <v>0</v>
      </c>
      <c r="CG615" s="42">
        <v>0</v>
      </c>
      <c r="CH615" s="42">
        <v>0</v>
      </c>
      <c r="CI615" s="42">
        <v>0</v>
      </c>
      <c r="CJ615" s="42">
        <v>0</v>
      </c>
      <c r="CK615" s="43">
        <f t="shared" si="67"/>
        <v>1969</v>
      </c>
      <c r="CL615" s="66"/>
      <c r="CM615" s="66">
        <v>0</v>
      </c>
      <c r="CN615" s="66">
        <v>0</v>
      </c>
      <c r="CO615" s="66">
        <v>0</v>
      </c>
      <c r="CP615" s="66">
        <v>0</v>
      </c>
      <c r="CQ615" s="66">
        <v>0</v>
      </c>
      <c r="CR615" s="66">
        <v>0</v>
      </c>
      <c r="CS615" s="66">
        <v>0</v>
      </c>
      <c r="CT615" s="66">
        <v>0</v>
      </c>
      <c r="CU615" s="66">
        <v>0</v>
      </c>
      <c r="CV615" s="66">
        <v>0</v>
      </c>
      <c r="CW615" s="66">
        <v>0</v>
      </c>
      <c r="CX615" s="66">
        <v>0</v>
      </c>
      <c r="CY615" s="66">
        <v>0</v>
      </c>
      <c r="CZ615" s="66">
        <v>0</v>
      </c>
      <c r="DA615" s="66"/>
      <c r="DB615" s="66"/>
      <c r="DC615" s="66"/>
      <c r="DD615" s="66"/>
      <c r="DE615" s="66"/>
      <c r="DF615" s="66"/>
      <c r="DG615" s="66"/>
      <c r="DH615" s="66"/>
      <c r="DI615" s="66"/>
      <c r="DJ615" s="66"/>
      <c r="DK615" s="66">
        <f>SUM(Table1[[#This Row],[01-03 Apr]:[Mar-26]])</f>
        <v>0</v>
      </c>
    </row>
    <row r="616" spans="1:115" hidden="1" x14ac:dyDescent="0.2">
      <c r="A616" s="28" t="s">
        <v>2255</v>
      </c>
      <c r="B616" s="29" t="s">
        <v>1415</v>
      </c>
      <c r="C616" s="29" t="s">
        <v>1416</v>
      </c>
      <c r="D616" s="30" t="s">
        <v>1417</v>
      </c>
      <c r="E616" s="30" t="s">
        <v>584</v>
      </c>
      <c r="F616" s="30"/>
      <c r="G616" s="31"/>
      <c r="H616" s="30">
        <v>399034</v>
      </c>
      <c r="I616" s="30" t="str">
        <f>IF(Table1[[#This Row],[Centre Status]]="Returned","NA",IF(Table1[[#This Row],[SD]]&gt;19000,"Full Payment",IF(Table1[[#This Row],[SD]]&lt;1,"No Payment","Partial Payment")))</f>
        <v>Full Payment</v>
      </c>
      <c r="J616" s="30" t="s">
        <v>58</v>
      </c>
      <c r="K616" s="32">
        <v>110000</v>
      </c>
      <c r="L616" s="33">
        <f>Q616+R616+U616+Table1[[#This Row],[Farmer Payment]]</f>
        <v>53807.236915772453</v>
      </c>
      <c r="M616" s="30"/>
      <c r="N616" s="34"/>
      <c r="O616" s="34"/>
      <c r="P616" s="35">
        <f t="shared" si="68"/>
        <v>56192.763084227547</v>
      </c>
      <c r="Q616" s="33">
        <f>AI616+AV616+CK616+Table1[[#This Row],[FY 25-26]]</f>
        <v>33807.236915772453</v>
      </c>
      <c r="R616" s="36">
        <v>20000</v>
      </c>
      <c r="S616" s="37" t="s">
        <v>2316</v>
      </c>
      <c r="T616" s="38">
        <v>45289</v>
      </c>
      <c r="U616" s="39"/>
      <c r="V616" s="39"/>
      <c r="W616" s="40">
        <v>0</v>
      </c>
      <c r="X616" s="40">
        <v>0</v>
      </c>
      <c r="Y616" s="40">
        <v>0</v>
      </c>
      <c r="Z616" s="40">
        <v>0</v>
      </c>
      <c r="AA616" s="40">
        <v>0</v>
      </c>
      <c r="AB616" s="40">
        <v>0</v>
      </c>
      <c r="AC616" s="40">
        <v>0</v>
      </c>
      <c r="AD616" s="40">
        <v>0</v>
      </c>
      <c r="AE616" s="40">
        <v>0</v>
      </c>
      <c r="AF616" s="40">
        <v>0</v>
      </c>
      <c r="AG616" s="40">
        <v>0</v>
      </c>
      <c r="AH616" s="40">
        <v>0</v>
      </c>
      <c r="AI616" s="41">
        <f t="shared" si="69"/>
        <v>0</v>
      </c>
      <c r="AJ616" s="42">
        <v>0</v>
      </c>
      <c r="AK616" s="42">
        <v>0</v>
      </c>
      <c r="AL616" s="42">
        <v>0</v>
      </c>
      <c r="AM616" s="42">
        <v>0</v>
      </c>
      <c r="AN616" s="42">
        <v>0</v>
      </c>
      <c r="AO616" s="42">
        <v>0</v>
      </c>
      <c r="AP616" s="42">
        <v>0</v>
      </c>
      <c r="AQ616" s="42">
        <v>0</v>
      </c>
      <c r="AR616" s="42">
        <v>0</v>
      </c>
      <c r="AS616" s="42">
        <v>0</v>
      </c>
      <c r="AT616" s="42">
        <v>0</v>
      </c>
      <c r="AU616" s="42">
        <v>0</v>
      </c>
      <c r="AV616" s="42">
        <f t="shared" si="70"/>
        <v>0</v>
      </c>
      <c r="AW616" s="42">
        <v>1861</v>
      </c>
      <c r="AX616" s="42">
        <v>1861</v>
      </c>
      <c r="AY616" s="42">
        <v>1861</v>
      </c>
      <c r="AZ616" s="42">
        <v>2090.7386926011004</v>
      </c>
      <c r="BA616" s="42">
        <v>1861</v>
      </c>
      <c r="BB616" s="42">
        <v>0</v>
      </c>
      <c r="BC616" s="42">
        <v>2611.1369959153444</v>
      </c>
      <c r="BD616" s="42">
        <v>0</v>
      </c>
      <c r="BE616" s="42">
        <v>0</v>
      </c>
      <c r="BF616" s="42">
        <v>0</v>
      </c>
      <c r="BG616" s="42">
        <v>0</v>
      </c>
      <c r="BH616" s="42">
        <v>0</v>
      </c>
      <c r="BI616" s="42">
        <v>2460.4508628959966</v>
      </c>
      <c r="BJ616" s="42">
        <v>0</v>
      </c>
      <c r="BK616" s="42">
        <v>0</v>
      </c>
      <c r="BL616" s="42">
        <v>0</v>
      </c>
      <c r="BM616" s="42">
        <v>0</v>
      </c>
      <c r="BN616" s="42">
        <v>2595.5282188855522</v>
      </c>
      <c r="BO616" s="42">
        <v>0</v>
      </c>
      <c r="BP616" s="42">
        <v>0</v>
      </c>
      <c r="BQ616" s="42">
        <v>0</v>
      </c>
      <c r="BR616" s="42">
        <v>0</v>
      </c>
      <c r="BS616" s="42">
        <v>3212.2728290904402</v>
      </c>
      <c r="BT616" s="42">
        <v>0</v>
      </c>
      <c r="BU616" s="42">
        <v>0</v>
      </c>
      <c r="BV616" s="42">
        <v>0</v>
      </c>
      <c r="BW616" s="42">
        <v>0</v>
      </c>
      <c r="BX616" s="42">
        <v>0</v>
      </c>
      <c r="BY616" s="42">
        <v>2524.0657278556841</v>
      </c>
      <c r="BZ616" s="42">
        <v>0</v>
      </c>
      <c r="CA616" s="42">
        <v>0</v>
      </c>
      <c r="CB616" s="42">
        <v>0</v>
      </c>
      <c r="CC616" s="42">
        <v>0</v>
      </c>
      <c r="CD616" s="42">
        <v>3220.1297161955363</v>
      </c>
      <c r="CE616" s="42">
        <v>0</v>
      </c>
      <c r="CF616" s="42">
        <v>0</v>
      </c>
      <c r="CG616" s="42">
        <v>0</v>
      </c>
      <c r="CH616" s="42">
        <v>0</v>
      </c>
      <c r="CI616" s="42">
        <v>0</v>
      </c>
      <c r="CJ616" s="42">
        <v>3232.7194472312699</v>
      </c>
      <c r="CK616" s="43">
        <f t="shared" si="67"/>
        <v>29391.042490670923</v>
      </c>
      <c r="CL616" s="66"/>
      <c r="CM616" s="66">
        <v>0</v>
      </c>
      <c r="CN616" s="66">
        <v>0</v>
      </c>
      <c r="CO616" s="66">
        <v>0</v>
      </c>
      <c r="CP616" s="66">
        <v>2209.0387316542801</v>
      </c>
      <c r="CQ616" s="66">
        <v>0</v>
      </c>
      <c r="CR616" s="66">
        <v>0</v>
      </c>
      <c r="CS616" s="66">
        <v>0</v>
      </c>
      <c r="CT616" s="66">
        <v>0</v>
      </c>
      <c r="CU616" s="66">
        <v>0</v>
      </c>
      <c r="CV616" s="66">
        <v>2207.1556934472519</v>
      </c>
      <c r="CW616" s="66">
        <v>0</v>
      </c>
      <c r="CX616" s="66">
        <v>0</v>
      </c>
      <c r="CY616" s="66">
        <v>0</v>
      </c>
      <c r="CZ616" s="66">
        <v>0</v>
      </c>
      <c r="DA616" s="66"/>
      <c r="DB616" s="66"/>
      <c r="DC616" s="66"/>
      <c r="DD616" s="66"/>
      <c r="DE616" s="66"/>
      <c r="DF616" s="66"/>
      <c r="DG616" s="66"/>
      <c r="DH616" s="66"/>
      <c r="DI616" s="66"/>
      <c r="DJ616" s="66"/>
      <c r="DK616" s="66">
        <f>SUM(Table1[[#This Row],[01-03 Apr]:[Mar-26]])</f>
        <v>4416.194425101532</v>
      </c>
    </row>
    <row r="617" spans="1:115" hidden="1" x14ac:dyDescent="0.2">
      <c r="A617" s="28" t="s">
        <v>2255</v>
      </c>
      <c r="B617" s="29" t="s">
        <v>1418</v>
      </c>
      <c r="C617" s="29" t="s">
        <v>1419</v>
      </c>
      <c r="D617" s="30" t="s">
        <v>1420</v>
      </c>
      <c r="E617" s="30" t="s">
        <v>584</v>
      </c>
      <c r="F617" s="30"/>
      <c r="G617" s="31"/>
      <c r="H617" s="30">
        <v>384235</v>
      </c>
      <c r="I617" s="30" t="str">
        <f>IF(Table1[[#This Row],[Centre Status]]="Returned","NA",IF(Table1[[#This Row],[SD]]&gt;19000,"Full Payment",IF(Table1[[#This Row],[SD]]&lt;1,"No Payment","Partial Payment")))</f>
        <v>Full Payment</v>
      </c>
      <c r="J617" s="30" t="s">
        <v>58</v>
      </c>
      <c r="K617" s="32">
        <v>110000</v>
      </c>
      <c r="L617" s="33">
        <f>Q617+R617+U617+Table1[[#This Row],[Farmer Payment]]</f>
        <v>56578.156353146369</v>
      </c>
      <c r="M617" s="30"/>
      <c r="N617" s="34"/>
      <c r="O617" s="34"/>
      <c r="P617" s="35">
        <f t="shared" si="68"/>
        <v>53421.843646853631</v>
      </c>
      <c r="Q617" s="33">
        <f>AI617+AV617+CK617+Table1[[#This Row],[FY 25-26]]</f>
        <v>36578.156353146369</v>
      </c>
      <c r="R617" s="36">
        <v>20000</v>
      </c>
      <c r="S617" s="37" t="s">
        <v>2312</v>
      </c>
      <c r="T617" s="38">
        <v>45267</v>
      </c>
      <c r="U617" s="39"/>
      <c r="V617" s="39"/>
      <c r="W617" s="40">
        <v>0</v>
      </c>
      <c r="X617" s="40">
        <v>0</v>
      </c>
      <c r="Y617" s="40">
        <v>0</v>
      </c>
      <c r="Z617" s="40">
        <v>0</v>
      </c>
      <c r="AA617" s="40">
        <v>0</v>
      </c>
      <c r="AB617" s="40">
        <v>0</v>
      </c>
      <c r="AC617" s="40">
        <v>0</v>
      </c>
      <c r="AD617" s="40">
        <v>0</v>
      </c>
      <c r="AE617" s="40">
        <v>0</v>
      </c>
      <c r="AF617" s="40">
        <v>0</v>
      </c>
      <c r="AG617" s="40">
        <v>0</v>
      </c>
      <c r="AH617" s="40">
        <v>0</v>
      </c>
      <c r="AI617" s="41">
        <f t="shared" si="69"/>
        <v>0</v>
      </c>
      <c r="AJ617" s="42">
        <v>0</v>
      </c>
      <c r="AK617" s="42">
        <v>0</v>
      </c>
      <c r="AL617" s="42">
        <v>0</v>
      </c>
      <c r="AM617" s="42">
        <v>0</v>
      </c>
      <c r="AN617" s="42">
        <v>0</v>
      </c>
      <c r="AO617" s="42">
        <v>0</v>
      </c>
      <c r="AP617" s="42">
        <v>0</v>
      </c>
      <c r="AQ617" s="42">
        <v>0</v>
      </c>
      <c r="AR617" s="42">
        <v>0</v>
      </c>
      <c r="AS617" s="42">
        <v>0</v>
      </c>
      <c r="AT617" s="42">
        <v>0</v>
      </c>
      <c r="AU617" s="42">
        <v>0</v>
      </c>
      <c r="AV617" s="42">
        <f t="shared" si="70"/>
        <v>0</v>
      </c>
      <c r="AW617" s="42">
        <v>1861</v>
      </c>
      <c r="AX617" s="42">
        <v>1861</v>
      </c>
      <c r="AY617" s="42">
        <v>1861</v>
      </c>
      <c r="AZ617" s="42">
        <v>2312.2440170496006</v>
      </c>
      <c r="BA617" s="42">
        <v>1861</v>
      </c>
      <c r="BB617" s="42">
        <v>0</v>
      </c>
      <c r="BC617" s="42">
        <v>1861</v>
      </c>
      <c r="BD617" s="42">
        <v>0</v>
      </c>
      <c r="BE617" s="42">
        <v>0</v>
      </c>
      <c r="BF617" s="42">
        <v>0</v>
      </c>
      <c r="BG617" s="42">
        <v>0</v>
      </c>
      <c r="BH617" s="42">
        <v>0</v>
      </c>
      <c r="BI617" s="42">
        <v>1861</v>
      </c>
      <c r="BJ617" s="42">
        <v>0</v>
      </c>
      <c r="BK617" s="42">
        <v>0</v>
      </c>
      <c r="BL617" s="42">
        <v>0</v>
      </c>
      <c r="BM617" s="42">
        <v>0</v>
      </c>
      <c r="BN617" s="42">
        <v>1918.1718751871563</v>
      </c>
      <c r="BO617" s="42">
        <v>0</v>
      </c>
      <c r="BP617" s="42">
        <v>0</v>
      </c>
      <c r="BQ617" s="42">
        <v>0</v>
      </c>
      <c r="BR617" s="42">
        <v>0</v>
      </c>
      <c r="BS617" s="42">
        <v>2785.0521260142477</v>
      </c>
      <c r="BT617" s="42">
        <v>0</v>
      </c>
      <c r="BU617" s="42">
        <v>0</v>
      </c>
      <c r="BV617" s="42">
        <v>0</v>
      </c>
      <c r="BW617" s="42">
        <v>0</v>
      </c>
      <c r="BX617" s="42">
        <v>0</v>
      </c>
      <c r="BY617" s="42">
        <v>2650.2130292736006</v>
      </c>
      <c r="BZ617" s="42">
        <v>0</v>
      </c>
      <c r="CA617" s="42">
        <v>0</v>
      </c>
      <c r="CB617" s="42">
        <v>0</v>
      </c>
      <c r="CC617" s="42">
        <v>0</v>
      </c>
      <c r="CD617" s="42">
        <v>3803.1859088371193</v>
      </c>
      <c r="CE617" s="42">
        <v>0</v>
      </c>
      <c r="CF617" s="42">
        <v>0</v>
      </c>
      <c r="CG617" s="42">
        <v>0</v>
      </c>
      <c r="CH617" s="42">
        <v>0</v>
      </c>
      <c r="CI617" s="42">
        <v>0</v>
      </c>
      <c r="CJ617" s="42">
        <v>4489.7704197657604</v>
      </c>
      <c r="CK617" s="43">
        <f t="shared" si="67"/>
        <v>29124.637376127488</v>
      </c>
      <c r="CL617" s="66"/>
      <c r="CM617" s="66">
        <v>0</v>
      </c>
      <c r="CN617" s="66">
        <v>0</v>
      </c>
      <c r="CO617" s="66">
        <v>0</v>
      </c>
      <c r="CP617" s="66">
        <v>4141.7810598182396</v>
      </c>
      <c r="CQ617" s="66">
        <v>0</v>
      </c>
      <c r="CR617" s="66">
        <v>0</v>
      </c>
      <c r="CS617" s="66">
        <v>0</v>
      </c>
      <c r="CT617" s="66">
        <v>0</v>
      </c>
      <c r="CU617" s="66">
        <v>0</v>
      </c>
      <c r="CV617" s="66">
        <v>3311.7379172006404</v>
      </c>
      <c r="CW617" s="66">
        <v>0</v>
      </c>
      <c r="CX617" s="66">
        <v>0</v>
      </c>
      <c r="CY617" s="66">
        <v>0</v>
      </c>
      <c r="CZ617" s="66">
        <v>0</v>
      </c>
      <c r="DA617" s="66"/>
      <c r="DB617" s="66"/>
      <c r="DC617" s="66"/>
      <c r="DD617" s="66"/>
      <c r="DE617" s="66"/>
      <c r="DF617" s="66"/>
      <c r="DG617" s="66"/>
      <c r="DH617" s="66"/>
      <c r="DI617" s="66"/>
      <c r="DJ617" s="66"/>
      <c r="DK617" s="66">
        <f>SUM(Table1[[#This Row],[01-03 Apr]:[Mar-26]])</f>
        <v>7453.5189770188799</v>
      </c>
    </row>
    <row r="618" spans="1:115" hidden="1" x14ac:dyDescent="0.2">
      <c r="A618" s="28" t="s">
        <v>2255</v>
      </c>
      <c r="B618" s="29" t="s">
        <v>1436</v>
      </c>
      <c r="C618" s="29" t="s">
        <v>1437</v>
      </c>
      <c r="D618" s="30" t="s">
        <v>1438</v>
      </c>
      <c r="E618" s="30" t="s">
        <v>85</v>
      </c>
      <c r="F618" s="30"/>
      <c r="G618" s="31"/>
      <c r="H618" s="30">
        <v>390603</v>
      </c>
      <c r="I618" s="30" t="str">
        <f>IF(Table1[[#This Row],[Centre Status]]="Returned","NA",IF(Table1[[#This Row],[SD]]&gt;19000,"Full Payment",IF(Table1[[#This Row],[SD]]&lt;1,"No Payment","Partial Payment")))</f>
        <v>NA</v>
      </c>
      <c r="J618" s="30" t="s">
        <v>1903</v>
      </c>
      <c r="K618" s="32">
        <v>110000</v>
      </c>
      <c r="L618" s="33">
        <f>Q618+R618+U618+Table1[[#This Row],[Farmer Payment]]</f>
        <v>22832</v>
      </c>
      <c r="M618" s="30">
        <v>15000</v>
      </c>
      <c r="N618" s="34">
        <v>45720</v>
      </c>
      <c r="O618" s="34" t="s">
        <v>2457</v>
      </c>
      <c r="P618" s="35">
        <f t="shared" si="68"/>
        <v>102168</v>
      </c>
      <c r="Q618" s="33">
        <f>AI618+AV618+CK618+Table1[[#This Row],[FY 25-26]]</f>
        <v>7832</v>
      </c>
      <c r="R618" s="36">
        <v>15000</v>
      </c>
      <c r="S618" s="37" t="s">
        <v>2579</v>
      </c>
      <c r="T618" s="38">
        <v>45271</v>
      </c>
      <c r="U618" s="39"/>
      <c r="V618" s="39"/>
      <c r="W618" s="40">
        <v>0</v>
      </c>
      <c r="X618" s="40">
        <v>0</v>
      </c>
      <c r="Y618" s="40">
        <v>0</v>
      </c>
      <c r="Z618" s="40">
        <v>0</v>
      </c>
      <c r="AA618" s="40">
        <v>0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>
        <v>0</v>
      </c>
      <c r="AH618" s="40">
        <v>0</v>
      </c>
      <c r="AI618" s="41">
        <f t="shared" si="69"/>
        <v>0</v>
      </c>
      <c r="AJ618" s="42">
        <v>0</v>
      </c>
      <c r="AK618" s="42">
        <v>0</v>
      </c>
      <c r="AL618" s="42">
        <v>0</v>
      </c>
      <c r="AM618" s="42">
        <v>0</v>
      </c>
      <c r="AN618" s="42">
        <v>0</v>
      </c>
      <c r="AO618" s="42">
        <v>0</v>
      </c>
      <c r="AP618" s="42">
        <v>0</v>
      </c>
      <c r="AQ618" s="42">
        <v>0</v>
      </c>
      <c r="AR618" s="42">
        <v>0</v>
      </c>
      <c r="AS618" s="42">
        <v>0</v>
      </c>
      <c r="AT618" s="42">
        <v>0</v>
      </c>
      <c r="AU618" s="42">
        <v>0</v>
      </c>
      <c r="AV618" s="42">
        <f t="shared" si="70"/>
        <v>0</v>
      </c>
      <c r="AW618" s="42">
        <v>1861</v>
      </c>
      <c r="AX618" s="42">
        <v>0</v>
      </c>
      <c r="AY618" s="42">
        <v>0</v>
      </c>
      <c r="AZ618" s="42">
        <v>0</v>
      </c>
      <c r="BA618" s="42">
        <v>263</v>
      </c>
      <c r="BB618" s="42">
        <v>500</v>
      </c>
      <c r="BC618" s="42">
        <v>412</v>
      </c>
      <c r="BD618" s="42">
        <v>500</v>
      </c>
      <c r="BE618" s="42">
        <v>500</v>
      </c>
      <c r="BF618" s="42">
        <v>500</v>
      </c>
      <c r="BG618" s="42">
        <v>500</v>
      </c>
      <c r="BH618" s="42">
        <v>500</v>
      </c>
      <c r="BI618" s="42">
        <v>0</v>
      </c>
      <c r="BJ618" s="42">
        <v>500</v>
      </c>
      <c r="BK618" s="42">
        <v>500</v>
      </c>
      <c r="BL618" s="42">
        <v>500</v>
      </c>
      <c r="BM618" s="42">
        <v>500</v>
      </c>
      <c r="BN618" s="42">
        <v>0</v>
      </c>
      <c r="BO618" s="42">
        <v>296</v>
      </c>
      <c r="BP618" s="42">
        <v>0</v>
      </c>
      <c r="BQ618" s="42">
        <v>0</v>
      </c>
      <c r="BR618" s="42">
        <v>0</v>
      </c>
      <c r="BS618" s="42">
        <v>0</v>
      </c>
      <c r="BT618" s="42">
        <v>0</v>
      </c>
      <c r="BU618" s="42">
        <v>0</v>
      </c>
      <c r="BV618" s="42">
        <v>0</v>
      </c>
      <c r="BW618" s="42">
        <v>0</v>
      </c>
      <c r="BX618" s="42">
        <v>0</v>
      </c>
      <c r="BY618" s="42">
        <v>0</v>
      </c>
      <c r="BZ618" s="42">
        <v>0</v>
      </c>
      <c r="CA618" s="42">
        <v>0</v>
      </c>
      <c r="CB618" s="42">
        <v>0</v>
      </c>
      <c r="CC618" s="42">
        <v>0</v>
      </c>
      <c r="CD618" s="42">
        <v>0</v>
      </c>
      <c r="CE618" s="42">
        <v>0</v>
      </c>
      <c r="CF618" s="42">
        <v>0</v>
      </c>
      <c r="CG618" s="42">
        <v>0</v>
      </c>
      <c r="CH618" s="42">
        <v>0</v>
      </c>
      <c r="CI618" s="42">
        <v>0</v>
      </c>
      <c r="CJ618" s="42">
        <v>0</v>
      </c>
      <c r="CK618" s="43">
        <f t="shared" si="67"/>
        <v>7832</v>
      </c>
      <c r="CL618" s="66"/>
      <c r="CM618" s="66">
        <v>0</v>
      </c>
      <c r="CN618" s="66">
        <v>0</v>
      </c>
      <c r="CO618" s="66">
        <v>0</v>
      </c>
      <c r="CP618" s="66">
        <v>0</v>
      </c>
      <c r="CQ618" s="66">
        <v>0</v>
      </c>
      <c r="CR618" s="66">
        <v>0</v>
      </c>
      <c r="CS618" s="66">
        <v>0</v>
      </c>
      <c r="CT618" s="66">
        <v>0</v>
      </c>
      <c r="CU618" s="66">
        <v>0</v>
      </c>
      <c r="CV618" s="66">
        <v>0</v>
      </c>
      <c r="CW618" s="66">
        <v>0</v>
      </c>
      <c r="CX618" s="66">
        <v>0</v>
      </c>
      <c r="CY618" s="66">
        <v>0</v>
      </c>
      <c r="CZ618" s="66">
        <v>0</v>
      </c>
      <c r="DA618" s="66"/>
      <c r="DB618" s="66"/>
      <c r="DC618" s="66"/>
      <c r="DD618" s="66"/>
      <c r="DE618" s="66"/>
      <c r="DF618" s="66"/>
      <c r="DG618" s="66"/>
      <c r="DH618" s="66"/>
      <c r="DI618" s="66"/>
      <c r="DJ618" s="66"/>
      <c r="DK618" s="66">
        <f>SUM(Table1[[#This Row],[01-03 Apr]:[Mar-26]])</f>
        <v>0</v>
      </c>
    </row>
    <row r="619" spans="1:115" x14ac:dyDescent="0.2">
      <c r="A619" s="28" t="s">
        <v>2255</v>
      </c>
      <c r="B619" s="29" t="s">
        <v>1439</v>
      </c>
      <c r="C619" s="29" t="s">
        <v>1440</v>
      </c>
      <c r="D619" s="30" t="s">
        <v>1441</v>
      </c>
      <c r="E619" s="30" t="s">
        <v>1630</v>
      </c>
      <c r="F619" s="30"/>
      <c r="G619" s="31"/>
      <c r="H619" s="30">
        <v>390594</v>
      </c>
      <c r="I619" s="30" t="str">
        <f>IF(Table1[[#This Row],[Centre Status]]="Returned","NA",IF(Table1[[#This Row],[SD]]&gt;19000,"Full Payment",IF(Table1[[#This Row],[SD]]&lt;1,"No Payment","Partial Payment")))</f>
        <v>Partial Payment</v>
      </c>
      <c r="J619" s="30" t="s">
        <v>58</v>
      </c>
      <c r="K619" s="32">
        <v>110000</v>
      </c>
      <c r="L619" s="33">
        <f>Q619+R619+U619+Table1[[#This Row],[Farmer Payment]]</f>
        <v>26886</v>
      </c>
      <c r="M619" s="30"/>
      <c r="N619" s="34"/>
      <c r="O619" s="34"/>
      <c r="P619" s="35">
        <f t="shared" si="68"/>
        <v>83114</v>
      </c>
      <c r="Q619" s="33">
        <f>AI619+AV619+CK619+Table1[[#This Row],[FY 25-26]]</f>
        <v>16886</v>
      </c>
      <c r="R619" s="36">
        <v>10000</v>
      </c>
      <c r="S619" s="37" t="s">
        <v>2926</v>
      </c>
      <c r="T619" s="38">
        <v>45363</v>
      </c>
      <c r="U619" s="39"/>
      <c r="V619" s="39"/>
      <c r="W619" s="40">
        <v>0</v>
      </c>
      <c r="X619" s="40">
        <v>0</v>
      </c>
      <c r="Y619" s="40">
        <v>0</v>
      </c>
      <c r="Z619" s="40">
        <v>0</v>
      </c>
      <c r="AA619" s="40">
        <v>0</v>
      </c>
      <c r="AB619" s="40">
        <v>0</v>
      </c>
      <c r="AC619" s="40">
        <v>0</v>
      </c>
      <c r="AD619" s="40">
        <v>0</v>
      </c>
      <c r="AE619" s="40">
        <v>0</v>
      </c>
      <c r="AF619" s="40">
        <v>0</v>
      </c>
      <c r="AG619" s="40">
        <v>0</v>
      </c>
      <c r="AH619" s="40">
        <v>0</v>
      </c>
      <c r="AI619" s="41">
        <f t="shared" si="69"/>
        <v>0</v>
      </c>
      <c r="AJ619" s="42">
        <v>0</v>
      </c>
      <c r="AK619" s="42">
        <v>0</v>
      </c>
      <c r="AL619" s="42">
        <v>0</v>
      </c>
      <c r="AM619" s="42">
        <v>0</v>
      </c>
      <c r="AN619" s="42">
        <v>0</v>
      </c>
      <c r="AO619" s="42">
        <v>0</v>
      </c>
      <c r="AP619" s="42">
        <v>0</v>
      </c>
      <c r="AQ619" s="42">
        <v>0</v>
      </c>
      <c r="AR619" s="42">
        <v>0</v>
      </c>
      <c r="AS619" s="42">
        <v>0</v>
      </c>
      <c r="AT619" s="42">
        <v>0</v>
      </c>
      <c r="AU619" s="42">
        <v>0</v>
      </c>
      <c r="AV619" s="42">
        <f t="shared" si="70"/>
        <v>0</v>
      </c>
      <c r="AW619" s="42">
        <v>1179</v>
      </c>
      <c r="AX619" s="42">
        <v>1715</v>
      </c>
      <c r="AY619" s="42">
        <v>1627</v>
      </c>
      <c r="AZ619" s="42">
        <v>1861</v>
      </c>
      <c r="BA619" s="42">
        <v>1421</v>
      </c>
      <c r="BB619" s="42">
        <v>500</v>
      </c>
      <c r="BC619" s="42">
        <v>861</v>
      </c>
      <c r="BD619" s="42">
        <v>500</v>
      </c>
      <c r="BE619" s="42">
        <v>0</v>
      </c>
      <c r="BF619" s="42">
        <v>0</v>
      </c>
      <c r="BG619" s="42">
        <v>0</v>
      </c>
      <c r="BH619" s="42">
        <v>0</v>
      </c>
      <c r="BI619" s="42">
        <v>1861</v>
      </c>
      <c r="BJ619" s="42">
        <v>0</v>
      </c>
      <c r="BK619" s="42">
        <v>0</v>
      </c>
      <c r="BL619" s="42">
        <v>500</v>
      </c>
      <c r="BM619" s="42">
        <v>500</v>
      </c>
      <c r="BN619" s="42">
        <v>861</v>
      </c>
      <c r="BO619" s="42">
        <v>500</v>
      </c>
      <c r="BP619" s="42">
        <v>500</v>
      </c>
      <c r="BQ619" s="42">
        <v>500</v>
      </c>
      <c r="BR619" s="42">
        <v>500</v>
      </c>
      <c r="BS619" s="42">
        <v>0</v>
      </c>
      <c r="BT619" s="42">
        <v>500</v>
      </c>
      <c r="BU619" s="42">
        <v>500</v>
      </c>
      <c r="BV619" s="42">
        <v>500</v>
      </c>
      <c r="BW619" s="42">
        <v>0</v>
      </c>
      <c r="BX619" s="42">
        <v>0</v>
      </c>
      <c r="BY619" s="42">
        <v>0</v>
      </c>
      <c r="BZ619" s="42">
        <v>0</v>
      </c>
      <c r="CA619" s="42">
        <v>0</v>
      </c>
      <c r="CB619" s="42">
        <v>0</v>
      </c>
      <c r="CC619" s="42">
        <v>0</v>
      </c>
      <c r="CD619" s="42">
        <v>0</v>
      </c>
      <c r="CE619" s="42">
        <v>0</v>
      </c>
      <c r="CF619" s="42">
        <v>0</v>
      </c>
      <c r="CG619" s="42">
        <v>0</v>
      </c>
      <c r="CH619" s="42">
        <v>0</v>
      </c>
      <c r="CI619" s="42">
        <v>0</v>
      </c>
      <c r="CJ619" s="42">
        <v>0</v>
      </c>
      <c r="CK619" s="43">
        <f t="shared" si="67"/>
        <v>16886</v>
      </c>
      <c r="CL619" s="66"/>
      <c r="CM619" s="66">
        <v>0</v>
      </c>
      <c r="CN619" s="66">
        <v>0</v>
      </c>
      <c r="CO619" s="66">
        <v>0</v>
      </c>
      <c r="CP619" s="66">
        <v>0</v>
      </c>
      <c r="CQ619" s="66">
        <v>0</v>
      </c>
      <c r="CR619" s="66">
        <v>0</v>
      </c>
      <c r="CS619" s="66">
        <v>0</v>
      </c>
      <c r="CT619" s="66">
        <v>0</v>
      </c>
      <c r="CU619" s="66">
        <v>0</v>
      </c>
      <c r="CV619" s="66">
        <v>0</v>
      </c>
      <c r="CW619" s="66">
        <v>0</v>
      </c>
      <c r="CX619" s="66">
        <v>0</v>
      </c>
      <c r="CY619" s="66">
        <v>0</v>
      </c>
      <c r="CZ619" s="66">
        <v>0</v>
      </c>
      <c r="DA619" s="66"/>
      <c r="DB619" s="66"/>
      <c r="DC619" s="66"/>
      <c r="DD619" s="66"/>
      <c r="DE619" s="66"/>
      <c r="DF619" s="66"/>
      <c r="DG619" s="66"/>
      <c r="DH619" s="66"/>
      <c r="DI619" s="66"/>
      <c r="DJ619" s="66"/>
      <c r="DK619" s="66">
        <f>SUM(Table1[[#This Row],[01-03 Apr]:[Mar-26]])</f>
        <v>0</v>
      </c>
    </row>
    <row r="620" spans="1:115" x14ac:dyDescent="0.2">
      <c r="A620" s="28" t="s">
        <v>2255</v>
      </c>
      <c r="B620" s="29" t="s">
        <v>1442</v>
      </c>
      <c r="C620" s="29" t="s">
        <v>1443</v>
      </c>
      <c r="D620" s="30" t="s">
        <v>1444</v>
      </c>
      <c r="E620" s="30" t="s">
        <v>85</v>
      </c>
      <c r="F620" s="30"/>
      <c r="G620" s="31"/>
      <c r="H620" s="30">
        <v>384291</v>
      </c>
      <c r="I620" s="30" t="str">
        <f>IF(Table1[[#This Row],[Centre Status]]="Returned","NA",IF(Table1[[#This Row],[SD]]&gt;19000,"Full Payment",IF(Table1[[#This Row],[SD]]&lt;1,"No Payment","Partial Payment")))</f>
        <v>Partial Payment</v>
      </c>
      <c r="J620" s="30" t="s">
        <v>58</v>
      </c>
      <c r="K620" s="32">
        <v>110000</v>
      </c>
      <c r="L620" s="33">
        <f>Q620+R620+U620+Table1[[#This Row],[Farmer Payment]]</f>
        <v>13722</v>
      </c>
      <c r="M620" s="30"/>
      <c r="N620" s="34"/>
      <c r="O620" s="34"/>
      <c r="P620" s="35">
        <f t="shared" si="68"/>
        <v>96278</v>
      </c>
      <c r="Q620" s="33">
        <f>AI620+AV620+CK620+Table1[[#This Row],[FY 25-26]]</f>
        <v>3722</v>
      </c>
      <c r="R620" s="36">
        <v>10000</v>
      </c>
      <c r="S620" s="37" t="s">
        <v>2574</v>
      </c>
      <c r="T620" s="38">
        <v>45234</v>
      </c>
      <c r="U620" s="39"/>
      <c r="V620" s="39"/>
      <c r="W620" s="40">
        <v>0</v>
      </c>
      <c r="X620" s="40">
        <v>0</v>
      </c>
      <c r="Y620" s="40">
        <v>0</v>
      </c>
      <c r="Z620" s="40">
        <v>0</v>
      </c>
      <c r="AA620" s="40">
        <v>0</v>
      </c>
      <c r="AB620" s="40">
        <v>0</v>
      </c>
      <c r="AC620" s="40">
        <v>0</v>
      </c>
      <c r="AD620" s="40">
        <v>0</v>
      </c>
      <c r="AE620" s="40">
        <v>0</v>
      </c>
      <c r="AF620" s="40">
        <v>0</v>
      </c>
      <c r="AG620" s="40">
        <v>0</v>
      </c>
      <c r="AH620" s="40">
        <v>0</v>
      </c>
      <c r="AI620" s="41">
        <f t="shared" si="69"/>
        <v>0</v>
      </c>
      <c r="AJ620" s="42">
        <v>0</v>
      </c>
      <c r="AK620" s="42">
        <v>0</v>
      </c>
      <c r="AL620" s="42">
        <v>0</v>
      </c>
      <c r="AM620" s="42">
        <v>0</v>
      </c>
      <c r="AN620" s="42">
        <v>0</v>
      </c>
      <c r="AO620" s="42">
        <v>0</v>
      </c>
      <c r="AP620" s="42">
        <v>0</v>
      </c>
      <c r="AQ620" s="42">
        <v>0</v>
      </c>
      <c r="AR620" s="42">
        <v>0</v>
      </c>
      <c r="AS620" s="42">
        <v>0</v>
      </c>
      <c r="AT620" s="42">
        <v>0</v>
      </c>
      <c r="AU620" s="42">
        <v>0</v>
      </c>
      <c r="AV620" s="42">
        <f t="shared" si="70"/>
        <v>0</v>
      </c>
      <c r="AW620" s="42">
        <v>1861</v>
      </c>
      <c r="AX620" s="42">
        <v>1861</v>
      </c>
      <c r="AY620" s="42">
        <v>0</v>
      </c>
      <c r="AZ620" s="42">
        <v>0</v>
      </c>
      <c r="BA620" s="42">
        <v>0</v>
      </c>
      <c r="BB620" s="42">
        <v>0</v>
      </c>
      <c r="BC620" s="42">
        <v>0</v>
      </c>
      <c r="BD620" s="42">
        <v>0</v>
      </c>
      <c r="BE620" s="42">
        <v>0</v>
      </c>
      <c r="BF620" s="42">
        <v>0</v>
      </c>
      <c r="BG620" s="42">
        <v>0</v>
      </c>
      <c r="BH620" s="42">
        <v>0</v>
      </c>
      <c r="BI620" s="42">
        <v>0</v>
      </c>
      <c r="BJ620" s="42">
        <v>0</v>
      </c>
      <c r="BK620" s="42">
        <v>0</v>
      </c>
      <c r="BL620" s="42">
        <v>0</v>
      </c>
      <c r="BM620" s="42">
        <v>0</v>
      </c>
      <c r="BN620" s="42">
        <v>0</v>
      </c>
      <c r="BO620" s="42">
        <v>0</v>
      </c>
      <c r="BP620" s="42">
        <v>0</v>
      </c>
      <c r="BQ620" s="42">
        <v>0</v>
      </c>
      <c r="BR620" s="42">
        <v>0</v>
      </c>
      <c r="BS620" s="42">
        <v>0</v>
      </c>
      <c r="BT620" s="42">
        <v>0</v>
      </c>
      <c r="BU620" s="42">
        <v>0</v>
      </c>
      <c r="BV620" s="42">
        <v>0</v>
      </c>
      <c r="BW620" s="42">
        <v>0</v>
      </c>
      <c r="BX620" s="42">
        <v>0</v>
      </c>
      <c r="BY620" s="42">
        <v>0</v>
      </c>
      <c r="BZ620" s="42">
        <v>0</v>
      </c>
      <c r="CA620" s="42">
        <v>0</v>
      </c>
      <c r="CB620" s="42">
        <v>0</v>
      </c>
      <c r="CC620" s="42">
        <v>0</v>
      </c>
      <c r="CD620" s="42">
        <v>0</v>
      </c>
      <c r="CE620" s="42">
        <v>0</v>
      </c>
      <c r="CF620" s="42">
        <v>0</v>
      </c>
      <c r="CG620" s="42">
        <v>0</v>
      </c>
      <c r="CH620" s="42">
        <v>0</v>
      </c>
      <c r="CI620" s="42">
        <v>0</v>
      </c>
      <c r="CJ620" s="42">
        <v>0</v>
      </c>
      <c r="CK620" s="43">
        <f t="shared" si="67"/>
        <v>3722</v>
      </c>
      <c r="CL620" s="66"/>
      <c r="CM620" s="66">
        <v>0</v>
      </c>
      <c r="CN620" s="66">
        <v>0</v>
      </c>
      <c r="CO620" s="66">
        <v>0</v>
      </c>
      <c r="CP620" s="66">
        <v>0</v>
      </c>
      <c r="CQ620" s="66">
        <v>0</v>
      </c>
      <c r="CR620" s="66">
        <v>0</v>
      </c>
      <c r="CS620" s="66">
        <v>0</v>
      </c>
      <c r="CT620" s="66">
        <v>0</v>
      </c>
      <c r="CU620" s="66">
        <v>0</v>
      </c>
      <c r="CV620" s="66">
        <v>0</v>
      </c>
      <c r="CW620" s="66">
        <v>0</v>
      </c>
      <c r="CX620" s="66">
        <v>0</v>
      </c>
      <c r="CY620" s="66">
        <v>0</v>
      </c>
      <c r="CZ620" s="66">
        <v>0</v>
      </c>
      <c r="DA620" s="66"/>
      <c r="DB620" s="66"/>
      <c r="DC620" s="66"/>
      <c r="DD620" s="66"/>
      <c r="DE620" s="66"/>
      <c r="DF620" s="66"/>
      <c r="DG620" s="66"/>
      <c r="DH620" s="66"/>
      <c r="DI620" s="66"/>
      <c r="DJ620" s="66"/>
      <c r="DK620" s="66">
        <f>SUM(Table1[[#This Row],[01-03 Apr]:[Mar-26]])</f>
        <v>0</v>
      </c>
    </row>
    <row r="621" spans="1:115" x14ac:dyDescent="0.2">
      <c r="A621" s="28" t="s">
        <v>2255</v>
      </c>
      <c r="B621" s="29" t="s">
        <v>1445</v>
      </c>
      <c r="C621" s="29" t="s">
        <v>1446</v>
      </c>
      <c r="D621" s="30" t="s">
        <v>1447</v>
      </c>
      <c r="E621" s="30" t="s">
        <v>297</v>
      </c>
      <c r="F621" s="30"/>
      <c r="G621" s="31"/>
      <c r="H621" s="30">
        <v>384299</v>
      </c>
      <c r="I621" s="30" t="str">
        <f>IF(Table1[[#This Row],[Centre Status]]="Returned","NA",IF(Table1[[#This Row],[SD]]&gt;19000,"Full Payment",IF(Table1[[#This Row],[SD]]&lt;1,"No Payment","Partial Payment")))</f>
        <v>No Payment</v>
      </c>
      <c r="J621" s="30" t="s">
        <v>58</v>
      </c>
      <c r="K621" s="32">
        <v>110000</v>
      </c>
      <c r="L621" s="33">
        <f>Q621+R621+U621+Table1[[#This Row],[Farmer Payment]]</f>
        <v>20132</v>
      </c>
      <c r="M621" s="30"/>
      <c r="N621" s="34"/>
      <c r="O621" s="34"/>
      <c r="P621" s="35">
        <f t="shared" si="68"/>
        <v>89868</v>
      </c>
      <c r="Q621" s="33">
        <f>AI621+AV621+CK621+Table1[[#This Row],[FY 25-26]]</f>
        <v>20132</v>
      </c>
      <c r="R621" s="36"/>
      <c r="S621" s="37"/>
      <c r="T621" s="38"/>
      <c r="U621" s="39"/>
      <c r="V621" s="39"/>
      <c r="W621" s="40">
        <v>0</v>
      </c>
      <c r="X621" s="40">
        <v>0</v>
      </c>
      <c r="Y621" s="40">
        <v>0</v>
      </c>
      <c r="Z621" s="40">
        <v>0</v>
      </c>
      <c r="AA621" s="40">
        <v>0</v>
      </c>
      <c r="AB621" s="40">
        <v>0</v>
      </c>
      <c r="AC621" s="40">
        <v>0</v>
      </c>
      <c r="AD621" s="40">
        <v>0</v>
      </c>
      <c r="AE621" s="40">
        <v>0</v>
      </c>
      <c r="AF621" s="40">
        <v>0</v>
      </c>
      <c r="AG621" s="40">
        <v>0</v>
      </c>
      <c r="AH621" s="40">
        <v>0</v>
      </c>
      <c r="AI621" s="41">
        <f t="shared" si="69"/>
        <v>0</v>
      </c>
      <c r="AJ621" s="42">
        <v>0</v>
      </c>
      <c r="AK621" s="42">
        <v>0</v>
      </c>
      <c r="AL621" s="42">
        <v>0</v>
      </c>
      <c r="AM621" s="42">
        <v>0</v>
      </c>
      <c r="AN621" s="42">
        <v>0</v>
      </c>
      <c r="AO621" s="42">
        <v>0</v>
      </c>
      <c r="AP621" s="42">
        <v>0</v>
      </c>
      <c r="AQ621" s="42">
        <v>0</v>
      </c>
      <c r="AR621" s="42">
        <v>0</v>
      </c>
      <c r="AS621" s="42">
        <v>0</v>
      </c>
      <c r="AT621" s="42">
        <v>0</v>
      </c>
      <c r="AU621" s="42">
        <v>0</v>
      </c>
      <c r="AV621" s="42">
        <f t="shared" si="70"/>
        <v>0</v>
      </c>
      <c r="AW621" s="42">
        <v>0</v>
      </c>
      <c r="AX621" s="42">
        <v>132</v>
      </c>
      <c r="AY621" s="42">
        <v>0</v>
      </c>
      <c r="AZ621" s="42">
        <v>0</v>
      </c>
      <c r="BA621" s="42">
        <v>0</v>
      </c>
      <c r="BB621" s="42">
        <v>500</v>
      </c>
      <c r="BC621" s="42">
        <v>0</v>
      </c>
      <c r="BD621" s="42">
        <v>500</v>
      </c>
      <c r="BE621" s="42">
        <v>500</v>
      </c>
      <c r="BF621" s="42">
        <v>500</v>
      </c>
      <c r="BG621" s="42">
        <v>500</v>
      </c>
      <c r="BH621" s="42">
        <v>500</v>
      </c>
      <c r="BI621" s="42">
        <v>0</v>
      </c>
      <c r="BJ621" s="42">
        <v>500</v>
      </c>
      <c r="BK621" s="42">
        <v>500</v>
      </c>
      <c r="BL621" s="42">
        <v>500</v>
      </c>
      <c r="BM621" s="42">
        <v>500</v>
      </c>
      <c r="BN621" s="42">
        <v>0</v>
      </c>
      <c r="BO621" s="42">
        <v>500</v>
      </c>
      <c r="BP621" s="42">
        <v>500</v>
      </c>
      <c r="BQ621" s="42">
        <v>500</v>
      </c>
      <c r="BR621" s="42">
        <v>500</v>
      </c>
      <c r="BS621" s="42">
        <v>0</v>
      </c>
      <c r="BT621" s="42">
        <v>500</v>
      </c>
      <c r="BU621" s="42">
        <v>500</v>
      </c>
      <c r="BV621" s="42">
        <v>500</v>
      </c>
      <c r="BW621" s="42">
        <v>500</v>
      </c>
      <c r="BX621" s="42">
        <v>500</v>
      </c>
      <c r="BY621" s="42">
        <v>0</v>
      </c>
      <c r="BZ621" s="42">
        <v>500</v>
      </c>
      <c r="CA621" s="42">
        <v>500</v>
      </c>
      <c r="CB621" s="42">
        <v>500</v>
      </c>
      <c r="CC621" s="42">
        <v>500</v>
      </c>
      <c r="CD621" s="42">
        <v>0</v>
      </c>
      <c r="CE621" s="42">
        <v>500</v>
      </c>
      <c r="CF621" s="42">
        <v>500</v>
      </c>
      <c r="CG621" s="42">
        <v>500</v>
      </c>
      <c r="CH621" s="42">
        <v>500</v>
      </c>
      <c r="CI621" s="42">
        <v>500</v>
      </c>
      <c r="CJ621" s="42">
        <v>0</v>
      </c>
      <c r="CK621" s="43">
        <f t="shared" si="67"/>
        <v>14132</v>
      </c>
      <c r="CL621" s="66"/>
      <c r="CM621" s="66">
        <v>500</v>
      </c>
      <c r="CN621" s="66">
        <v>500</v>
      </c>
      <c r="CO621" s="66">
        <v>500</v>
      </c>
      <c r="CP621" s="66">
        <v>0</v>
      </c>
      <c r="CQ621" s="66">
        <v>500</v>
      </c>
      <c r="CR621" s="66">
        <v>500</v>
      </c>
      <c r="CS621" s="66">
        <v>500</v>
      </c>
      <c r="CT621" s="66">
        <v>500</v>
      </c>
      <c r="CU621" s="66">
        <v>500</v>
      </c>
      <c r="CV621" s="66">
        <v>0</v>
      </c>
      <c r="CW621" s="66">
        <v>500</v>
      </c>
      <c r="CX621" s="66">
        <v>500</v>
      </c>
      <c r="CY621" s="66">
        <v>500</v>
      </c>
      <c r="CZ621" s="66">
        <v>500</v>
      </c>
      <c r="DA621" s="66"/>
      <c r="DB621" s="66"/>
      <c r="DC621" s="66"/>
      <c r="DD621" s="66"/>
      <c r="DE621" s="66"/>
      <c r="DF621" s="66"/>
      <c r="DG621" s="66"/>
      <c r="DH621" s="66"/>
      <c r="DI621" s="66"/>
      <c r="DJ621" s="66"/>
      <c r="DK621" s="66">
        <f>SUM(Table1[[#This Row],[01-03 Apr]:[Mar-26]])</f>
        <v>6000</v>
      </c>
    </row>
    <row r="622" spans="1:115" x14ac:dyDescent="0.2">
      <c r="A622" s="28">
        <v>0</v>
      </c>
      <c r="B622" s="29" t="s">
        <v>1448</v>
      </c>
      <c r="C622" s="29" t="s">
        <v>1449</v>
      </c>
      <c r="D622" s="30" t="s">
        <v>1450</v>
      </c>
      <c r="E622" s="30" t="s">
        <v>297</v>
      </c>
      <c r="F622" s="30"/>
      <c r="G622" s="31"/>
      <c r="H622" s="30">
        <v>384296</v>
      </c>
      <c r="I622" s="30" t="str">
        <f>IF(Table1[[#This Row],[Centre Status]]="Returned","NA",IF(Table1[[#This Row],[SD]]&gt;19000,"Full Payment",IF(Table1[[#This Row],[SD]]&lt;1,"No Payment","Partial Payment")))</f>
        <v>No Payment</v>
      </c>
      <c r="J622" s="30" t="s">
        <v>58</v>
      </c>
      <c r="K622" s="32">
        <v>110000</v>
      </c>
      <c r="L622" s="33">
        <f>Q622+R622+U622+Table1[[#This Row],[Farmer Payment]]</f>
        <v>28828.692655656359</v>
      </c>
      <c r="M622" s="30"/>
      <c r="N622" s="34"/>
      <c r="O622" s="34"/>
      <c r="P622" s="35">
        <f t="shared" si="68"/>
        <v>81171.307344343644</v>
      </c>
      <c r="Q622" s="33">
        <f>AI622+AV622+CK622+Table1[[#This Row],[FY 25-26]]</f>
        <v>28828.692655656359</v>
      </c>
      <c r="R622" s="36"/>
      <c r="S622" s="37"/>
      <c r="T622" s="38"/>
      <c r="U622" s="39"/>
      <c r="V622" s="39"/>
      <c r="W622" s="40">
        <v>0</v>
      </c>
      <c r="X622" s="40">
        <v>0</v>
      </c>
      <c r="Y622" s="40">
        <v>0</v>
      </c>
      <c r="Z622" s="40">
        <v>0</v>
      </c>
      <c r="AA622" s="40">
        <v>0</v>
      </c>
      <c r="AB622" s="40">
        <v>0</v>
      </c>
      <c r="AC622" s="40">
        <v>0</v>
      </c>
      <c r="AD622" s="40">
        <v>0</v>
      </c>
      <c r="AE622" s="40">
        <v>0</v>
      </c>
      <c r="AF622" s="40">
        <v>0</v>
      </c>
      <c r="AG622" s="40">
        <v>0</v>
      </c>
      <c r="AH622" s="40">
        <v>0</v>
      </c>
      <c r="AI622" s="41">
        <f t="shared" si="69"/>
        <v>0</v>
      </c>
      <c r="AJ622" s="42">
        <v>0</v>
      </c>
      <c r="AK622" s="42">
        <v>0</v>
      </c>
      <c r="AL622" s="42">
        <v>0</v>
      </c>
      <c r="AM622" s="42">
        <v>0</v>
      </c>
      <c r="AN622" s="42">
        <v>0</v>
      </c>
      <c r="AO622" s="42">
        <v>0</v>
      </c>
      <c r="AP622" s="42">
        <v>0</v>
      </c>
      <c r="AQ622" s="42">
        <v>0</v>
      </c>
      <c r="AR622" s="42">
        <v>0</v>
      </c>
      <c r="AS622" s="42">
        <v>0</v>
      </c>
      <c r="AT622" s="42">
        <v>0</v>
      </c>
      <c r="AU622" s="42">
        <v>0</v>
      </c>
      <c r="AV622" s="42">
        <f t="shared" si="70"/>
        <v>0</v>
      </c>
      <c r="AW622" s="42">
        <v>2196.1434363071999</v>
      </c>
      <c r="AX622" s="42">
        <v>2104.26258425472</v>
      </c>
      <c r="AY622" s="42">
        <v>2374.2361259289605</v>
      </c>
      <c r="AZ622" s="42">
        <v>2388.61016323584</v>
      </c>
      <c r="BA622" s="42">
        <v>1861</v>
      </c>
      <c r="BB622" s="42">
        <v>0</v>
      </c>
      <c r="BC622" s="42">
        <v>1861</v>
      </c>
      <c r="BD622" s="42">
        <v>0</v>
      </c>
      <c r="BE622" s="42">
        <v>0</v>
      </c>
      <c r="BF622" s="42">
        <v>0</v>
      </c>
      <c r="BG622" s="42">
        <v>0</v>
      </c>
      <c r="BH622" s="42">
        <v>0</v>
      </c>
      <c r="BI622" s="42">
        <v>1861</v>
      </c>
      <c r="BJ622" s="42">
        <v>0</v>
      </c>
      <c r="BK622" s="42">
        <v>0</v>
      </c>
      <c r="BL622" s="42">
        <v>0</v>
      </c>
      <c r="BM622" s="42">
        <v>0</v>
      </c>
      <c r="BN622" s="42">
        <v>1861</v>
      </c>
      <c r="BO622" s="42">
        <v>0</v>
      </c>
      <c r="BP622" s="42">
        <v>0</v>
      </c>
      <c r="BQ622" s="42">
        <v>0</v>
      </c>
      <c r="BR622" s="42">
        <v>0</v>
      </c>
      <c r="BS622" s="42">
        <v>1861</v>
      </c>
      <c r="BT622" s="42">
        <v>0</v>
      </c>
      <c r="BU622" s="42">
        <v>0</v>
      </c>
      <c r="BV622" s="42">
        <v>0</v>
      </c>
      <c r="BW622" s="42">
        <v>0</v>
      </c>
      <c r="BX622" s="42">
        <v>0</v>
      </c>
      <c r="BY622" s="42">
        <v>1861</v>
      </c>
      <c r="BZ622" s="42">
        <v>0</v>
      </c>
      <c r="CA622" s="42">
        <v>0</v>
      </c>
      <c r="CB622" s="42">
        <v>0</v>
      </c>
      <c r="CC622" s="42">
        <v>0</v>
      </c>
      <c r="CD622" s="42">
        <v>1928.3787994521601</v>
      </c>
      <c r="CE622" s="42">
        <v>0</v>
      </c>
      <c r="CF622" s="42">
        <v>0</v>
      </c>
      <c r="CG622" s="42">
        <v>0</v>
      </c>
      <c r="CH622" s="42">
        <v>0</v>
      </c>
      <c r="CI622" s="42">
        <v>0</v>
      </c>
      <c r="CJ622" s="42">
        <v>2380.4387294092803</v>
      </c>
      <c r="CK622" s="43">
        <f t="shared" si="67"/>
        <v>24538.069838588159</v>
      </c>
      <c r="CL622" s="66"/>
      <c r="CM622" s="66">
        <v>0</v>
      </c>
      <c r="CN622" s="66">
        <v>0</v>
      </c>
      <c r="CO622" s="66">
        <v>0</v>
      </c>
      <c r="CP622" s="66">
        <v>2318.1033970746003</v>
      </c>
      <c r="CQ622" s="66">
        <v>0</v>
      </c>
      <c r="CR622" s="66">
        <v>0</v>
      </c>
      <c r="CS622" s="66">
        <v>0</v>
      </c>
      <c r="CT622" s="66">
        <v>0</v>
      </c>
      <c r="CU622" s="66">
        <v>0</v>
      </c>
      <c r="CV622" s="66">
        <v>1972.5194199936004</v>
      </c>
      <c r="CW622" s="66">
        <v>0</v>
      </c>
      <c r="CX622" s="66">
        <v>0</v>
      </c>
      <c r="CY622" s="66">
        <v>0</v>
      </c>
      <c r="CZ622" s="66">
        <v>0</v>
      </c>
      <c r="DA622" s="66"/>
      <c r="DB622" s="66"/>
      <c r="DC622" s="66"/>
      <c r="DD622" s="66"/>
      <c r="DE622" s="66"/>
      <c r="DF622" s="66"/>
      <c r="DG622" s="66"/>
      <c r="DH622" s="66"/>
      <c r="DI622" s="66"/>
      <c r="DJ622" s="66"/>
      <c r="DK622" s="66">
        <f>SUM(Table1[[#This Row],[01-03 Apr]:[Mar-26]])</f>
        <v>4290.6228170682007</v>
      </c>
    </row>
    <row r="623" spans="1:115" hidden="1" x14ac:dyDescent="0.2">
      <c r="A623" s="28" t="s">
        <v>2255</v>
      </c>
      <c r="B623" s="29" t="s">
        <v>1451</v>
      </c>
      <c r="C623" s="29" t="s">
        <v>1452</v>
      </c>
      <c r="D623" s="30" t="s">
        <v>1453</v>
      </c>
      <c r="E623" s="30" t="s">
        <v>297</v>
      </c>
      <c r="F623" s="30"/>
      <c r="G623" s="31"/>
      <c r="H623" s="30">
        <v>391604</v>
      </c>
      <c r="I623" s="30" t="str">
        <f>IF(Table1[[#This Row],[Centre Status]]="Returned","NA",IF(Table1[[#This Row],[SD]]&gt;19000,"Full Payment",IF(Table1[[#This Row],[SD]]&lt;1,"No Payment","Partial Payment")))</f>
        <v>Full Payment</v>
      </c>
      <c r="J623" s="30" t="s">
        <v>58</v>
      </c>
      <c r="K623" s="32">
        <v>110000</v>
      </c>
      <c r="L623" s="33">
        <f>Q623+R623+U623+Table1[[#This Row],[Farmer Payment]]</f>
        <v>28765</v>
      </c>
      <c r="M623" s="30"/>
      <c r="N623" s="34"/>
      <c r="O623" s="34"/>
      <c r="P623" s="35">
        <f t="shared" si="68"/>
        <v>81235</v>
      </c>
      <c r="Q623" s="33">
        <f>AI623+AV623+CK623+Table1[[#This Row],[FY 25-26]]</f>
        <v>8765</v>
      </c>
      <c r="R623" s="36">
        <v>20000</v>
      </c>
      <c r="S623" s="37" t="s">
        <v>3564</v>
      </c>
      <c r="T623" s="38">
        <v>45283</v>
      </c>
      <c r="U623" s="39"/>
      <c r="V623" s="39"/>
      <c r="W623" s="40">
        <v>0</v>
      </c>
      <c r="X623" s="40">
        <v>0</v>
      </c>
      <c r="Y623" s="40">
        <v>0</v>
      </c>
      <c r="Z623" s="40">
        <v>0</v>
      </c>
      <c r="AA623" s="40">
        <v>0</v>
      </c>
      <c r="AB623" s="40">
        <v>0</v>
      </c>
      <c r="AC623" s="40">
        <v>0</v>
      </c>
      <c r="AD623" s="40">
        <v>0</v>
      </c>
      <c r="AE623" s="40">
        <v>0</v>
      </c>
      <c r="AF623" s="40">
        <v>0</v>
      </c>
      <c r="AG623" s="40">
        <v>0</v>
      </c>
      <c r="AH623" s="40">
        <v>0</v>
      </c>
      <c r="AI623" s="41">
        <f t="shared" si="69"/>
        <v>0</v>
      </c>
      <c r="AJ623" s="42">
        <v>0</v>
      </c>
      <c r="AK623" s="42">
        <v>0</v>
      </c>
      <c r="AL623" s="42">
        <v>0</v>
      </c>
      <c r="AM623" s="42">
        <v>0</v>
      </c>
      <c r="AN623" s="42">
        <v>0</v>
      </c>
      <c r="AO623" s="42">
        <v>0</v>
      </c>
      <c r="AP623" s="42">
        <v>0</v>
      </c>
      <c r="AQ623" s="42">
        <v>0</v>
      </c>
      <c r="AR623" s="42">
        <v>0</v>
      </c>
      <c r="AS623" s="42">
        <v>0</v>
      </c>
      <c r="AT623" s="42">
        <v>0</v>
      </c>
      <c r="AU623" s="42">
        <v>0</v>
      </c>
      <c r="AV623" s="42">
        <f t="shared" si="70"/>
        <v>0</v>
      </c>
      <c r="AW623" s="42">
        <v>1861</v>
      </c>
      <c r="AX623" s="42">
        <v>1861</v>
      </c>
      <c r="AY623" s="42">
        <v>968</v>
      </c>
      <c r="AZ623" s="42">
        <v>0</v>
      </c>
      <c r="BA623" s="42">
        <v>0</v>
      </c>
      <c r="BB623" s="42">
        <v>500</v>
      </c>
      <c r="BC623" s="42">
        <v>75</v>
      </c>
      <c r="BD623" s="42">
        <v>500</v>
      </c>
      <c r="BE623" s="42">
        <v>500</v>
      </c>
      <c r="BF623" s="42">
        <v>500</v>
      </c>
      <c r="BG623" s="42">
        <v>500</v>
      </c>
      <c r="BH623" s="42">
        <v>500</v>
      </c>
      <c r="BI623" s="42">
        <v>0</v>
      </c>
      <c r="BJ623" s="42">
        <v>500</v>
      </c>
      <c r="BK623" s="42">
        <v>500</v>
      </c>
      <c r="BL623" s="42">
        <v>0</v>
      </c>
      <c r="BM623" s="42">
        <v>0</v>
      </c>
      <c r="BN623" s="42">
        <v>0</v>
      </c>
      <c r="BO623" s="42">
        <v>0</v>
      </c>
      <c r="BP623" s="42">
        <v>0</v>
      </c>
      <c r="BQ623" s="42">
        <v>0</v>
      </c>
      <c r="BR623" s="42">
        <v>0</v>
      </c>
      <c r="BS623" s="42">
        <v>0</v>
      </c>
      <c r="BT623" s="42">
        <v>0</v>
      </c>
      <c r="BU623" s="42">
        <v>0</v>
      </c>
      <c r="BV623" s="42">
        <v>0</v>
      </c>
      <c r="BW623" s="42">
        <v>0</v>
      </c>
      <c r="BX623" s="42">
        <v>0</v>
      </c>
      <c r="BY623" s="42">
        <v>0</v>
      </c>
      <c r="BZ623" s="42">
        <v>0</v>
      </c>
      <c r="CA623" s="42">
        <v>0</v>
      </c>
      <c r="CB623" s="42">
        <v>0</v>
      </c>
      <c r="CC623" s="42">
        <v>0</v>
      </c>
      <c r="CD623" s="42">
        <v>0</v>
      </c>
      <c r="CE623" s="42">
        <v>0</v>
      </c>
      <c r="CF623" s="42">
        <v>0</v>
      </c>
      <c r="CG623" s="42">
        <v>0</v>
      </c>
      <c r="CH623" s="42">
        <v>0</v>
      </c>
      <c r="CI623" s="42">
        <v>0</v>
      </c>
      <c r="CJ623" s="42">
        <v>0</v>
      </c>
      <c r="CK623" s="43">
        <f t="shared" si="67"/>
        <v>8765</v>
      </c>
      <c r="CL623" s="66"/>
      <c r="CM623" s="66">
        <v>0</v>
      </c>
      <c r="CN623" s="66">
        <v>0</v>
      </c>
      <c r="CO623" s="66">
        <v>0</v>
      </c>
      <c r="CP623" s="66">
        <v>0</v>
      </c>
      <c r="CQ623" s="66">
        <v>0</v>
      </c>
      <c r="CR623" s="66">
        <v>0</v>
      </c>
      <c r="CS623" s="66">
        <v>0</v>
      </c>
      <c r="CT623" s="66">
        <v>0</v>
      </c>
      <c r="CU623" s="66">
        <v>0</v>
      </c>
      <c r="CV623" s="66">
        <v>0</v>
      </c>
      <c r="CW623" s="66">
        <v>0</v>
      </c>
      <c r="CX623" s="66">
        <v>0</v>
      </c>
      <c r="CY623" s="66">
        <v>0</v>
      </c>
      <c r="CZ623" s="66">
        <v>0</v>
      </c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>
        <f>SUM(Table1[[#This Row],[01-03 Apr]:[Mar-26]])</f>
        <v>0</v>
      </c>
    </row>
    <row r="624" spans="1:115" x14ac:dyDescent="0.2">
      <c r="A624" s="28" t="s">
        <v>2255</v>
      </c>
      <c r="B624" s="29" t="s">
        <v>1454</v>
      </c>
      <c r="C624" s="29" t="s">
        <v>1455</v>
      </c>
      <c r="D624" s="30" t="s">
        <v>1456</v>
      </c>
      <c r="E624" s="30" t="s">
        <v>217</v>
      </c>
      <c r="F624" s="30"/>
      <c r="G624" s="31"/>
      <c r="H624" s="30">
        <v>382343</v>
      </c>
      <c r="I624" s="30" t="str">
        <f>IF(Table1[[#This Row],[Centre Status]]="Returned","NA",IF(Table1[[#This Row],[SD]]&gt;19000,"Full Payment",IF(Table1[[#This Row],[SD]]&lt;1,"No Payment","Partial Payment")))</f>
        <v>No Payment</v>
      </c>
      <c r="J624" s="30" t="s">
        <v>58</v>
      </c>
      <c r="K624" s="32">
        <v>110000</v>
      </c>
      <c r="L624" s="33">
        <f>Q624+R624+U624+Table1[[#This Row],[Farmer Payment]]</f>
        <v>31558.897697541226</v>
      </c>
      <c r="M624" s="30"/>
      <c r="N624" s="34"/>
      <c r="O624" s="34"/>
      <c r="P624" s="35">
        <f t="shared" si="68"/>
        <v>78441.102302458778</v>
      </c>
      <c r="Q624" s="33">
        <f>AI624+AV624+CK624+Table1[[#This Row],[FY 25-26]]</f>
        <v>31558.897697541226</v>
      </c>
      <c r="R624" s="36"/>
      <c r="S624" s="37"/>
      <c r="T624" s="38"/>
      <c r="U624" s="39"/>
      <c r="V624" s="39"/>
      <c r="W624" s="40">
        <v>0</v>
      </c>
      <c r="X624" s="40">
        <v>0</v>
      </c>
      <c r="Y624" s="40">
        <v>0</v>
      </c>
      <c r="Z624" s="40">
        <v>0</v>
      </c>
      <c r="AA624" s="40">
        <v>0</v>
      </c>
      <c r="AB624" s="40">
        <v>0</v>
      </c>
      <c r="AC624" s="40">
        <v>0</v>
      </c>
      <c r="AD624" s="40">
        <v>0</v>
      </c>
      <c r="AE624" s="40">
        <v>0</v>
      </c>
      <c r="AF624" s="40">
        <v>0</v>
      </c>
      <c r="AG624" s="40">
        <v>0</v>
      </c>
      <c r="AH624" s="40">
        <v>0</v>
      </c>
      <c r="AI624" s="41">
        <f t="shared" si="69"/>
        <v>0</v>
      </c>
      <c r="AJ624" s="42">
        <v>0</v>
      </c>
      <c r="AK624" s="42">
        <v>0</v>
      </c>
      <c r="AL624" s="42">
        <v>0</v>
      </c>
      <c r="AM624" s="42">
        <v>0</v>
      </c>
      <c r="AN624" s="42">
        <v>0</v>
      </c>
      <c r="AO624" s="42">
        <v>0</v>
      </c>
      <c r="AP624" s="42">
        <v>0</v>
      </c>
      <c r="AQ624" s="42">
        <v>0</v>
      </c>
      <c r="AR624" s="42">
        <v>0</v>
      </c>
      <c r="AS624" s="42">
        <v>0</v>
      </c>
      <c r="AT624" s="42">
        <v>0</v>
      </c>
      <c r="AU624" s="42">
        <v>0</v>
      </c>
      <c r="AV624" s="42">
        <f t="shared" si="70"/>
        <v>0</v>
      </c>
      <c r="AW624" s="42">
        <v>1112</v>
      </c>
      <c r="AX624" s="42">
        <v>1080</v>
      </c>
      <c r="AY624" s="42">
        <v>1660</v>
      </c>
      <c r="AZ624" s="42">
        <v>1892.691211412106</v>
      </c>
      <c r="BA624" s="42">
        <v>1895.1203651626458</v>
      </c>
      <c r="BB624" s="42">
        <v>0</v>
      </c>
      <c r="BC624" s="42">
        <v>3473.8615719822747</v>
      </c>
      <c r="BD624" s="42">
        <v>0</v>
      </c>
      <c r="BE624" s="42">
        <v>0</v>
      </c>
      <c r="BF624" s="42">
        <v>0</v>
      </c>
      <c r="BG624" s="42">
        <v>0</v>
      </c>
      <c r="BH624" s="42">
        <v>0</v>
      </c>
      <c r="BI624" s="42">
        <v>2187.5111198126979</v>
      </c>
      <c r="BJ624" s="42">
        <v>0</v>
      </c>
      <c r="BK624" s="42">
        <v>0</v>
      </c>
      <c r="BL624" s="42">
        <v>0</v>
      </c>
      <c r="BM624" s="42">
        <v>0</v>
      </c>
      <c r="BN624" s="42">
        <v>1912.0177088575501</v>
      </c>
      <c r="BO624" s="42">
        <v>0</v>
      </c>
      <c r="BP624" s="42">
        <v>0</v>
      </c>
      <c r="BQ624" s="42">
        <v>0</v>
      </c>
      <c r="BR624" s="42">
        <v>0</v>
      </c>
      <c r="BS624" s="42">
        <v>3201.9242665877955</v>
      </c>
      <c r="BT624" s="42">
        <v>0</v>
      </c>
      <c r="BU624" s="42">
        <v>0</v>
      </c>
      <c r="BV624" s="42">
        <v>0</v>
      </c>
      <c r="BW624" s="42">
        <v>0</v>
      </c>
      <c r="BX624" s="42">
        <v>0</v>
      </c>
      <c r="BY624" s="42">
        <v>4257.0493303971234</v>
      </c>
      <c r="BZ624" s="42">
        <v>0</v>
      </c>
      <c r="CA624" s="42">
        <v>0</v>
      </c>
      <c r="CB624" s="42">
        <v>0</v>
      </c>
      <c r="CC624" s="42">
        <v>0</v>
      </c>
      <c r="CD624" s="42">
        <v>4009.6639474675976</v>
      </c>
      <c r="CE624" s="42">
        <v>0</v>
      </c>
      <c r="CF624" s="42">
        <v>0</v>
      </c>
      <c r="CG624" s="42">
        <v>0</v>
      </c>
      <c r="CH624" s="42">
        <v>0</v>
      </c>
      <c r="CI624" s="42">
        <v>0</v>
      </c>
      <c r="CJ624" s="42">
        <v>2673.0581758614321</v>
      </c>
      <c r="CK624" s="43">
        <f t="shared" si="67"/>
        <v>29354.897697541226</v>
      </c>
      <c r="CL624" s="66"/>
      <c r="CM624" s="66">
        <v>0</v>
      </c>
      <c r="CN624" s="66">
        <v>0</v>
      </c>
      <c r="CO624" s="66">
        <v>0</v>
      </c>
      <c r="CP624" s="66">
        <v>1678</v>
      </c>
      <c r="CQ624" s="66">
        <v>0</v>
      </c>
      <c r="CR624" s="66">
        <v>0</v>
      </c>
      <c r="CS624" s="66">
        <v>0</v>
      </c>
      <c r="CT624" s="66">
        <v>0</v>
      </c>
      <c r="CU624" s="66">
        <v>0</v>
      </c>
      <c r="CV624" s="66">
        <v>526</v>
      </c>
      <c r="CW624" s="66">
        <v>0</v>
      </c>
      <c r="CX624" s="66">
        <v>0</v>
      </c>
      <c r="CY624" s="66">
        <v>0</v>
      </c>
      <c r="CZ624" s="66">
        <v>0</v>
      </c>
      <c r="DA624" s="66"/>
      <c r="DB624" s="66"/>
      <c r="DC624" s="66"/>
      <c r="DD624" s="66"/>
      <c r="DE624" s="66"/>
      <c r="DF624" s="66"/>
      <c r="DG624" s="66"/>
      <c r="DH624" s="66"/>
      <c r="DI624" s="66"/>
      <c r="DJ624" s="66"/>
      <c r="DK624" s="66">
        <f>SUM(Table1[[#This Row],[01-03 Apr]:[Mar-26]])</f>
        <v>2204</v>
      </c>
    </row>
    <row r="625" spans="1:115" x14ac:dyDescent="0.2">
      <c r="A625" s="28" t="s">
        <v>2255</v>
      </c>
      <c r="B625" s="29" t="s">
        <v>1460</v>
      </c>
      <c r="C625" s="29" t="s">
        <v>1461</v>
      </c>
      <c r="D625" s="30" t="s">
        <v>1462</v>
      </c>
      <c r="E625" s="30" t="s">
        <v>203</v>
      </c>
      <c r="F625" s="30"/>
      <c r="G625" s="31"/>
      <c r="H625" s="30">
        <v>378767</v>
      </c>
      <c r="I625" s="30" t="str">
        <f>IF(Table1[[#This Row],[Centre Status]]="Returned","NA",IF(Table1[[#This Row],[SD]]&gt;19000,"Full Payment",IF(Table1[[#This Row],[SD]]&lt;1,"No Payment","Partial Payment")))</f>
        <v>No Payment</v>
      </c>
      <c r="J625" s="30" t="s">
        <v>58</v>
      </c>
      <c r="K625" s="32">
        <v>110000</v>
      </c>
      <c r="L625" s="33">
        <f>Q625+R625+U625+Table1[[#This Row],[Farmer Payment]]</f>
        <v>25423.704620260502</v>
      </c>
      <c r="M625" s="30"/>
      <c r="N625" s="34"/>
      <c r="O625" s="34"/>
      <c r="P625" s="35">
        <f t="shared" si="68"/>
        <v>84576.295379739502</v>
      </c>
      <c r="Q625" s="33">
        <f>AI625+AV625+CK625+Table1[[#This Row],[FY 25-26]]</f>
        <v>25423.704620260502</v>
      </c>
      <c r="R625" s="36"/>
      <c r="S625" s="37"/>
      <c r="T625" s="38"/>
      <c r="U625" s="39"/>
      <c r="V625" s="39"/>
      <c r="W625" s="40">
        <v>0</v>
      </c>
      <c r="X625" s="40">
        <v>0</v>
      </c>
      <c r="Y625" s="40">
        <v>0</v>
      </c>
      <c r="Z625" s="40">
        <v>0</v>
      </c>
      <c r="AA625" s="40">
        <v>0</v>
      </c>
      <c r="AB625" s="40">
        <v>0</v>
      </c>
      <c r="AC625" s="40">
        <v>0</v>
      </c>
      <c r="AD625" s="40">
        <v>0</v>
      </c>
      <c r="AE625" s="40">
        <v>0</v>
      </c>
      <c r="AF625" s="40">
        <v>0</v>
      </c>
      <c r="AG625" s="40">
        <v>0</v>
      </c>
      <c r="AH625" s="40">
        <v>0</v>
      </c>
      <c r="AI625" s="41">
        <f t="shared" si="69"/>
        <v>0</v>
      </c>
      <c r="AJ625" s="42">
        <v>0</v>
      </c>
      <c r="AK625" s="42">
        <v>0</v>
      </c>
      <c r="AL625" s="42">
        <v>0</v>
      </c>
      <c r="AM625" s="42">
        <v>0</v>
      </c>
      <c r="AN625" s="42">
        <v>0</v>
      </c>
      <c r="AO625" s="42">
        <v>0</v>
      </c>
      <c r="AP625" s="42">
        <v>0</v>
      </c>
      <c r="AQ625" s="42">
        <v>0</v>
      </c>
      <c r="AR625" s="42">
        <v>0</v>
      </c>
      <c r="AS625" s="42">
        <v>0</v>
      </c>
      <c r="AT625" s="42">
        <v>0</v>
      </c>
      <c r="AU625" s="42">
        <v>0</v>
      </c>
      <c r="AV625" s="42">
        <f t="shared" si="70"/>
        <v>0</v>
      </c>
      <c r="AW625" s="42">
        <v>3151.4968511347201</v>
      </c>
      <c r="AX625" s="42">
        <v>2964.2030527987204</v>
      </c>
      <c r="AY625" s="42">
        <v>2154.0047163270601</v>
      </c>
      <c r="AZ625" s="42">
        <v>1861</v>
      </c>
      <c r="BA625" s="42">
        <v>346</v>
      </c>
      <c r="BB625" s="42">
        <v>500</v>
      </c>
      <c r="BC625" s="42">
        <v>0</v>
      </c>
      <c r="BD625" s="42">
        <v>500</v>
      </c>
      <c r="BE625" s="42">
        <v>500</v>
      </c>
      <c r="BF625" s="42">
        <v>500</v>
      </c>
      <c r="BG625" s="42">
        <v>500</v>
      </c>
      <c r="BH625" s="42">
        <v>500</v>
      </c>
      <c r="BI625" s="42">
        <v>0</v>
      </c>
      <c r="BJ625" s="42">
        <v>500</v>
      </c>
      <c r="BK625" s="42">
        <v>500</v>
      </c>
      <c r="BL625" s="42">
        <v>500</v>
      </c>
      <c r="BM625" s="42">
        <v>500</v>
      </c>
      <c r="BN625" s="42">
        <v>0</v>
      </c>
      <c r="BO625" s="42">
        <v>500</v>
      </c>
      <c r="BP625" s="42">
        <v>500</v>
      </c>
      <c r="BQ625" s="42">
        <v>500</v>
      </c>
      <c r="BR625" s="42">
        <v>500</v>
      </c>
      <c r="BS625" s="42">
        <v>0</v>
      </c>
      <c r="BT625" s="42">
        <v>500</v>
      </c>
      <c r="BU625" s="42">
        <v>500</v>
      </c>
      <c r="BV625" s="42">
        <v>0</v>
      </c>
      <c r="BW625" s="42">
        <v>0</v>
      </c>
      <c r="BX625" s="42">
        <v>0</v>
      </c>
      <c r="BY625" s="42">
        <v>1361</v>
      </c>
      <c r="BZ625" s="42">
        <v>0</v>
      </c>
      <c r="CA625" s="42">
        <v>0</v>
      </c>
      <c r="CB625" s="42">
        <v>0</v>
      </c>
      <c r="CC625" s="42">
        <v>0</v>
      </c>
      <c r="CD625" s="42">
        <v>1625</v>
      </c>
      <c r="CE625" s="42">
        <v>0</v>
      </c>
      <c r="CF625" s="42">
        <v>0</v>
      </c>
      <c r="CG625" s="42">
        <v>0</v>
      </c>
      <c r="CH625" s="42">
        <v>0</v>
      </c>
      <c r="CI625" s="42">
        <v>0</v>
      </c>
      <c r="CJ625" s="42">
        <v>1839</v>
      </c>
      <c r="CK625" s="43">
        <f t="shared" si="67"/>
        <v>23301.704620260502</v>
      </c>
      <c r="CL625" s="66"/>
      <c r="CM625" s="66">
        <v>0</v>
      </c>
      <c r="CN625" s="66">
        <v>0</v>
      </c>
      <c r="CO625" s="66">
        <v>0</v>
      </c>
      <c r="CP625" s="66">
        <v>1465</v>
      </c>
      <c r="CQ625" s="66">
        <v>0</v>
      </c>
      <c r="CR625" s="66">
        <v>0</v>
      </c>
      <c r="CS625" s="66">
        <v>0</v>
      </c>
      <c r="CT625" s="66">
        <v>0</v>
      </c>
      <c r="CU625" s="66">
        <v>0</v>
      </c>
      <c r="CV625" s="66">
        <v>657</v>
      </c>
      <c r="CW625" s="66">
        <v>0</v>
      </c>
      <c r="CX625" s="66">
        <v>0</v>
      </c>
      <c r="CY625" s="66">
        <v>0</v>
      </c>
      <c r="CZ625" s="66">
        <v>0</v>
      </c>
      <c r="DA625" s="66"/>
      <c r="DB625" s="66"/>
      <c r="DC625" s="66"/>
      <c r="DD625" s="66"/>
      <c r="DE625" s="66"/>
      <c r="DF625" s="66"/>
      <c r="DG625" s="66"/>
      <c r="DH625" s="66"/>
      <c r="DI625" s="66"/>
      <c r="DJ625" s="66"/>
      <c r="DK625" s="66">
        <f>SUM(Table1[[#This Row],[01-03 Apr]:[Mar-26]])</f>
        <v>2122</v>
      </c>
    </row>
    <row r="626" spans="1:115" hidden="1" x14ac:dyDescent="0.2">
      <c r="A626" s="28" t="s">
        <v>2255</v>
      </c>
      <c r="B626" s="29" t="s">
        <v>1463</v>
      </c>
      <c r="C626" s="29" t="s">
        <v>1464</v>
      </c>
      <c r="D626" s="30" t="s">
        <v>1465</v>
      </c>
      <c r="E626" s="30" t="s">
        <v>203</v>
      </c>
      <c r="F626" s="30"/>
      <c r="G626" s="31"/>
      <c r="H626" s="30">
        <v>387338</v>
      </c>
      <c r="I626" s="30" t="str">
        <f>IF(Table1[[#This Row],[Centre Status]]="Returned","NA",IF(Table1[[#This Row],[SD]]&gt;19000,"Full Payment",IF(Table1[[#This Row],[SD]]&lt;1,"No Payment","Partial Payment")))</f>
        <v>NA</v>
      </c>
      <c r="J626" s="30" t="s">
        <v>1903</v>
      </c>
      <c r="K626" s="32">
        <v>110000</v>
      </c>
      <c r="L626" s="33">
        <f>Q626+R626+U626+Table1[[#This Row],[Farmer Payment]]</f>
        <v>36925</v>
      </c>
      <c r="M626" s="30">
        <v>20000</v>
      </c>
      <c r="N626" s="34">
        <v>45779</v>
      </c>
      <c r="O626" s="34" t="s">
        <v>2634</v>
      </c>
      <c r="P626" s="35">
        <f t="shared" si="68"/>
        <v>93075</v>
      </c>
      <c r="Q626" s="33">
        <f>AI626+AV626+CK626+Table1[[#This Row],[FY 25-26]]</f>
        <v>16925</v>
      </c>
      <c r="R626" s="36">
        <v>20000</v>
      </c>
      <c r="S626" s="37" t="s">
        <v>2322</v>
      </c>
      <c r="T626" s="38">
        <v>45351</v>
      </c>
      <c r="U626" s="39"/>
      <c r="V626" s="39"/>
      <c r="W626" s="40">
        <v>0</v>
      </c>
      <c r="X626" s="40">
        <v>0</v>
      </c>
      <c r="Y626" s="40">
        <v>0</v>
      </c>
      <c r="Z626" s="40">
        <v>0</v>
      </c>
      <c r="AA626" s="40">
        <v>0</v>
      </c>
      <c r="AB626" s="40">
        <v>0</v>
      </c>
      <c r="AC626" s="40">
        <v>0</v>
      </c>
      <c r="AD626" s="40">
        <v>0</v>
      </c>
      <c r="AE626" s="40">
        <v>0</v>
      </c>
      <c r="AF626" s="40">
        <v>0</v>
      </c>
      <c r="AG626" s="40">
        <v>0</v>
      </c>
      <c r="AH626" s="40">
        <v>0</v>
      </c>
      <c r="AI626" s="41">
        <f t="shared" si="69"/>
        <v>0</v>
      </c>
      <c r="AJ626" s="42">
        <v>0</v>
      </c>
      <c r="AK626" s="42">
        <v>0</v>
      </c>
      <c r="AL626" s="42">
        <v>0</v>
      </c>
      <c r="AM626" s="42">
        <v>0</v>
      </c>
      <c r="AN626" s="42">
        <v>0</v>
      </c>
      <c r="AO626" s="42">
        <v>0</v>
      </c>
      <c r="AP626" s="42">
        <v>0</v>
      </c>
      <c r="AQ626" s="42">
        <v>0</v>
      </c>
      <c r="AR626" s="42">
        <v>0</v>
      </c>
      <c r="AS626" s="42">
        <v>0</v>
      </c>
      <c r="AT626" s="42">
        <v>0</v>
      </c>
      <c r="AU626" s="42">
        <v>0</v>
      </c>
      <c r="AV626" s="42">
        <f t="shared" si="70"/>
        <v>0</v>
      </c>
      <c r="AW626" s="42">
        <v>1861</v>
      </c>
      <c r="AX626" s="42">
        <v>1318</v>
      </c>
      <c r="AY626" s="42">
        <v>227</v>
      </c>
      <c r="AZ626" s="42">
        <v>765</v>
      </c>
      <c r="BA626" s="42">
        <v>1265</v>
      </c>
      <c r="BB626" s="42">
        <v>500</v>
      </c>
      <c r="BC626" s="42">
        <v>861</v>
      </c>
      <c r="BD626" s="42">
        <v>500</v>
      </c>
      <c r="BE626" s="42">
        <v>0</v>
      </c>
      <c r="BF626" s="42">
        <v>0</v>
      </c>
      <c r="BG626" s="42">
        <v>0</v>
      </c>
      <c r="BH626" s="42">
        <v>0</v>
      </c>
      <c r="BI626" s="42">
        <v>1861</v>
      </c>
      <c r="BJ626" s="42">
        <v>0</v>
      </c>
      <c r="BK626" s="42">
        <v>0</v>
      </c>
      <c r="BL626" s="42">
        <v>0</v>
      </c>
      <c r="BM626" s="42">
        <v>0</v>
      </c>
      <c r="BN626" s="42">
        <v>1271</v>
      </c>
      <c r="BO626" s="42">
        <v>500</v>
      </c>
      <c r="BP626" s="42">
        <v>500</v>
      </c>
      <c r="BQ626" s="42">
        <v>500</v>
      </c>
      <c r="BR626" s="42">
        <v>500</v>
      </c>
      <c r="BS626" s="42">
        <v>0</v>
      </c>
      <c r="BT626" s="42">
        <v>500</v>
      </c>
      <c r="BU626" s="42">
        <v>500</v>
      </c>
      <c r="BV626" s="42">
        <v>0</v>
      </c>
      <c r="BW626" s="42">
        <v>0</v>
      </c>
      <c r="BX626" s="42">
        <v>0</v>
      </c>
      <c r="BY626" s="42">
        <v>1361</v>
      </c>
      <c r="BZ626" s="42">
        <v>0</v>
      </c>
      <c r="CA626" s="42">
        <v>0</v>
      </c>
      <c r="CB626" s="42">
        <v>0</v>
      </c>
      <c r="CC626" s="42">
        <v>0</v>
      </c>
      <c r="CD626" s="42">
        <v>1861</v>
      </c>
      <c r="CE626" s="42">
        <v>0</v>
      </c>
      <c r="CF626" s="42">
        <v>0</v>
      </c>
      <c r="CG626" s="42">
        <v>0</v>
      </c>
      <c r="CH626" s="42">
        <v>0</v>
      </c>
      <c r="CI626" s="42">
        <v>0</v>
      </c>
      <c r="CJ626" s="42">
        <v>274</v>
      </c>
      <c r="CK626" s="43">
        <f t="shared" si="67"/>
        <v>16925</v>
      </c>
      <c r="CL626" s="66"/>
      <c r="CM626" s="66">
        <v>0</v>
      </c>
      <c r="CN626" s="66">
        <v>0</v>
      </c>
      <c r="CO626" s="66">
        <v>0</v>
      </c>
      <c r="CP626" s="66">
        <v>0</v>
      </c>
      <c r="CQ626" s="66">
        <v>0</v>
      </c>
      <c r="CR626" s="66">
        <v>0</v>
      </c>
      <c r="CS626" s="66">
        <v>0</v>
      </c>
      <c r="CT626" s="66">
        <v>0</v>
      </c>
      <c r="CU626" s="66">
        <v>0</v>
      </c>
      <c r="CV626" s="66">
        <v>0</v>
      </c>
      <c r="CW626" s="66">
        <v>0</v>
      </c>
      <c r="CX626" s="66">
        <v>0</v>
      </c>
      <c r="CY626" s="66">
        <v>0</v>
      </c>
      <c r="CZ626" s="66">
        <v>0</v>
      </c>
      <c r="DA626" s="66"/>
      <c r="DB626" s="66"/>
      <c r="DC626" s="66"/>
      <c r="DD626" s="66"/>
      <c r="DE626" s="66"/>
      <c r="DF626" s="66"/>
      <c r="DG626" s="66"/>
      <c r="DH626" s="66"/>
      <c r="DI626" s="66"/>
      <c r="DJ626" s="66"/>
      <c r="DK626" s="66">
        <f>SUM(Table1[[#This Row],[01-03 Apr]:[Mar-26]])</f>
        <v>0</v>
      </c>
    </row>
    <row r="627" spans="1:115" x14ac:dyDescent="0.2">
      <c r="A627" s="28" t="s">
        <v>2255</v>
      </c>
      <c r="B627" s="29" t="s">
        <v>1469</v>
      </c>
      <c r="C627" s="29" t="s">
        <v>1470</v>
      </c>
      <c r="D627" s="30" t="s">
        <v>1471</v>
      </c>
      <c r="E627" s="30" t="s">
        <v>217</v>
      </c>
      <c r="F627" s="30"/>
      <c r="G627" s="31"/>
      <c r="H627" s="30">
        <v>386963</v>
      </c>
      <c r="I627" s="30" t="str">
        <f>IF(Table1[[#This Row],[Centre Status]]="Returned","NA",IF(Table1[[#This Row],[SD]]&gt;19000,"Full Payment",IF(Table1[[#This Row],[SD]]&lt;1,"No Payment","Partial Payment")))</f>
        <v>No Payment</v>
      </c>
      <c r="J627" s="30" t="s">
        <v>58</v>
      </c>
      <c r="K627" s="32">
        <v>110000</v>
      </c>
      <c r="L627" s="33">
        <f>Q627+R627+U627+Table1[[#This Row],[Farmer Payment]]</f>
        <v>7674.7212726565322</v>
      </c>
      <c r="M627" s="30"/>
      <c r="N627" s="34"/>
      <c r="O627" s="34"/>
      <c r="P627" s="35">
        <f t="shared" si="68"/>
        <v>102325.27872734347</v>
      </c>
      <c r="Q627" s="33">
        <f>AI627+AV627+CK627+Table1[[#This Row],[FY 25-26]]</f>
        <v>7674.7212726565322</v>
      </c>
      <c r="R627" s="36"/>
      <c r="S627" s="37"/>
      <c r="T627" s="38"/>
      <c r="U627" s="39"/>
      <c r="V627" s="39"/>
      <c r="W627" s="40">
        <v>0</v>
      </c>
      <c r="X627" s="40">
        <v>0</v>
      </c>
      <c r="Y627" s="40">
        <v>0</v>
      </c>
      <c r="Z627" s="40">
        <v>0</v>
      </c>
      <c r="AA627" s="40">
        <v>0</v>
      </c>
      <c r="AB627" s="40">
        <v>0</v>
      </c>
      <c r="AC627" s="40">
        <v>0</v>
      </c>
      <c r="AD627" s="40">
        <v>0</v>
      </c>
      <c r="AE627" s="40">
        <v>0</v>
      </c>
      <c r="AF627" s="40">
        <v>0</v>
      </c>
      <c r="AG627" s="40">
        <v>0</v>
      </c>
      <c r="AH627" s="40">
        <v>0</v>
      </c>
      <c r="AI627" s="41">
        <f t="shared" si="69"/>
        <v>0</v>
      </c>
      <c r="AJ627" s="42">
        <v>0</v>
      </c>
      <c r="AK627" s="42">
        <v>0</v>
      </c>
      <c r="AL627" s="42">
        <v>0</v>
      </c>
      <c r="AM627" s="42">
        <v>0</v>
      </c>
      <c r="AN627" s="42">
        <v>0</v>
      </c>
      <c r="AO627" s="42">
        <v>0</v>
      </c>
      <c r="AP627" s="42">
        <v>0</v>
      </c>
      <c r="AQ627" s="42">
        <v>0</v>
      </c>
      <c r="AR627" s="42">
        <v>0</v>
      </c>
      <c r="AS627" s="42">
        <v>0</v>
      </c>
      <c r="AT627" s="42">
        <v>0</v>
      </c>
      <c r="AU627" s="42">
        <v>0</v>
      </c>
      <c r="AV627" s="42">
        <f t="shared" si="70"/>
        <v>0</v>
      </c>
      <c r="AW627" s="42">
        <v>2890.7212726565322</v>
      </c>
      <c r="AX627" s="42">
        <v>1784</v>
      </c>
      <c r="AY627" s="42">
        <v>0</v>
      </c>
      <c r="AZ627" s="42">
        <v>0</v>
      </c>
      <c r="BA627" s="42">
        <v>0</v>
      </c>
      <c r="BB627" s="42">
        <v>500</v>
      </c>
      <c r="BC627" s="42">
        <v>0</v>
      </c>
      <c r="BD627" s="42">
        <v>500</v>
      </c>
      <c r="BE627" s="42">
        <v>500</v>
      </c>
      <c r="BF627" s="42">
        <v>500</v>
      </c>
      <c r="BG627" s="42">
        <v>500</v>
      </c>
      <c r="BH627" s="42">
        <v>500</v>
      </c>
      <c r="BI627" s="42">
        <v>0</v>
      </c>
      <c r="BJ627" s="42">
        <v>0</v>
      </c>
      <c r="BK627" s="42">
        <v>0</v>
      </c>
      <c r="BL627" s="42">
        <v>0</v>
      </c>
      <c r="BM627" s="42">
        <v>0</v>
      </c>
      <c r="BN627" s="42">
        <v>0</v>
      </c>
      <c r="BO627" s="42">
        <v>0</v>
      </c>
      <c r="BP627" s="42">
        <v>0</v>
      </c>
      <c r="BQ627" s="42">
        <v>0</v>
      </c>
      <c r="BR627" s="42">
        <v>0</v>
      </c>
      <c r="BS627" s="42">
        <v>0</v>
      </c>
      <c r="BT627" s="42">
        <v>0</v>
      </c>
      <c r="BU627" s="42">
        <v>0</v>
      </c>
      <c r="BV627" s="42">
        <v>0</v>
      </c>
      <c r="BW627" s="42">
        <v>0</v>
      </c>
      <c r="BX627" s="42">
        <v>0</v>
      </c>
      <c r="BY627" s="42">
        <v>0</v>
      </c>
      <c r="BZ627" s="42">
        <v>0</v>
      </c>
      <c r="CA627" s="42">
        <v>0</v>
      </c>
      <c r="CB627" s="42">
        <v>0</v>
      </c>
      <c r="CC627" s="42">
        <v>0</v>
      </c>
      <c r="CD627" s="42">
        <v>0</v>
      </c>
      <c r="CE627" s="42">
        <v>0</v>
      </c>
      <c r="CF627" s="42">
        <v>0</v>
      </c>
      <c r="CG627" s="42">
        <v>0</v>
      </c>
      <c r="CH627" s="42">
        <v>0</v>
      </c>
      <c r="CI627" s="42">
        <v>0</v>
      </c>
      <c r="CJ627" s="42">
        <v>0</v>
      </c>
      <c r="CK627" s="43">
        <f t="shared" si="67"/>
        <v>7674.7212726565322</v>
      </c>
      <c r="CL627" s="66"/>
      <c r="CM627" s="66">
        <v>0</v>
      </c>
      <c r="CN627" s="66">
        <v>0</v>
      </c>
      <c r="CO627" s="66">
        <v>0</v>
      </c>
      <c r="CP627" s="66">
        <v>0</v>
      </c>
      <c r="CQ627" s="66">
        <v>0</v>
      </c>
      <c r="CR627" s="66">
        <v>0</v>
      </c>
      <c r="CS627" s="66">
        <v>0</v>
      </c>
      <c r="CT627" s="66">
        <v>0</v>
      </c>
      <c r="CU627" s="66">
        <v>0</v>
      </c>
      <c r="CV627" s="66">
        <v>0</v>
      </c>
      <c r="CW627" s="66">
        <v>0</v>
      </c>
      <c r="CX627" s="66">
        <v>0</v>
      </c>
      <c r="CY627" s="66">
        <v>0</v>
      </c>
      <c r="CZ627" s="66">
        <v>0</v>
      </c>
      <c r="DA627" s="66"/>
      <c r="DB627" s="66"/>
      <c r="DC627" s="66"/>
      <c r="DD627" s="66"/>
      <c r="DE627" s="66"/>
      <c r="DF627" s="66"/>
      <c r="DG627" s="66"/>
      <c r="DH627" s="66"/>
      <c r="DI627" s="66"/>
      <c r="DJ627" s="66"/>
      <c r="DK627" s="66">
        <f>SUM(Table1[[#This Row],[01-03 Apr]:[Mar-26]])</f>
        <v>0</v>
      </c>
    </row>
    <row r="628" spans="1:115" x14ac:dyDescent="0.2">
      <c r="A628" s="28" t="s">
        <v>2255</v>
      </c>
      <c r="B628" s="29" t="s">
        <v>1472</v>
      </c>
      <c r="C628" s="29" t="s">
        <v>1473</v>
      </c>
      <c r="D628" s="30" t="s">
        <v>1474</v>
      </c>
      <c r="E628" s="30" t="s">
        <v>217</v>
      </c>
      <c r="F628" s="30"/>
      <c r="G628" s="31"/>
      <c r="H628" s="30">
        <v>388642</v>
      </c>
      <c r="I628" s="30" t="str">
        <f>IF(Table1[[#This Row],[Centre Status]]="Returned","NA",IF(Table1[[#This Row],[SD]]&gt;19000,"Full Payment",IF(Table1[[#This Row],[SD]]&lt;1,"No Payment","Partial Payment")))</f>
        <v>No Payment</v>
      </c>
      <c r="J628" s="30" t="s">
        <v>58</v>
      </c>
      <c r="K628" s="32">
        <v>110000</v>
      </c>
      <c r="L628" s="33">
        <f>Q628+R628+U628+Table1[[#This Row],[Farmer Payment]]</f>
        <v>7675</v>
      </c>
      <c r="M628" s="30"/>
      <c r="N628" s="34"/>
      <c r="O628" s="34"/>
      <c r="P628" s="35">
        <f t="shared" si="68"/>
        <v>102325</v>
      </c>
      <c r="Q628" s="33">
        <f>AI628+AV628+CK628+Table1[[#This Row],[FY 25-26]]</f>
        <v>7675</v>
      </c>
      <c r="R628" s="36"/>
      <c r="S628" s="37"/>
      <c r="T628" s="38"/>
      <c r="U628" s="39"/>
      <c r="V628" s="39"/>
      <c r="W628" s="40">
        <v>0</v>
      </c>
      <c r="X628" s="40">
        <v>0</v>
      </c>
      <c r="Y628" s="40">
        <v>0</v>
      </c>
      <c r="Z628" s="40">
        <v>0</v>
      </c>
      <c r="AA628" s="40">
        <v>0</v>
      </c>
      <c r="AB628" s="40">
        <v>0</v>
      </c>
      <c r="AC628" s="40">
        <v>0</v>
      </c>
      <c r="AD628" s="40">
        <v>0</v>
      </c>
      <c r="AE628" s="40">
        <v>0</v>
      </c>
      <c r="AF628" s="40">
        <v>0</v>
      </c>
      <c r="AG628" s="40">
        <v>0</v>
      </c>
      <c r="AH628" s="40">
        <v>0</v>
      </c>
      <c r="AI628" s="41">
        <f t="shared" si="69"/>
        <v>0</v>
      </c>
      <c r="AJ628" s="42">
        <v>0</v>
      </c>
      <c r="AK628" s="42">
        <v>0</v>
      </c>
      <c r="AL628" s="42">
        <v>0</v>
      </c>
      <c r="AM628" s="42">
        <v>0</v>
      </c>
      <c r="AN628" s="42">
        <v>0</v>
      </c>
      <c r="AO628" s="42">
        <v>0</v>
      </c>
      <c r="AP628" s="42">
        <v>0</v>
      </c>
      <c r="AQ628" s="42">
        <v>0</v>
      </c>
      <c r="AR628" s="42">
        <v>0</v>
      </c>
      <c r="AS628" s="42">
        <v>0</v>
      </c>
      <c r="AT628" s="42">
        <v>0</v>
      </c>
      <c r="AU628" s="42">
        <v>0</v>
      </c>
      <c r="AV628" s="42">
        <f t="shared" si="70"/>
        <v>0</v>
      </c>
      <c r="AW628" s="42">
        <v>718</v>
      </c>
      <c r="AX628" s="42">
        <v>377</v>
      </c>
      <c r="AY628" s="42">
        <v>0</v>
      </c>
      <c r="AZ628" s="42">
        <v>0</v>
      </c>
      <c r="BA628" s="42">
        <v>0</v>
      </c>
      <c r="BB628" s="42">
        <v>500</v>
      </c>
      <c r="BC628" s="42">
        <v>0</v>
      </c>
      <c r="BD628" s="42">
        <v>500</v>
      </c>
      <c r="BE628" s="42">
        <v>500</v>
      </c>
      <c r="BF628" s="42">
        <v>500</v>
      </c>
      <c r="BG628" s="42">
        <v>319</v>
      </c>
      <c r="BH628" s="42">
        <v>108</v>
      </c>
      <c r="BI628" s="42">
        <v>0</v>
      </c>
      <c r="BJ628" s="42">
        <v>153</v>
      </c>
      <c r="BK628" s="42">
        <v>500</v>
      </c>
      <c r="BL628" s="42">
        <v>500</v>
      </c>
      <c r="BM628" s="42">
        <v>500</v>
      </c>
      <c r="BN628" s="42">
        <v>0</v>
      </c>
      <c r="BO628" s="42">
        <v>500</v>
      </c>
      <c r="BP628" s="42">
        <v>500</v>
      </c>
      <c r="BQ628" s="42">
        <v>500</v>
      </c>
      <c r="BR628" s="42">
        <v>500</v>
      </c>
      <c r="BS628" s="42">
        <v>0</v>
      </c>
      <c r="BT628" s="42">
        <v>500</v>
      </c>
      <c r="BU628" s="42">
        <v>0</v>
      </c>
      <c r="BV628" s="42">
        <v>0</v>
      </c>
      <c r="BW628" s="42">
        <v>0</v>
      </c>
      <c r="BX628" s="42">
        <v>0</v>
      </c>
      <c r="BY628" s="42">
        <v>0</v>
      </c>
      <c r="BZ628" s="42">
        <v>0</v>
      </c>
      <c r="CA628" s="42">
        <v>0</v>
      </c>
      <c r="CB628" s="42">
        <v>0</v>
      </c>
      <c r="CC628" s="42">
        <v>0</v>
      </c>
      <c r="CD628" s="42">
        <v>0</v>
      </c>
      <c r="CE628" s="42">
        <v>0</v>
      </c>
      <c r="CF628" s="42">
        <v>0</v>
      </c>
      <c r="CG628" s="42">
        <v>0</v>
      </c>
      <c r="CH628" s="42">
        <v>0</v>
      </c>
      <c r="CI628" s="42">
        <v>0</v>
      </c>
      <c r="CJ628" s="42">
        <v>0</v>
      </c>
      <c r="CK628" s="43">
        <f t="shared" si="67"/>
        <v>7675</v>
      </c>
      <c r="CL628" s="66"/>
      <c r="CM628" s="66">
        <v>0</v>
      </c>
      <c r="CN628" s="66">
        <v>0</v>
      </c>
      <c r="CO628" s="66">
        <v>0</v>
      </c>
      <c r="CP628" s="66">
        <v>0</v>
      </c>
      <c r="CQ628" s="66">
        <v>0</v>
      </c>
      <c r="CR628" s="66">
        <v>0</v>
      </c>
      <c r="CS628" s="66">
        <v>0</v>
      </c>
      <c r="CT628" s="66">
        <v>0</v>
      </c>
      <c r="CU628" s="66">
        <v>0</v>
      </c>
      <c r="CV628" s="66">
        <v>0</v>
      </c>
      <c r="CW628" s="66">
        <v>0</v>
      </c>
      <c r="CX628" s="66">
        <v>0</v>
      </c>
      <c r="CY628" s="66">
        <v>0</v>
      </c>
      <c r="CZ628" s="66">
        <v>0</v>
      </c>
      <c r="DA628" s="66"/>
      <c r="DB628" s="66"/>
      <c r="DC628" s="66"/>
      <c r="DD628" s="66"/>
      <c r="DE628" s="66"/>
      <c r="DF628" s="66"/>
      <c r="DG628" s="66"/>
      <c r="DH628" s="66"/>
      <c r="DI628" s="66"/>
      <c r="DJ628" s="66"/>
      <c r="DK628" s="66">
        <f>SUM(Table1[[#This Row],[01-03 Apr]:[Mar-26]])</f>
        <v>0</v>
      </c>
    </row>
    <row r="629" spans="1:115" x14ac:dyDescent="0.2">
      <c r="A629" s="28" t="s">
        <v>2255</v>
      </c>
      <c r="B629" s="29" t="s">
        <v>1475</v>
      </c>
      <c r="C629" s="29" t="s">
        <v>1476</v>
      </c>
      <c r="D629" s="30" t="s">
        <v>1477</v>
      </c>
      <c r="E629" s="30" t="s">
        <v>217</v>
      </c>
      <c r="F629" s="30"/>
      <c r="G629" s="31"/>
      <c r="H629" s="30">
        <v>386960</v>
      </c>
      <c r="I629" s="30" t="str">
        <f>IF(Table1[[#This Row],[Centre Status]]="Returned","NA",IF(Table1[[#This Row],[SD]]&gt;19000,"Full Payment",IF(Table1[[#This Row],[SD]]&lt;1,"No Payment","Partial Payment")))</f>
        <v>No Payment</v>
      </c>
      <c r="J629" s="30" t="s">
        <v>58</v>
      </c>
      <c r="K629" s="32">
        <v>110000</v>
      </c>
      <c r="L629" s="33">
        <f>Q629+R629+U629+Table1[[#This Row],[Farmer Payment]]</f>
        <v>34155.331892297843</v>
      </c>
      <c r="M629" s="30"/>
      <c r="N629" s="34"/>
      <c r="O629" s="34"/>
      <c r="P629" s="35">
        <f t="shared" si="68"/>
        <v>75844.668107702164</v>
      </c>
      <c r="Q629" s="33">
        <f>AI629+AV629+CK629+Table1[[#This Row],[FY 25-26]]</f>
        <v>34155.331892297843</v>
      </c>
      <c r="R629" s="36"/>
      <c r="S629" s="37"/>
      <c r="T629" s="38"/>
      <c r="U629" s="39"/>
      <c r="V629" s="39"/>
      <c r="W629" s="40">
        <v>0</v>
      </c>
      <c r="X629" s="40">
        <v>0</v>
      </c>
      <c r="Y629" s="40">
        <v>0</v>
      </c>
      <c r="Z629" s="40">
        <v>0</v>
      </c>
      <c r="AA629" s="40">
        <v>0</v>
      </c>
      <c r="AB629" s="40">
        <v>0</v>
      </c>
      <c r="AC629" s="40">
        <v>0</v>
      </c>
      <c r="AD629" s="40">
        <v>0</v>
      </c>
      <c r="AE629" s="40">
        <v>0</v>
      </c>
      <c r="AF629" s="40">
        <v>0</v>
      </c>
      <c r="AG629" s="40">
        <v>0</v>
      </c>
      <c r="AH629" s="40">
        <v>0</v>
      </c>
      <c r="AI629" s="41">
        <f t="shared" si="69"/>
        <v>0</v>
      </c>
      <c r="AJ629" s="42">
        <v>0</v>
      </c>
      <c r="AK629" s="42">
        <v>0</v>
      </c>
      <c r="AL629" s="42">
        <v>0</v>
      </c>
      <c r="AM629" s="42">
        <v>0</v>
      </c>
      <c r="AN629" s="42">
        <v>0</v>
      </c>
      <c r="AO629" s="42">
        <v>0</v>
      </c>
      <c r="AP629" s="42">
        <v>0</v>
      </c>
      <c r="AQ629" s="42">
        <v>0</v>
      </c>
      <c r="AR629" s="42">
        <v>0</v>
      </c>
      <c r="AS629" s="42">
        <v>0</v>
      </c>
      <c r="AT629" s="42">
        <v>0</v>
      </c>
      <c r="AU629" s="42">
        <v>0</v>
      </c>
      <c r="AV629" s="42">
        <f t="shared" si="70"/>
        <v>0</v>
      </c>
      <c r="AW629" s="42">
        <v>1861</v>
      </c>
      <c r="AX629" s="42">
        <v>1861</v>
      </c>
      <c r="AY629" s="42">
        <v>1861</v>
      </c>
      <c r="AZ629" s="42">
        <v>3351.5069578597577</v>
      </c>
      <c r="BA629" s="42">
        <v>2455.386730000454</v>
      </c>
      <c r="BB629" s="42">
        <v>0</v>
      </c>
      <c r="BC629" s="42">
        <v>3350.6338286527402</v>
      </c>
      <c r="BD629" s="42">
        <v>0</v>
      </c>
      <c r="BE629" s="42">
        <v>0</v>
      </c>
      <c r="BF629" s="42">
        <v>0</v>
      </c>
      <c r="BG629" s="42">
        <v>0</v>
      </c>
      <c r="BH629" s="42">
        <v>0</v>
      </c>
      <c r="BI629" s="42">
        <v>2537.8501817959968</v>
      </c>
      <c r="BJ629" s="42">
        <v>0</v>
      </c>
      <c r="BK629" s="42">
        <v>0</v>
      </c>
      <c r="BL629" s="42">
        <v>0</v>
      </c>
      <c r="BM629" s="42">
        <v>0</v>
      </c>
      <c r="BN629" s="42">
        <v>2245.2083306496002</v>
      </c>
      <c r="BO629" s="42">
        <v>0</v>
      </c>
      <c r="BP629" s="42">
        <v>0</v>
      </c>
      <c r="BQ629" s="42">
        <v>0</v>
      </c>
      <c r="BR629" s="42">
        <v>0</v>
      </c>
      <c r="BS629" s="42">
        <v>2827.4342429184007</v>
      </c>
      <c r="BT629" s="42">
        <v>0</v>
      </c>
      <c r="BU629" s="42">
        <v>0</v>
      </c>
      <c r="BV629" s="42">
        <v>0</v>
      </c>
      <c r="BW629" s="42">
        <v>0</v>
      </c>
      <c r="BX629" s="42">
        <v>0</v>
      </c>
      <c r="BY629" s="42">
        <v>2082.7325475840003</v>
      </c>
      <c r="BZ629" s="42">
        <v>0</v>
      </c>
      <c r="CA629" s="42">
        <v>0</v>
      </c>
      <c r="CB629" s="42">
        <v>0</v>
      </c>
      <c r="CC629" s="42">
        <v>0</v>
      </c>
      <c r="CD629" s="42">
        <v>2382.6146765568005</v>
      </c>
      <c r="CE629" s="42">
        <v>0</v>
      </c>
      <c r="CF629" s="42">
        <v>0</v>
      </c>
      <c r="CG629" s="42">
        <v>0</v>
      </c>
      <c r="CH629" s="42">
        <v>0</v>
      </c>
      <c r="CI629" s="42">
        <v>0</v>
      </c>
      <c r="CJ629" s="42">
        <v>2795.4284780544008</v>
      </c>
      <c r="CK629" s="43">
        <f t="shared" si="67"/>
        <v>29611.795974072149</v>
      </c>
      <c r="CL629" s="66"/>
      <c r="CM629" s="66">
        <v>0</v>
      </c>
      <c r="CN629" s="66">
        <v>0</v>
      </c>
      <c r="CO629" s="66">
        <v>0</v>
      </c>
      <c r="CP629" s="66">
        <v>2195.5639486617602</v>
      </c>
      <c r="CQ629" s="66">
        <v>0</v>
      </c>
      <c r="CR629" s="66">
        <v>0</v>
      </c>
      <c r="CS629" s="66">
        <v>0</v>
      </c>
      <c r="CT629" s="66">
        <v>0</v>
      </c>
      <c r="CU629" s="66">
        <v>0</v>
      </c>
      <c r="CV629" s="66">
        <v>2347.971969563936</v>
      </c>
      <c r="CW629" s="66">
        <v>0</v>
      </c>
      <c r="CX629" s="66">
        <v>0</v>
      </c>
      <c r="CY629" s="66">
        <v>0</v>
      </c>
      <c r="CZ629" s="66">
        <v>0</v>
      </c>
      <c r="DA629" s="66"/>
      <c r="DB629" s="66"/>
      <c r="DC629" s="66"/>
      <c r="DD629" s="66"/>
      <c r="DE629" s="66"/>
      <c r="DF629" s="66"/>
      <c r="DG629" s="66"/>
      <c r="DH629" s="66"/>
      <c r="DI629" s="66"/>
      <c r="DJ629" s="66"/>
      <c r="DK629" s="66">
        <f>SUM(Table1[[#This Row],[01-03 Apr]:[Mar-26]])</f>
        <v>4543.5359182256962</v>
      </c>
    </row>
    <row r="630" spans="1:115" x14ac:dyDescent="0.2">
      <c r="A630" s="28" t="s">
        <v>2255</v>
      </c>
      <c r="B630" s="29" t="s">
        <v>1478</v>
      </c>
      <c r="C630" s="29" t="s">
        <v>1479</v>
      </c>
      <c r="D630" s="30" t="s">
        <v>1480</v>
      </c>
      <c r="E630" s="30" t="s">
        <v>217</v>
      </c>
      <c r="F630" s="30"/>
      <c r="G630" s="31"/>
      <c r="H630" s="30">
        <v>386972</v>
      </c>
      <c r="I630" s="30" t="str">
        <f>IF(Table1[[#This Row],[Centre Status]]="Returned","NA",IF(Table1[[#This Row],[SD]]&gt;19000,"Full Payment",IF(Table1[[#This Row],[SD]]&lt;1,"No Payment","Partial Payment")))</f>
        <v>No Payment</v>
      </c>
      <c r="J630" s="30" t="s">
        <v>58</v>
      </c>
      <c r="K630" s="32">
        <v>110000</v>
      </c>
      <c r="L630" s="33">
        <f>Q630+R630+U630+Table1[[#This Row],[Farmer Payment]]</f>
        <v>28991.570189911039</v>
      </c>
      <c r="M630" s="30"/>
      <c r="N630" s="34"/>
      <c r="O630" s="34"/>
      <c r="P630" s="35">
        <f t="shared" si="68"/>
        <v>81008.429810088957</v>
      </c>
      <c r="Q630" s="33">
        <f>AI630+AV630+CK630+Table1[[#This Row],[FY 25-26]]</f>
        <v>28991.570189911039</v>
      </c>
      <c r="R630" s="36"/>
      <c r="S630" s="37"/>
      <c r="T630" s="38"/>
      <c r="U630" s="39"/>
      <c r="V630" s="39"/>
      <c r="W630" s="40">
        <v>0</v>
      </c>
      <c r="X630" s="40">
        <v>0</v>
      </c>
      <c r="Y630" s="40">
        <v>0</v>
      </c>
      <c r="Z630" s="40">
        <v>0</v>
      </c>
      <c r="AA630" s="40">
        <v>0</v>
      </c>
      <c r="AB630" s="40">
        <v>0</v>
      </c>
      <c r="AC630" s="40">
        <v>0</v>
      </c>
      <c r="AD630" s="40">
        <v>0</v>
      </c>
      <c r="AE630" s="40">
        <v>0</v>
      </c>
      <c r="AF630" s="40">
        <v>0</v>
      </c>
      <c r="AG630" s="40">
        <v>0</v>
      </c>
      <c r="AH630" s="40">
        <v>0</v>
      </c>
      <c r="AI630" s="41">
        <f t="shared" si="69"/>
        <v>0</v>
      </c>
      <c r="AJ630" s="42">
        <v>0</v>
      </c>
      <c r="AK630" s="42">
        <v>0</v>
      </c>
      <c r="AL630" s="42">
        <v>0</v>
      </c>
      <c r="AM630" s="42">
        <v>0</v>
      </c>
      <c r="AN630" s="42">
        <v>0</v>
      </c>
      <c r="AO630" s="42">
        <v>0</v>
      </c>
      <c r="AP630" s="42">
        <v>0</v>
      </c>
      <c r="AQ630" s="42">
        <v>0</v>
      </c>
      <c r="AR630" s="42">
        <v>0</v>
      </c>
      <c r="AS630" s="42">
        <v>0</v>
      </c>
      <c r="AT630" s="42">
        <v>0</v>
      </c>
      <c r="AU630" s="42">
        <v>0</v>
      </c>
      <c r="AV630" s="42">
        <f t="shared" si="70"/>
        <v>0</v>
      </c>
      <c r="AW630" s="42">
        <v>2112.5721338764802</v>
      </c>
      <c r="AX630" s="42">
        <v>1861</v>
      </c>
      <c r="AY630" s="42">
        <v>1861</v>
      </c>
      <c r="AZ630" s="42">
        <v>2735.0492278809602</v>
      </c>
      <c r="BA630" s="42">
        <v>2260.0605503347201</v>
      </c>
      <c r="BB630" s="42">
        <v>0</v>
      </c>
      <c r="BC630" s="42">
        <v>2626.2772575436802</v>
      </c>
      <c r="BD630" s="42">
        <v>0</v>
      </c>
      <c r="BE630" s="42">
        <v>0</v>
      </c>
      <c r="BF630" s="42">
        <v>0</v>
      </c>
      <c r="BG630" s="42">
        <v>0</v>
      </c>
      <c r="BH630" s="42">
        <v>0</v>
      </c>
      <c r="BI630" s="42">
        <v>1861</v>
      </c>
      <c r="BJ630" s="42">
        <v>0</v>
      </c>
      <c r="BK630" s="42">
        <v>0</v>
      </c>
      <c r="BL630" s="42">
        <v>0</v>
      </c>
      <c r="BM630" s="42">
        <v>0</v>
      </c>
      <c r="BN630" s="42">
        <v>1861</v>
      </c>
      <c r="BO630" s="42">
        <v>0</v>
      </c>
      <c r="BP630" s="42">
        <v>0</v>
      </c>
      <c r="BQ630" s="42">
        <v>0</v>
      </c>
      <c r="BR630" s="42">
        <v>0</v>
      </c>
      <c r="BS630" s="42">
        <v>2114.2702173312005</v>
      </c>
      <c r="BT630" s="42">
        <v>0</v>
      </c>
      <c r="BU630" s="42">
        <v>0</v>
      </c>
      <c r="BV630" s="42">
        <v>0</v>
      </c>
      <c r="BW630" s="42">
        <v>0</v>
      </c>
      <c r="BX630" s="42">
        <v>0</v>
      </c>
      <c r="BY630" s="42">
        <v>1861</v>
      </c>
      <c r="BZ630" s="42">
        <v>0</v>
      </c>
      <c r="CA630" s="42">
        <v>0</v>
      </c>
      <c r="CB630" s="42">
        <v>0</v>
      </c>
      <c r="CC630" s="42">
        <v>0</v>
      </c>
      <c r="CD630" s="42">
        <v>1861</v>
      </c>
      <c r="CE630" s="42">
        <v>0</v>
      </c>
      <c r="CF630" s="42">
        <v>0</v>
      </c>
      <c r="CG630" s="42">
        <v>0</v>
      </c>
      <c r="CH630" s="42">
        <v>0</v>
      </c>
      <c r="CI630" s="42">
        <v>0</v>
      </c>
      <c r="CJ630" s="42">
        <v>2255.3408029440006</v>
      </c>
      <c r="CK630" s="43">
        <f t="shared" si="67"/>
        <v>25269.570189911039</v>
      </c>
      <c r="CL630" s="66"/>
      <c r="CM630" s="66">
        <v>0</v>
      </c>
      <c r="CN630" s="66">
        <v>0</v>
      </c>
      <c r="CO630" s="66">
        <v>0</v>
      </c>
      <c r="CP630" s="66">
        <v>1861</v>
      </c>
      <c r="CQ630" s="66">
        <v>0</v>
      </c>
      <c r="CR630" s="66">
        <v>0</v>
      </c>
      <c r="CS630" s="66">
        <v>0</v>
      </c>
      <c r="CT630" s="66">
        <v>0</v>
      </c>
      <c r="CU630" s="66">
        <v>0</v>
      </c>
      <c r="CV630" s="66">
        <v>1861</v>
      </c>
      <c r="CW630" s="66">
        <v>0</v>
      </c>
      <c r="CX630" s="66">
        <v>0</v>
      </c>
      <c r="CY630" s="66">
        <v>0</v>
      </c>
      <c r="CZ630" s="66">
        <v>0</v>
      </c>
      <c r="DA630" s="66"/>
      <c r="DB630" s="66"/>
      <c r="DC630" s="66"/>
      <c r="DD630" s="66"/>
      <c r="DE630" s="66"/>
      <c r="DF630" s="66"/>
      <c r="DG630" s="66"/>
      <c r="DH630" s="66"/>
      <c r="DI630" s="66"/>
      <c r="DJ630" s="66"/>
      <c r="DK630" s="66">
        <f>SUM(Table1[[#This Row],[01-03 Apr]:[Mar-26]])</f>
        <v>3722</v>
      </c>
    </row>
    <row r="631" spans="1:115" x14ac:dyDescent="0.2">
      <c r="A631" s="28" t="s">
        <v>2255</v>
      </c>
      <c r="B631" s="29" t="s">
        <v>1481</v>
      </c>
      <c r="C631" s="29" t="s">
        <v>1482</v>
      </c>
      <c r="D631" s="30" t="s">
        <v>1483</v>
      </c>
      <c r="E631" s="30" t="s">
        <v>217</v>
      </c>
      <c r="F631" s="30"/>
      <c r="G631" s="31"/>
      <c r="H631" s="30">
        <v>378747</v>
      </c>
      <c r="I631" s="30" t="str">
        <f>IF(Table1[[#This Row],[Centre Status]]="Returned","NA",IF(Table1[[#This Row],[SD]]&gt;19000,"Full Payment",IF(Table1[[#This Row],[SD]]&lt;1,"No Payment","Partial Payment")))</f>
        <v>No Payment</v>
      </c>
      <c r="J631" s="30" t="s">
        <v>58</v>
      </c>
      <c r="K631" s="32">
        <v>110000</v>
      </c>
      <c r="L631" s="33">
        <f>Q631+R631+U631+Table1[[#This Row],[Farmer Payment]]</f>
        <v>2643</v>
      </c>
      <c r="M631" s="30"/>
      <c r="N631" s="34"/>
      <c r="O631" s="34"/>
      <c r="P631" s="35">
        <f t="shared" si="68"/>
        <v>107357</v>
      </c>
      <c r="Q631" s="33">
        <f>AI631+AV631+CK631+Table1[[#This Row],[FY 25-26]]</f>
        <v>2643</v>
      </c>
      <c r="R631" s="36"/>
      <c r="S631" s="37"/>
      <c r="T631" s="38"/>
      <c r="U631" s="39"/>
      <c r="V631" s="39"/>
      <c r="W631" s="40">
        <v>0</v>
      </c>
      <c r="X631" s="40">
        <v>0</v>
      </c>
      <c r="Y631" s="40">
        <v>0</v>
      </c>
      <c r="Z631" s="40">
        <v>0</v>
      </c>
      <c r="AA631" s="40">
        <v>0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>
        <v>0</v>
      </c>
      <c r="AH631" s="40">
        <v>0</v>
      </c>
      <c r="AI631" s="41">
        <f t="shared" si="69"/>
        <v>0</v>
      </c>
      <c r="AJ631" s="42">
        <v>0</v>
      </c>
      <c r="AK631" s="42">
        <v>0</v>
      </c>
      <c r="AL631" s="42">
        <v>0</v>
      </c>
      <c r="AM631" s="42">
        <v>0</v>
      </c>
      <c r="AN631" s="42">
        <v>0</v>
      </c>
      <c r="AO631" s="42">
        <v>0</v>
      </c>
      <c r="AP631" s="42">
        <v>0</v>
      </c>
      <c r="AQ631" s="42">
        <v>0</v>
      </c>
      <c r="AR631" s="42">
        <v>0</v>
      </c>
      <c r="AS631" s="42">
        <v>0</v>
      </c>
      <c r="AT631" s="42">
        <v>0</v>
      </c>
      <c r="AU631" s="42">
        <v>0</v>
      </c>
      <c r="AV631" s="42">
        <f t="shared" si="70"/>
        <v>0</v>
      </c>
      <c r="AW631" s="42">
        <v>1177</v>
      </c>
      <c r="AX631" s="42">
        <v>1181</v>
      </c>
      <c r="AY631" s="42">
        <v>285</v>
      </c>
      <c r="AZ631" s="42">
        <v>0</v>
      </c>
      <c r="BA631" s="42">
        <v>0</v>
      </c>
      <c r="BB631" s="42">
        <v>0</v>
      </c>
      <c r="BC631" s="42">
        <v>0</v>
      </c>
      <c r="BD631" s="42">
        <v>0</v>
      </c>
      <c r="BE631" s="42">
        <v>0</v>
      </c>
      <c r="BF631" s="42">
        <v>0</v>
      </c>
      <c r="BG631" s="42">
        <v>0</v>
      </c>
      <c r="BH631" s="42">
        <v>0</v>
      </c>
      <c r="BI631" s="42">
        <v>0</v>
      </c>
      <c r="BJ631" s="42">
        <v>0</v>
      </c>
      <c r="BK631" s="42">
        <v>0</v>
      </c>
      <c r="BL631" s="42">
        <v>0</v>
      </c>
      <c r="BM631" s="42">
        <v>0</v>
      </c>
      <c r="BN631" s="42">
        <v>0</v>
      </c>
      <c r="BO631" s="42">
        <v>0</v>
      </c>
      <c r="BP631" s="42">
        <v>0</v>
      </c>
      <c r="BQ631" s="42">
        <v>0</v>
      </c>
      <c r="BR631" s="42">
        <v>0</v>
      </c>
      <c r="BS631" s="42">
        <v>0</v>
      </c>
      <c r="BT631" s="42">
        <v>0</v>
      </c>
      <c r="BU631" s="42">
        <v>0</v>
      </c>
      <c r="BV631" s="42">
        <v>0</v>
      </c>
      <c r="BW631" s="42">
        <v>0</v>
      </c>
      <c r="BX631" s="42">
        <v>0</v>
      </c>
      <c r="BY631" s="42">
        <v>0</v>
      </c>
      <c r="BZ631" s="42">
        <v>0</v>
      </c>
      <c r="CA631" s="42">
        <v>0</v>
      </c>
      <c r="CB631" s="42">
        <v>0</v>
      </c>
      <c r="CC631" s="42">
        <v>0</v>
      </c>
      <c r="CD631" s="42">
        <v>0</v>
      </c>
      <c r="CE631" s="42">
        <v>0</v>
      </c>
      <c r="CF631" s="42">
        <v>0</v>
      </c>
      <c r="CG631" s="42">
        <v>0</v>
      </c>
      <c r="CH631" s="42">
        <v>0</v>
      </c>
      <c r="CI631" s="42">
        <v>0</v>
      </c>
      <c r="CJ631" s="42">
        <v>0</v>
      </c>
      <c r="CK631" s="43">
        <f t="shared" si="67"/>
        <v>2643</v>
      </c>
      <c r="CL631" s="66"/>
      <c r="CM631" s="66">
        <v>0</v>
      </c>
      <c r="CN631" s="66">
        <v>0</v>
      </c>
      <c r="CO631" s="66">
        <v>0</v>
      </c>
      <c r="CP631" s="66">
        <v>0</v>
      </c>
      <c r="CQ631" s="66">
        <v>0</v>
      </c>
      <c r="CR631" s="66">
        <v>0</v>
      </c>
      <c r="CS631" s="66">
        <v>0</v>
      </c>
      <c r="CT631" s="66">
        <v>0</v>
      </c>
      <c r="CU631" s="66">
        <v>0</v>
      </c>
      <c r="CV631" s="66">
        <v>0</v>
      </c>
      <c r="CW631" s="66">
        <v>0</v>
      </c>
      <c r="CX631" s="66">
        <v>0</v>
      </c>
      <c r="CY631" s="66">
        <v>0</v>
      </c>
      <c r="CZ631" s="66">
        <v>0</v>
      </c>
      <c r="DA631" s="66"/>
      <c r="DB631" s="66"/>
      <c r="DC631" s="66"/>
      <c r="DD631" s="66"/>
      <c r="DE631" s="66"/>
      <c r="DF631" s="66"/>
      <c r="DG631" s="66"/>
      <c r="DH631" s="66"/>
      <c r="DI631" s="66"/>
      <c r="DJ631" s="66"/>
      <c r="DK631" s="66">
        <f>SUM(Table1[[#This Row],[01-03 Apr]:[Mar-26]])</f>
        <v>0</v>
      </c>
    </row>
    <row r="632" spans="1:115" x14ac:dyDescent="0.2">
      <c r="A632" s="28" t="s">
        <v>2255</v>
      </c>
      <c r="B632" s="29" t="s">
        <v>1485</v>
      </c>
      <c r="C632" s="29" t="s">
        <v>1486</v>
      </c>
      <c r="D632" s="30" t="s">
        <v>1487</v>
      </c>
      <c r="E632" s="30" t="s">
        <v>217</v>
      </c>
      <c r="F632" s="30"/>
      <c r="G632" s="31"/>
      <c r="H632" s="30">
        <v>386964</v>
      </c>
      <c r="I632" s="30" t="str">
        <f>IF(Table1[[#This Row],[Centre Status]]="Returned","NA",IF(Table1[[#This Row],[SD]]&gt;19000,"Full Payment",IF(Table1[[#This Row],[SD]]&lt;1,"No Payment","Partial Payment")))</f>
        <v>No Payment</v>
      </c>
      <c r="J632" s="30" t="s">
        <v>58</v>
      </c>
      <c r="K632" s="32">
        <v>110000</v>
      </c>
      <c r="L632" s="33">
        <f>Q632+R632+U632+Table1[[#This Row],[Farmer Payment]]</f>
        <v>28384.150978485322</v>
      </c>
      <c r="M632" s="30"/>
      <c r="N632" s="34"/>
      <c r="O632" s="34"/>
      <c r="P632" s="35">
        <f t="shared" si="68"/>
        <v>81615.849021514674</v>
      </c>
      <c r="Q632" s="33">
        <f>AI632+AV632+CK632+Table1[[#This Row],[FY 25-26]]</f>
        <v>28384.150978485322</v>
      </c>
      <c r="R632" s="36"/>
      <c r="S632" s="37"/>
      <c r="T632" s="38"/>
      <c r="U632" s="39"/>
      <c r="V632" s="39"/>
      <c r="W632" s="40">
        <v>0</v>
      </c>
      <c r="X632" s="40">
        <v>0</v>
      </c>
      <c r="Y632" s="40">
        <v>0</v>
      </c>
      <c r="Z632" s="40">
        <v>0</v>
      </c>
      <c r="AA632" s="40">
        <v>0</v>
      </c>
      <c r="AB632" s="40">
        <v>0</v>
      </c>
      <c r="AC632" s="40">
        <v>0</v>
      </c>
      <c r="AD632" s="40">
        <v>0</v>
      </c>
      <c r="AE632" s="40">
        <v>0</v>
      </c>
      <c r="AF632" s="40">
        <v>0</v>
      </c>
      <c r="AG632" s="40">
        <v>0</v>
      </c>
      <c r="AH632" s="40">
        <v>0</v>
      </c>
      <c r="AI632" s="41">
        <f t="shared" si="69"/>
        <v>0</v>
      </c>
      <c r="AJ632" s="42">
        <v>0</v>
      </c>
      <c r="AK632" s="42">
        <v>0</v>
      </c>
      <c r="AL632" s="42">
        <v>0</v>
      </c>
      <c r="AM632" s="42">
        <v>0</v>
      </c>
      <c r="AN632" s="42">
        <v>0</v>
      </c>
      <c r="AO632" s="42">
        <v>0</v>
      </c>
      <c r="AP632" s="42">
        <v>0</v>
      </c>
      <c r="AQ632" s="42">
        <v>0</v>
      </c>
      <c r="AR632" s="42">
        <v>0</v>
      </c>
      <c r="AS632" s="42">
        <v>0</v>
      </c>
      <c r="AT632" s="42">
        <v>0</v>
      </c>
      <c r="AU632" s="42">
        <v>0</v>
      </c>
      <c r="AV632" s="42">
        <f t="shared" si="70"/>
        <v>0</v>
      </c>
      <c r="AW632" s="42">
        <v>1861</v>
      </c>
      <c r="AX632" s="42">
        <v>1861</v>
      </c>
      <c r="AY632" s="42">
        <v>1861</v>
      </c>
      <c r="AZ632" s="42">
        <v>1094</v>
      </c>
      <c r="BA632" s="42">
        <v>2237.6935394932761</v>
      </c>
      <c r="BB632" s="42">
        <v>0</v>
      </c>
      <c r="BC632" s="42">
        <v>5303.0183256614391</v>
      </c>
      <c r="BD632" s="42">
        <v>0</v>
      </c>
      <c r="BE632" s="42">
        <v>0</v>
      </c>
      <c r="BF632" s="42">
        <v>0</v>
      </c>
      <c r="BG632" s="42">
        <v>0</v>
      </c>
      <c r="BH632" s="42">
        <v>0</v>
      </c>
      <c r="BI632" s="42">
        <v>1861</v>
      </c>
      <c r="BJ632" s="42">
        <v>0</v>
      </c>
      <c r="BK632" s="42">
        <v>0</v>
      </c>
      <c r="BL632" s="42">
        <v>0</v>
      </c>
      <c r="BM632" s="42">
        <v>0</v>
      </c>
      <c r="BN632" s="42">
        <v>2009.2039229382401</v>
      </c>
      <c r="BO632" s="42">
        <v>0</v>
      </c>
      <c r="BP632" s="42">
        <v>0</v>
      </c>
      <c r="BQ632" s="42">
        <v>0</v>
      </c>
      <c r="BR632" s="42">
        <v>0</v>
      </c>
      <c r="BS632" s="42">
        <v>2134.83001867034</v>
      </c>
      <c r="BT632" s="42">
        <v>0</v>
      </c>
      <c r="BU632" s="42">
        <v>0</v>
      </c>
      <c r="BV632" s="42">
        <v>0</v>
      </c>
      <c r="BW632" s="42">
        <v>0</v>
      </c>
      <c r="BX632" s="42">
        <v>0</v>
      </c>
      <c r="BY632" s="42">
        <v>1861</v>
      </c>
      <c r="BZ632" s="42">
        <v>0</v>
      </c>
      <c r="CA632" s="42">
        <v>0</v>
      </c>
      <c r="CB632" s="42">
        <v>0</v>
      </c>
      <c r="CC632" s="42">
        <v>0</v>
      </c>
      <c r="CD632" s="42">
        <v>1965.1976878472972</v>
      </c>
      <c r="CE632" s="42">
        <v>0</v>
      </c>
      <c r="CF632" s="42">
        <v>0</v>
      </c>
      <c r="CG632" s="42">
        <v>0</v>
      </c>
      <c r="CH632" s="42">
        <v>0</v>
      </c>
      <c r="CI632" s="42">
        <v>0</v>
      </c>
      <c r="CJ632" s="42">
        <v>2523.2074838747271</v>
      </c>
      <c r="CK632" s="43">
        <f t="shared" si="67"/>
        <v>26572.150978485322</v>
      </c>
      <c r="CL632" s="66"/>
      <c r="CM632" s="66">
        <v>0</v>
      </c>
      <c r="CN632" s="66">
        <v>0</v>
      </c>
      <c r="CO632" s="66">
        <v>0</v>
      </c>
      <c r="CP632" s="66">
        <v>1607</v>
      </c>
      <c r="CQ632" s="66">
        <v>0</v>
      </c>
      <c r="CR632" s="66">
        <v>0</v>
      </c>
      <c r="CS632" s="66">
        <v>0</v>
      </c>
      <c r="CT632" s="66">
        <v>0</v>
      </c>
      <c r="CU632" s="66">
        <v>0</v>
      </c>
      <c r="CV632" s="66">
        <v>205</v>
      </c>
      <c r="CW632" s="66">
        <v>0</v>
      </c>
      <c r="CX632" s="66">
        <v>0</v>
      </c>
      <c r="CY632" s="66">
        <v>0</v>
      </c>
      <c r="CZ632" s="66">
        <v>0</v>
      </c>
      <c r="DA632" s="66"/>
      <c r="DB632" s="66"/>
      <c r="DC632" s="66"/>
      <c r="DD632" s="66"/>
      <c r="DE632" s="66"/>
      <c r="DF632" s="66"/>
      <c r="DG632" s="66"/>
      <c r="DH632" s="66"/>
      <c r="DI632" s="66"/>
      <c r="DJ632" s="66"/>
      <c r="DK632" s="66">
        <f>SUM(Table1[[#This Row],[01-03 Apr]:[Mar-26]])</f>
        <v>1812</v>
      </c>
    </row>
    <row r="633" spans="1:115" x14ac:dyDescent="0.2">
      <c r="A633" s="28" t="s">
        <v>2255</v>
      </c>
      <c r="B633" s="29" t="s">
        <v>1488</v>
      </c>
      <c r="C633" s="29" t="s">
        <v>1489</v>
      </c>
      <c r="D633" s="30" t="s">
        <v>1490</v>
      </c>
      <c r="E633" s="30" t="s">
        <v>217</v>
      </c>
      <c r="F633" s="30"/>
      <c r="G633" s="31"/>
      <c r="H633" s="30">
        <v>386962</v>
      </c>
      <c r="I633" s="30" t="str">
        <f>IF(Table1[[#This Row],[Centre Status]]="Returned","NA",IF(Table1[[#This Row],[SD]]&gt;19000,"Full Payment",IF(Table1[[#This Row],[SD]]&lt;1,"No Payment","Partial Payment")))</f>
        <v>No Payment</v>
      </c>
      <c r="J633" s="30" t="s">
        <v>58</v>
      </c>
      <c r="K633" s="32">
        <v>110000</v>
      </c>
      <c r="L633" s="33">
        <f>Q633+R633+U633+Table1[[#This Row],[Farmer Payment]]</f>
        <v>22505.874887833968</v>
      </c>
      <c r="M633" s="30"/>
      <c r="N633" s="34"/>
      <c r="O633" s="34"/>
      <c r="P633" s="35">
        <f t="shared" si="68"/>
        <v>87494.125112166032</v>
      </c>
      <c r="Q633" s="33">
        <f>AI633+AV633+CK633+Table1[[#This Row],[FY 25-26]]</f>
        <v>22505.874887833968</v>
      </c>
      <c r="R633" s="36"/>
      <c r="S633" s="37"/>
      <c r="T633" s="38"/>
      <c r="U633" s="39"/>
      <c r="V633" s="39"/>
      <c r="W633" s="40">
        <v>0</v>
      </c>
      <c r="X633" s="40">
        <v>0</v>
      </c>
      <c r="Y633" s="40">
        <v>0</v>
      </c>
      <c r="Z633" s="40">
        <v>0</v>
      </c>
      <c r="AA633" s="40">
        <v>0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0</v>
      </c>
      <c r="AH633" s="40">
        <v>0</v>
      </c>
      <c r="AI633" s="41">
        <f t="shared" si="69"/>
        <v>0</v>
      </c>
      <c r="AJ633" s="42">
        <v>0</v>
      </c>
      <c r="AK633" s="42">
        <v>0</v>
      </c>
      <c r="AL633" s="42">
        <v>0</v>
      </c>
      <c r="AM633" s="42">
        <v>0</v>
      </c>
      <c r="AN633" s="42">
        <v>0</v>
      </c>
      <c r="AO633" s="42">
        <v>0</v>
      </c>
      <c r="AP633" s="42">
        <v>0</v>
      </c>
      <c r="AQ633" s="42">
        <v>0</v>
      </c>
      <c r="AR633" s="42">
        <v>0</v>
      </c>
      <c r="AS633" s="42">
        <v>0</v>
      </c>
      <c r="AT633" s="42">
        <v>0</v>
      </c>
      <c r="AU633" s="42">
        <v>0</v>
      </c>
      <c r="AV633" s="42">
        <f t="shared" si="70"/>
        <v>0</v>
      </c>
      <c r="AW633" s="42">
        <v>1861</v>
      </c>
      <c r="AX633" s="42">
        <v>1050</v>
      </c>
      <c r="AY633" s="42">
        <v>199</v>
      </c>
      <c r="AZ633" s="42">
        <v>1658</v>
      </c>
      <c r="BA633" s="42">
        <v>1861</v>
      </c>
      <c r="BB633" s="42">
        <v>0</v>
      </c>
      <c r="BC633" s="42">
        <v>1861</v>
      </c>
      <c r="BD633" s="42">
        <v>0</v>
      </c>
      <c r="BE633" s="42">
        <v>0</v>
      </c>
      <c r="BF633" s="42">
        <v>0</v>
      </c>
      <c r="BG633" s="42">
        <v>0</v>
      </c>
      <c r="BH633" s="42">
        <v>0</v>
      </c>
      <c r="BI633" s="42">
        <v>1861</v>
      </c>
      <c r="BJ633" s="42">
        <v>0</v>
      </c>
      <c r="BK633" s="42">
        <v>0</v>
      </c>
      <c r="BL633" s="42">
        <v>0</v>
      </c>
      <c r="BM633" s="42">
        <v>0</v>
      </c>
      <c r="BN633" s="42">
        <v>2134.6667953033379</v>
      </c>
      <c r="BO633" s="42">
        <v>0</v>
      </c>
      <c r="BP633" s="42">
        <v>0</v>
      </c>
      <c r="BQ633" s="42">
        <v>0</v>
      </c>
      <c r="BR633" s="42">
        <v>0</v>
      </c>
      <c r="BS633" s="42">
        <v>2168.5702151686246</v>
      </c>
      <c r="BT633" s="42">
        <v>0</v>
      </c>
      <c r="BU633" s="42">
        <v>0</v>
      </c>
      <c r="BV633" s="42">
        <v>0</v>
      </c>
      <c r="BW633" s="42">
        <v>0</v>
      </c>
      <c r="BX633" s="42">
        <v>0</v>
      </c>
      <c r="BY633" s="42">
        <v>2164.3658277474401</v>
      </c>
      <c r="BZ633" s="42">
        <v>0</v>
      </c>
      <c r="CA633" s="42">
        <v>0</v>
      </c>
      <c r="CB633" s="42">
        <v>0</v>
      </c>
      <c r="CC633" s="42">
        <v>0</v>
      </c>
      <c r="CD633" s="42">
        <v>2271.2720496145662</v>
      </c>
      <c r="CE633" s="42">
        <v>0</v>
      </c>
      <c r="CF633" s="42">
        <v>0</v>
      </c>
      <c r="CG633" s="42">
        <v>0</v>
      </c>
      <c r="CH633" s="42">
        <v>0</v>
      </c>
      <c r="CI633" s="42">
        <v>0</v>
      </c>
      <c r="CJ633" s="42">
        <v>1861</v>
      </c>
      <c r="CK633" s="43">
        <f t="shared" si="67"/>
        <v>20950.874887833968</v>
      </c>
      <c r="CL633" s="66"/>
      <c r="CM633" s="66">
        <v>0</v>
      </c>
      <c r="CN633" s="66">
        <v>0</v>
      </c>
      <c r="CO633" s="66">
        <v>0</v>
      </c>
      <c r="CP633" s="66">
        <v>1231</v>
      </c>
      <c r="CQ633" s="66">
        <v>0</v>
      </c>
      <c r="CR633" s="66">
        <v>0</v>
      </c>
      <c r="CS633" s="66">
        <v>0</v>
      </c>
      <c r="CT633" s="66">
        <v>0</v>
      </c>
      <c r="CU633" s="66">
        <v>0</v>
      </c>
      <c r="CV633" s="66">
        <v>324</v>
      </c>
      <c r="CW633" s="66">
        <v>0</v>
      </c>
      <c r="CX633" s="66">
        <v>0</v>
      </c>
      <c r="CY633" s="66">
        <v>0</v>
      </c>
      <c r="CZ633" s="66">
        <v>0</v>
      </c>
      <c r="DA633" s="66"/>
      <c r="DB633" s="66"/>
      <c r="DC633" s="66"/>
      <c r="DD633" s="66"/>
      <c r="DE633" s="66"/>
      <c r="DF633" s="66"/>
      <c r="DG633" s="66"/>
      <c r="DH633" s="66"/>
      <c r="DI633" s="66"/>
      <c r="DJ633" s="66"/>
      <c r="DK633" s="66">
        <f>SUM(Table1[[#This Row],[01-03 Apr]:[Mar-26]])</f>
        <v>1555</v>
      </c>
    </row>
    <row r="634" spans="1:115" hidden="1" x14ac:dyDescent="0.2">
      <c r="A634" s="28" t="s">
        <v>2255</v>
      </c>
      <c r="B634" s="29" t="s">
        <v>1491</v>
      </c>
      <c r="C634" s="29" t="s">
        <v>1492</v>
      </c>
      <c r="D634" s="30" t="s">
        <v>1493</v>
      </c>
      <c r="E634" s="30" t="s">
        <v>217</v>
      </c>
      <c r="F634" s="30"/>
      <c r="G634" s="31"/>
      <c r="H634" s="30">
        <v>386970</v>
      </c>
      <c r="I634" s="30" t="str">
        <f>IF(Table1[[#This Row],[Centre Status]]="Returned","NA",IF(Table1[[#This Row],[SD]]&gt;19000,"Full Payment",IF(Table1[[#This Row],[SD]]&lt;1,"No Payment","Partial Payment")))</f>
        <v>Full Payment</v>
      </c>
      <c r="J634" s="30" t="s">
        <v>58</v>
      </c>
      <c r="K634" s="32">
        <v>110000</v>
      </c>
      <c r="L634" s="33">
        <f>Q634+R634+U634+Table1[[#This Row],[Farmer Payment]]</f>
        <v>51242.158880185365</v>
      </c>
      <c r="M634" s="30"/>
      <c r="N634" s="34"/>
      <c r="O634" s="34"/>
      <c r="P634" s="35">
        <f t="shared" si="68"/>
        <v>58757.841119814635</v>
      </c>
      <c r="Q634" s="33">
        <f>AI634+AV634+CK634+Table1[[#This Row],[FY 25-26]]</f>
        <v>31242.158880185361</v>
      </c>
      <c r="R634" s="36">
        <v>20000</v>
      </c>
      <c r="S634" s="37" t="s">
        <v>2655</v>
      </c>
      <c r="T634" s="38">
        <v>45339</v>
      </c>
      <c r="U634" s="39"/>
      <c r="V634" s="39"/>
      <c r="W634" s="40">
        <v>0</v>
      </c>
      <c r="X634" s="40">
        <v>0</v>
      </c>
      <c r="Y634" s="40">
        <v>0</v>
      </c>
      <c r="Z634" s="40">
        <v>0</v>
      </c>
      <c r="AA634" s="40">
        <v>0</v>
      </c>
      <c r="AB634" s="40">
        <v>0</v>
      </c>
      <c r="AC634" s="40">
        <v>0</v>
      </c>
      <c r="AD634" s="40">
        <v>0</v>
      </c>
      <c r="AE634" s="40">
        <v>0</v>
      </c>
      <c r="AF634" s="40">
        <v>0</v>
      </c>
      <c r="AG634" s="40">
        <v>0</v>
      </c>
      <c r="AH634" s="40">
        <v>0</v>
      </c>
      <c r="AI634" s="41">
        <f t="shared" si="69"/>
        <v>0</v>
      </c>
      <c r="AJ634" s="42">
        <v>0</v>
      </c>
      <c r="AK634" s="42">
        <v>0</v>
      </c>
      <c r="AL634" s="42">
        <v>0</v>
      </c>
      <c r="AM634" s="42">
        <v>0</v>
      </c>
      <c r="AN634" s="42">
        <v>0</v>
      </c>
      <c r="AO634" s="42">
        <v>0</v>
      </c>
      <c r="AP634" s="42">
        <v>0</v>
      </c>
      <c r="AQ634" s="42">
        <v>0</v>
      </c>
      <c r="AR634" s="42">
        <v>0</v>
      </c>
      <c r="AS634" s="42">
        <v>0</v>
      </c>
      <c r="AT634" s="42">
        <v>0</v>
      </c>
      <c r="AU634" s="42">
        <v>0</v>
      </c>
      <c r="AV634" s="42">
        <f t="shared" si="70"/>
        <v>0</v>
      </c>
      <c r="AW634" s="42">
        <v>1861</v>
      </c>
      <c r="AX634" s="42">
        <v>1861</v>
      </c>
      <c r="AY634" s="42">
        <v>1880.68414907904</v>
      </c>
      <c r="AZ634" s="42">
        <v>2781.5348719238395</v>
      </c>
      <c r="BA634" s="42">
        <v>1865.3478189926402</v>
      </c>
      <c r="BB634" s="42">
        <v>0</v>
      </c>
      <c r="BC634" s="42">
        <v>594</v>
      </c>
      <c r="BD634" s="42">
        <v>0</v>
      </c>
      <c r="BE634" s="42">
        <v>0</v>
      </c>
      <c r="BF634" s="42">
        <v>500</v>
      </c>
      <c r="BG634" s="42">
        <v>500</v>
      </c>
      <c r="BH634" s="42">
        <v>500</v>
      </c>
      <c r="BI634" s="42">
        <v>361</v>
      </c>
      <c r="BJ634" s="42">
        <v>500</v>
      </c>
      <c r="BK634" s="42">
        <v>500</v>
      </c>
      <c r="BL634" s="42">
        <v>500</v>
      </c>
      <c r="BM634" s="42">
        <v>500</v>
      </c>
      <c r="BN634" s="42">
        <v>0</v>
      </c>
      <c r="BO634" s="42">
        <v>0</v>
      </c>
      <c r="BP634" s="42">
        <v>0</v>
      </c>
      <c r="BQ634" s="42">
        <v>0</v>
      </c>
      <c r="BR634" s="42">
        <v>0</v>
      </c>
      <c r="BS634" s="42">
        <v>1861</v>
      </c>
      <c r="BT634" s="42">
        <v>0</v>
      </c>
      <c r="BU634" s="42">
        <v>0</v>
      </c>
      <c r="BV634" s="42">
        <v>0</v>
      </c>
      <c r="BW634" s="42">
        <v>0</v>
      </c>
      <c r="BX634" s="42">
        <v>0</v>
      </c>
      <c r="BY634" s="42">
        <v>2993.6887085988424</v>
      </c>
      <c r="BZ634" s="42">
        <v>0</v>
      </c>
      <c r="CA634" s="42">
        <v>0</v>
      </c>
      <c r="CB634" s="42">
        <v>0</v>
      </c>
      <c r="CC634" s="42">
        <v>0</v>
      </c>
      <c r="CD634" s="42">
        <v>4222.38642160979</v>
      </c>
      <c r="CE634" s="42">
        <v>0</v>
      </c>
      <c r="CF634" s="42">
        <v>0</v>
      </c>
      <c r="CG634" s="42">
        <v>0</v>
      </c>
      <c r="CH634" s="42">
        <v>0</v>
      </c>
      <c r="CI634" s="42">
        <v>0</v>
      </c>
      <c r="CJ634" s="42">
        <v>4133.1840985546824</v>
      </c>
      <c r="CK634" s="43">
        <f t="shared" si="67"/>
        <v>27914.826068758834</v>
      </c>
      <c r="CL634" s="66"/>
      <c r="CM634" s="66">
        <v>0</v>
      </c>
      <c r="CN634" s="66">
        <v>0</v>
      </c>
      <c r="CO634" s="66">
        <v>0</v>
      </c>
      <c r="CP634" s="66">
        <v>2310.3328114265287</v>
      </c>
      <c r="CQ634" s="66">
        <v>0</v>
      </c>
      <c r="CR634" s="66">
        <v>0</v>
      </c>
      <c r="CS634" s="66">
        <v>0</v>
      </c>
      <c r="CT634" s="66">
        <v>0</v>
      </c>
      <c r="CU634" s="66">
        <v>0</v>
      </c>
      <c r="CV634" s="66">
        <v>1017</v>
      </c>
      <c r="CW634" s="66">
        <v>0</v>
      </c>
      <c r="CX634" s="66">
        <v>0</v>
      </c>
      <c r="CY634" s="66">
        <v>0</v>
      </c>
      <c r="CZ634" s="66">
        <v>0</v>
      </c>
      <c r="DA634" s="66"/>
      <c r="DB634" s="66"/>
      <c r="DC634" s="66"/>
      <c r="DD634" s="66"/>
      <c r="DE634" s="66"/>
      <c r="DF634" s="66"/>
      <c r="DG634" s="66"/>
      <c r="DH634" s="66"/>
      <c r="DI634" s="66"/>
      <c r="DJ634" s="66"/>
      <c r="DK634" s="66">
        <f>SUM(Table1[[#This Row],[01-03 Apr]:[Mar-26]])</f>
        <v>3327.3328114265287</v>
      </c>
    </row>
    <row r="635" spans="1:115" hidden="1" x14ac:dyDescent="0.2">
      <c r="A635" s="28">
        <v>0</v>
      </c>
      <c r="B635" s="29" t="s">
        <v>1494</v>
      </c>
      <c r="C635" s="29" t="s">
        <v>1495</v>
      </c>
      <c r="D635" s="30" t="s">
        <v>1496</v>
      </c>
      <c r="E635" s="30" t="s">
        <v>203</v>
      </c>
      <c r="F635" s="30"/>
      <c r="G635" s="31"/>
      <c r="H635" s="30">
        <v>383917</v>
      </c>
      <c r="I635" s="30" t="str">
        <f>IF(Table1[[#This Row],[Centre Status]]="Returned","NA",IF(Table1[[#This Row],[SD]]&gt;19000,"Full Payment",IF(Table1[[#This Row],[SD]]&lt;1,"No Payment","Partial Payment")))</f>
        <v>NA</v>
      </c>
      <c r="J635" s="30" t="s">
        <v>1903</v>
      </c>
      <c r="K635" s="32">
        <v>110000</v>
      </c>
      <c r="L635" s="33">
        <f>Q635+R635+U635+Table1[[#This Row],[Farmer Payment]]</f>
        <v>19274.426943106133</v>
      </c>
      <c r="M635" s="30">
        <v>15000</v>
      </c>
      <c r="N635" s="34">
        <v>45560</v>
      </c>
      <c r="O635" s="34" t="s">
        <v>2634</v>
      </c>
      <c r="P635" s="35">
        <f t="shared" si="68"/>
        <v>105725.57305689386</v>
      </c>
      <c r="Q635" s="33">
        <f>AI635+AV635+CK635+Table1[[#This Row],[FY 25-26]]</f>
        <v>4274.4269431061339</v>
      </c>
      <c r="R635" s="36">
        <v>15000</v>
      </c>
      <c r="S635" s="37" t="s">
        <v>2318</v>
      </c>
      <c r="T635" s="38">
        <v>45314</v>
      </c>
      <c r="U635" s="39"/>
      <c r="V635" s="39"/>
      <c r="W635" s="40">
        <v>0</v>
      </c>
      <c r="X635" s="40">
        <v>0</v>
      </c>
      <c r="Y635" s="40">
        <v>0</v>
      </c>
      <c r="Z635" s="40">
        <v>0</v>
      </c>
      <c r="AA635" s="40">
        <v>0</v>
      </c>
      <c r="AB635" s="40">
        <v>0</v>
      </c>
      <c r="AC635" s="40">
        <v>0</v>
      </c>
      <c r="AD635" s="40">
        <v>0</v>
      </c>
      <c r="AE635" s="40">
        <v>0</v>
      </c>
      <c r="AF635" s="40">
        <v>0</v>
      </c>
      <c r="AG635" s="40">
        <v>0</v>
      </c>
      <c r="AH635" s="40">
        <v>0</v>
      </c>
      <c r="AI635" s="41">
        <f t="shared" si="69"/>
        <v>0</v>
      </c>
      <c r="AJ635" s="42">
        <v>0</v>
      </c>
      <c r="AK635" s="42">
        <v>0</v>
      </c>
      <c r="AL635" s="42">
        <v>0</v>
      </c>
      <c r="AM635" s="42">
        <v>0</v>
      </c>
      <c r="AN635" s="42">
        <v>0</v>
      </c>
      <c r="AO635" s="42">
        <v>0</v>
      </c>
      <c r="AP635" s="42">
        <v>0</v>
      </c>
      <c r="AQ635" s="42">
        <v>0</v>
      </c>
      <c r="AR635" s="42">
        <v>0</v>
      </c>
      <c r="AS635" s="42">
        <v>0</v>
      </c>
      <c r="AT635" s="42">
        <v>0</v>
      </c>
      <c r="AU635" s="42">
        <v>0</v>
      </c>
      <c r="AV635" s="42">
        <f t="shared" si="70"/>
        <v>0</v>
      </c>
      <c r="AW635" s="42">
        <v>2413.4269431061339</v>
      </c>
      <c r="AX635" s="42">
        <v>1861</v>
      </c>
      <c r="AY635" s="42">
        <v>0</v>
      </c>
      <c r="AZ635" s="42">
        <v>0</v>
      </c>
      <c r="BA635" s="42">
        <v>0</v>
      </c>
      <c r="BB635" s="42">
        <v>0</v>
      </c>
      <c r="BC635" s="42">
        <v>0</v>
      </c>
      <c r="BD635" s="42">
        <v>0</v>
      </c>
      <c r="BE635" s="42">
        <v>0</v>
      </c>
      <c r="BF635" s="42">
        <v>0</v>
      </c>
      <c r="BG635" s="42">
        <v>0</v>
      </c>
      <c r="BH635" s="42">
        <v>0</v>
      </c>
      <c r="BI635" s="42">
        <v>0</v>
      </c>
      <c r="BJ635" s="42">
        <v>0</v>
      </c>
      <c r="BK635" s="42">
        <v>0</v>
      </c>
      <c r="BL635" s="42">
        <v>0</v>
      </c>
      <c r="BM635" s="42">
        <v>0</v>
      </c>
      <c r="BN635" s="42">
        <v>0</v>
      </c>
      <c r="BO635" s="42">
        <v>0</v>
      </c>
      <c r="BP635" s="42">
        <v>0</v>
      </c>
      <c r="BQ635" s="42">
        <v>0</v>
      </c>
      <c r="BR635" s="42">
        <v>0</v>
      </c>
      <c r="BS635" s="42">
        <v>0</v>
      </c>
      <c r="BT635" s="42">
        <v>0</v>
      </c>
      <c r="BU635" s="42">
        <v>0</v>
      </c>
      <c r="BV635" s="42">
        <v>0</v>
      </c>
      <c r="BW635" s="42">
        <v>0</v>
      </c>
      <c r="BX635" s="42">
        <v>0</v>
      </c>
      <c r="BY635" s="42">
        <v>0</v>
      </c>
      <c r="BZ635" s="42">
        <v>0</v>
      </c>
      <c r="CA635" s="42">
        <v>0</v>
      </c>
      <c r="CB635" s="42">
        <v>0</v>
      </c>
      <c r="CC635" s="42">
        <v>0</v>
      </c>
      <c r="CD635" s="42">
        <v>0</v>
      </c>
      <c r="CE635" s="42">
        <v>0</v>
      </c>
      <c r="CF635" s="42">
        <v>0</v>
      </c>
      <c r="CG635" s="42">
        <v>0</v>
      </c>
      <c r="CH635" s="42">
        <v>0</v>
      </c>
      <c r="CI635" s="42">
        <v>0</v>
      </c>
      <c r="CJ635" s="42">
        <v>0</v>
      </c>
      <c r="CK635" s="43">
        <f t="shared" si="67"/>
        <v>4274.4269431061339</v>
      </c>
      <c r="CL635" s="66"/>
      <c r="CM635" s="66">
        <v>0</v>
      </c>
      <c r="CN635" s="66">
        <v>0</v>
      </c>
      <c r="CO635" s="66">
        <v>0</v>
      </c>
      <c r="CP635" s="66">
        <v>0</v>
      </c>
      <c r="CQ635" s="66">
        <v>0</v>
      </c>
      <c r="CR635" s="66">
        <v>0</v>
      </c>
      <c r="CS635" s="66">
        <v>0</v>
      </c>
      <c r="CT635" s="66">
        <v>0</v>
      </c>
      <c r="CU635" s="66">
        <v>0</v>
      </c>
      <c r="CV635" s="66">
        <v>0</v>
      </c>
      <c r="CW635" s="66">
        <v>0</v>
      </c>
      <c r="CX635" s="66">
        <v>0</v>
      </c>
      <c r="CY635" s="66">
        <v>0</v>
      </c>
      <c r="CZ635" s="66">
        <v>0</v>
      </c>
      <c r="DA635" s="66"/>
      <c r="DB635" s="66"/>
      <c r="DC635" s="66"/>
      <c r="DD635" s="66"/>
      <c r="DE635" s="66"/>
      <c r="DF635" s="66"/>
      <c r="DG635" s="66"/>
      <c r="DH635" s="66"/>
      <c r="DI635" s="66"/>
      <c r="DJ635" s="66"/>
      <c r="DK635" s="66">
        <f>SUM(Table1[[#This Row],[01-03 Apr]:[Mar-26]])</f>
        <v>0</v>
      </c>
    </row>
    <row r="636" spans="1:115" x14ac:dyDescent="0.2">
      <c r="A636" s="28" t="s">
        <v>2255</v>
      </c>
      <c r="B636" s="29" t="s">
        <v>1500</v>
      </c>
      <c r="C636" s="29" t="s">
        <v>1501</v>
      </c>
      <c r="D636" s="30" t="s">
        <v>1502</v>
      </c>
      <c r="E636" s="30" t="s">
        <v>1709</v>
      </c>
      <c r="F636" s="30"/>
      <c r="G636" s="31"/>
      <c r="H636" s="30">
        <v>387866</v>
      </c>
      <c r="I636" s="30" t="str">
        <f>IF(Table1[[#This Row],[Centre Status]]="Returned","NA",IF(Table1[[#This Row],[SD]]&gt;19000,"Full Payment",IF(Table1[[#This Row],[SD]]&lt;1,"No Payment","Partial Payment")))</f>
        <v>No Payment</v>
      </c>
      <c r="J636" s="30" t="s">
        <v>58</v>
      </c>
      <c r="K636" s="32">
        <v>110000</v>
      </c>
      <c r="L636" s="33">
        <f>Q636+R636+U636+Table1[[#This Row],[Farmer Payment]]</f>
        <v>21082</v>
      </c>
      <c r="M636" s="30"/>
      <c r="N636" s="34"/>
      <c r="O636" s="34"/>
      <c r="P636" s="35">
        <f t="shared" si="68"/>
        <v>88918</v>
      </c>
      <c r="Q636" s="33">
        <f>AI636+AV636+CK636+Table1[[#This Row],[FY 25-26]]</f>
        <v>21082</v>
      </c>
      <c r="R636" s="36"/>
      <c r="S636" s="37"/>
      <c r="T636" s="38"/>
      <c r="U636" s="39"/>
      <c r="V636" s="39"/>
      <c r="W636" s="40">
        <v>0</v>
      </c>
      <c r="X636" s="40">
        <v>0</v>
      </c>
      <c r="Y636" s="40">
        <v>0</v>
      </c>
      <c r="Z636" s="40">
        <v>0</v>
      </c>
      <c r="AA636" s="40">
        <v>0</v>
      </c>
      <c r="AB636" s="40">
        <v>0</v>
      </c>
      <c r="AC636" s="40">
        <v>0</v>
      </c>
      <c r="AD636" s="40">
        <v>0</v>
      </c>
      <c r="AE636" s="40">
        <v>0</v>
      </c>
      <c r="AF636" s="40">
        <v>0</v>
      </c>
      <c r="AG636" s="40">
        <v>0</v>
      </c>
      <c r="AH636" s="40">
        <v>0</v>
      </c>
      <c r="AI636" s="41">
        <f t="shared" si="69"/>
        <v>0</v>
      </c>
      <c r="AJ636" s="42">
        <v>0</v>
      </c>
      <c r="AK636" s="42">
        <v>0</v>
      </c>
      <c r="AL636" s="42">
        <v>0</v>
      </c>
      <c r="AM636" s="42">
        <v>0</v>
      </c>
      <c r="AN636" s="42">
        <v>0</v>
      </c>
      <c r="AO636" s="42">
        <v>0</v>
      </c>
      <c r="AP636" s="42">
        <v>0</v>
      </c>
      <c r="AQ636" s="42">
        <v>0</v>
      </c>
      <c r="AR636" s="42">
        <v>0</v>
      </c>
      <c r="AS636" s="42">
        <v>0</v>
      </c>
      <c r="AT636" s="42">
        <v>0</v>
      </c>
      <c r="AU636" s="42">
        <v>0</v>
      </c>
      <c r="AV636" s="42">
        <f t="shared" si="70"/>
        <v>0</v>
      </c>
      <c r="AW636" s="42">
        <v>709</v>
      </c>
      <c r="AX636" s="42">
        <v>1861</v>
      </c>
      <c r="AY636" s="42">
        <v>0</v>
      </c>
      <c r="AZ636" s="42">
        <v>0</v>
      </c>
      <c r="BA636" s="42">
        <v>0</v>
      </c>
      <c r="BB636" s="42">
        <v>500</v>
      </c>
      <c r="BC636" s="42">
        <v>0</v>
      </c>
      <c r="BD636" s="42">
        <v>12</v>
      </c>
      <c r="BE636" s="42">
        <v>500</v>
      </c>
      <c r="BF636" s="42">
        <v>500</v>
      </c>
      <c r="BG636" s="42">
        <v>500</v>
      </c>
      <c r="BH636" s="42">
        <v>500</v>
      </c>
      <c r="BI636" s="42">
        <v>0</v>
      </c>
      <c r="BJ636" s="42">
        <v>500</v>
      </c>
      <c r="BK636" s="42">
        <v>500</v>
      </c>
      <c r="BL636" s="42">
        <v>500</v>
      </c>
      <c r="BM636" s="42">
        <v>500</v>
      </c>
      <c r="BN636" s="42">
        <v>0</v>
      </c>
      <c r="BO636" s="42">
        <v>500</v>
      </c>
      <c r="BP636" s="42">
        <v>500</v>
      </c>
      <c r="BQ636" s="42">
        <v>500</v>
      </c>
      <c r="BR636" s="42">
        <v>500</v>
      </c>
      <c r="BS636" s="42">
        <v>0</v>
      </c>
      <c r="BT636" s="42">
        <v>500</v>
      </c>
      <c r="BU636" s="42">
        <v>500</v>
      </c>
      <c r="BV636" s="42">
        <v>500</v>
      </c>
      <c r="BW636" s="42">
        <v>500</v>
      </c>
      <c r="BX636" s="42">
        <v>500</v>
      </c>
      <c r="BY636" s="42">
        <v>0</v>
      </c>
      <c r="BZ636" s="42">
        <v>500</v>
      </c>
      <c r="CA636" s="42">
        <v>500</v>
      </c>
      <c r="CB636" s="42">
        <v>500</v>
      </c>
      <c r="CC636" s="42">
        <v>500</v>
      </c>
      <c r="CD636" s="42">
        <v>0</v>
      </c>
      <c r="CE636" s="42">
        <v>500</v>
      </c>
      <c r="CF636" s="42">
        <v>500</v>
      </c>
      <c r="CG636" s="42">
        <v>500</v>
      </c>
      <c r="CH636" s="42">
        <v>500</v>
      </c>
      <c r="CI636" s="42">
        <v>500</v>
      </c>
      <c r="CJ636" s="42">
        <v>0</v>
      </c>
      <c r="CK636" s="43">
        <f t="shared" si="67"/>
        <v>16082</v>
      </c>
      <c r="CL636" s="66"/>
      <c r="CM636" s="66">
        <v>500</v>
      </c>
      <c r="CN636" s="66">
        <v>500</v>
      </c>
      <c r="CO636" s="66">
        <v>500</v>
      </c>
      <c r="CP636" s="66">
        <v>0</v>
      </c>
      <c r="CQ636" s="66">
        <v>500</v>
      </c>
      <c r="CR636" s="66">
        <v>500</v>
      </c>
      <c r="CS636" s="66">
        <v>0</v>
      </c>
      <c r="CT636" s="66">
        <v>500</v>
      </c>
      <c r="CU636" s="66">
        <v>0</v>
      </c>
      <c r="CV636" s="66">
        <v>0</v>
      </c>
      <c r="CW636" s="66">
        <v>500</v>
      </c>
      <c r="CX636" s="66">
        <v>500</v>
      </c>
      <c r="CY636" s="66">
        <v>500</v>
      </c>
      <c r="CZ636" s="66">
        <v>500</v>
      </c>
      <c r="DA636" s="66"/>
      <c r="DB636" s="66"/>
      <c r="DC636" s="66"/>
      <c r="DD636" s="66"/>
      <c r="DE636" s="66"/>
      <c r="DF636" s="66"/>
      <c r="DG636" s="66"/>
      <c r="DH636" s="66"/>
      <c r="DI636" s="66"/>
      <c r="DJ636" s="66"/>
      <c r="DK636" s="66">
        <f>SUM(Table1[[#This Row],[01-03 Apr]:[Mar-26]])</f>
        <v>5000</v>
      </c>
    </row>
    <row r="637" spans="1:115" x14ac:dyDescent="0.2">
      <c r="A637" s="28"/>
      <c r="B637" s="29"/>
      <c r="C637" s="29" t="s">
        <v>3336</v>
      </c>
      <c r="D637" s="30" t="s">
        <v>1503</v>
      </c>
      <c r="E637" s="30"/>
      <c r="F637" s="30"/>
      <c r="G637" s="31"/>
      <c r="H637" s="30"/>
      <c r="I637" s="30" t="str">
        <f>IF(Table1[[#This Row],[Centre Status]]="Returned","NA",IF(Table1[[#This Row],[SD]]&gt;19000,"Full Payment",IF(Table1[[#This Row],[SD]]&lt;1,"No Payment","Partial Payment")))</f>
        <v>Partial Payment</v>
      </c>
      <c r="J637" s="30" t="s">
        <v>58</v>
      </c>
      <c r="K637" s="32">
        <v>110000</v>
      </c>
      <c r="L637" s="33">
        <f>Q637+R637+U637+Table1[[#This Row],[Farmer Payment]]</f>
        <v>10000</v>
      </c>
      <c r="M637" s="30"/>
      <c r="N637" s="34"/>
      <c r="O637" s="34"/>
      <c r="P637" s="35">
        <f t="shared" si="68"/>
        <v>100000</v>
      </c>
      <c r="Q637" s="33">
        <f>AI637+AV637+CK637+Table1[[#This Row],[FY 25-26]]</f>
        <v>0</v>
      </c>
      <c r="R637" s="36">
        <v>10000</v>
      </c>
      <c r="S637" s="37" t="s">
        <v>1504</v>
      </c>
      <c r="T637" s="38">
        <v>45209</v>
      </c>
      <c r="U637" s="39"/>
      <c r="V637" s="39"/>
      <c r="W637" s="40">
        <v>0</v>
      </c>
      <c r="X637" s="40">
        <v>0</v>
      </c>
      <c r="Y637" s="40">
        <v>0</v>
      </c>
      <c r="Z637" s="40">
        <v>0</v>
      </c>
      <c r="AA637" s="40">
        <v>0</v>
      </c>
      <c r="AB637" s="40">
        <v>0</v>
      </c>
      <c r="AC637" s="40">
        <v>0</v>
      </c>
      <c r="AD637" s="40">
        <v>0</v>
      </c>
      <c r="AE637" s="40">
        <v>0</v>
      </c>
      <c r="AF637" s="40">
        <v>0</v>
      </c>
      <c r="AG637" s="40">
        <v>0</v>
      </c>
      <c r="AH637" s="40">
        <v>0</v>
      </c>
      <c r="AI637" s="41">
        <f t="shared" si="69"/>
        <v>0</v>
      </c>
      <c r="AJ637" s="42">
        <v>0</v>
      </c>
      <c r="AK637" s="42">
        <v>0</v>
      </c>
      <c r="AL637" s="42">
        <v>0</v>
      </c>
      <c r="AM637" s="42">
        <v>0</v>
      </c>
      <c r="AN637" s="42">
        <v>0</v>
      </c>
      <c r="AO637" s="42">
        <v>0</v>
      </c>
      <c r="AP637" s="42">
        <v>0</v>
      </c>
      <c r="AQ637" s="42">
        <v>0</v>
      </c>
      <c r="AR637" s="42">
        <v>0</v>
      </c>
      <c r="AS637" s="42">
        <v>0</v>
      </c>
      <c r="AT637" s="42">
        <v>0</v>
      </c>
      <c r="AU637" s="42">
        <v>0</v>
      </c>
      <c r="AV637" s="42">
        <f t="shared" si="70"/>
        <v>0</v>
      </c>
      <c r="AW637" s="42">
        <v>0</v>
      </c>
      <c r="AX637" s="42">
        <v>0</v>
      </c>
      <c r="AY637" s="42">
        <v>0</v>
      </c>
      <c r="AZ637" s="42">
        <v>0</v>
      </c>
      <c r="BA637" s="42">
        <v>0</v>
      </c>
      <c r="BB637" s="42">
        <v>0</v>
      </c>
      <c r="BC637" s="42">
        <v>0</v>
      </c>
      <c r="BD637" s="42">
        <v>0</v>
      </c>
      <c r="BE637" s="42">
        <v>0</v>
      </c>
      <c r="BF637" s="42">
        <v>0</v>
      </c>
      <c r="BG637" s="42">
        <v>0</v>
      </c>
      <c r="BH637" s="42">
        <v>0</v>
      </c>
      <c r="BI637" s="42">
        <v>0</v>
      </c>
      <c r="BJ637" s="42">
        <v>0</v>
      </c>
      <c r="BK637" s="42">
        <v>0</v>
      </c>
      <c r="BL637" s="42">
        <v>0</v>
      </c>
      <c r="BM637" s="42">
        <v>0</v>
      </c>
      <c r="BN637" s="42">
        <v>0</v>
      </c>
      <c r="BO637" s="42">
        <v>0</v>
      </c>
      <c r="BP637" s="42">
        <v>0</v>
      </c>
      <c r="BQ637" s="42">
        <v>0</v>
      </c>
      <c r="BR637" s="42">
        <v>0</v>
      </c>
      <c r="BS637" s="42">
        <v>0</v>
      </c>
      <c r="BT637" s="42">
        <v>0</v>
      </c>
      <c r="BU637" s="42">
        <v>0</v>
      </c>
      <c r="BV637" s="42">
        <v>0</v>
      </c>
      <c r="BW637" s="42">
        <v>0</v>
      </c>
      <c r="BX637" s="42">
        <v>0</v>
      </c>
      <c r="BY637" s="42">
        <v>0</v>
      </c>
      <c r="BZ637" s="42">
        <v>0</v>
      </c>
      <c r="CA637" s="42">
        <v>0</v>
      </c>
      <c r="CB637" s="42">
        <v>0</v>
      </c>
      <c r="CC637" s="42">
        <v>0</v>
      </c>
      <c r="CD637" s="42">
        <v>0</v>
      </c>
      <c r="CE637" s="42">
        <v>0</v>
      </c>
      <c r="CF637" s="42">
        <v>0</v>
      </c>
      <c r="CG637" s="42">
        <v>0</v>
      </c>
      <c r="CH637" s="42">
        <v>0</v>
      </c>
      <c r="CI637" s="42">
        <v>0</v>
      </c>
      <c r="CJ637" s="42">
        <v>0</v>
      </c>
      <c r="CK637" s="43">
        <f t="shared" si="67"/>
        <v>0</v>
      </c>
      <c r="CL637" s="66"/>
      <c r="CM637" s="66">
        <v>0</v>
      </c>
      <c r="CN637" s="66">
        <v>0</v>
      </c>
      <c r="CO637" s="66">
        <v>0</v>
      </c>
      <c r="CP637" s="66">
        <v>0</v>
      </c>
      <c r="CQ637" s="66">
        <v>0</v>
      </c>
      <c r="CR637" s="66">
        <v>0</v>
      </c>
      <c r="CS637" s="66">
        <v>0</v>
      </c>
      <c r="CT637" s="66">
        <v>0</v>
      </c>
      <c r="CU637" s="66">
        <v>0</v>
      </c>
      <c r="CV637" s="66">
        <v>0</v>
      </c>
      <c r="CW637" s="66">
        <v>0</v>
      </c>
      <c r="CX637" s="66">
        <v>0</v>
      </c>
      <c r="CY637" s="66">
        <v>0</v>
      </c>
      <c r="CZ637" s="66">
        <v>0</v>
      </c>
      <c r="DA637" s="66"/>
      <c r="DB637" s="66"/>
      <c r="DC637" s="66"/>
      <c r="DD637" s="66"/>
      <c r="DE637" s="66"/>
      <c r="DF637" s="66"/>
      <c r="DG637" s="66"/>
      <c r="DH637" s="66"/>
      <c r="DI637" s="66"/>
      <c r="DJ637" s="66"/>
      <c r="DK637" s="66">
        <f>SUM(Table1[[#This Row],[01-03 Apr]:[Mar-26]])</f>
        <v>0</v>
      </c>
    </row>
    <row r="638" spans="1:115" x14ac:dyDescent="0.2">
      <c r="A638" s="28" t="s">
        <v>2367</v>
      </c>
      <c r="B638" s="29" t="s">
        <v>1505</v>
      </c>
      <c r="C638" s="29" t="s">
        <v>1506</v>
      </c>
      <c r="D638" s="30" t="s">
        <v>1507</v>
      </c>
      <c r="E638" s="30" t="s">
        <v>906</v>
      </c>
      <c r="F638" s="30"/>
      <c r="G638" s="31"/>
      <c r="H638" s="30"/>
      <c r="I638" s="30" t="str">
        <f>IF(Table1[[#This Row],[Centre Status]]="Returned","NA",IF(Table1[[#This Row],[SD]]&gt;19000,"Full Payment",IF(Table1[[#This Row],[SD]]&lt;1,"No Payment","Partial Payment")))</f>
        <v>Partial Payment</v>
      </c>
      <c r="J638" s="30" t="s">
        <v>58</v>
      </c>
      <c r="K638" s="32">
        <v>110000</v>
      </c>
      <c r="L638" s="33">
        <f>Q638+R638+U638+Table1[[#This Row],[Farmer Payment]]</f>
        <v>42264.734400000001</v>
      </c>
      <c r="M638" s="30"/>
      <c r="N638" s="34"/>
      <c r="O638" s="34"/>
      <c r="P638" s="35">
        <f t="shared" si="68"/>
        <v>67735.265599999999</v>
      </c>
      <c r="Q638" s="33">
        <f>AI638+AV638+CK638+Table1[[#This Row],[FY 25-26]]</f>
        <v>32264.734400000001</v>
      </c>
      <c r="R638" s="36">
        <v>10000</v>
      </c>
      <c r="S638" s="37" t="s">
        <v>1508</v>
      </c>
      <c r="T638" s="38">
        <v>45213</v>
      </c>
      <c r="U638" s="39"/>
      <c r="V638" s="39"/>
      <c r="W638" s="40">
        <v>0</v>
      </c>
      <c r="X638" s="40">
        <v>0</v>
      </c>
      <c r="Y638" s="40">
        <v>0</v>
      </c>
      <c r="Z638" s="40">
        <v>0</v>
      </c>
      <c r="AA638" s="40">
        <v>0</v>
      </c>
      <c r="AB638" s="40">
        <v>0</v>
      </c>
      <c r="AC638" s="40">
        <v>0</v>
      </c>
      <c r="AD638" s="40">
        <v>0</v>
      </c>
      <c r="AE638" s="40">
        <v>0</v>
      </c>
      <c r="AF638" s="40">
        <v>0</v>
      </c>
      <c r="AG638" s="40">
        <v>0</v>
      </c>
      <c r="AH638" s="40">
        <v>0</v>
      </c>
      <c r="AI638" s="41">
        <f t="shared" si="69"/>
        <v>0</v>
      </c>
      <c r="AJ638" s="42">
        <v>0</v>
      </c>
      <c r="AK638" s="42">
        <v>0</v>
      </c>
      <c r="AL638" s="42">
        <v>0</v>
      </c>
      <c r="AM638" s="42">
        <v>0</v>
      </c>
      <c r="AN638" s="42">
        <v>0</v>
      </c>
      <c r="AO638" s="42">
        <v>0</v>
      </c>
      <c r="AP638" s="42">
        <v>0</v>
      </c>
      <c r="AQ638" s="42">
        <v>0</v>
      </c>
      <c r="AR638" s="42">
        <v>2012.1094000000003</v>
      </c>
      <c r="AS638" s="42">
        <v>3851.8233999999998</v>
      </c>
      <c r="AT638" s="42">
        <v>2430.6223999999997</v>
      </c>
      <c r="AU638" s="42">
        <v>2344.1792</v>
      </c>
      <c r="AV638" s="42">
        <f t="shared" si="70"/>
        <v>10638.734400000001</v>
      </c>
      <c r="AW638" s="42">
        <v>1861</v>
      </c>
      <c r="AX638" s="42">
        <v>1861</v>
      </c>
      <c r="AY638" s="42">
        <v>988</v>
      </c>
      <c r="AZ638" s="42">
        <v>0</v>
      </c>
      <c r="BA638" s="42">
        <v>0</v>
      </c>
      <c r="BB638" s="42">
        <v>500</v>
      </c>
      <c r="BC638" s="42">
        <v>861</v>
      </c>
      <c r="BD638" s="42">
        <v>500</v>
      </c>
      <c r="BE638" s="42">
        <v>0</v>
      </c>
      <c r="BF638" s="42">
        <v>0</v>
      </c>
      <c r="BG638" s="42">
        <v>0</v>
      </c>
      <c r="BH638" s="42">
        <v>0</v>
      </c>
      <c r="BI638" s="42">
        <v>1055</v>
      </c>
      <c r="BJ638" s="42">
        <v>0</v>
      </c>
      <c r="BK638" s="42">
        <v>0</v>
      </c>
      <c r="BL638" s="42">
        <v>500</v>
      </c>
      <c r="BM638" s="42">
        <v>500</v>
      </c>
      <c r="BN638" s="42">
        <v>0</v>
      </c>
      <c r="BO638" s="42">
        <v>500</v>
      </c>
      <c r="BP638" s="42">
        <v>500</v>
      </c>
      <c r="BQ638" s="42">
        <v>500</v>
      </c>
      <c r="BR638" s="42">
        <v>500</v>
      </c>
      <c r="BS638" s="42">
        <v>0</v>
      </c>
      <c r="BT638" s="42">
        <v>500</v>
      </c>
      <c r="BU638" s="42">
        <v>500</v>
      </c>
      <c r="BV638" s="42">
        <v>500</v>
      </c>
      <c r="BW638" s="42">
        <v>500</v>
      </c>
      <c r="BX638" s="42">
        <v>500</v>
      </c>
      <c r="BY638" s="42">
        <v>0</v>
      </c>
      <c r="BZ638" s="42">
        <v>500</v>
      </c>
      <c r="CA638" s="42">
        <v>500</v>
      </c>
      <c r="CB638" s="42">
        <v>500</v>
      </c>
      <c r="CC638" s="42">
        <v>500</v>
      </c>
      <c r="CD638" s="42">
        <v>0</v>
      </c>
      <c r="CE638" s="42">
        <v>500</v>
      </c>
      <c r="CF638" s="42">
        <v>500</v>
      </c>
      <c r="CG638" s="42">
        <v>500</v>
      </c>
      <c r="CH638" s="42">
        <v>500</v>
      </c>
      <c r="CI638" s="42">
        <v>500</v>
      </c>
      <c r="CJ638" s="42">
        <v>0</v>
      </c>
      <c r="CK638" s="43">
        <f t="shared" si="67"/>
        <v>17626</v>
      </c>
      <c r="CL638" s="66"/>
      <c r="CM638" s="66">
        <v>0</v>
      </c>
      <c r="CN638" s="66">
        <v>500</v>
      </c>
      <c r="CO638" s="66">
        <v>500</v>
      </c>
      <c r="CP638" s="66">
        <v>0</v>
      </c>
      <c r="CQ638" s="66">
        <v>500</v>
      </c>
      <c r="CR638" s="66">
        <v>500</v>
      </c>
      <c r="CS638" s="66">
        <v>500</v>
      </c>
      <c r="CT638" s="66">
        <v>500</v>
      </c>
      <c r="CU638" s="66">
        <v>500</v>
      </c>
      <c r="CV638" s="66">
        <v>0</v>
      </c>
      <c r="CW638" s="66">
        <v>0</v>
      </c>
      <c r="CX638" s="66">
        <v>0</v>
      </c>
      <c r="CY638" s="66">
        <v>500</v>
      </c>
      <c r="CZ638" s="66">
        <v>0</v>
      </c>
      <c r="DA638" s="66"/>
      <c r="DB638" s="66"/>
      <c r="DC638" s="66"/>
      <c r="DD638" s="66"/>
      <c r="DE638" s="66"/>
      <c r="DF638" s="66"/>
      <c r="DG638" s="66"/>
      <c r="DH638" s="66"/>
      <c r="DI638" s="66"/>
      <c r="DJ638" s="66"/>
      <c r="DK638" s="66">
        <f>SUM(Table1[[#This Row],[01-03 Apr]:[Mar-26]])</f>
        <v>4000</v>
      </c>
    </row>
    <row r="639" spans="1:115" x14ac:dyDescent="0.2">
      <c r="A639" s="28"/>
      <c r="B639" s="29"/>
      <c r="C639" s="29" t="s">
        <v>3336</v>
      </c>
      <c r="D639" s="30" t="s">
        <v>1515</v>
      </c>
      <c r="E639" s="30"/>
      <c r="F639" s="30"/>
      <c r="G639" s="31"/>
      <c r="H639" s="30"/>
      <c r="I639" s="30" t="str">
        <f>IF(Table1[[#This Row],[Centre Status]]="Returned","NA",IF(Table1[[#This Row],[SD]]&gt;19000,"Full Payment",IF(Table1[[#This Row],[SD]]&lt;1,"No Payment","Partial Payment")))</f>
        <v>Partial Payment</v>
      </c>
      <c r="J639" s="30" t="s">
        <v>58</v>
      </c>
      <c r="K639" s="32">
        <v>110000</v>
      </c>
      <c r="L639" s="33">
        <f>Q639+R639+U639+Table1[[#This Row],[Farmer Payment]]</f>
        <v>5000</v>
      </c>
      <c r="M639" s="30"/>
      <c r="N639" s="34"/>
      <c r="O639" s="34"/>
      <c r="P639" s="35">
        <f t="shared" si="68"/>
        <v>105000</v>
      </c>
      <c r="Q639" s="33">
        <f>AI639+AV639+CK639+Table1[[#This Row],[FY 25-26]]</f>
        <v>0</v>
      </c>
      <c r="R639" s="36">
        <v>5000</v>
      </c>
      <c r="S639" s="37" t="s">
        <v>1516</v>
      </c>
      <c r="T639" s="38">
        <v>45056</v>
      </c>
      <c r="U639" s="39"/>
      <c r="V639" s="39"/>
      <c r="W639" s="40">
        <v>0</v>
      </c>
      <c r="X639" s="40">
        <v>0</v>
      </c>
      <c r="Y639" s="40">
        <v>0</v>
      </c>
      <c r="Z639" s="40">
        <v>0</v>
      </c>
      <c r="AA639" s="40">
        <v>0</v>
      </c>
      <c r="AB639" s="40">
        <v>0</v>
      </c>
      <c r="AC639" s="40">
        <v>0</v>
      </c>
      <c r="AD639" s="40">
        <v>0</v>
      </c>
      <c r="AE639" s="40">
        <v>0</v>
      </c>
      <c r="AF639" s="40">
        <v>0</v>
      </c>
      <c r="AG639" s="40">
        <v>0</v>
      </c>
      <c r="AH639" s="40">
        <v>0</v>
      </c>
      <c r="AI639" s="41">
        <f t="shared" si="69"/>
        <v>0</v>
      </c>
      <c r="AJ639" s="42">
        <v>0</v>
      </c>
      <c r="AK639" s="42">
        <v>0</v>
      </c>
      <c r="AL639" s="42">
        <v>0</v>
      </c>
      <c r="AM639" s="42">
        <v>0</v>
      </c>
      <c r="AN639" s="42">
        <v>0</v>
      </c>
      <c r="AO639" s="42">
        <v>0</v>
      </c>
      <c r="AP639" s="42">
        <v>0</v>
      </c>
      <c r="AQ639" s="42">
        <v>0</v>
      </c>
      <c r="AR639" s="42">
        <v>0</v>
      </c>
      <c r="AS639" s="42">
        <v>0</v>
      </c>
      <c r="AT639" s="42">
        <v>0</v>
      </c>
      <c r="AU639" s="42">
        <v>0</v>
      </c>
      <c r="AV639" s="42">
        <f t="shared" si="70"/>
        <v>0</v>
      </c>
      <c r="AW639" s="42">
        <v>0</v>
      </c>
      <c r="AX639" s="42">
        <v>0</v>
      </c>
      <c r="AY639" s="42">
        <v>0</v>
      </c>
      <c r="AZ639" s="42">
        <v>0</v>
      </c>
      <c r="BA639" s="42">
        <v>0</v>
      </c>
      <c r="BB639" s="42">
        <v>0</v>
      </c>
      <c r="BC639" s="42">
        <v>0</v>
      </c>
      <c r="BD639" s="42">
        <v>0</v>
      </c>
      <c r="BE639" s="42">
        <v>0</v>
      </c>
      <c r="BF639" s="42">
        <v>0</v>
      </c>
      <c r="BG639" s="42">
        <v>0</v>
      </c>
      <c r="BH639" s="42">
        <v>0</v>
      </c>
      <c r="BI639" s="42">
        <v>0</v>
      </c>
      <c r="BJ639" s="42">
        <v>0</v>
      </c>
      <c r="BK639" s="42">
        <v>0</v>
      </c>
      <c r="BL639" s="42">
        <v>0</v>
      </c>
      <c r="BM639" s="42">
        <v>0</v>
      </c>
      <c r="BN639" s="42">
        <v>0</v>
      </c>
      <c r="BO639" s="42">
        <v>0</v>
      </c>
      <c r="BP639" s="42">
        <v>0</v>
      </c>
      <c r="BQ639" s="42">
        <v>0</v>
      </c>
      <c r="BR639" s="42">
        <v>0</v>
      </c>
      <c r="BS639" s="42">
        <v>0</v>
      </c>
      <c r="BT639" s="42">
        <v>0</v>
      </c>
      <c r="BU639" s="42">
        <v>0</v>
      </c>
      <c r="BV639" s="42">
        <v>0</v>
      </c>
      <c r="BW639" s="42">
        <v>0</v>
      </c>
      <c r="BX639" s="42">
        <v>0</v>
      </c>
      <c r="BY639" s="42">
        <v>0</v>
      </c>
      <c r="BZ639" s="42">
        <v>0</v>
      </c>
      <c r="CA639" s="42">
        <v>0</v>
      </c>
      <c r="CB639" s="42">
        <v>0</v>
      </c>
      <c r="CC639" s="42">
        <v>0</v>
      </c>
      <c r="CD639" s="42">
        <v>0</v>
      </c>
      <c r="CE639" s="42">
        <v>0</v>
      </c>
      <c r="CF639" s="42">
        <v>0</v>
      </c>
      <c r="CG639" s="42">
        <v>0</v>
      </c>
      <c r="CH639" s="42">
        <v>0</v>
      </c>
      <c r="CI639" s="42">
        <v>0</v>
      </c>
      <c r="CJ639" s="42">
        <v>0</v>
      </c>
      <c r="CK639" s="43">
        <f t="shared" si="67"/>
        <v>0</v>
      </c>
      <c r="CL639" s="66"/>
      <c r="CM639" s="66">
        <v>0</v>
      </c>
      <c r="CN639" s="66">
        <v>0</v>
      </c>
      <c r="CO639" s="66">
        <v>0</v>
      </c>
      <c r="CP639" s="66">
        <v>0</v>
      </c>
      <c r="CQ639" s="66">
        <v>0</v>
      </c>
      <c r="CR639" s="66">
        <v>0</v>
      </c>
      <c r="CS639" s="66">
        <v>0</v>
      </c>
      <c r="CT639" s="66">
        <v>0</v>
      </c>
      <c r="CU639" s="66">
        <v>0</v>
      </c>
      <c r="CV639" s="66">
        <v>0</v>
      </c>
      <c r="CW639" s="66">
        <v>0</v>
      </c>
      <c r="CX639" s="66">
        <v>0</v>
      </c>
      <c r="CY639" s="66">
        <v>0</v>
      </c>
      <c r="CZ639" s="66">
        <v>0</v>
      </c>
      <c r="DA639" s="66"/>
      <c r="DB639" s="66"/>
      <c r="DC639" s="66"/>
      <c r="DD639" s="66"/>
      <c r="DE639" s="66"/>
      <c r="DF639" s="66"/>
      <c r="DG639" s="66"/>
      <c r="DH639" s="66"/>
      <c r="DI639" s="66"/>
      <c r="DJ639" s="66"/>
      <c r="DK639" s="66">
        <f>SUM(Table1[[#This Row],[01-03 Apr]:[Mar-26]])</f>
        <v>0</v>
      </c>
    </row>
    <row r="640" spans="1:115" hidden="1" x14ac:dyDescent="0.2">
      <c r="A640" s="28" t="s">
        <v>2256</v>
      </c>
      <c r="B640" s="29" t="s">
        <v>1517</v>
      </c>
      <c r="C640" s="29" t="s">
        <v>1518</v>
      </c>
      <c r="D640" s="30" t="s">
        <v>1519</v>
      </c>
      <c r="E640" s="30" t="s">
        <v>177</v>
      </c>
      <c r="F640" s="30"/>
      <c r="G640" s="31"/>
      <c r="H640" s="30">
        <v>277150</v>
      </c>
      <c r="I640" s="30" t="str">
        <f>IF(Table1[[#This Row],[Centre Status]]="Returned","NA",IF(Table1[[#This Row],[SD]]&gt;19000,"Full Payment",IF(Table1[[#This Row],[SD]]&lt;1,"No Payment","Partial Payment")))</f>
        <v>NA</v>
      </c>
      <c r="J640" s="30" t="s">
        <v>1903</v>
      </c>
      <c r="K640" s="32">
        <v>110000</v>
      </c>
      <c r="L640" s="33">
        <f>Q640+R640+U640+Table1[[#This Row],[Farmer Payment]]</f>
        <v>11621</v>
      </c>
      <c r="M640" s="30">
        <v>10000</v>
      </c>
      <c r="N640" s="34">
        <v>45622</v>
      </c>
      <c r="O640" s="34"/>
      <c r="P640" s="35">
        <f t="shared" si="68"/>
        <v>108379</v>
      </c>
      <c r="Q640" s="33">
        <f>AI640+AV640+CK640+Table1[[#This Row],[FY 25-26]]</f>
        <v>1621</v>
      </c>
      <c r="R640" s="36">
        <v>10000</v>
      </c>
      <c r="S640" s="37" t="s">
        <v>1520</v>
      </c>
      <c r="T640" s="38">
        <v>45065</v>
      </c>
      <c r="U640" s="39"/>
      <c r="V640" s="39"/>
      <c r="W640" s="40">
        <v>0</v>
      </c>
      <c r="X640" s="40">
        <v>0</v>
      </c>
      <c r="Y640" s="40">
        <v>0</v>
      </c>
      <c r="Z640" s="40">
        <v>0</v>
      </c>
      <c r="AA640" s="40">
        <v>0</v>
      </c>
      <c r="AB640" s="40">
        <v>0</v>
      </c>
      <c r="AC640" s="40">
        <v>0</v>
      </c>
      <c r="AD640" s="40">
        <v>0</v>
      </c>
      <c r="AE640" s="40">
        <v>0</v>
      </c>
      <c r="AF640" s="40">
        <v>0</v>
      </c>
      <c r="AG640" s="40">
        <v>0</v>
      </c>
      <c r="AH640" s="40">
        <v>0</v>
      </c>
      <c r="AI640" s="41">
        <f t="shared" si="69"/>
        <v>0</v>
      </c>
      <c r="AJ640" s="42">
        <v>0</v>
      </c>
      <c r="AK640" s="42">
        <v>0</v>
      </c>
      <c r="AL640" s="42">
        <v>0</v>
      </c>
      <c r="AM640" s="42">
        <v>0</v>
      </c>
      <c r="AN640" s="42">
        <v>0</v>
      </c>
      <c r="AO640" s="42">
        <v>0</v>
      </c>
      <c r="AP640" s="42">
        <v>0</v>
      </c>
      <c r="AQ640" s="42">
        <v>0</v>
      </c>
      <c r="AR640" s="42">
        <v>0</v>
      </c>
      <c r="AS640" s="42">
        <v>376</v>
      </c>
      <c r="AT640" s="42">
        <v>245</v>
      </c>
      <c r="AU640" s="42">
        <v>0</v>
      </c>
      <c r="AV640" s="42">
        <f t="shared" si="70"/>
        <v>621</v>
      </c>
      <c r="AW640" s="42">
        <v>0</v>
      </c>
      <c r="AX640" s="42">
        <v>0</v>
      </c>
      <c r="AY640" s="42">
        <v>0</v>
      </c>
      <c r="AZ640" s="42">
        <v>0</v>
      </c>
      <c r="BA640" s="42">
        <v>0</v>
      </c>
      <c r="BB640" s="42">
        <v>500</v>
      </c>
      <c r="BC640" s="42">
        <v>0</v>
      </c>
      <c r="BD640" s="42">
        <v>500</v>
      </c>
      <c r="BE640" s="42">
        <v>0</v>
      </c>
      <c r="BF640" s="42">
        <v>0</v>
      </c>
      <c r="BG640" s="42">
        <v>0</v>
      </c>
      <c r="BH640" s="42">
        <v>0</v>
      </c>
      <c r="BI640" s="42">
        <v>0</v>
      </c>
      <c r="BJ640" s="42">
        <v>0</v>
      </c>
      <c r="BK640" s="42">
        <v>0</v>
      </c>
      <c r="BL640" s="42">
        <v>0</v>
      </c>
      <c r="BM640" s="42">
        <v>0</v>
      </c>
      <c r="BN640" s="42">
        <v>0</v>
      </c>
      <c r="BO640" s="42">
        <v>0</v>
      </c>
      <c r="BP640" s="42">
        <v>0</v>
      </c>
      <c r="BQ640" s="42">
        <v>0</v>
      </c>
      <c r="BR640" s="42">
        <v>0</v>
      </c>
      <c r="BS640" s="42">
        <v>0</v>
      </c>
      <c r="BT640" s="42">
        <v>0</v>
      </c>
      <c r="BU640" s="42">
        <v>0</v>
      </c>
      <c r="BV640" s="42">
        <v>0</v>
      </c>
      <c r="BW640" s="42">
        <v>0</v>
      </c>
      <c r="BX640" s="42">
        <v>0</v>
      </c>
      <c r="BY640" s="42">
        <v>0</v>
      </c>
      <c r="BZ640" s="42">
        <v>0</v>
      </c>
      <c r="CA640" s="42">
        <v>0</v>
      </c>
      <c r="CB640" s="42">
        <v>0</v>
      </c>
      <c r="CC640" s="42">
        <v>0</v>
      </c>
      <c r="CD640" s="42">
        <v>0</v>
      </c>
      <c r="CE640" s="42">
        <v>0</v>
      </c>
      <c r="CF640" s="42">
        <v>0</v>
      </c>
      <c r="CG640" s="42">
        <v>0</v>
      </c>
      <c r="CH640" s="42">
        <v>0</v>
      </c>
      <c r="CI640" s="42">
        <v>0</v>
      </c>
      <c r="CJ640" s="42">
        <v>0</v>
      </c>
      <c r="CK640" s="43">
        <f t="shared" si="67"/>
        <v>1000</v>
      </c>
      <c r="CL640" s="66"/>
      <c r="CM640" s="66">
        <v>0</v>
      </c>
      <c r="CN640" s="66">
        <v>0</v>
      </c>
      <c r="CO640" s="66">
        <v>0</v>
      </c>
      <c r="CP640" s="66">
        <v>0</v>
      </c>
      <c r="CQ640" s="66">
        <v>0</v>
      </c>
      <c r="CR640" s="66">
        <v>0</v>
      </c>
      <c r="CS640" s="66">
        <v>0</v>
      </c>
      <c r="CT640" s="66">
        <v>0</v>
      </c>
      <c r="CU640" s="66">
        <v>0</v>
      </c>
      <c r="CV640" s="66">
        <v>0</v>
      </c>
      <c r="CW640" s="66">
        <v>0</v>
      </c>
      <c r="CX640" s="66">
        <v>0</v>
      </c>
      <c r="CY640" s="66">
        <v>0</v>
      </c>
      <c r="CZ640" s="66">
        <v>0</v>
      </c>
      <c r="DA640" s="66"/>
      <c r="DB640" s="66"/>
      <c r="DC640" s="66"/>
      <c r="DD640" s="66"/>
      <c r="DE640" s="66"/>
      <c r="DF640" s="66"/>
      <c r="DG640" s="66"/>
      <c r="DH640" s="66"/>
      <c r="DI640" s="66"/>
      <c r="DJ640" s="66"/>
      <c r="DK640" s="66">
        <f>SUM(Table1[[#This Row],[01-03 Apr]:[Mar-26]])</f>
        <v>0</v>
      </c>
    </row>
    <row r="641" spans="1:115" x14ac:dyDescent="0.2">
      <c r="A641" s="28" t="s">
        <v>2256</v>
      </c>
      <c r="B641" s="29" t="s">
        <v>1521</v>
      </c>
      <c r="C641" s="29" t="s">
        <v>1522</v>
      </c>
      <c r="D641" s="30" t="s">
        <v>1523</v>
      </c>
      <c r="E641" s="30" t="s">
        <v>177</v>
      </c>
      <c r="F641" s="30"/>
      <c r="G641" s="31"/>
      <c r="H641" s="30">
        <v>210874</v>
      </c>
      <c r="I641" s="30" t="str">
        <f>IF(Table1[[#This Row],[Centre Status]]="Returned","NA",IF(Table1[[#This Row],[SD]]&gt;19000,"Full Payment",IF(Table1[[#This Row],[SD]]&lt;1,"No Payment","Partial Payment")))</f>
        <v>Partial Payment</v>
      </c>
      <c r="J641" s="30" t="s">
        <v>58</v>
      </c>
      <c r="K641" s="32">
        <v>110000</v>
      </c>
      <c r="L641" s="33">
        <f>Q641+R641+U641+Table1[[#This Row],[Farmer Payment]]</f>
        <v>32616</v>
      </c>
      <c r="M641" s="30"/>
      <c r="N641" s="34"/>
      <c r="O641" s="34"/>
      <c r="P641" s="35">
        <f t="shared" si="68"/>
        <v>77384</v>
      </c>
      <c r="Q641" s="33">
        <f>AI641+AV641+CK641+Table1[[#This Row],[FY 25-26]]</f>
        <v>27616</v>
      </c>
      <c r="R641" s="36">
        <v>5000</v>
      </c>
      <c r="S641" s="37" t="s">
        <v>1524</v>
      </c>
      <c r="T641" s="38">
        <v>45065</v>
      </c>
      <c r="U641" s="39"/>
      <c r="V641" s="39"/>
      <c r="W641" s="40">
        <v>0</v>
      </c>
      <c r="X641" s="40">
        <v>0</v>
      </c>
      <c r="Y641" s="40">
        <v>0</v>
      </c>
      <c r="Z641" s="40">
        <v>0</v>
      </c>
      <c r="AA641" s="40">
        <v>0</v>
      </c>
      <c r="AB641" s="40">
        <v>0</v>
      </c>
      <c r="AC641" s="40">
        <v>0</v>
      </c>
      <c r="AD641" s="40">
        <v>0</v>
      </c>
      <c r="AE641" s="40">
        <v>0</v>
      </c>
      <c r="AF641" s="40">
        <v>0</v>
      </c>
      <c r="AG641" s="40">
        <v>0</v>
      </c>
      <c r="AH641" s="40">
        <v>0</v>
      </c>
      <c r="AI641" s="41">
        <f t="shared" si="69"/>
        <v>0</v>
      </c>
      <c r="AJ641" s="42">
        <v>0</v>
      </c>
      <c r="AK641" s="42">
        <v>0</v>
      </c>
      <c r="AL641" s="42">
        <v>0</v>
      </c>
      <c r="AM641" s="42">
        <v>0</v>
      </c>
      <c r="AN641" s="42">
        <v>0</v>
      </c>
      <c r="AO641" s="42">
        <v>0</v>
      </c>
      <c r="AP641" s="42">
        <v>0</v>
      </c>
      <c r="AQ641" s="42">
        <v>0</v>
      </c>
      <c r="AR641" s="42">
        <v>0</v>
      </c>
      <c r="AS641" s="42">
        <v>1826</v>
      </c>
      <c r="AT641" s="42">
        <v>1760</v>
      </c>
      <c r="AU641" s="42">
        <v>262</v>
      </c>
      <c r="AV641" s="42">
        <f t="shared" si="70"/>
        <v>3848</v>
      </c>
      <c r="AW641" s="42">
        <v>1402</v>
      </c>
      <c r="AX641" s="42">
        <v>749</v>
      </c>
      <c r="AY641" s="42">
        <v>765</v>
      </c>
      <c r="AZ641" s="42">
        <v>852</v>
      </c>
      <c r="BA641" s="42">
        <v>0</v>
      </c>
      <c r="BB641" s="42">
        <v>500</v>
      </c>
      <c r="BC641" s="42">
        <v>0</v>
      </c>
      <c r="BD641" s="42">
        <v>500</v>
      </c>
      <c r="BE641" s="42">
        <v>500</v>
      </c>
      <c r="BF641" s="42">
        <v>500</v>
      </c>
      <c r="BG641" s="42">
        <v>500</v>
      </c>
      <c r="BH641" s="42">
        <v>500</v>
      </c>
      <c r="BI641" s="42">
        <v>0</v>
      </c>
      <c r="BJ641" s="42">
        <v>500</v>
      </c>
      <c r="BK641" s="42">
        <v>500</v>
      </c>
      <c r="BL641" s="42">
        <v>500</v>
      </c>
      <c r="BM641" s="42">
        <v>500</v>
      </c>
      <c r="BN641" s="42">
        <v>0</v>
      </c>
      <c r="BO641" s="42">
        <v>500</v>
      </c>
      <c r="BP641" s="42">
        <v>500</v>
      </c>
      <c r="BQ641" s="42">
        <v>500</v>
      </c>
      <c r="BR641" s="42">
        <v>500</v>
      </c>
      <c r="BS641" s="42">
        <v>0</v>
      </c>
      <c r="BT641" s="42">
        <v>500</v>
      </c>
      <c r="BU641" s="42">
        <v>500</v>
      </c>
      <c r="BV641" s="42">
        <v>500</v>
      </c>
      <c r="BW641" s="42">
        <v>500</v>
      </c>
      <c r="BX641" s="42">
        <v>500</v>
      </c>
      <c r="BY641" s="42">
        <v>0</v>
      </c>
      <c r="BZ641" s="42">
        <v>500</v>
      </c>
      <c r="CA641" s="42">
        <v>500</v>
      </c>
      <c r="CB641" s="42">
        <v>500</v>
      </c>
      <c r="CC641" s="42">
        <v>500</v>
      </c>
      <c r="CD641" s="42">
        <v>0</v>
      </c>
      <c r="CE641" s="42">
        <v>500</v>
      </c>
      <c r="CF641" s="42">
        <v>500</v>
      </c>
      <c r="CG641" s="42">
        <v>500</v>
      </c>
      <c r="CH641" s="42">
        <v>500</v>
      </c>
      <c r="CI641" s="42">
        <v>500</v>
      </c>
      <c r="CJ641" s="42">
        <v>0</v>
      </c>
      <c r="CK641" s="43">
        <f t="shared" si="67"/>
        <v>17768</v>
      </c>
      <c r="CL641" s="66"/>
      <c r="CM641" s="66">
        <v>500</v>
      </c>
      <c r="CN641" s="66">
        <v>500</v>
      </c>
      <c r="CO641" s="66">
        <v>500</v>
      </c>
      <c r="CP641" s="66">
        <v>0</v>
      </c>
      <c r="CQ641" s="66">
        <v>500</v>
      </c>
      <c r="CR641" s="66">
        <v>500</v>
      </c>
      <c r="CS641" s="66">
        <v>500</v>
      </c>
      <c r="CT641" s="66">
        <v>500</v>
      </c>
      <c r="CU641" s="66">
        <v>500</v>
      </c>
      <c r="CV641" s="66">
        <v>0</v>
      </c>
      <c r="CW641" s="66">
        <v>500</v>
      </c>
      <c r="CX641" s="66">
        <v>500</v>
      </c>
      <c r="CY641" s="66">
        <v>500</v>
      </c>
      <c r="CZ641" s="66">
        <v>500</v>
      </c>
      <c r="DA641" s="66"/>
      <c r="DB641" s="66"/>
      <c r="DC641" s="66"/>
      <c r="DD641" s="66"/>
      <c r="DE641" s="66"/>
      <c r="DF641" s="66"/>
      <c r="DG641" s="66"/>
      <c r="DH641" s="66"/>
      <c r="DI641" s="66"/>
      <c r="DJ641" s="66"/>
      <c r="DK641" s="66">
        <f>SUM(Table1[[#This Row],[01-03 Apr]:[Mar-26]])</f>
        <v>6000</v>
      </c>
    </row>
    <row r="642" spans="1:115" x14ac:dyDescent="0.2">
      <c r="A642" s="28" t="s">
        <v>2367</v>
      </c>
      <c r="B642" s="29" t="s">
        <v>1525</v>
      </c>
      <c r="C642" s="29" t="s">
        <v>1526</v>
      </c>
      <c r="D642" s="30" t="s">
        <v>1527</v>
      </c>
      <c r="E642" s="30" t="s">
        <v>177</v>
      </c>
      <c r="F642" s="30"/>
      <c r="G642" s="31"/>
      <c r="H642" s="30">
        <v>311393</v>
      </c>
      <c r="I642" s="30" t="str">
        <f>IF(Table1[[#This Row],[Centre Status]]="Returned","NA",IF(Table1[[#This Row],[SD]]&gt;19000,"Full Payment",IF(Table1[[#This Row],[SD]]&lt;1,"No Payment","Partial Payment")))</f>
        <v>Partial Payment</v>
      </c>
      <c r="J642" s="30" t="s">
        <v>58</v>
      </c>
      <c r="K642" s="32">
        <v>110000</v>
      </c>
      <c r="L642" s="33">
        <f>Q642+R642+U642+Table1[[#This Row],[Farmer Payment]]</f>
        <v>38024.839399999997</v>
      </c>
      <c r="M642" s="30"/>
      <c r="N642" s="34"/>
      <c r="O642" s="34"/>
      <c r="P642" s="35">
        <f t="shared" si="68"/>
        <v>71975.160600000003</v>
      </c>
      <c r="Q642" s="33">
        <f>AI642+AV642+CK642+Table1[[#This Row],[FY 25-26]]</f>
        <v>28024.839400000001</v>
      </c>
      <c r="R642" s="36">
        <v>10000</v>
      </c>
      <c r="S642" s="37" t="s">
        <v>1528</v>
      </c>
      <c r="T642" s="38">
        <v>45102</v>
      </c>
      <c r="U642" s="39"/>
      <c r="V642" s="39"/>
      <c r="W642" s="40">
        <v>0</v>
      </c>
      <c r="X642" s="40">
        <v>0</v>
      </c>
      <c r="Y642" s="40">
        <v>0</v>
      </c>
      <c r="Z642" s="40">
        <v>0</v>
      </c>
      <c r="AA642" s="40">
        <v>0</v>
      </c>
      <c r="AB642" s="40">
        <v>0</v>
      </c>
      <c r="AC642" s="40">
        <v>0</v>
      </c>
      <c r="AD642" s="40">
        <v>0</v>
      </c>
      <c r="AE642" s="40">
        <v>0</v>
      </c>
      <c r="AF642" s="40">
        <v>0</v>
      </c>
      <c r="AG642" s="40">
        <v>0</v>
      </c>
      <c r="AH642" s="40">
        <v>0</v>
      </c>
      <c r="AI642" s="41">
        <f t="shared" si="69"/>
        <v>0</v>
      </c>
      <c r="AJ642" s="42">
        <v>0</v>
      </c>
      <c r="AK642" s="42">
        <v>0</v>
      </c>
      <c r="AL642" s="42">
        <v>0</v>
      </c>
      <c r="AM642" s="42">
        <v>0</v>
      </c>
      <c r="AN642" s="42">
        <v>0</v>
      </c>
      <c r="AO642" s="42">
        <v>0</v>
      </c>
      <c r="AP642" s="42">
        <v>0</v>
      </c>
      <c r="AQ642" s="42">
        <v>0</v>
      </c>
      <c r="AR642" s="42">
        <v>0</v>
      </c>
      <c r="AS642" s="42">
        <v>1778</v>
      </c>
      <c r="AT642" s="42">
        <v>2040.8394000000001</v>
      </c>
      <c r="AU642" s="42">
        <v>1861</v>
      </c>
      <c r="AV642" s="42">
        <f t="shared" si="70"/>
        <v>5679.8393999999998</v>
      </c>
      <c r="AW642" s="42">
        <v>691</v>
      </c>
      <c r="AX642" s="42">
        <v>0</v>
      </c>
      <c r="AY642" s="42">
        <v>0</v>
      </c>
      <c r="AZ642" s="42">
        <v>446</v>
      </c>
      <c r="BA642" s="42">
        <v>347</v>
      </c>
      <c r="BB642" s="42">
        <v>500</v>
      </c>
      <c r="BC642" s="42">
        <v>861</v>
      </c>
      <c r="BD642" s="42">
        <v>500</v>
      </c>
      <c r="BE642" s="42">
        <v>500</v>
      </c>
      <c r="BF642" s="42">
        <v>500</v>
      </c>
      <c r="BG642" s="42">
        <v>500</v>
      </c>
      <c r="BH642" s="42">
        <v>500</v>
      </c>
      <c r="BI642" s="42">
        <v>0</v>
      </c>
      <c r="BJ642" s="42">
        <v>500</v>
      </c>
      <c r="BK642" s="42">
        <v>500</v>
      </c>
      <c r="BL642" s="42">
        <v>500</v>
      </c>
      <c r="BM642" s="42">
        <v>500</v>
      </c>
      <c r="BN642" s="42">
        <v>0</v>
      </c>
      <c r="BO642" s="42">
        <v>500</v>
      </c>
      <c r="BP642" s="42">
        <v>500</v>
      </c>
      <c r="BQ642" s="42">
        <v>500</v>
      </c>
      <c r="BR642" s="42">
        <v>500</v>
      </c>
      <c r="BS642" s="42">
        <v>0</v>
      </c>
      <c r="BT642" s="42">
        <v>500</v>
      </c>
      <c r="BU642" s="42">
        <v>500</v>
      </c>
      <c r="BV642" s="42">
        <v>500</v>
      </c>
      <c r="BW642" s="42">
        <v>500</v>
      </c>
      <c r="BX642" s="42">
        <v>500</v>
      </c>
      <c r="BY642" s="42">
        <v>0</v>
      </c>
      <c r="BZ642" s="42">
        <v>500</v>
      </c>
      <c r="CA642" s="42">
        <v>500</v>
      </c>
      <c r="CB642" s="42">
        <v>500</v>
      </c>
      <c r="CC642" s="42">
        <v>500</v>
      </c>
      <c r="CD642" s="42">
        <v>0</v>
      </c>
      <c r="CE642" s="42">
        <v>500</v>
      </c>
      <c r="CF642" s="42">
        <v>500</v>
      </c>
      <c r="CG642" s="42">
        <v>500</v>
      </c>
      <c r="CH642" s="42">
        <v>500</v>
      </c>
      <c r="CI642" s="42">
        <v>500</v>
      </c>
      <c r="CJ642" s="42">
        <v>0</v>
      </c>
      <c r="CK642" s="43">
        <f t="shared" si="67"/>
        <v>16345</v>
      </c>
      <c r="CL642" s="66"/>
      <c r="CM642" s="66">
        <v>500</v>
      </c>
      <c r="CN642" s="66">
        <v>500</v>
      </c>
      <c r="CO642" s="66">
        <v>500</v>
      </c>
      <c r="CP642" s="66">
        <v>0</v>
      </c>
      <c r="CQ642" s="66">
        <v>500</v>
      </c>
      <c r="CR642" s="66">
        <v>500</v>
      </c>
      <c r="CS642" s="66">
        <v>500</v>
      </c>
      <c r="CT642" s="66">
        <v>500</v>
      </c>
      <c r="CU642" s="66">
        <v>500</v>
      </c>
      <c r="CV642" s="66">
        <v>0</v>
      </c>
      <c r="CW642" s="66">
        <v>500</v>
      </c>
      <c r="CX642" s="66">
        <v>500</v>
      </c>
      <c r="CY642" s="66">
        <v>500</v>
      </c>
      <c r="CZ642" s="66">
        <v>500</v>
      </c>
      <c r="DA642" s="66"/>
      <c r="DB642" s="66"/>
      <c r="DC642" s="66"/>
      <c r="DD642" s="66"/>
      <c r="DE642" s="66"/>
      <c r="DF642" s="66"/>
      <c r="DG642" s="66"/>
      <c r="DH642" s="66"/>
      <c r="DI642" s="66"/>
      <c r="DJ642" s="66"/>
      <c r="DK642" s="66">
        <f>SUM(Table1[[#This Row],[01-03 Apr]:[Mar-26]])</f>
        <v>6000</v>
      </c>
    </row>
    <row r="643" spans="1:115" hidden="1" x14ac:dyDescent="0.2">
      <c r="A643" s="28"/>
      <c r="B643" s="29"/>
      <c r="C643" s="29" t="s">
        <v>2630</v>
      </c>
      <c r="D643" s="30" t="s">
        <v>1529</v>
      </c>
      <c r="E643" s="30" t="s">
        <v>177</v>
      </c>
      <c r="F643" s="30"/>
      <c r="G643" s="31"/>
      <c r="H643" s="30">
        <v>310512</v>
      </c>
      <c r="I643" s="30" t="str">
        <f>IF(Table1[[#This Row],[Centre Status]]="Returned","NA",IF(Table1[[#This Row],[SD]]&gt;19000,"Full Payment",IF(Table1[[#This Row],[SD]]&lt;1,"No Payment","Partial Payment")))</f>
        <v>NA</v>
      </c>
      <c r="J643" s="30" t="s">
        <v>1903</v>
      </c>
      <c r="K643" s="32">
        <v>110000</v>
      </c>
      <c r="L643" s="33">
        <f>Q643+R643+U643+Table1[[#This Row],[Farmer Payment]]</f>
        <v>13000</v>
      </c>
      <c r="M643" s="30">
        <v>5000</v>
      </c>
      <c r="N643" s="34">
        <v>45688</v>
      </c>
      <c r="O643" s="34" t="s">
        <v>3159</v>
      </c>
      <c r="P643" s="35">
        <f t="shared" si="68"/>
        <v>102000</v>
      </c>
      <c r="Q643" s="33">
        <f>AI643+AV643+CK643+Table1[[#This Row],[FY 25-26]]</f>
        <v>8000</v>
      </c>
      <c r="R643" s="36">
        <v>5000</v>
      </c>
      <c r="S643" s="37" t="s">
        <v>1530</v>
      </c>
      <c r="T643" s="38">
        <v>45115</v>
      </c>
      <c r="U643" s="39"/>
      <c r="V643" s="39"/>
      <c r="W643" s="40">
        <v>0</v>
      </c>
      <c r="X643" s="40">
        <v>0</v>
      </c>
      <c r="Y643" s="40">
        <v>0</v>
      </c>
      <c r="Z643" s="40">
        <v>0</v>
      </c>
      <c r="AA643" s="40">
        <v>0</v>
      </c>
      <c r="AB643" s="40">
        <v>0</v>
      </c>
      <c r="AC643" s="40">
        <v>0</v>
      </c>
      <c r="AD643" s="40">
        <v>0</v>
      </c>
      <c r="AE643" s="40">
        <v>0</v>
      </c>
      <c r="AF643" s="40">
        <v>0</v>
      </c>
      <c r="AG643" s="40">
        <v>0</v>
      </c>
      <c r="AH643" s="40">
        <v>0</v>
      </c>
      <c r="AI643" s="41">
        <f t="shared" si="69"/>
        <v>0</v>
      </c>
      <c r="AJ643" s="42">
        <v>0</v>
      </c>
      <c r="AK643" s="42">
        <v>0</v>
      </c>
      <c r="AL643" s="42">
        <v>0</v>
      </c>
      <c r="AM643" s="42">
        <v>0</v>
      </c>
      <c r="AN643" s="42">
        <v>0</v>
      </c>
      <c r="AO643" s="42">
        <v>0</v>
      </c>
      <c r="AP643" s="42">
        <v>0</v>
      </c>
      <c r="AQ643" s="42">
        <v>0</v>
      </c>
      <c r="AR643" s="42">
        <v>0</v>
      </c>
      <c r="AS643" s="42">
        <v>0</v>
      </c>
      <c r="AT643" s="42">
        <v>0</v>
      </c>
      <c r="AU643" s="42">
        <v>0</v>
      </c>
      <c r="AV643" s="42">
        <f t="shared" si="70"/>
        <v>0</v>
      </c>
      <c r="AW643" s="42">
        <v>0</v>
      </c>
      <c r="AX643" s="42">
        <v>0</v>
      </c>
      <c r="AY643" s="42">
        <v>0</v>
      </c>
      <c r="AZ643" s="42">
        <v>0</v>
      </c>
      <c r="BA643" s="42">
        <v>0</v>
      </c>
      <c r="BB643" s="42">
        <v>0</v>
      </c>
      <c r="BC643" s="42">
        <v>0</v>
      </c>
      <c r="BD643" s="42">
        <v>0</v>
      </c>
      <c r="BE643" s="42">
        <v>500</v>
      </c>
      <c r="BF643" s="42">
        <v>500</v>
      </c>
      <c r="BG643" s="42">
        <v>500</v>
      </c>
      <c r="BH643" s="42">
        <v>500</v>
      </c>
      <c r="BI643" s="42">
        <v>0</v>
      </c>
      <c r="BJ643" s="42">
        <v>500</v>
      </c>
      <c r="BK643" s="42">
        <v>500</v>
      </c>
      <c r="BL643" s="42">
        <v>500</v>
      </c>
      <c r="BM643" s="42">
        <v>500</v>
      </c>
      <c r="BN643" s="42">
        <v>0</v>
      </c>
      <c r="BO643" s="42">
        <v>500</v>
      </c>
      <c r="BP643" s="42">
        <v>500</v>
      </c>
      <c r="BQ643" s="42">
        <v>500</v>
      </c>
      <c r="BR643" s="42">
        <v>500</v>
      </c>
      <c r="BS643" s="42">
        <v>0</v>
      </c>
      <c r="BT643" s="42">
        <v>500</v>
      </c>
      <c r="BU643" s="42">
        <v>500</v>
      </c>
      <c r="BV643" s="42">
        <v>500</v>
      </c>
      <c r="BW643" s="42">
        <v>500</v>
      </c>
      <c r="BX643" s="42">
        <v>0</v>
      </c>
      <c r="BY643" s="42">
        <v>0</v>
      </c>
      <c r="BZ643" s="42">
        <v>0</v>
      </c>
      <c r="CA643" s="42">
        <v>0</v>
      </c>
      <c r="CB643" s="42">
        <v>0</v>
      </c>
      <c r="CC643" s="42">
        <v>0</v>
      </c>
      <c r="CD643" s="42">
        <v>0</v>
      </c>
      <c r="CE643" s="42">
        <v>0</v>
      </c>
      <c r="CF643" s="42">
        <v>0</v>
      </c>
      <c r="CG643" s="42">
        <v>0</v>
      </c>
      <c r="CH643" s="42">
        <v>0</v>
      </c>
      <c r="CI643" s="42">
        <v>0</v>
      </c>
      <c r="CJ643" s="42">
        <v>0</v>
      </c>
      <c r="CK643" s="43">
        <f t="shared" si="67"/>
        <v>8000</v>
      </c>
      <c r="CL643" s="66"/>
      <c r="CM643" s="66">
        <v>0</v>
      </c>
      <c r="CN643" s="66">
        <v>0</v>
      </c>
      <c r="CO643" s="66">
        <v>0</v>
      </c>
      <c r="CP643" s="66">
        <v>0</v>
      </c>
      <c r="CQ643" s="66">
        <v>0</v>
      </c>
      <c r="CR643" s="66">
        <v>0</v>
      </c>
      <c r="CS643" s="66">
        <v>0</v>
      </c>
      <c r="CT643" s="66">
        <v>0</v>
      </c>
      <c r="CU643" s="66">
        <v>0</v>
      </c>
      <c r="CV643" s="66">
        <v>0</v>
      </c>
      <c r="CW643" s="66">
        <v>0</v>
      </c>
      <c r="CX643" s="66">
        <v>0</v>
      </c>
      <c r="CY643" s="66">
        <v>0</v>
      </c>
      <c r="CZ643" s="66">
        <v>0</v>
      </c>
      <c r="DA643" s="66"/>
      <c r="DB643" s="66"/>
      <c r="DC643" s="66"/>
      <c r="DD643" s="66"/>
      <c r="DE643" s="66"/>
      <c r="DF643" s="66"/>
      <c r="DG643" s="66"/>
      <c r="DH643" s="66"/>
      <c r="DI643" s="66"/>
      <c r="DJ643" s="66"/>
      <c r="DK643" s="66">
        <f>SUM(Table1[[#This Row],[01-03 Apr]:[Mar-26]])</f>
        <v>0</v>
      </c>
    </row>
    <row r="644" spans="1:115" x14ac:dyDescent="0.2">
      <c r="A644" s="28" t="s">
        <v>2367</v>
      </c>
      <c r="B644" s="29" t="s">
        <v>1531</v>
      </c>
      <c r="C644" s="29" t="s">
        <v>1532</v>
      </c>
      <c r="D644" s="30" t="s">
        <v>1533</v>
      </c>
      <c r="E644" s="30" t="s">
        <v>177</v>
      </c>
      <c r="F644" s="30"/>
      <c r="G644" s="31"/>
      <c r="H644" s="30"/>
      <c r="I644" s="30" t="str">
        <f>IF(Table1[[#This Row],[Centre Status]]="Returned","NA",IF(Table1[[#This Row],[SD]]&gt;19000,"Full Payment",IF(Table1[[#This Row],[SD]]&lt;1,"No Payment","Partial Payment")))</f>
        <v>Partial Payment</v>
      </c>
      <c r="J644" s="30" t="s">
        <v>58</v>
      </c>
      <c r="K644" s="32">
        <v>110000</v>
      </c>
      <c r="L644" s="33">
        <f>Q644+R644+U644+Table1[[#This Row],[Farmer Payment]]</f>
        <v>19627.443599999999</v>
      </c>
      <c r="M644" s="30"/>
      <c r="N644" s="34"/>
      <c r="O644" s="34"/>
      <c r="P644" s="35">
        <f t="shared" si="68"/>
        <v>90372.556400000001</v>
      </c>
      <c r="Q644" s="33">
        <f>AI644+AV644+CK644+Table1[[#This Row],[FY 25-26]]</f>
        <v>9627.4435999999987</v>
      </c>
      <c r="R644" s="36">
        <v>10000</v>
      </c>
      <c r="S644" s="37" t="s">
        <v>1534</v>
      </c>
      <c r="T644" s="38">
        <v>45131</v>
      </c>
      <c r="U644" s="39"/>
      <c r="V644" s="39"/>
      <c r="W644" s="40">
        <v>0</v>
      </c>
      <c r="X644" s="40">
        <v>0</v>
      </c>
      <c r="Y644" s="40">
        <v>0</v>
      </c>
      <c r="Z644" s="40">
        <v>0</v>
      </c>
      <c r="AA644" s="40">
        <v>0</v>
      </c>
      <c r="AB644" s="40">
        <v>0</v>
      </c>
      <c r="AC644" s="40">
        <v>0</v>
      </c>
      <c r="AD644" s="40">
        <v>0</v>
      </c>
      <c r="AE644" s="40">
        <v>0</v>
      </c>
      <c r="AF644" s="40">
        <v>0</v>
      </c>
      <c r="AG644" s="40">
        <v>0</v>
      </c>
      <c r="AH644" s="40">
        <v>0</v>
      </c>
      <c r="AI644" s="41">
        <f t="shared" si="69"/>
        <v>0</v>
      </c>
      <c r="AJ644" s="42">
        <v>0</v>
      </c>
      <c r="AK644" s="42">
        <v>0</v>
      </c>
      <c r="AL644" s="42">
        <v>0</v>
      </c>
      <c r="AM644" s="42">
        <v>0</v>
      </c>
      <c r="AN644" s="42">
        <v>0</v>
      </c>
      <c r="AO644" s="42">
        <v>0</v>
      </c>
      <c r="AP644" s="42">
        <v>0</v>
      </c>
      <c r="AQ644" s="42">
        <v>0</v>
      </c>
      <c r="AR644" s="42">
        <v>0</v>
      </c>
      <c r="AS644" s="42">
        <v>4269.777</v>
      </c>
      <c r="AT644" s="42">
        <v>5357.6665999999996</v>
      </c>
      <c r="AU644" s="42">
        <v>0</v>
      </c>
      <c r="AV644" s="42">
        <f t="shared" si="70"/>
        <v>9627.4435999999987</v>
      </c>
      <c r="AW644" s="42">
        <v>0</v>
      </c>
      <c r="AX644" s="42">
        <v>0</v>
      </c>
      <c r="AY644" s="42">
        <v>0</v>
      </c>
      <c r="AZ644" s="42">
        <v>0</v>
      </c>
      <c r="BA644" s="42">
        <v>0</v>
      </c>
      <c r="BB644" s="42">
        <v>0</v>
      </c>
      <c r="BC644" s="42">
        <v>0</v>
      </c>
      <c r="BD644" s="42">
        <v>0</v>
      </c>
      <c r="BE644" s="42">
        <v>0</v>
      </c>
      <c r="BF644" s="42">
        <v>0</v>
      </c>
      <c r="BG644" s="42">
        <v>0</v>
      </c>
      <c r="BH644" s="42">
        <v>0</v>
      </c>
      <c r="BI644" s="42">
        <v>0</v>
      </c>
      <c r="BJ644" s="42">
        <v>0</v>
      </c>
      <c r="BK644" s="42">
        <v>0</v>
      </c>
      <c r="BL644" s="42">
        <v>0</v>
      </c>
      <c r="BM644" s="42">
        <v>0</v>
      </c>
      <c r="BN644" s="42">
        <v>0</v>
      </c>
      <c r="BO644" s="42">
        <v>0</v>
      </c>
      <c r="BP644" s="42">
        <v>0</v>
      </c>
      <c r="BQ644" s="42">
        <v>0</v>
      </c>
      <c r="BR644" s="42">
        <v>0</v>
      </c>
      <c r="BS644" s="42">
        <v>0</v>
      </c>
      <c r="BT644" s="42">
        <v>0</v>
      </c>
      <c r="BU644" s="42">
        <v>0</v>
      </c>
      <c r="BV644" s="42">
        <v>0</v>
      </c>
      <c r="BW644" s="42">
        <v>0</v>
      </c>
      <c r="BX644" s="42">
        <v>0</v>
      </c>
      <c r="BY644" s="42">
        <v>0</v>
      </c>
      <c r="BZ644" s="42">
        <v>0</v>
      </c>
      <c r="CA644" s="42">
        <v>0</v>
      </c>
      <c r="CB644" s="42">
        <v>0</v>
      </c>
      <c r="CC644" s="42">
        <v>0</v>
      </c>
      <c r="CD644" s="42">
        <v>0</v>
      </c>
      <c r="CE644" s="42">
        <v>0</v>
      </c>
      <c r="CF644" s="42">
        <v>0</v>
      </c>
      <c r="CG644" s="42">
        <v>0</v>
      </c>
      <c r="CH644" s="42">
        <v>0</v>
      </c>
      <c r="CI644" s="42">
        <v>0</v>
      </c>
      <c r="CJ644" s="42">
        <v>0</v>
      </c>
      <c r="CK644" s="43">
        <f t="shared" si="67"/>
        <v>0</v>
      </c>
      <c r="CL644" s="66"/>
      <c r="CM644" s="66">
        <v>0</v>
      </c>
      <c r="CN644" s="66">
        <v>0</v>
      </c>
      <c r="CO644" s="66">
        <v>0</v>
      </c>
      <c r="CP644" s="66">
        <v>0</v>
      </c>
      <c r="CQ644" s="66">
        <v>0</v>
      </c>
      <c r="CR644" s="66">
        <v>0</v>
      </c>
      <c r="CS644" s="66">
        <v>0</v>
      </c>
      <c r="CT644" s="66">
        <v>0</v>
      </c>
      <c r="CU644" s="66">
        <v>0</v>
      </c>
      <c r="CV644" s="66">
        <v>0</v>
      </c>
      <c r="CW644" s="66">
        <v>0</v>
      </c>
      <c r="CX644" s="66">
        <v>0</v>
      </c>
      <c r="CY644" s="66">
        <v>0</v>
      </c>
      <c r="CZ644" s="66">
        <v>0</v>
      </c>
      <c r="DA644" s="66"/>
      <c r="DB644" s="66"/>
      <c r="DC644" s="66"/>
      <c r="DD644" s="66"/>
      <c r="DE644" s="66"/>
      <c r="DF644" s="66"/>
      <c r="DG644" s="66"/>
      <c r="DH644" s="66"/>
      <c r="DI644" s="66"/>
      <c r="DJ644" s="66"/>
      <c r="DK644" s="66">
        <f>SUM(Table1[[#This Row],[01-03 Apr]:[Mar-26]])</f>
        <v>0</v>
      </c>
    </row>
    <row r="645" spans="1:115" x14ac:dyDescent="0.2">
      <c r="A645" s="28" t="s">
        <v>2367</v>
      </c>
      <c r="B645" s="29" t="s">
        <v>1535</v>
      </c>
      <c r="C645" s="29" t="s">
        <v>3340</v>
      </c>
      <c r="D645" s="30" t="s">
        <v>1536</v>
      </c>
      <c r="E645" s="30" t="s">
        <v>177</v>
      </c>
      <c r="F645" s="30"/>
      <c r="G645" s="31"/>
      <c r="H645" s="30"/>
      <c r="I645" s="30" t="str">
        <f>IF(Table1[[#This Row],[Centre Status]]="Returned","NA",IF(Table1[[#This Row],[SD]]&gt;19000,"Full Payment",IF(Table1[[#This Row],[SD]]&lt;1,"No Payment","Partial Payment")))</f>
        <v>Partial Payment</v>
      </c>
      <c r="J645" s="30" t="s">
        <v>58</v>
      </c>
      <c r="K645" s="32">
        <v>110000</v>
      </c>
      <c r="L645" s="33">
        <f>Q645+R645+U645+Table1[[#This Row],[Farmer Payment]]</f>
        <v>10000</v>
      </c>
      <c r="M645" s="30"/>
      <c r="N645" s="34"/>
      <c r="O645" s="34"/>
      <c r="P645" s="35">
        <f t="shared" si="68"/>
        <v>100000</v>
      </c>
      <c r="Q645" s="33">
        <f>AI645+AV645+CK645+Table1[[#This Row],[FY 25-26]]</f>
        <v>0</v>
      </c>
      <c r="R645" s="36">
        <v>10000</v>
      </c>
      <c r="S645" s="37" t="s">
        <v>1537</v>
      </c>
      <c r="T645" s="38">
        <v>45131</v>
      </c>
      <c r="U645" s="39"/>
      <c r="V645" s="39"/>
      <c r="W645" s="40">
        <v>0</v>
      </c>
      <c r="X645" s="40">
        <v>0</v>
      </c>
      <c r="Y645" s="40">
        <v>0</v>
      </c>
      <c r="Z645" s="40">
        <v>0</v>
      </c>
      <c r="AA645" s="40">
        <v>0</v>
      </c>
      <c r="AB645" s="40">
        <v>0</v>
      </c>
      <c r="AC645" s="40">
        <v>0</v>
      </c>
      <c r="AD645" s="40">
        <v>0</v>
      </c>
      <c r="AE645" s="40">
        <v>0</v>
      </c>
      <c r="AF645" s="40">
        <v>0</v>
      </c>
      <c r="AG645" s="40">
        <v>0</v>
      </c>
      <c r="AH645" s="40">
        <v>0</v>
      </c>
      <c r="AI645" s="41">
        <f t="shared" si="69"/>
        <v>0</v>
      </c>
      <c r="AJ645" s="42">
        <v>0</v>
      </c>
      <c r="AK645" s="42">
        <v>0</v>
      </c>
      <c r="AL645" s="42">
        <v>0</v>
      </c>
      <c r="AM645" s="42">
        <v>0</v>
      </c>
      <c r="AN645" s="42">
        <v>0</v>
      </c>
      <c r="AO645" s="42">
        <v>0</v>
      </c>
      <c r="AP645" s="42">
        <v>0</v>
      </c>
      <c r="AQ645" s="42">
        <v>0</v>
      </c>
      <c r="AR645" s="42">
        <v>0</v>
      </c>
      <c r="AS645" s="42">
        <v>0</v>
      </c>
      <c r="AT645" s="42">
        <v>0</v>
      </c>
      <c r="AU645" s="42">
        <v>0</v>
      </c>
      <c r="AV645" s="42">
        <f t="shared" si="70"/>
        <v>0</v>
      </c>
      <c r="AW645" s="42">
        <v>0</v>
      </c>
      <c r="AX645" s="42">
        <v>0</v>
      </c>
      <c r="AY645" s="42">
        <v>0</v>
      </c>
      <c r="AZ645" s="42">
        <v>0</v>
      </c>
      <c r="BA645" s="42">
        <v>0</v>
      </c>
      <c r="BB645" s="42">
        <v>0</v>
      </c>
      <c r="BC645" s="42">
        <v>0</v>
      </c>
      <c r="BD645" s="42">
        <v>0</v>
      </c>
      <c r="BE645" s="42">
        <v>0</v>
      </c>
      <c r="BF645" s="42">
        <v>0</v>
      </c>
      <c r="BG645" s="42">
        <v>0</v>
      </c>
      <c r="BH645" s="42">
        <v>0</v>
      </c>
      <c r="BI645" s="42">
        <v>0</v>
      </c>
      <c r="BJ645" s="42">
        <v>0</v>
      </c>
      <c r="BK645" s="42">
        <v>0</v>
      </c>
      <c r="BL645" s="42">
        <v>0</v>
      </c>
      <c r="BM645" s="42">
        <v>0</v>
      </c>
      <c r="BN645" s="42">
        <v>0</v>
      </c>
      <c r="BO645" s="42">
        <v>0</v>
      </c>
      <c r="BP645" s="42">
        <v>0</v>
      </c>
      <c r="BQ645" s="42">
        <v>0</v>
      </c>
      <c r="BR645" s="42">
        <v>0</v>
      </c>
      <c r="BS645" s="42">
        <v>0</v>
      </c>
      <c r="BT645" s="42">
        <v>0</v>
      </c>
      <c r="BU645" s="42">
        <v>0</v>
      </c>
      <c r="BV645" s="42">
        <v>0</v>
      </c>
      <c r="BW645" s="42">
        <v>0</v>
      </c>
      <c r="BX645" s="42">
        <v>0</v>
      </c>
      <c r="BY645" s="42">
        <v>0</v>
      </c>
      <c r="BZ645" s="42">
        <v>0</v>
      </c>
      <c r="CA645" s="42">
        <v>0</v>
      </c>
      <c r="CB645" s="42">
        <v>0</v>
      </c>
      <c r="CC645" s="42">
        <v>0</v>
      </c>
      <c r="CD645" s="42">
        <v>0</v>
      </c>
      <c r="CE645" s="42">
        <v>0</v>
      </c>
      <c r="CF645" s="42">
        <v>0</v>
      </c>
      <c r="CG645" s="42">
        <v>0</v>
      </c>
      <c r="CH645" s="42">
        <v>0</v>
      </c>
      <c r="CI645" s="42">
        <v>0</v>
      </c>
      <c r="CJ645" s="42">
        <v>0</v>
      </c>
      <c r="CK645" s="43">
        <f t="shared" si="67"/>
        <v>0</v>
      </c>
      <c r="CL645" s="66"/>
      <c r="CM645" s="66">
        <v>0</v>
      </c>
      <c r="CN645" s="66">
        <v>0</v>
      </c>
      <c r="CO645" s="66">
        <v>0</v>
      </c>
      <c r="CP645" s="66">
        <v>0</v>
      </c>
      <c r="CQ645" s="66">
        <v>0</v>
      </c>
      <c r="CR645" s="66">
        <v>0</v>
      </c>
      <c r="CS645" s="66">
        <v>0</v>
      </c>
      <c r="CT645" s="66">
        <v>0</v>
      </c>
      <c r="CU645" s="66">
        <v>0</v>
      </c>
      <c r="CV645" s="66">
        <v>0</v>
      </c>
      <c r="CW645" s="66">
        <v>0</v>
      </c>
      <c r="CX645" s="66">
        <v>0</v>
      </c>
      <c r="CY645" s="66">
        <v>0</v>
      </c>
      <c r="CZ645" s="66">
        <v>0</v>
      </c>
      <c r="DA645" s="66"/>
      <c r="DB645" s="66"/>
      <c r="DC645" s="66"/>
      <c r="DD645" s="66"/>
      <c r="DE645" s="66"/>
      <c r="DF645" s="66"/>
      <c r="DG645" s="66"/>
      <c r="DH645" s="66"/>
      <c r="DI645" s="66"/>
      <c r="DJ645" s="66"/>
      <c r="DK645" s="66">
        <f>SUM(Table1[[#This Row],[01-03 Apr]:[Mar-26]])</f>
        <v>0</v>
      </c>
    </row>
    <row r="646" spans="1:115" hidden="1" x14ac:dyDescent="0.2">
      <c r="A646" s="28" t="s">
        <v>2256</v>
      </c>
      <c r="B646" s="29" t="s">
        <v>1538</v>
      </c>
      <c r="C646" s="29" t="s">
        <v>3341</v>
      </c>
      <c r="D646" s="30" t="s">
        <v>1539</v>
      </c>
      <c r="E646" s="30" t="s">
        <v>177</v>
      </c>
      <c r="F646" s="30"/>
      <c r="G646" s="31"/>
      <c r="H646" s="30">
        <v>277133</v>
      </c>
      <c r="I646" s="30" t="str">
        <f>IF(Table1[[#This Row],[Centre Status]]="Returned","NA",IF(Table1[[#This Row],[SD]]&gt;19000,"Full Payment",IF(Table1[[#This Row],[SD]]&lt;1,"No Payment","Partial Payment")))</f>
        <v>NA</v>
      </c>
      <c r="J646" s="30" t="s">
        <v>1903</v>
      </c>
      <c r="K646" s="32">
        <v>110000</v>
      </c>
      <c r="L646" s="33">
        <f>Q646+R646+U646+Table1[[#This Row],[Farmer Payment]]</f>
        <v>11861</v>
      </c>
      <c r="M646" s="30">
        <v>10000</v>
      </c>
      <c r="N646" s="34">
        <v>45688</v>
      </c>
      <c r="O646" s="34" t="s">
        <v>3159</v>
      </c>
      <c r="P646" s="35">
        <f t="shared" si="68"/>
        <v>108139</v>
      </c>
      <c r="Q646" s="33">
        <f>AI646+AV646+CK646+Table1[[#This Row],[FY 25-26]]</f>
        <v>1861</v>
      </c>
      <c r="R646" s="36">
        <v>10000</v>
      </c>
      <c r="S646" s="37" t="s">
        <v>1540</v>
      </c>
      <c r="T646" s="38">
        <v>45145</v>
      </c>
      <c r="U646" s="39"/>
      <c r="V646" s="39"/>
      <c r="W646" s="40">
        <v>0</v>
      </c>
      <c r="X646" s="40">
        <v>0</v>
      </c>
      <c r="Y646" s="40">
        <v>0</v>
      </c>
      <c r="Z646" s="40">
        <v>0</v>
      </c>
      <c r="AA646" s="40">
        <v>0</v>
      </c>
      <c r="AB646" s="40">
        <v>0</v>
      </c>
      <c r="AC646" s="40">
        <v>0</v>
      </c>
      <c r="AD646" s="40">
        <v>0</v>
      </c>
      <c r="AE646" s="40">
        <v>0</v>
      </c>
      <c r="AF646" s="40">
        <v>0</v>
      </c>
      <c r="AG646" s="40">
        <v>0</v>
      </c>
      <c r="AH646" s="40">
        <v>0</v>
      </c>
      <c r="AI646" s="41">
        <f t="shared" si="69"/>
        <v>0</v>
      </c>
      <c r="AJ646" s="42">
        <v>0</v>
      </c>
      <c r="AK646" s="42">
        <v>0</v>
      </c>
      <c r="AL646" s="42">
        <v>0</v>
      </c>
      <c r="AM646" s="42">
        <v>0</v>
      </c>
      <c r="AN646" s="42">
        <v>0</v>
      </c>
      <c r="AO646" s="42">
        <v>0</v>
      </c>
      <c r="AP646" s="42">
        <v>0</v>
      </c>
      <c r="AQ646" s="42">
        <v>0</v>
      </c>
      <c r="AR646" s="42">
        <v>0</v>
      </c>
      <c r="AS646" s="42">
        <v>1861</v>
      </c>
      <c r="AT646" s="42">
        <v>0</v>
      </c>
      <c r="AU646" s="42">
        <v>0</v>
      </c>
      <c r="AV646" s="42">
        <f t="shared" si="70"/>
        <v>1861</v>
      </c>
      <c r="AW646" s="42">
        <v>0</v>
      </c>
      <c r="AX646" s="42">
        <v>0</v>
      </c>
      <c r="AY646" s="42">
        <v>0</v>
      </c>
      <c r="AZ646" s="42">
        <v>0</v>
      </c>
      <c r="BA646" s="42">
        <v>0</v>
      </c>
      <c r="BB646" s="42">
        <v>0</v>
      </c>
      <c r="BC646" s="42">
        <v>0</v>
      </c>
      <c r="BD646" s="42">
        <v>0</v>
      </c>
      <c r="BE646" s="42">
        <v>0</v>
      </c>
      <c r="BF646" s="42">
        <v>0</v>
      </c>
      <c r="BG646" s="42">
        <v>0</v>
      </c>
      <c r="BH646" s="42">
        <v>0</v>
      </c>
      <c r="BI646" s="42">
        <v>0</v>
      </c>
      <c r="BJ646" s="42">
        <v>0</v>
      </c>
      <c r="BK646" s="42">
        <v>0</v>
      </c>
      <c r="BL646" s="42">
        <v>0</v>
      </c>
      <c r="BM646" s="42">
        <v>0</v>
      </c>
      <c r="BN646" s="42">
        <v>0</v>
      </c>
      <c r="BO646" s="42">
        <v>0</v>
      </c>
      <c r="BP646" s="42">
        <v>0</v>
      </c>
      <c r="BQ646" s="42">
        <v>0</v>
      </c>
      <c r="BR646" s="42">
        <v>0</v>
      </c>
      <c r="BS646" s="42">
        <v>0</v>
      </c>
      <c r="BT646" s="42">
        <v>0</v>
      </c>
      <c r="BU646" s="42">
        <v>0</v>
      </c>
      <c r="BV646" s="42">
        <v>0</v>
      </c>
      <c r="BW646" s="42">
        <v>0</v>
      </c>
      <c r="BX646" s="42">
        <v>0</v>
      </c>
      <c r="BY646" s="42">
        <v>0</v>
      </c>
      <c r="BZ646" s="42">
        <v>0</v>
      </c>
      <c r="CA646" s="42">
        <v>0</v>
      </c>
      <c r="CB646" s="42">
        <v>0</v>
      </c>
      <c r="CC646" s="42">
        <v>0</v>
      </c>
      <c r="CD646" s="42">
        <v>0</v>
      </c>
      <c r="CE646" s="42">
        <v>0</v>
      </c>
      <c r="CF646" s="42">
        <v>0</v>
      </c>
      <c r="CG646" s="42">
        <v>0</v>
      </c>
      <c r="CH646" s="42">
        <v>0</v>
      </c>
      <c r="CI646" s="42">
        <v>0</v>
      </c>
      <c r="CJ646" s="42">
        <v>0</v>
      </c>
      <c r="CK646" s="43">
        <f t="shared" si="67"/>
        <v>0</v>
      </c>
      <c r="CL646" s="66"/>
      <c r="CM646" s="66">
        <v>0</v>
      </c>
      <c r="CN646" s="66">
        <v>0</v>
      </c>
      <c r="CO646" s="66">
        <v>0</v>
      </c>
      <c r="CP646" s="66">
        <v>0</v>
      </c>
      <c r="CQ646" s="66">
        <v>0</v>
      </c>
      <c r="CR646" s="66">
        <v>0</v>
      </c>
      <c r="CS646" s="66">
        <v>0</v>
      </c>
      <c r="CT646" s="66">
        <v>0</v>
      </c>
      <c r="CU646" s="66">
        <v>0</v>
      </c>
      <c r="CV646" s="66">
        <v>0</v>
      </c>
      <c r="CW646" s="66">
        <v>0</v>
      </c>
      <c r="CX646" s="66">
        <v>0</v>
      </c>
      <c r="CY646" s="66">
        <v>0</v>
      </c>
      <c r="CZ646" s="66">
        <v>0</v>
      </c>
      <c r="DA646" s="66"/>
      <c r="DB646" s="66"/>
      <c r="DC646" s="66"/>
      <c r="DD646" s="66"/>
      <c r="DE646" s="66"/>
      <c r="DF646" s="66"/>
      <c r="DG646" s="66"/>
      <c r="DH646" s="66"/>
      <c r="DI646" s="66"/>
      <c r="DJ646" s="66"/>
      <c r="DK646" s="66">
        <f>SUM(Table1[[#This Row],[01-03 Apr]:[Mar-26]])</f>
        <v>0</v>
      </c>
    </row>
    <row r="647" spans="1:115" x14ac:dyDescent="0.2">
      <c r="A647" s="28"/>
      <c r="B647" s="29"/>
      <c r="C647" s="29" t="s">
        <v>3336</v>
      </c>
      <c r="D647" s="30" t="s">
        <v>1542</v>
      </c>
      <c r="E647" s="30"/>
      <c r="F647" s="30"/>
      <c r="G647" s="31"/>
      <c r="H647" s="30"/>
      <c r="I647" s="30" t="str">
        <f>IF(Table1[[#This Row],[Centre Status]]="Returned","NA",IF(Table1[[#This Row],[SD]]&gt;19000,"Full Payment",IF(Table1[[#This Row],[SD]]&lt;1,"No Payment","Partial Payment")))</f>
        <v>Partial Payment</v>
      </c>
      <c r="J647" s="30" t="s">
        <v>58</v>
      </c>
      <c r="K647" s="32">
        <v>110000</v>
      </c>
      <c r="L647" s="33">
        <f>Q647+R647+U647+Table1[[#This Row],[Farmer Payment]]</f>
        <v>10000</v>
      </c>
      <c r="M647" s="30"/>
      <c r="N647" s="34"/>
      <c r="O647" s="34"/>
      <c r="P647" s="35">
        <f t="shared" si="68"/>
        <v>100000</v>
      </c>
      <c r="Q647" s="33">
        <f>AI647+AV647+CK647+Table1[[#This Row],[FY 25-26]]</f>
        <v>0</v>
      </c>
      <c r="R647" s="36">
        <v>10000</v>
      </c>
      <c r="S647" s="37" t="s">
        <v>1543</v>
      </c>
      <c r="T647" s="38">
        <v>45217</v>
      </c>
      <c r="U647" s="39"/>
      <c r="V647" s="39"/>
      <c r="W647" s="40">
        <v>0</v>
      </c>
      <c r="X647" s="40">
        <v>0</v>
      </c>
      <c r="Y647" s="40">
        <v>0</v>
      </c>
      <c r="Z647" s="40">
        <v>0</v>
      </c>
      <c r="AA647" s="40">
        <v>0</v>
      </c>
      <c r="AB647" s="40">
        <v>0</v>
      </c>
      <c r="AC647" s="40">
        <v>0</v>
      </c>
      <c r="AD647" s="40">
        <v>0</v>
      </c>
      <c r="AE647" s="40">
        <v>0</v>
      </c>
      <c r="AF647" s="40">
        <v>0</v>
      </c>
      <c r="AG647" s="40">
        <v>0</v>
      </c>
      <c r="AH647" s="40">
        <v>0</v>
      </c>
      <c r="AI647" s="41">
        <f t="shared" si="69"/>
        <v>0</v>
      </c>
      <c r="AJ647" s="42">
        <v>0</v>
      </c>
      <c r="AK647" s="42">
        <v>0</v>
      </c>
      <c r="AL647" s="42">
        <v>0</v>
      </c>
      <c r="AM647" s="42">
        <v>0</v>
      </c>
      <c r="AN647" s="42">
        <v>0</v>
      </c>
      <c r="AO647" s="42">
        <v>0</v>
      </c>
      <c r="AP647" s="42">
        <v>0</v>
      </c>
      <c r="AQ647" s="42">
        <v>0</v>
      </c>
      <c r="AR647" s="42">
        <v>0</v>
      </c>
      <c r="AS647" s="42">
        <v>0</v>
      </c>
      <c r="AT647" s="42">
        <v>0</v>
      </c>
      <c r="AU647" s="42">
        <v>0</v>
      </c>
      <c r="AV647" s="42">
        <f t="shared" si="70"/>
        <v>0</v>
      </c>
      <c r="AW647" s="42">
        <v>0</v>
      </c>
      <c r="AX647" s="42">
        <v>0</v>
      </c>
      <c r="AY647" s="42">
        <v>0</v>
      </c>
      <c r="AZ647" s="42">
        <v>0</v>
      </c>
      <c r="BA647" s="42">
        <v>0</v>
      </c>
      <c r="BB647" s="42">
        <v>0</v>
      </c>
      <c r="BC647" s="42">
        <v>0</v>
      </c>
      <c r="BD647" s="42">
        <v>0</v>
      </c>
      <c r="BE647" s="42">
        <v>0</v>
      </c>
      <c r="BF647" s="42">
        <v>0</v>
      </c>
      <c r="BG647" s="42">
        <v>0</v>
      </c>
      <c r="BH647" s="42">
        <v>0</v>
      </c>
      <c r="BI647" s="42">
        <v>0</v>
      </c>
      <c r="BJ647" s="42">
        <v>0</v>
      </c>
      <c r="BK647" s="42">
        <v>0</v>
      </c>
      <c r="BL647" s="42">
        <v>0</v>
      </c>
      <c r="BM647" s="42">
        <v>0</v>
      </c>
      <c r="BN647" s="42">
        <v>0</v>
      </c>
      <c r="BO647" s="42">
        <v>0</v>
      </c>
      <c r="BP647" s="42">
        <v>0</v>
      </c>
      <c r="BQ647" s="42">
        <v>0</v>
      </c>
      <c r="BR647" s="42">
        <v>0</v>
      </c>
      <c r="BS647" s="42">
        <v>0</v>
      </c>
      <c r="BT647" s="42">
        <v>0</v>
      </c>
      <c r="BU647" s="42">
        <v>0</v>
      </c>
      <c r="BV647" s="42">
        <v>0</v>
      </c>
      <c r="BW647" s="42">
        <v>0</v>
      </c>
      <c r="BX647" s="42">
        <v>0</v>
      </c>
      <c r="BY647" s="42">
        <v>0</v>
      </c>
      <c r="BZ647" s="42">
        <v>0</v>
      </c>
      <c r="CA647" s="42">
        <v>0</v>
      </c>
      <c r="CB647" s="42">
        <v>0</v>
      </c>
      <c r="CC647" s="42">
        <v>0</v>
      </c>
      <c r="CD647" s="42">
        <v>0</v>
      </c>
      <c r="CE647" s="42">
        <v>0</v>
      </c>
      <c r="CF647" s="42">
        <v>0</v>
      </c>
      <c r="CG647" s="42">
        <v>0</v>
      </c>
      <c r="CH647" s="42">
        <v>0</v>
      </c>
      <c r="CI647" s="42">
        <v>0</v>
      </c>
      <c r="CJ647" s="42">
        <v>0</v>
      </c>
      <c r="CK647" s="43">
        <f t="shared" si="67"/>
        <v>0</v>
      </c>
      <c r="CL647" s="66"/>
      <c r="CM647" s="66">
        <v>0</v>
      </c>
      <c r="CN647" s="66">
        <v>0</v>
      </c>
      <c r="CO647" s="66">
        <v>0</v>
      </c>
      <c r="CP647" s="66">
        <v>0</v>
      </c>
      <c r="CQ647" s="66">
        <v>0</v>
      </c>
      <c r="CR647" s="66">
        <v>0</v>
      </c>
      <c r="CS647" s="66">
        <v>0</v>
      </c>
      <c r="CT647" s="66">
        <v>0</v>
      </c>
      <c r="CU647" s="66">
        <v>0</v>
      </c>
      <c r="CV647" s="66">
        <v>0</v>
      </c>
      <c r="CW647" s="66">
        <v>0</v>
      </c>
      <c r="CX647" s="66">
        <v>0</v>
      </c>
      <c r="CY647" s="66">
        <v>0</v>
      </c>
      <c r="CZ647" s="66">
        <v>0</v>
      </c>
      <c r="DA647" s="66"/>
      <c r="DB647" s="66"/>
      <c r="DC647" s="66"/>
      <c r="DD647" s="66"/>
      <c r="DE647" s="66"/>
      <c r="DF647" s="66"/>
      <c r="DG647" s="66"/>
      <c r="DH647" s="66"/>
      <c r="DI647" s="66"/>
      <c r="DJ647" s="66"/>
      <c r="DK647" s="66">
        <f>SUM(Table1[[#This Row],[01-03 Apr]:[Mar-26]])</f>
        <v>0</v>
      </c>
    </row>
    <row r="648" spans="1:115" hidden="1" x14ac:dyDescent="0.2">
      <c r="A648" s="28" t="s">
        <v>2255</v>
      </c>
      <c r="B648" s="29" t="s">
        <v>1544</v>
      </c>
      <c r="C648" s="29" t="s">
        <v>1545</v>
      </c>
      <c r="D648" s="30" t="s">
        <v>1546</v>
      </c>
      <c r="E648" s="30" t="s">
        <v>63</v>
      </c>
      <c r="F648" s="30"/>
      <c r="G648" s="31"/>
      <c r="H648" s="30">
        <v>385511</v>
      </c>
      <c r="I648" s="30" t="str">
        <f>IF(Table1[[#This Row],[Centre Status]]="Returned","NA",IF(Table1[[#This Row],[SD]]&gt;19000,"Full Payment",IF(Table1[[#This Row],[SD]]&lt;1,"No Payment","Partial Payment")))</f>
        <v>NA</v>
      </c>
      <c r="J648" s="30" t="s">
        <v>1903</v>
      </c>
      <c r="K648" s="32">
        <v>110000</v>
      </c>
      <c r="L648" s="33">
        <f>Q648+R648+U648+Table1[[#This Row],[Farmer Payment]]</f>
        <v>26061.789400000001</v>
      </c>
      <c r="M648" s="30">
        <v>26062</v>
      </c>
      <c r="N648" s="34">
        <v>45975</v>
      </c>
      <c r="O648" s="34"/>
      <c r="P648" s="35">
        <f t="shared" si="68"/>
        <v>110000.21059999999</v>
      </c>
      <c r="Q648" s="33">
        <f>AI648+AV648+CK648+Table1[[#This Row],[FY 25-26]]</f>
        <v>11061.789400000001</v>
      </c>
      <c r="R648" s="36">
        <v>15000</v>
      </c>
      <c r="S648" s="37" t="s">
        <v>1547</v>
      </c>
      <c r="T648" s="38">
        <v>45134</v>
      </c>
      <c r="U648" s="39"/>
      <c r="V648" s="39"/>
      <c r="W648" s="40">
        <v>0</v>
      </c>
      <c r="X648" s="40">
        <v>0</v>
      </c>
      <c r="Y648" s="40">
        <v>0</v>
      </c>
      <c r="Z648" s="40">
        <v>0</v>
      </c>
      <c r="AA648" s="40">
        <v>0</v>
      </c>
      <c r="AB648" s="40">
        <v>0</v>
      </c>
      <c r="AC648" s="40">
        <v>0</v>
      </c>
      <c r="AD648" s="40">
        <v>0</v>
      </c>
      <c r="AE648" s="40">
        <v>0</v>
      </c>
      <c r="AF648" s="40">
        <v>0</v>
      </c>
      <c r="AG648" s="40">
        <v>0</v>
      </c>
      <c r="AH648" s="40">
        <v>0</v>
      </c>
      <c r="AI648" s="41">
        <f t="shared" si="69"/>
        <v>0</v>
      </c>
      <c r="AJ648" s="42">
        <v>0</v>
      </c>
      <c r="AK648" s="42">
        <v>0</v>
      </c>
      <c r="AL648" s="42">
        <v>0</v>
      </c>
      <c r="AM648" s="42">
        <v>0</v>
      </c>
      <c r="AN648" s="42">
        <v>0</v>
      </c>
      <c r="AO648" s="42">
        <v>0</v>
      </c>
      <c r="AP648" s="42">
        <v>0</v>
      </c>
      <c r="AQ648" s="42">
        <v>1861</v>
      </c>
      <c r="AR648" s="42">
        <v>2200.6336000000001</v>
      </c>
      <c r="AS648" s="42">
        <v>2871.0106000000001</v>
      </c>
      <c r="AT648" s="42">
        <v>2268.1452000000004</v>
      </c>
      <c r="AU648" s="42">
        <v>1861</v>
      </c>
      <c r="AV648" s="42">
        <f t="shared" si="70"/>
        <v>11061.789400000001</v>
      </c>
      <c r="AW648" s="42">
        <v>0</v>
      </c>
      <c r="AX648" s="42">
        <v>0</v>
      </c>
      <c r="AY648" s="42">
        <v>0</v>
      </c>
      <c r="AZ648" s="42">
        <v>0</v>
      </c>
      <c r="BA648" s="42">
        <v>0</v>
      </c>
      <c r="BB648" s="42">
        <v>0</v>
      </c>
      <c r="BC648" s="42">
        <v>0</v>
      </c>
      <c r="BD648" s="42">
        <v>0</v>
      </c>
      <c r="BE648" s="42">
        <v>0</v>
      </c>
      <c r="BF648" s="42">
        <v>0</v>
      </c>
      <c r="BG648" s="42">
        <v>0</v>
      </c>
      <c r="BH648" s="42">
        <v>0</v>
      </c>
      <c r="BI648" s="42">
        <v>0</v>
      </c>
      <c r="BJ648" s="42">
        <v>0</v>
      </c>
      <c r="BK648" s="42">
        <v>0</v>
      </c>
      <c r="BL648" s="42">
        <v>0</v>
      </c>
      <c r="BM648" s="42">
        <v>0</v>
      </c>
      <c r="BN648" s="42">
        <v>0</v>
      </c>
      <c r="BO648" s="42">
        <v>0</v>
      </c>
      <c r="BP648" s="42">
        <v>0</v>
      </c>
      <c r="BQ648" s="42">
        <v>0</v>
      </c>
      <c r="BR648" s="42">
        <v>0</v>
      </c>
      <c r="BS648" s="42">
        <v>0</v>
      </c>
      <c r="BT648" s="42">
        <v>0</v>
      </c>
      <c r="BU648" s="42">
        <v>0</v>
      </c>
      <c r="BV648" s="42">
        <v>0</v>
      </c>
      <c r="BW648" s="42">
        <v>0</v>
      </c>
      <c r="BX648" s="42">
        <v>0</v>
      </c>
      <c r="BY648" s="42">
        <v>0</v>
      </c>
      <c r="BZ648" s="42">
        <v>0</v>
      </c>
      <c r="CA648" s="42">
        <v>0</v>
      </c>
      <c r="CB648" s="42">
        <v>0</v>
      </c>
      <c r="CC648" s="42">
        <v>0</v>
      </c>
      <c r="CD648" s="42">
        <v>0</v>
      </c>
      <c r="CE648" s="42">
        <v>0</v>
      </c>
      <c r="CF648" s="42">
        <v>0</v>
      </c>
      <c r="CG648" s="42">
        <v>0</v>
      </c>
      <c r="CH648" s="42">
        <v>0</v>
      </c>
      <c r="CI648" s="42">
        <v>0</v>
      </c>
      <c r="CJ648" s="42">
        <v>0</v>
      </c>
      <c r="CK648" s="43">
        <f t="shared" si="67"/>
        <v>0</v>
      </c>
      <c r="CL648" s="66"/>
      <c r="CM648" s="66">
        <v>0</v>
      </c>
      <c r="CN648" s="66">
        <v>0</v>
      </c>
      <c r="CO648" s="66">
        <v>0</v>
      </c>
      <c r="CP648" s="66">
        <v>0</v>
      </c>
      <c r="CQ648" s="66">
        <v>0</v>
      </c>
      <c r="CR648" s="66">
        <v>0</v>
      </c>
      <c r="CS648" s="66">
        <v>0</v>
      </c>
      <c r="CT648" s="66">
        <v>0</v>
      </c>
      <c r="CU648" s="66">
        <v>0</v>
      </c>
      <c r="CV648" s="66">
        <v>0</v>
      </c>
      <c r="CW648" s="66">
        <v>0</v>
      </c>
      <c r="CX648" s="66">
        <v>0</v>
      </c>
      <c r="CY648" s="66">
        <v>0</v>
      </c>
      <c r="CZ648" s="66">
        <v>0</v>
      </c>
      <c r="DA648" s="66"/>
      <c r="DB648" s="66"/>
      <c r="DC648" s="66"/>
      <c r="DD648" s="66"/>
      <c r="DE648" s="66"/>
      <c r="DF648" s="66"/>
      <c r="DG648" s="66"/>
      <c r="DH648" s="66"/>
      <c r="DI648" s="66"/>
      <c r="DJ648" s="66"/>
      <c r="DK648" s="66">
        <f>SUM(Table1[[#This Row],[01-03 Apr]:[Mar-26]])</f>
        <v>0</v>
      </c>
    </row>
    <row r="649" spans="1:115" hidden="1" x14ac:dyDescent="0.2">
      <c r="A649" s="28" t="s">
        <v>2367</v>
      </c>
      <c r="B649" s="29" t="s">
        <v>1548</v>
      </c>
      <c r="C649" s="29" t="s">
        <v>1549</v>
      </c>
      <c r="D649" s="30" t="s">
        <v>1550</v>
      </c>
      <c r="E649" s="30" t="s">
        <v>63</v>
      </c>
      <c r="F649" s="30"/>
      <c r="G649" s="31"/>
      <c r="H649" s="30">
        <v>382866</v>
      </c>
      <c r="I649" s="30" t="str">
        <f>IF(Table1[[#This Row],[Centre Status]]="Returned","NA",IF(Table1[[#This Row],[SD]]&gt;19000,"Full Payment",IF(Table1[[#This Row],[SD]]&lt;1,"No Payment","Partial Payment")))</f>
        <v>Full Payment</v>
      </c>
      <c r="J649" s="30" t="s">
        <v>58</v>
      </c>
      <c r="K649" s="32">
        <v>110000</v>
      </c>
      <c r="L649" s="33">
        <f>Q649+R649+U649+Table1[[#This Row],[Farmer Payment]]</f>
        <v>97797.478325307122</v>
      </c>
      <c r="M649" s="30"/>
      <c r="N649" s="34"/>
      <c r="O649" s="34"/>
      <c r="P649" s="35">
        <f t="shared" si="68"/>
        <v>12202.521674692878</v>
      </c>
      <c r="Q649" s="33">
        <f>AI649+AV649+CK649+Table1[[#This Row],[FY 25-26]]</f>
        <v>77797.478325307122</v>
      </c>
      <c r="R649" s="36">
        <v>20000</v>
      </c>
      <c r="S649" s="37" t="s">
        <v>1551</v>
      </c>
      <c r="T649" s="38">
        <v>45150</v>
      </c>
      <c r="U649" s="39"/>
      <c r="V649" s="39"/>
      <c r="W649" s="40">
        <v>0</v>
      </c>
      <c r="X649" s="40">
        <v>0</v>
      </c>
      <c r="Y649" s="40">
        <v>0</v>
      </c>
      <c r="Z649" s="40">
        <v>0</v>
      </c>
      <c r="AA649" s="40">
        <v>0</v>
      </c>
      <c r="AB649" s="40">
        <v>0</v>
      </c>
      <c r="AC649" s="40">
        <v>0</v>
      </c>
      <c r="AD649" s="40">
        <v>0</v>
      </c>
      <c r="AE649" s="40">
        <v>0</v>
      </c>
      <c r="AF649" s="40">
        <v>0</v>
      </c>
      <c r="AG649" s="40">
        <v>0</v>
      </c>
      <c r="AH649" s="40">
        <v>0</v>
      </c>
      <c r="AI649" s="41">
        <f t="shared" si="69"/>
        <v>0</v>
      </c>
      <c r="AJ649" s="42">
        <v>0</v>
      </c>
      <c r="AK649" s="42">
        <v>0</v>
      </c>
      <c r="AL649" s="42">
        <v>0</v>
      </c>
      <c r="AM649" s="42">
        <v>0</v>
      </c>
      <c r="AN649" s="42">
        <v>0</v>
      </c>
      <c r="AO649" s="42">
        <v>0</v>
      </c>
      <c r="AP649" s="42">
        <v>0</v>
      </c>
      <c r="AQ649" s="42">
        <v>1861</v>
      </c>
      <c r="AR649" s="42">
        <v>1861</v>
      </c>
      <c r="AS649" s="42">
        <v>3903.6128000000003</v>
      </c>
      <c r="AT649" s="42">
        <v>6263.4132</v>
      </c>
      <c r="AU649" s="42">
        <v>7007.5680000000002</v>
      </c>
      <c r="AV649" s="42">
        <f t="shared" si="70"/>
        <v>20896.594000000001</v>
      </c>
      <c r="AW649" s="42">
        <v>2000</v>
      </c>
      <c r="AX649" s="42">
        <v>3182.6672819615405</v>
      </c>
      <c r="AY649" s="42">
        <v>2269.62274734124</v>
      </c>
      <c r="AZ649" s="42">
        <v>3019.6459990609605</v>
      </c>
      <c r="BA649" s="42">
        <v>1752</v>
      </c>
      <c r="BB649" s="42">
        <v>500</v>
      </c>
      <c r="BC649" s="42">
        <v>861</v>
      </c>
      <c r="BD649" s="42">
        <v>500</v>
      </c>
      <c r="BE649" s="42">
        <v>500</v>
      </c>
      <c r="BF649" s="42">
        <v>500</v>
      </c>
      <c r="BG649" s="42">
        <v>500</v>
      </c>
      <c r="BH649" s="42">
        <v>500</v>
      </c>
      <c r="BI649" s="42">
        <v>172.96245619647016</v>
      </c>
      <c r="BJ649" s="42">
        <v>500</v>
      </c>
      <c r="BK649" s="42">
        <v>500</v>
      </c>
      <c r="BL649" s="42">
        <v>0</v>
      </c>
      <c r="BM649" s="42">
        <v>0</v>
      </c>
      <c r="BN649" s="42">
        <v>1892.0521598760483</v>
      </c>
      <c r="BO649" s="42">
        <v>0</v>
      </c>
      <c r="BP649" s="42">
        <v>0</v>
      </c>
      <c r="BQ649" s="42">
        <v>0</v>
      </c>
      <c r="BR649" s="42">
        <v>0</v>
      </c>
      <c r="BS649" s="42">
        <v>5384.317161524461</v>
      </c>
      <c r="BT649" s="42">
        <v>0</v>
      </c>
      <c r="BU649" s="42">
        <v>0</v>
      </c>
      <c r="BV649" s="42">
        <v>0</v>
      </c>
      <c r="BW649" s="42">
        <v>0</v>
      </c>
      <c r="BX649" s="42">
        <v>0</v>
      </c>
      <c r="BY649" s="42">
        <v>7105.2846816485026</v>
      </c>
      <c r="BZ649" s="42">
        <v>0</v>
      </c>
      <c r="CA649" s="42">
        <v>0</v>
      </c>
      <c r="CB649" s="42">
        <v>0</v>
      </c>
      <c r="CC649" s="42">
        <v>0</v>
      </c>
      <c r="CD649" s="42">
        <v>9351.3930531136684</v>
      </c>
      <c r="CE649" s="42">
        <v>0</v>
      </c>
      <c r="CF649" s="42">
        <v>0</v>
      </c>
      <c r="CG649" s="42">
        <v>0</v>
      </c>
      <c r="CH649" s="42">
        <v>0</v>
      </c>
      <c r="CI649" s="42">
        <v>0</v>
      </c>
      <c r="CJ649" s="42">
        <v>8375.8694858807939</v>
      </c>
      <c r="CK649" s="43">
        <f t="shared" si="67"/>
        <v>49366.81502660369</v>
      </c>
      <c r="CL649" s="66"/>
      <c r="CM649" s="66">
        <v>0</v>
      </c>
      <c r="CN649" s="66">
        <v>0</v>
      </c>
      <c r="CO649" s="66">
        <v>0</v>
      </c>
      <c r="CP649" s="66">
        <v>4290.7139970438539</v>
      </c>
      <c r="CQ649" s="66">
        <v>0</v>
      </c>
      <c r="CR649" s="66">
        <v>0</v>
      </c>
      <c r="CS649" s="66">
        <v>0</v>
      </c>
      <c r="CT649" s="66">
        <v>0</v>
      </c>
      <c r="CU649" s="66">
        <v>0</v>
      </c>
      <c r="CV649" s="66">
        <v>3243.3553016595788</v>
      </c>
      <c r="CW649" s="66">
        <v>0</v>
      </c>
      <c r="CX649" s="66">
        <v>0</v>
      </c>
      <c r="CY649" s="66">
        <v>0</v>
      </c>
      <c r="CZ649" s="66">
        <v>0</v>
      </c>
      <c r="DA649" s="66"/>
      <c r="DB649" s="66"/>
      <c r="DC649" s="66"/>
      <c r="DD649" s="66"/>
      <c r="DE649" s="66"/>
      <c r="DF649" s="66"/>
      <c r="DG649" s="66"/>
      <c r="DH649" s="66"/>
      <c r="DI649" s="66"/>
      <c r="DJ649" s="66"/>
      <c r="DK649" s="66">
        <f>SUM(Table1[[#This Row],[01-03 Apr]:[Mar-26]])</f>
        <v>7534.0692987034327</v>
      </c>
    </row>
    <row r="650" spans="1:115" hidden="1" x14ac:dyDescent="0.2">
      <c r="A650" s="28" t="s">
        <v>2253</v>
      </c>
      <c r="B650" s="29" t="s">
        <v>1552</v>
      </c>
      <c r="C650" s="29" t="s">
        <v>1553</v>
      </c>
      <c r="D650" s="30" t="s">
        <v>1554</v>
      </c>
      <c r="E650" s="30" t="s">
        <v>584</v>
      </c>
      <c r="F650" s="30"/>
      <c r="G650" s="31"/>
      <c r="H650" s="30">
        <v>359836</v>
      </c>
      <c r="I650" s="30" t="str">
        <f>IF(Table1[[#This Row],[Centre Status]]="Returned","NA",IF(Table1[[#This Row],[SD]]&gt;19000,"Full Payment",IF(Table1[[#This Row],[SD]]&lt;1,"No Payment","Partial Payment")))</f>
        <v>Full Payment</v>
      </c>
      <c r="J650" s="30" t="s">
        <v>58</v>
      </c>
      <c r="K650" s="32">
        <v>110000</v>
      </c>
      <c r="L650" s="33">
        <f>Q650+R650+U650+Table1[[#This Row],[Farmer Payment]]</f>
        <v>50119.477376710391</v>
      </c>
      <c r="M650" s="30"/>
      <c r="N650" s="34"/>
      <c r="O650" s="34"/>
      <c r="P650" s="35">
        <f t="shared" si="68"/>
        <v>59880.522623289609</v>
      </c>
      <c r="Q650" s="33">
        <f>AI650+AV650+CK650+Table1[[#This Row],[FY 25-26]]</f>
        <v>30119.477376710394</v>
      </c>
      <c r="R650" s="36">
        <v>20000</v>
      </c>
      <c r="S650" s="37" t="s">
        <v>1555</v>
      </c>
      <c r="T650" s="38">
        <v>45161</v>
      </c>
      <c r="U650" s="39"/>
      <c r="V650" s="39"/>
      <c r="W650" s="40">
        <v>0</v>
      </c>
      <c r="X650" s="40">
        <v>0</v>
      </c>
      <c r="Y650" s="40">
        <v>0</v>
      </c>
      <c r="Z650" s="40">
        <v>0</v>
      </c>
      <c r="AA650" s="40">
        <v>0</v>
      </c>
      <c r="AB650" s="40">
        <v>0</v>
      </c>
      <c r="AC650" s="40">
        <v>0</v>
      </c>
      <c r="AD650" s="40">
        <v>0</v>
      </c>
      <c r="AE650" s="40">
        <v>0</v>
      </c>
      <c r="AF650" s="40">
        <v>0</v>
      </c>
      <c r="AG650" s="40">
        <v>0</v>
      </c>
      <c r="AH650" s="40">
        <v>0</v>
      </c>
      <c r="AI650" s="41">
        <f t="shared" si="69"/>
        <v>0</v>
      </c>
      <c r="AJ650" s="42">
        <v>0</v>
      </c>
      <c r="AK650" s="42">
        <v>0</v>
      </c>
      <c r="AL650" s="42">
        <v>0</v>
      </c>
      <c r="AM650" s="42">
        <v>0</v>
      </c>
      <c r="AN650" s="42">
        <v>0</v>
      </c>
      <c r="AO650" s="42">
        <v>0</v>
      </c>
      <c r="AP650" s="42">
        <v>0</v>
      </c>
      <c r="AQ650" s="42">
        <v>1861</v>
      </c>
      <c r="AR650" s="42">
        <v>600</v>
      </c>
      <c r="AS650" s="42">
        <v>626</v>
      </c>
      <c r="AT650" s="42">
        <v>1299.4416060591354</v>
      </c>
      <c r="AU650" s="42">
        <v>1354</v>
      </c>
      <c r="AV650" s="42">
        <f t="shared" si="70"/>
        <v>5740.4416060591357</v>
      </c>
      <c r="AW650" s="42">
        <v>581</v>
      </c>
      <c r="AX650" s="42">
        <v>1281</v>
      </c>
      <c r="AY650" s="42">
        <v>1405</v>
      </c>
      <c r="AZ650" s="42">
        <v>1861</v>
      </c>
      <c r="BA650" s="42">
        <v>943</v>
      </c>
      <c r="BB650" s="42">
        <v>500</v>
      </c>
      <c r="BC650" s="42">
        <v>660</v>
      </c>
      <c r="BD650" s="42">
        <v>500</v>
      </c>
      <c r="BE650" s="42">
        <v>500</v>
      </c>
      <c r="BF650" s="42">
        <v>500</v>
      </c>
      <c r="BG650" s="42">
        <v>500</v>
      </c>
      <c r="BH650" s="42">
        <v>500</v>
      </c>
      <c r="BI650" s="42">
        <v>0</v>
      </c>
      <c r="BJ650" s="42">
        <v>500</v>
      </c>
      <c r="BK650" s="42">
        <v>500</v>
      </c>
      <c r="BL650" s="42">
        <v>500</v>
      </c>
      <c r="BM650" s="42">
        <v>500</v>
      </c>
      <c r="BN650" s="42">
        <v>0</v>
      </c>
      <c r="BO650" s="42">
        <v>500</v>
      </c>
      <c r="BP650" s="42">
        <v>500</v>
      </c>
      <c r="BQ650" s="42">
        <v>500</v>
      </c>
      <c r="BR650" s="42">
        <v>500</v>
      </c>
      <c r="BS650" s="42">
        <v>0</v>
      </c>
      <c r="BT650" s="42">
        <v>500</v>
      </c>
      <c r="BU650" s="42">
        <v>500</v>
      </c>
      <c r="BV650" s="42">
        <v>0</v>
      </c>
      <c r="BW650" s="42">
        <v>0</v>
      </c>
      <c r="BX650" s="42">
        <v>0</v>
      </c>
      <c r="BY650" s="42">
        <v>1361</v>
      </c>
      <c r="BZ650" s="42">
        <v>0</v>
      </c>
      <c r="CA650" s="42">
        <v>0</v>
      </c>
      <c r="CB650" s="42">
        <v>0</v>
      </c>
      <c r="CC650" s="42">
        <v>0</v>
      </c>
      <c r="CD650" s="42">
        <v>2403.05104137024</v>
      </c>
      <c r="CE650" s="42">
        <v>0</v>
      </c>
      <c r="CF650" s="42">
        <v>0</v>
      </c>
      <c r="CG650" s="42">
        <v>0</v>
      </c>
      <c r="CH650" s="42">
        <v>0</v>
      </c>
      <c r="CI650" s="42">
        <v>0</v>
      </c>
      <c r="CJ650" s="42">
        <v>2161.9847292810209</v>
      </c>
      <c r="CK650" s="43">
        <f t="shared" si="67"/>
        <v>20657.035770651259</v>
      </c>
      <c r="CL650" s="66"/>
      <c r="CM650" s="66">
        <v>0</v>
      </c>
      <c r="CN650" s="66">
        <v>0</v>
      </c>
      <c r="CO650" s="66">
        <v>0</v>
      </c>
      <c r="CP650" s="66">
        <v>1861</v>
      </c>
      <c r="CQ650" s="66">
        <v>0</v>
      </c>
      <c r="CR650" s="66">
        <v>0</v>
      </c>
      <c r="CS650" s="66">
        <v>0</v>
      </c>
      <c r="CT650" s="66">
        <v>0</v>
      </c>
      <c r="CU650" s="66">
        <v>0</v>
      </c>
      <c r="CV650" s="66">
        <v>1861</v>
      </c>
      <c r="CW650" s="66">
        <v>0</v>
      </c>
      <c r="CX650" s="66">
        <v>0</v>
      </c>
      <c r="CY650" s="66">
        <v>0</v>
      </c>
      <c r="CZ650" s="66">
        <v>0</v>
      </c>
      <c r="DA650" s="66"/>
      <c r="DB650" s="66"/>
      <c r="DC650" s="66"/>
      <c r="DD650" s="66"/>
      <c r="DE650" s="66"/>
      <c r="DF650" s="66"/>
      <c r="DG650" s="66"/>
      <c r="DH650" s="66"/>
      <c r="DI650" s="66"/>
      <c r="DJ650" s="66"/>
      <c r="DK650" s="66">
        <f>SUM(Table1[[#This Row],[01-03 Apr]:[Mar-26]])</f>
        <v>3722</v>
      </c>
    </row>
    <row r="651" spans="1:115" hidden="1" x14ac:dyDescent="0.2">
      <c r="A651" s="28" t="s">
        <v>2255</v>
      </c>
      <c r="B651" s="29" t="s">
        <v>1556</v>
      </c>
      <c r="C651" s="29" t="s">
        <v>1557</v>
      </c>
      <c r="D651" s="30" t="s">
        <v>1558</v>
      </c>
      <c r="E651" s="30" t="s">
        <v>57</v>
      </c>
      <c r="F651" s="30"/>
      <c r="G651" s="31"/>
      <c r="H651" s="30">
        <v>2346390</v>
      </c>
      <c r="I651" s="30" t="str">
        <f>IF(Table1[[#This Row],[Centre Status]]="Returned","NA",IF(Table1[[#This Row],[SD]]&gt;19000,"Full Payment",IF(Table1[[#This Row],[SD]]&lt;1,"No Payment","Partial Payment")))</f>
        <v>Full Payment</v>
      </c>
      <c r="J651" s="30" t="s">
        <v>58</v>
      </c>
      <c r="K651" s="32">
        <v>110000</v>
      </c>
      <c r="L651" s="33">
        <f>Q651+R651+U651+Table1[[#This Row],[Farmer Payment]]</f>
        <v>68105.758126770292</v>
      </c>
      <c r="M651" s="30"/>
      <c r="N651" s="34"/>
      <c r="O651" s="34"/>
      <c r="P651" s="35">
        <f t="shared" si="68"/>
        <v>41894.241873229708</v>
      </c>
      <c r="Q651" s="33">
        <f>AI651+AV651+CK651+Table1[[#This Row],[FY 25-26]]</f>
        <v>48105.758126770292</v>
      </c>
      <c r="R651" s="36">
        <v>20000</v>
      </c>
      <c r="S651" s="37" t="s">
        <v>1559</v>
      </c>
      <c r="T651" s="38">
        <v>45178</v>
      </c>
      <c r="U651" s="39"/>
      <c r="V651" s="39"/>
      <c r="W651" s="40">
        <v>0</v>
      </c>
      <c r="X651" s="40">
        <v>0</v>
      </c>
      <c r="Y651" s="40">
        <v>0</v>
      </c>
      <c r="Z651" s="40">
        <v>0</v>
      </c>
      <c r="AA651" s="40">
        <v>0</v>
      </c>
      <c r="AB651" s="40">
        <v>0</v>
      </c>
      <c r="AC651" s="40">
        <v>0</v>
      </c>
      <c r="AD651" s="40">
        <v>0</v>
      </c>
      <c r="AE651" s="40">
        <v>0</v>
      </c>
      <c r="AF651" s="40">
        <v>0</v>
      </c>
      <c r="AG651" s="40">
        <v>0</v>
      </c>
      <c r="AH651" s="40">
        <v>0</v>
      </c>
      <c r="AI651" s="41">
        <f t="shared" si="69"/>
        <v>0</v>
      </c>
      <c r="AJ651" s="42">
        <v>0</v>
      </c>
      <c r="AK651" s="42">
        <v>0</v>
      </c>
      <c r="AL651" s="42">
        <v>0</v>
      </c>
      <c r="AM651" s="42">
        <v>0</v>
      </c>
      <c r="AN651" s="42">
        <v>0</v>
      </c>
      <c r="AO651" s="42">
        <v>0</v>
      </c>
      <c r="AP651" s="42">
        <v>0</v>
      </c>
      <c r="AQ651" s="42">
        <v>2824.3434000000002</v>
      </c>
      <c r="AR651" s="42">
        <v>3050.0086000000001</v>
      </c>
      <c r="AS651" s="42">
        <v>3513.4991999999993</v>
      </c>
      <c r="AT651" s="42">
        <v>3713.6890000000003</v>
      </c>
      <c r="AU651" s="42">
        <v>3055.4301999999998</v>
      </c>
      <c r="AV651" s="42">
        <f t="shared" si="70"/>
        <v>16156.970400000002</v>
      </c>
      <c r="AW651" s="42">
        <v>1861</v>
      </c>
      <c r="AX651" s="42">
        <v>2116.0551676270343</v>
      </c>
      <c r="AY651" s="42">
        <v>2302.4526799482724</v>
      </c>
      <c r="AZ651" s="42">
        <v>2741.3139973189323</v>
      </c>
      <c r="BA651" s="42">
        <v>2716.3233543530118</v>
      </c>
      <c r="BB651" s="42">
        <v>0</v>
      </c>
      <c r="BC651" s="42">
        <v>3227.3752764751607</v>
      </c>
      <c r="BD651" s="42">
        <v>0</v>
      </c>
      <c r="BE651" s="42">
        <v>0</v>
      </c>
      <c r="BF651" s="42">
        <v>0</v>
      </c>
      <c r="BG651" s="42">
        <v>0</v>
      </c>
      <c r="BH651" s="42">
        <v>0</v>
      </c>
      <c r="BI651" s="42">
        <v>2374.2663895689902</v>
      </c>
      <c r="BJ651" s="42">
        <v>0</v>
      </c>
      <c r="BK651" s="42">
        <v>0</v>
      </c>
      <c r="BL651" s="42">
        <v>0</v>
      </c>
      <c r="BM651" s="42">
        <v>0</v>
      </c>
      <c r="BN651" s="42">
        <v>1916.6605208376243</v>
      </c>
      <c r="BO651" s="42">
        <v>0</v>
      </c>
      <c r="BP651" s="42">
        <v>0</v>
      </c>
      <c r="BQ651" s="42">
        <v>0</v>
      </c>
      <c r="BR651" s="42">
        <v>0</v>
      </c>
      <c r="BS651" s="42">
        <v>2189.6587825727802</v>
      </c>
      <c r="BT651" s="42">
        <v>0</v>
      </c>
      <c r="BU651" s="42">
        <v>0</v>
      </c>
      <c r="BV651" s="42">
        <v>0</v>
      </c>
      <c r="BW651" s="42">
        <v>0</v>
      </c>
      <c r="BX651" s="42">
        <v>0</v>
      </c>
      <c r="BY651" s="42">
        <v>1861</v>
      </c>
      <c r="BZ651" s="42">
        <v>0</v>
      </c>
      <c r="CA651" s="42">
        <v>0</v>
      </c>
      <c r="CB651" s="42">
        <v>0</v>
      </c>
      <c r="CC651" s="42">
        <v>0</v>
      </c>
      <c r="CD651" s="42">
        <v>2627.2501828723202</v>
      </c>
      <c r="CE651" s="42">
        <v>0</v>
      </c>
      <c r="CF651" s="42">
        <v>0</v>
      </c>
      <c r="CG651" s="42">
        <v>0</v>
      </c>
      <c r="CH651" s="42">
        <v>0</v>
      </c>
      <c r="CI651" s="42">
        <v>0</v>
      </c>
      <c r="CJ651" s="42">
        <v>2089.0930300569603</v>
      </c>
      <c r="CK651" s="43">
        <f t="shared" si="67"/>
        <v>28022.449381631086</v>
      </c>
      <c r="CL651" s="66"/>
      <c r="CM651" s="66">
        <v>0</v>
      </c>
      <c r="CN651" s="66">
        <v>0</v>
      </c>
      <c r="CO651" s="66">
        <v>0</v>
      </c>
      <c r="CP651" s="66">
        <v>1861</v>
      </c>
      <c r="CQ651" s="66">
        <v>0</v>
      </c>
      <c r="CR651" s="66">
        <v>0</v>
      </c>
      <c r="CS651" s="66">
        <v>0</v>
      </c>
      <c r="CT651" s="66">
        <v>0</v>
      </c>
      <c r="CU651" s="66">
        <v>0</v>
      </c>
      <c r="CV651" s="66">
        <v>2065.3383451392001</v>
      </c>
      <c r="CW651" s="66">
        <v>0</v>
      </c>
      <c r="CX651" s="66">
        <v>0</v>
      </c>
      <c r="CY651" s="66">
        <v>0</v>
      </c>
      <c r="CZ651" s="66">
        <v>0</v>
      </c>
      <c r="DA651" s="66"/>
      <c r="DB651" s="66"/>
      <c r="DC651" s="66"/>
      <c r="DD651" s="66"/>
      <c r="DE651" s="66"/>
      <c r="DF651" s="66"/>
      <c r="DG651" s="66"/>
      <c r="DH651" s="66"/>
      <c r="DI651" s="66"/>
      <c r="DJ651" s="66"/>
      <c r="DK651" s="66">
        <f>SUM(Table1[[#This Row],[01-03 Apr]:[Mar-26]])</f>
        <v>3926.3383451392001</v>
      </c>
    </row>
    <row r="652" spans="1:115" x14ac:dyDescent="0.2">
      <c r="A652" s="28" t="s">
        <v>2255</v>
      </c>
      <c r="B652" s="29" t="s">
        <v>1560</v>
      </c>
      <c r="C652" s="29" t="s">
        <v>1561</v>
      </c>
      <c r="D652" s="30" t="s">
        <v>1562</v>
      </c>
      <c r="E652" s="30" t="s">
        <v>203</v>
      </c>
      <c r="F652" s="30"/>
      <c r="G652" s="31"/>
      <c r="H652" s="30">
        <v>387861</v>
      </c>
      <c r="I652" s="30" t="str">
        <f>IF(Table1[[#This Row],[Centre Status]]="Returned","NA",IF(Table1[[#This Row],[SD]]&gt;19000,"Full Payment",IF(Table1[[#This Row],[SD]]&lt;1,"No Payment","Partial Payment")))</f>
        <v>Partial Payment</v>
      </c>
      <c r="J652" s="30" t="s">
        <v>58</v>
      </c>
      <c r="K652" s="32">
        <v>110000</v>
      </c>
      <c r="L652" s="33">
        <f>Q652+R652+U652+Table1[[#This Row],[Farmer Payment]]</f>
        <v>46765.769011810342</v>
      </c>
      <c r="M652" s="30"/>
      <c r="N652" s="34"/>
      <c r="O652" s="34"/>
      <c r="P652" s="35">
        <f t="shared" si="68"/>
        <v>63234.230988189658</v>
      </c>
      <c r="Q652" s="33">
        <f>AI652+AV652+CK652+Table1[[#This Row],[FY 25-26]]</f>
        <v>36765.769011810342</v>
      </c>
      <c r="R652" s="36">
        <v>10000</v>
      </c>
      <c r="S652" s="37" t="s">
        <v>1563</v>
      </c>
      <c r="T652" s="38">
        <v>45122</v>
      </c>
      <c r="U652" s="39"/>
      <c r="V652" s="39"/>
      <c r="W652" s="40">
        <v>0</v>
      </c>
      <c r="X652" s="40">
        <v>0</v>
      </c>
      <c r="Y652" s="40">
        <v>0</v>
      </c>
      <c r="Z652" s="40">
        <v>0</v>
      </c>
      <c r="AA652" s="40">
        <v>0</v>
      </c>
      <c r="AB652" s="40">
        <v>0</v>
      </c>
      <c r="AC652" s="40">
        <v>0</v>
      </c>
      <c r="AD652" s="40">
        <v>0</v>
      </c>
      <c r="AE652" s="40">
        <v>0</v>
      </c>
      <c r="AF652" s="40">
        <v>0</v>
      </c>
      <c r="AG652" s="40">
        <v>0</v>
      </c>
      <c r="AH652" s="40">
        <v>0</v>
      </c>
      <c r="AI652" s="41">
        <f t="shared" si="69"/>
        <v>0</v>
      </c>
      <c r="AJ652" s="42">
        <v>0</v>
      </c>
      <c r="AK652" s="42">
        <v>0</v>
      </c>
      <c r="AL652" s="42">
        <v>0</v>
      </c>
      <c r="AM652" s="42">
        <v>0</v>
      </c>
      <c r="AN652" s="42">
        <v>0</v>
      </c>
      <c r="AO652" s="42">
        <v>0</v>
      </c>
      <c r="AP652" s="42">
        <v>0</v>
      </c>
      <c r="AQ652" s="42">
        <v>0</v>
      </c>
      <c r="AR652" s="42">
        <v>1861</v>
      </c>
      <c r="AS652" s="42">
        <v>1861</v>
      </c>
      <c r="AT652" s="42">
        <v>942.70429178492373</v>
      </c>
      <c r="AU652" s="42">
        <v>808</v>
      </c>
      <c r="AV652" s="42">
        <f t="shared" si="70"/>
        <v>5472.704291784924</v>
      </c>
      <c r="AW652" s="42">
        <v>1610</v>
      </c>
      <c r="AX652" s="42">
        <v>1861</v>
      </c>
      <c r="AY652" s="42">
        <v>1861</v>
      </c>
      <c r="AZ652" s="42">
        <v>1861</v>
      </c>
      <c r="BA652" s="42">
        <v>1861</v>
      </c>
      <c r="BB652" s="42">
        <v>0</v>
      </c>
      <c r="BC652" s="42">
        <v>2165.6943265190403</v>
      </c>
      <c r="BD652" s="42">
        <v>0</v>
      </c>
      <c r="BE652" s="42">
        <v>0</v>
      </c>
      <c r="BF652" s="42">
        <v>0</v>
      </c>
      <c r="BG652" s="42">
        <v>0</v>
      </c>
      <c r="BH652" s="42">
        <v>0</v>
      </c>
      <c r="BI652" s="42">
        <v>1861</v>
      </c>
      <c r="BJ652" s="42">
        <v>0</v>
      </c>
      <c r="BK652" s="42">
        <v>0</v>
      </c>
      <c r="BL652" s="42">
        <v>0</v>
      </c>
      <c r="BM652" s="42">
        <v>0</v>
      </c>
      <c r="BN652" s="42">
        <v>1861</v>
      </c>
      <c r="BO652" s="42">
        <v>0</v>
      </c>
      <c r="BP652" s="42">
        <v>0</v>
      </c>
      <c r="BQ652" s="42">
        <v>0</v>
      </c>
      <c r="BR652" s="42">
        <v>0</v>
      </c>
      <c r="BS652" s="42">
        <v>2349.6789964492805</v>
      </c>
      <c r="BT652" s="42">
        <v>0</v>
      </c>
      <c r="BU652" s="42">
        <v>0</v>
      </c>
      <c r="BV652" s="42">
        <v>0</v>
      </c>
      <c r="BW652" s="42">
        <v>0</v>
      </c>
      <c r="BX652" s="42">
        <v>0</v>
      </c>
      <c r="BY652" s="42">
        <v>2002.7096305380558</v>
      </c>
      <c r="BZ652" s="42">
        <v>0</v>
      </c>
      <c r="CA652" s="42">
        <v>0</v>
      </c>
      <c r="CB652" s="42">
        <v>0</v>
      </c>
      <c r="CC652" s="42">
        <v>0</v>
      </c>
      <c r="CD652" s="42">
        <v>2795.4141904358403</v>
      </c>
      <c r="CE652" s="42">
        <v>0</v>
      </c>
      <c r="CF652" s="42">
        <v>0</v>
      </c>
      <c r="CG652" s="42">
        <v>0</v>
      </c>
      <c r="CH652" s="42">
        <v>0</v>
      </c>
      <c r="CI652" s="42">
        <v>0</v>
      </c>
      <c r="CJ652" s="42">
        <v>3412.9076933606402</v>
      </c>
      <c r="CK652" s="43">
        <f t="shared" si="67"/>
        <v>25502.404837302856</v>
      </c>
      <c r="CL652" s="66"/>
      <c r="CM652" s="66">
        <v>0</v>
      </c>
      <c r="CN652" s="66">
        <v>0</v>
      </c>
      <c r="CO652" s="66">
        <v>0</v>
      </c>
      <c r="CP652" s="66">
        <v>2989.38424474368</v>
      </c>
      <c r="CQ652" s="66">
        <v>0</v>
      </c>
      <c r="CR652" s="66">
        <v>0</v>
      </c>
      <c r="CS652" s="66">
        <v>0</v>
      </c>
      <c r="CT652" s="66">
        <v>0</v>
      </c>
      <c r="CU652" s="66">
        <v>0</v>
      </c>
      <c r="CV652" s="66">
        <v>2801.2756379788802</v>
      </c>
      <c r="CW652" s="66">
        <v>0</v>
      </c>
      <c r="CX652" s="66">
        <v>0</v>
      </c>
      <c r="CY652" s="66">
        <v>0</v>
      </c>
      <c r="CZ652" s="66">
        <v>0</v>
      </c>
      <c r="DA652" s="66"/>
      <c r="DB652" s="66"/>
      <c r="DC652" s="66"/>
      <c r="DD652" s="66"/>
      <c r="DE652" s="66"/>
      <c r="DF652" s="66"/>
      <c r="DG652" s="66"/>
      <c r="DH652" s="66"/>
      <c r="DI652" s="66"/>
      <c r="DJ652" s="66"/>
      <c r="DK652" s="66">
        <f>SUM(Table1[[#This Row],[01-03 Apr]:[Mar-26]])</f>
        <v>5790.6598827225607</v>
      </c>
    </row>
    <row r="653" spans="1:115" hidden="1" x14ac:dyDescent="0.2">
      <c r="A653" s="28" t="s">
        <v>2255</v>
      </c>
      <c r="B653" s="29" t="s">
        <v>1568</v>
      </c>
      <c r="C653" s="29" t="s">
        <v>1569</v>
      </c>
      <c r="D653" s="30" t="s">
        <v>1570</v>
      </c>
      <c r="E653" s="30" t="s">
        <v>203</v>
      </c>
      <c r="F653" s="30"/>
      <c r="G653" s="31"/>
      <c r="H653" s="30">
        <v>388115</v>
      </c>
      <c r="I653" s="30" t="str">
        <f>IF(Table1[[#This Row],[Centre Status]]="Returned","NA",IF(Table1[[#This Row],[SD]]&gt;19000,"Full Payment",IF(Table1[[#This Row],[SD]]&lt;1,"No Payment","Partial Payment")))</f>
        <v>NA</v>
      </c>
      <c r="J653" s="30" t="s">
        <v>1903</v>
      </c>
      <c r="K653" s="32">
        <v>110000</v>
      </c>
      <c r="L653" s="33">
        <f>Q653+R653+U653+Table1[[#This Row],[Farmer Payment]]</f>
        <v>28512.016</v>
      </c>
      <c r="M653" s="30">
        <v>20000</v>
      </c>
      <c r="N653" s="34">
        <v>45653</v>
      </c>
      <c r="O653" s="34" t="s">
        <v>2861</v>
      </c>
      <c r="P653" s="35">
        <f t="shared" si="68"/>
        <v>101487.984</v>
      </c>
      <c r="Q653" s="33">
        <f>AI653+AV653+CK653+Table1[[#This Row],[FY 25-26]]</f>
        <v>8512.0159999999996</v>
      </c>
      <c r="R653" s="36">
        <v>20000</v>
      </c>
      <c r="S653" s="37" t="s">
        <v>1571</v>
      </c>
      <c r="T653" s="38">
        <v>45126</v>
      </c>
      <c r="U653" s="39"/>
      <c r="V653" s="39"/>
      <c r="W653" s="40">
        <v>0</v>
      </c>
      <c r="X653" s="40">
        <v>0</v>
      </c>
      <c r="Y653" s="40">
        <v>0</v>
      </c>
      <c r="Z653" s="40">
        <v>0</v>
      </c>
      <c r="AA653" s="40">
        <v>0</v>
      </c>
      <c r="AB653" s="40">
        <v>0</v>
      </c>
      <c r="AC653" s="40">
        <v>0</v>
      </c>
      <c r="AD653" s="40">
        <v>0</v>
      </c>
      <c r="AE653" s="40">
        <v>0</v>
      </c>
      <c r="AF653" s="40">
        <v>0</v>
      </c>
      <c r="AG653" s="40">
        <v>0</v>
      </c>
      <c r="AH653" s="40">
        <v>0</v>
      </c>
      <c r="AI653" s="41">
        <f t="shared" si="69"/>
        <v>0</v>
      </c>
      <c r="AJ653" s="42">
        <v>0</v>
      </c>
      <c r="AK653" s="42">
        <v>0</v>
      </c>
      <c r="AL653" s="42">
        <v>0</v>
      </c>
      <c r="AM653" s="42">
        <v>0</v>
      </c>
      <c r="AN653" s="42">
        <v>0</v>
      </c>
      <c r="AO653" s="42">
        <v>0</v>
      </c>
      <c r="AP653" s="42">
        <v>0</v>
      </c>
      <c r="AQ653" s="42">
        <v>1861</v>
      </c>
      <c r="AR653" s="42">
        <v>1861</v>
      </c>
      <c r="AS653" s="42">
        <v>1956.0160000000003</v>
      </c>
      <c r="AT653" s="42">
        <v>1861</v>
      </c>
      <c r="AU653" s="42">
        <v>973</v>
      </c>
      <c r="AV653" s="42">
        <f t="shared" si="70"/>
        <v>8512.0159999999996</v>
      </c>
      <c r="AW653" s="42">
        <v>0</v>
      </c>
      <c r="AX653" s="42">
        <v>0</v>
      </c>
      <c r="AY653" s="42">
        <v>0</v>
      </c>
      <c r="AZ653" s="42">
        <v>0</v>
      </c>
      <c r="BA653" s="42">
        <v>0</v>
      </c>
      <c r="BB653" s="42">
        <v>0</v>
      </c>
      <c r="BC653" s="42">
        <v>0</v>
      </c>
      <c r="BD653" s="42">
        <v>0</v>
      </c>
      <c r="BE653" s="42">
        <v>0</v>
      </c>
      <c r="BF653" s="42">
        <v>0</v>
      </c>
      <c r="BG653" s="42">
        <v>0</v>
      </c>
      <c r="BH653" s="42">
        <v>0</v>
      </c>
      <c r="BI653" s="42">
        <v>0</v>
      </c>
      <c r="BJ653" s="42">
        <v>0</v>
      </c>
      <c r="BK653" s="42">
        <v>0</v>
      </c>
      <c r="BL653" s="42">
        <v>0</v>
      </c>
      <c r="BM653" s="42">
        <v>0</v>
      </c>
      <c r="BN653" s="42">
        <v>0</v>
      </c>
      <c r="BO653" s="42">
        <v>0</v>
      </c>
      <c r="BP653" s="42">
        <v>0</v>
      </c>
      <c r="BQ653" s="42">
        <v>0</v>
      </c>
      <c r="BR653" s="42">
        <v>0</v>
      </c>
      <c r="BS653" s="42">
        <v>0</v>
      </c>
      <c r="BT653" s="42">
        <v>0</v>
      </c>
      <c r="BU653" s="42">
        <v>0</v>
      </c>
      <c r="BV653" s="42">
        <v>0</v>
      </c>
      <c r="BW653" s="42">
        <v>0</v>
      </c>
      <c r="BX653" s="42">
        <v>0</v>
      </c>
      <c r="BY653" s="42">
        <v>0</v>
      </c>
      <c r="BZ653" s="42">
        <v>0</v>
      </c>
      <c r="CA653" s="42">
        <v>0</v>
      </c>
      <c r="CB653" s="42">
        <v>0</v>
      </c>
      <c r="CC653" s="42">
        <v>0</v>
      </c>
      <c r="CD653" s="42">
        <v>0</v>
      </c>
      <c r="CE653" s="42">
        <v>0</v>
      </c>
      <c r="CF653" s="42">
        <v>0</v>
      </c>
      <c r="CG653" s="42">
        <v>0</v>
      </c>
      <c r="CH653" s="42">
        <v>0</v>
      </c>
      <c r="CI653" s="42">
        <v>0</v>
      </c>
      <c r="CJ653" s="42">
        <v>0</v>
      </c>
      <c r="CK653" s="43">
        <f t="shared" si="67"/>
        <v>0</v>
      </c>
      <c r="CL653" s="66"/>
      <c r="CM653" s="66">
        <v>0</v>
      </c>
      <c r="CN653" s="66">
        <v>0</v>
      </c>
      <c r="CO653" s="66">
        <v>0</v>
      </c>
      <c r="CP653" s="66">
        <v>0</v>
      </c>
      <c r="CQ653" s="66">
        <v>0</v>
      </c>
      <c r="CR653" s="66">
        <v>0</v>
      </c>
      <c r="CS653" s="66">
        <v>0</v>
      </c>
      <c r="CT653" s="66">
        <v>0</v>
      </c>
      <c r="CU653" s="66">
        <v>0</v>
      </c>
      <c r="CV653" s="66">
        <v>0</v>
      </c>
      <c r="CW653" s="66">
        <v>0</v>
      </c>
      <c r="CX653" s="66">
        <v>0</v>
      </c>
      <c r="CY653" s="66">
        <v>0</v>
      </c>
      <c r="CZ653" s="66">
        <v>0</v>
      </c>
      <c r="DA653" s="66"/>
      <c r="DB653" s="66"/>
      <c r="DC653" s="66"/>
      <c r="DD653" s="66"/>
      <c r="DE653" s="66"/>
      <c r="DF653" s="66"/>
      <c r="DG653" s="66"/>
      <c r="DH653" s="66"/>
      <c r="DI653" s="66"/>
      <c r="DJ653" s="66"/>
      <c r="DK653" s="66">
        <f>SUM(Table1[[#This Row],[01-03 Apr]:[Mar-26]])</f>
        <v>0</v>
      </c>
    </row>
    <row r="654" spans="1:115" hidden="1" x14ac:dyDescent="0.2">
      <c r="A654" s="28"/>
      <c r="B654" s="29"/>
      <c r="C654" s="29" t="s">
        <v>2914</v>
      </c>
      <c r="D654" s="30" t="s">
        <v>2918</v>
      </c>
      <c r="E654" s="30" t="s">
        <v>57</v>
      </c>
      <c r="F654" s="30"/>
      <c r="G654" s="31"/>
      <c r="H654" s="30">
        <v>371223</v>
      </c>
      <c r="I654" s="30" t="str">
        <f>IF(Table1[[#This Row],[Centre Status]]="Returned","NA",IF(Table1[[#This Row],[SD]]&gt;19000,"Full Payment",IF(Table1[[#This Row],[SD]]&lt;1,"No Payment","Partial Payment")))</f>
        <v>Full Payment</v>
      </c>
      <c r="J654" s="30" t="s">
        <v>58</v>
      </c>
      <c r="K654" s="32">
        <v>110000</v>
      </c>
      <c r="L654" s="33">
        <f>Q654+R654+U654+Table1[[#This Row],[Farmer Payment]]</f>
        <v>23722</v>
      </c>
      <c r="M654" s="30"/>
      <c r="N654" s="34"/>
      <c r="O654" s="34"/>
      <c r="P654" s="35">
        <f>K654-L654+M654</f>
        <v>86278</v>
      </c>
      <c r="Q654" s="33">
        <f>AI654+AV654+CK654+Table1[[#This Row],[FY 25-26]]</f>
        <v>3722</v>
      </c>
      <c r="R654" s="36">
        <v>20000</v>
      </c>
      <c r="S654" s="37" t="s">
        <v>2925</v>
      </c>
      <c r="T654" s="38">
        <v>45665</v>
      </c>
      <c r="U654" s="39"/>
      <c r="V654" s="39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1">
        <f>SUM(W654:AH654)</f>
        <v>0</v>
      </c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>
        <f>SUM(AJ654:AU654)</f>
        <v>0</v>
      </c>
      <c r="AW654" s="42"/>
      <c r="AX654" s="42"/>
      <c r="AY654" s="42"/>
      <c r="AZ654" s="42"/>
      <c r="BA654" s="42"/>
      <c r="BB654" s="42"/>
      <c r="BC654" s="42"/>
      <c r="BD654" s="42"/>
      <c r="BE654" s="42"/>
      <c r="BF654" s="42"/>
      <c r="BG654" s="42"/>
      <c r="BH654" s="42"/>
      <c r="BI654" s="42"/>
      <c r="BJ654" s="42"/>
      <c r="BK654" s="42"/>
      <c r="BL654" s="42"/>
      <c r="BM654" s="42"/>
      <c r="BN654" s="42"/>
      <c r="BO654" s="42"/>
      <c r="BP654" s="42">
        <v>0</v>
      </c>
      <c r="BQ654" s="42"/>
      <c r="BR654" s="42">
        <v>0</v>
      </c>
      <c r="BS654" s="42"/>
      <c r="BT654" s="42"/>
      <c r="BU654" s="42"/>
      <c r="BV654" s="42">
        <v>0</v>
      </c>
      <c r="BW654" s="42">
        <v>0</v>
      </c>
      <c r="BX654" s="42">
        <v>0</v>
      </c>
      <c r="BY654" s="42">
        <v>0</v>
      </c>
      <c r="BZ654" s="42">
        <v>0</v>
      </c>
      <c r="CA654" s="42">
        <v>0</v>
      </c>
      <c r="CB654" s="42">
        <v>0</v>
      </c>
      <c r="CC654" s="42">
        <v>0</v>
      </c>
      <c r="CD654" s="42">
        <v>0</v>
      </c>
      <c r="CE654" s="42">
        <v>0</v>
      </c>
      <c r="CF654" s="42">
        <v>0</v>
      </c>
      <c r="CG654" s="42">
        <v>0</v>
      </c>
      <c r="CH654" s="42">
        <v>0</v>
      </c>
      <c r="CI654" s="42">
        <v>0</v>
      </c>
      <c r="CJ654" s="42">
        <v>1861</v>
      </c>
      <c r="CK654" s="43">
        <f>SUM(AW654:CJ654)</f>
        <v>1861</v>
      </c>
      <c r="CL654" s="66"/>
      <c r="CM654" s="66">
        <v>0</v>
      </c>
      <c r="CN654" s="66">
        <v>0</v>
      </c>
      <c r="CO654" s="66">
        <v>0</v>
      </c>
      <c r="CP654" s="66">
        <v>0</v>
      </c>
      <c r="CQ654" s="66">
        <v>0</v>
      </c>
      <c r="CR654" s="66">
        <v>0</v>
      </c>
      <c r="CS654" s="66">
        <v>0</v>
      </c>
      <c r="CT654" s="66">
        <v>0</v>
      </c>
      <c r="CU654" s="66">
        <v>0</v>
      </c>
      <c r="CV654" s="66">
        <v>1861</v>
      </c>
      <c r="CW654" s="66">
        <v>0</v>
      </c>
      <c r="CX654" s="66">
        <v>0</v>
      </c>
      <c r="CY654" s="66">
        <v>0</v>
      </c>
      <c r="CZ654" s="66">
        <v>0</v>
      </c>
      <c r="DA654" s="66"/>
      <c r="DB654" s="66"/>
      <c r="DC654" s="66"/>
      <c r="DD654" s="66"/>
      <c r="DE654" s="66"/>
      <c r="DF654" s="66"/>
      <c r="DG654" s="66"/>
      <c r="DH654" s="66"/>
      <c r="DI654" s="66"/>
      <c r="DJ654" s="66"/>
      <c r="DK654" s="66">
        <f>SUM(Table1[[#This Row],[01-03 Apr]:[Mar-26]])</f>
        <v>1861</v>
      </c>
    </row>
    <row r="655" spans="1:115" hidden="1" x14ac:dyDescent="0.2">
      <c r="A655" s="28"/>
      <c r="B655" s="29"/>
      <c r="C655" s="29" t="s">
        <v>2915</v>
      </c>
      <c r="D655" s="30" t="s">
        <v>2919</v>
      </c>
      <c r="E655" s="30" t="s">
        <v>57</v>
      </c>
      <c r="F655" s="30"/>
      <c r="G655" s="31"/>
      <c r="H655" s="30">
        <v>2351719</v>
      </c>
      <c r="I655" s="30" t="str">
        <f>IF(Table1[[#This Row],[Centre Status]]="Returned","NA",IF(Table1[[#This Row],[SD]]&gt;19000,"Full Payment",IF(Table1[[#This Row],[SD]]&lt;1,"No Payment","Partial Payment")))</f>
        <v>Full Payment</v>
      </c>
      <c r="J655" s="30" t="s">
        <v>58</v>
      </c>
      <c r="K655" s="32">
        <v>110000</v>
      </c>
      <c r="L655" s="33">
        <f>Q655+R655+U655+Table1[[#This Row],[Farmer Payment]]</f>
        <v>25583</v>
      </c>
      <c r="M655" s="30"/>
      <c r="N655" s="34"/>
      <c r="O655" s="34"/>
      <c r="P655" s="35">
        <f>K655-L655+M655</f>
        <v>84417</v>
      </c>
      <c r="Q655" s="33">
        <f>AI655+AV655+CK655+Table1[[#This Row],[FY 25-26]]</f>
        <v>5583</v>
      </c>
      <c r="R655" s="36">
        <v>20000</v>
      </c>
      <c r="S655" s="37" t="s">
        <v>2922</v>
      </c>
      <c r="T655" s="38">
        <v>45654</v>
      </c>
      <c r="U655" s="39"/>
      <c r="V655" s="39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1">
        <f>SUM(W655:AH655)</f>
        <v>0</v>
      </c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>
        <f>SUM(AJ655:AU655)</f>
        <v>0</v>
      </c>
      <c r="AW655" s="42"/>
      <c r="AX655" s="42"/>
      <c r="AY655" s="42"/>
      <c r="AZ655" s="42"/>
      <c r="BA655" s="42"/>
      <c r="BB655" s="42"/>
      <c r="BC655" s="42"/>
      <c r="BD655" s="42"/>
      <c r="BE655" s="42"/>
      <c r="BF655" s="42"/>
      <c r="BG655" s="42"/>
      <c r="BH655" s="42"/>
      <c r="BI655" s="42"/>
      <c r="BJ655" s="42"/>
      <c r="BK655" s="42"/>
      <c r="BL655" s="42"/>
      <c r="BM655" s="42"/>
      <c r="BN655" s="42"/>
      <c r="BO655" s="42"/>
      <c r="BP655" s="42">
        <v>0</v>
      </c>
      <c r="BQ655" s="42"/>
      <c r="BR655" s="42">
        <v>0</v>
      </c>
      <c r="BS655" s="42"/>
      <c r="BT655" s="42"/>
      <c r="BU655" s="42"/>
      <c r="BV655" s="42">
        <v>0</v>
      </c>
      <c r="BW655" s="42">
        <v>0</v>
      </c>
      <c r="BX655" s="42">
        <v>0</v>
      </c>
      <c r="BY655" s="42">
        <v>0</v>
      </c>
      <c r="BZ655" s="42">
        <v>0</v>
      </c>
      <c r="CA655" s="42">
        <v>0</v>
      </c>
      <c r="CB655" s="42">
        <v>0</v>
      </c>
      <c r="CC655" s="42">
        <v>0</v>
      </c>
      <c r="CD655" s="42">
        <v>0</v>
      </c>
      <c r="CE655" s="42">
        <v>0</v>
      </c>
      <c r="CF655" s="42">
        <v>0</v>
      </c>
      <c r="CG655" s="42">
        <v>0</v>
      </c>
      <c r="CH655" s="42">
        <v>0</v>
      </c>
      <c r="CI655" s="42">
        <v>0</v>
      </c>
      <c r="CJ655" s="42">
        <v>1861</v>
      </c>
      <c r="CK655" s="43">
        <f>SUM(AW655:CJ655)</f>
        <v>1861</v>
      </c>
      <c r="CL655" s="66"/>
      <c r="CM655" s="66">
        <v>0</v>
      </c>
      <c r="CN655" s="66">
        <v>0</v>
      </c>
      <c r="CO655" s="66">
        <v>0</v>
      </c>
      <c r="CP655" s="66">
        <v>1861</v>
      </c>
      <c r="CQ655" s="66">
        <v>0</v>
      </c>
      <c r="CR655" s="66">
        <v>0</v>
      </c>
      <c r="CS655" s="66">
        <v>0</v>
      </c>
      <c r="CT655" s="66">
        <v>0</v>
      </c>
      <c r="CU655" s="66">
        <v>0</v>
      </c>
      <c r="CV655" s="66">
        <v>1861</v>
      </c>
      <c r="CW655" s="66">
        <v>0</v>
      </c>
      <c r="CX655" s="66">
        <v>0</v>
      </c>
      <c r="CY655" s="66">
        <v>0</v>
      </c>
      <c r="CZ655" s="66">
        <v>0</v>
      </c>
      <c r="DA655" s="66"/>
      <c r="DB655" s="66"/>
      <c r="DC655" s="66"/>
      <c r="DD655" s="66"/>
      <c r="DE655" s="66"/>
      <c r="DF655" s="66"/>
      <c r="DG655" s="66"/>
      <c r="DH655" s="66"/>
      <c r="DI655" s="66"/>
      <c r="DJ655" s="66"/>
      <c r="DK655" s="66">
        <f>SUM(Table1[[#This Row],[01-03 Apr]:[Mar-26]])</f>
        <v>3722</v>
      </c>
    </row>
    <row r="656" spans="1:115" hidden="1" x14ac:dyDescent="0.2">
      <c r="A656" s="28"/>
      <c r="B656" s="29"/>
      <c r="C656" s="29" t="s">
        <v>2916</v>
      </c>
      <c r="D656" s="30" t="s">
        <v>2920</v>
      </c>
      <c r="E656" s="30" t="s">
        <v>57</v>
      </c>
      <c r="F656" s="30"/>
      <c r="G656" s="31"/>
      <c r="H656" s="30">
        <v>2346392</v>
      </c>
      <c r="I656" s="30" t="str">
        <f>IF(Table1[[#This Row],[Centre Status]]="Returned","NA",IF(Table1[[#This Row],[SD]]&gt;19000,"Full Payment",IF(Table1[[#This Row],[SD]]&lt;1,"No Payment","Partial Payment")))</f>
        <v>Full Payment</v>
      </c>
      <c r="J656" s="30" t="s">
        <v>58</v>
      </c>
      <c r="K656" s="32">
        <v>110000</v>
      </c>
      <c r="L656" s="33">
        <f>Q656+R656+U656+Table1[[#This Row],[Farmer Payment]]</f>
        <v>22003</v>
      </c>
      <c r="M656" s="30"/>
      <c r="N656" s="34"/>
      <c r="O656" s="34"/>
      <c r="P656" s="35">
        <f>K656-L656+M656</f>
        <v>87997</v>
      </c>
      <c r="Q656" s="33">
        <f>AI656+AV656+CK656+Table1[[#This Row],[FY 25-26]]</f>
        <v>2003</v>
      </c>
      <c r="R656" s="36">
        <v>20000</v>
      </c>
      <c r="S656" s="37" t="s">
        <v>2923</v>
      </c>
      <c r="T656" s="38">
        <v>45664</v>
      </c>
      <c r="U656" s="39"/>
      <c r="V656" s="39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1">
        <f>SUM(W656:AH656)</f>
        <v>0</v>
      </c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>
        <f>SUM(AJ656:AU656)</f>
        <v>0</v>
      </c>
      <c r="AW656" s="42"/>
      <c r="AX656" s="42"/>
      <c r="AY656" s="42"/>
      <c r="AZ656" s="42"/>
      <c r="BA656" s="42"/>
      <c r="BB656" s="42"/>
      <c r="BC656" s="42"/>
      <c r="BD656" s="42"/>
      <c r="BE656" s="42"/>
      <c r="BF656" s="42"/>
      <c r="BG656" s="42"/>
      <c r="BH656" s="42"/>
      <c r="BI656" s="42"/>
      <c r="BJ656" s="42"/>
      <c r="BK656" s="42"/>
      <c r="BL656" s="42"/>
      <c r="BM656" s="42"/>
      <c r="BN656" s="42"/>
      <c r="BO656" s="42"/>
      <c r="BP656" s="42">
        <v>0</v>
      </c>
      <c r="BQ656" s="42"/>
      <c r="BR656" s="42">
        <v>0</v>
      </c>
      <c r="BS656" s="42"/>
      <c r="BT656" s="42"/>
      <c r="BU656" s="42"/>
      <c r="BV656" s="42">
        <v>0</v>
      </c>
      <c r="BW656" s="42">
        <v>0</v>
      </c>
      <c r="BX656" s="42">
        <v>0</v>
      </c>
      <c r="BY656" s="42">
        <v>0</v>
      </c>
      <c r="BZ656" s="42">
        <v>0</v>
      </c>
      <c r="CA656" s="42">
        <v>0</v>
      </c>
      <c r="CB656" s="42">
        <v>0</v>
      </c>
      <c r="CC656" s="42">
        <v>0</v>
      </c>
      <c r="CD656" s="42">
        <v>0</v>
      </c>
      <c r="CE656" s="42">
        <v>0</v>
      </c>
      <c r="CF656" s="42">
        <v>0</v>
      </c>
      <c r="CG656" s="42">
        <v>0</v>
      </c>
      <c r="CH656" s="42">
        <v>0</v>
      </c>
      <c r="CI656" s="42">
        <v>0</v>
      </c>
      <c r="CJ656" s="42">
        <v>1861</v>
      </c>
      <c r="CK656" s="43">
        <f>SUM(AW656:CJ656)</f>
        <v>1861</v>
      </c>
      <c r="CL656" s="66"/>
      <c r="CM656" s="66">
        <v>0</v>
      </c>
      <c r="CN656" s="66">
        <v>0</v>
      </c>
      <c r="CO656" s="66">
        <v>0</v>
      </c>
      <c r="CP656" s="66">
        <v>117</v>
      </c>
      <c r="CQ656" s="66">
        <v>0</v>
      </c>
      <c r="CR656" s="66">
        <v>0</v>
      </c>
      <c r="CS656" s="66">
        <v>0</v>
      </c>
      <c r="CT656" s="66">
        <v>0</v>
      </c>
      <c r="CU656" s="66">
        <v>0</v>
      </c>
      <c r="CV656" s="66">
        <v>25</v>
      </c>
      <c r="CW656" s="66">
        <v>0</v>
      </c>
      <c r="CX656" s="66">
        <v>0</v>
      </c>
      <c r="CY656" s="66">
        <v>0</v>
      </c>
      <c r="CZ656" s="66">
        <v>0</v>
      </c>
      <c r="DA656" s="66"/>
      <c r="DB656" s="66"/>
      <c r="DC656" s="66"/>
      <c r="DD656" s="66"/>
      <c r="DE656" s="66"/>
      <c r="DF656" s="66"/>
      <c r="DG656" s="66"/>
      <c r="DH656" s="66"/>
      <c r="DI656" s="66"/>
      <c r="DJ656" s="66"/>
      <c r="DK656" s="66">
        <f>SUM(Table1[[#This Row],[01-03 Apr]:[Mar-26]])</f>
        <v>142</v>
      </c>
    </row>
    <row r="657" spans="1:115" hidden="1" x14ac:dyDescent="0.2">
      <c r="A657" s="28"/>
      <c r="B657" s="29"/>
      <c r="C657" s="29" t="s">
        <v>2917</v>
      </c>
      <c r="D657" s="30" t="s">
        <v>2921</v>
      </c>
      <c r="E657" s="30" t="s">
        <v>57</v>
      </c>
      <c r="F657" s="30"/>
      <c r="G657" s="31"/>
      <c r="H657" s="30">
        <v>364447</v>
      </c>
      <c r="I657" s="30" t="str">
        <f>IF(Table1[[#This Row],[Centre Status]]="Returned","NA",IF(Table1[[#This Row],[SD]]&gt;19000,"Full Payment",IF(Table1[[#This Row],[SD]]&lt;1,"No Payment","Partial Payment")))</f>
        <v>Full Payment</v>
      </c>
      <c r="J657" s="30" t="s">
        <v>58</v>
      </c>
      <c r="K657" s="32">
        <v>110000</v>
      </c>
      <c r="L657" s="33">
        <f>Q657+R657+U657+Table1[[#This Row],[Farmer Payment]]</f>
        <v>21861</v>
      </c>
      <c r="M657" s="30"/>
      <c r="N657" s="34"/>
      <c r="O657" s="34"/>
      <c r="P657" s="35">
        <f>K657-L657+M657</f>
        <v>88139</v>
      </c>
      <c r="Q657" s="33">
        <f>AI657+AV657+CK657+Table1[[#This Row],[FY 25-26]]</f>
        <v>1861</v>
      </c>
      <c r="R657" s="36">
        <v>20000</v>
      </c>
      <c r="S657" s="37" t="s">
        <v>2924</v>
      </c>
      <c r="T657" s="38">
        <v>45664</v>
      </c>
      <c r="U657" s="39"/>
      <c r="V657" s="39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1">
        <f>SUM(W657:AH657)</f>
        <v>0</v>
      </c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>
        <f>SUM(AJ657:AU657)</f>
        <v>0</v>
      </c>
      <c r="AW657" s="42"/>
      <c r="AX657" s="42"/>
      <c r="AY657" s="42"/>
      <c r="AZ657" s="42"/>
      <c r="BA657" s="42"/>
      <c r="BB657" s="42"/>
      <c r="BC657" s="42"/>
      <c r="BD657" s="42"/>
      <c r="BE657" s="42"/>
      <c r="BF657" s="42"/>
      <c r="BG657" s="42"/>
      <c r="BH657" s="42"/>
      <c r="BI657" s="42"/>
      <c r="BJ657" s="42"/>
      <c r="BK657" s="42"/>
      <c r="BL657" s="42"/>
      <c r="BM657" s="42"/>
      <c r="BN657" s="42"/>
      <c r="BO657" s="42"/>
      <c r="BP657" s="42">
        <v>0</v>
      </c>
      <c r="BQ657" s="42"/>
      <c r="BR657" s="42">
        <v>0</v>
      </c>
      <c r="BS657" s="42"/>
      <c r="BT657" s="42"/>
      <c r="BU657" s="42"/>
      <c r="BV657" s="42">
        <v>0</v>
      </c>
      <c r="BW657" s="42">
        <v>0</v>
      </c>
      <c r="BX657" s="42">
        <v>0</v>
      </c>
      <c r="BY657" s="42">
        <v>0</v>
      </c>
      <c r="BZ657" s="42">
        <v>0</v>
      </c>
      <c r="CA657" s="42">
        <v>0</v>
      </c>
      <c r="CB657" s="42">
        <v>0</v>
      </c>
      <c r="CC657" s="42">
        <v>0</v>
      </c>
      <c r="CD657" s="42">
        <v>0</v>
      </c>
      <c r="CE657" s="42">
        <v>0</v>
      </c>
      <c r="CF657" s="42">
        <v>0</v>
      </c>
      <c r="CG657" s="42">
        <v>0</v>
      </c>
      <c r="CH657" s="42">
        <v>0</v>
      </c>
      <c r="CI657" s="42">
        <v>0</v>
      </c>
      <c r="CJ657" s="42">
        <v>1861</v>
      </c>
      <c r="CK657" s="43">
        <f>SUM(AW657:CJ657)</f>
        <v>1861</v>
      </c>
      <c r="CL657" s="66"/>
      <c r="CM657" s="66">
        <v>0</v>
      </c>
      <c r="CN657" s="66">
        <v>0</v>
      </c>
      <c r="CO657" s="66">
        <v>0</v>
      </c>
      <c r="CP657" s="66">
        <v>0</v>
      </c>
      <c r="CQ657" s="66">
        <v>0</v>
      </c>
      <c r="CR657" s="66">
        <v>0</v>
      </c>
      <c r="CS657" s="66">
        <v>0</v>
      </c>
      <c r="CT657" s="66">
        <v>0</v>
      </c>
      <c r="CU657" s="66">
        <v>0</v>
      </c>
      <c r="CV657" s="66">
        <v>0</v>
      </c>
      <c r="CW657" s="66">
        <v>0</v>
      </c>
      <c r="CX657" s="66">
        <v>0</v>
      </c>
      <c r="CY657" s="66">
        <v>0</v>
      </c>
      <c r="CZ657" s="66">
        <v>0</v>
      </c>
      <c r="DA657" s="66"/>
      <c r="DB657" s="66"/>
      <c r="DC657" s="66"/>
      <c r="DD657" s="66"/>
      <c r="DE657" s="66"/>
      <c r="DF657" s="66"/>
      <c r="DG657" s="66"/>
      <c r="DH657" s="66"/>
      <c r="DI657" s="66"/>
      <c r="DJ657" s="66"/>
      <c r="DK657" s="66">
        <f>SUM(Table1[[#This Row],[01-03 Apr]:[Mar-26]])</f>
        <v>0</v>
      </c>
    </row>
    <row r="658" spans="1:115" x14ac:dyDescent="0.2">
      <c r="A658" s="28" t="s">
        <v>2255</v>
      </c>
      <c r="B658" s="29" t="s">
        <v>1576</v>
      </c>
      <c r="C658" s="29" t="s">
        <v>1577</v>
      </c>
      <c r="D658" s="30" t="s">
        <v>1578</v>
      </c>
      <c r="E658" s="30" t="s">
        <v>1321</v>
      </c>
      <c r="F658" s="30"/>
      <c r="G658" s="31"/>
      <c r="H658" s="30">
        <v>2351719</v>
      </c>
      <c r="I658" s="30" t="str">
        <f>IF(Table1[[#This Row],[Centre Status]]="Returned","NA",IF(Table1[[#This Row],[SD]]&gt;19000,"Full Payment",IF(Table1[[#This Row],[SD]]&lt;1,"No Payment","Partial Payment")))</f>
        <v>No Payment</v>
      </c>
      <c r="J658" s="30" t="s">
        <v>58</v>
      </c>
      <c r="K658" s="32">
        <v>110000</v>
      </c>
      <c r="L658" s="33">
        <f>Q658+R658+U658+Table1[[#This Row],[Farmer Payment]]</f>
        <v>43536.643003991165</v>
      </c>
      <c r="M658" s="30"/>
      <c r="N658" s="34"/>
      <c r="O658" s="34"/>
      <c r="P658" s="35">
        <f t="shared" si="68"/>
        <v>66463.356996008835</v>
      </c>
      <c r="Q658" s="33">
        <f>AI658+AV658+CK658+Table1[[#This Row],[FY 25-26]]</f>
        <v>43536.643003991165</v>
      </c>
      <c r="R658" s="36">
        <v>0</v>
      </c>
      <c r="S658" s="37" t="s">
        <v>2361</v>
      </c>
      <c r="T658" s="38"/>
      <c r="U658" s="39"/>
      <c r="V658" s="39"/>
      <c r="W658" s="40">
        <v>0</v>
      </c>
      <c r="X658" s="40">
        <v>0</v>
      </c>
      <c r="Y658" s="40">
        <v>0</v>
      </c>
      <c r="Z658" s="40">
        <v>0</v>
      </c>
      <c r="AA658" s="40">
        <v>0</v>
      </c>
      <c r="AB658" s="40">
        <v>0</v>
      </c>
      <c r="AC658" s="40">
        <v>0</v>
      </c>
      <c r="AD658" s="40">
        <v>0</v>
      </c>
      <c r="AE658" s="40">
        <v>0</v>
      </c>
      <c r="AF658" s="40">
        <v>0</v>
      </c>
      <c r="AG658" s="40">
        <v>0</v>
      </c>
      <c r="AH658" s="40">
        <v>0</v>
      </c>
      <c r="AI658" s="41">
        <f t="shared" si="69"/>
        <v>0</v>
      </c>
      <c r="AJ658" s="42">
        <v>0</v>
      </c>
      <c r="AK658" s="42">
        <v>0</v>
      </c>
      <c r="AL658" s="42">
        <v>0</v>
      </c>
      <c r="AM658" s="42">
        <v>0</v>
      </c>
      <c r="AN658" s="42">
        <v>0</v>
      </c>
      <c r="AO658" s="42">
        <v>0</v>
      </c>
      <c r="AP658" s="42">
        <v>0</v>
      </c>
      <c r="AQ658" s="42">
        <v>4272.9686000000002</v>
      </c>
      <c r="AR658" s="42">
        <v>3725.9994000000002</v>
      </c>
      <c r="AS658" s="42">
        <v>4993.6949999999997</v>
      </c>
      <c r="AT658" s="42">
        <v>4820.5869999999995</v>
      </c>
      <c r="AU658" s="42">
        <v>6604.6579999999994</v>
      </c>
      <c r="AV658" s="42">
        <f t="shared" si="70"/>
        <v>24417.907999999999</v>
      </c>
      <c r="AW658" s="42">
        <v>4993.5268303655439</v>
      </c>
      <c r="AX658" s="42">
        <v>2211.0706464870445</v>
      </c>
      <c r="AY658" s="42">
        <v>1822</v>
      </c>
      <c r="AZ658" s="42">
        <v>2229.6052536575999</v>
      </c>
      <c r="BA658" s="42">
        <v>3615.6988006989604</v>
      </c>
      <c r="BB658" s="42">
        <v>0</v>
      </c>
      <c r="BC658" s="42">
        <v>4246.8334727820238</v>
      </c>
      <c r="BD658" s="42">
        <v>0</v>
      </c>
      <c r="BE658" s="42">
        <v>0</v>
      </c>
      <c r="BF658" s="42">
        <v>0</v>
      </c>
      <c r="BG658" s="42">
        <v>0</v>
      </c>
      <c r="BH658" s="42">
        <v>0</v>
      </c>
      <c r="BI658" s="42">
        <v>0</v>
      </c>
      <c r="BJ658" s="42">
        <v>0</v>
      </c>
      <c r="BK658" s="42">
        <v>0</v>
      </c>
      <c r="BL658" s="42">
        <v>0</v>
      </c>
      <c r="BM658" s="42">
        <v>0</v>
      </c>
      <c r="BN658" s="42">
        <v>0</v>
      </c>
      <c r="BO658" s="42">
        <v>0</v>
      </c>
      <c r="BP658" s="42">
        <v>0</v>
      </c>
      <c r="BQ658" s="42">
        <v>0</v>
      </c>
      <c r="BR658" s="42">
        <v>0</v>
      </c>
      <c r="BS658" s="42">
        <v>0</v>
      </c>
      <c r="BT658" s="42">
        <v>0</v>
      </c>
      <c r="BU658" s="42">
        <v>0</v>
      </c>
      <c r="BV658" s="42">
        <v>0</v>
      </c>
      <c r="BW658" s="42">
        <v>0</v>
      </c>
      <c r="BX658" s="42">
        <v>0</v>
      </c>
      <c r="BY658" s="42">
        <v>0</v>
      </c>
      <c r="BZ658" s="42">
        <v>0</v>
      </c>
      <c r="CA658" s="42">
        <v>0</v>
      </c>
      <c r="CB658" s="42">
        <v>0</v>
      </c>
      <c r="CC658" s="42">
        <v>0</v>
      </c>
      <c r="CD658" s="42">
        <v>0</v>
      </c>
      <c r="CE658" s="42">
        <v>0</v>
      </c>
      <c r="CF658" s="42">
        <v>0</v>
      </c>
      <c r="CG658" s="42">
        <v>0</v>
      </c>
      <c r="CH658" s="42">
        <v>0</v>
      </c>
      <c r="CI658" s="42">
        <v>0</v>
      </c>
      <c r="CJ658" s="42">
        <v>0</v>
      </c>
      <c r="CK658" s="43">
        <f t="shared" si="67"/>
        <v>19118.735003991169</v>
      </c>
      <c r="CL658" s="66"/>
      <c r="CM658" s="66">
        <v>0</v>
      </c>
      <c r="CN658" s="66">
        <v>0</v>
      </c>
      <c r="CO658" s="66">
        <v>0</v>
      </c>
      <c r="CP658" s="66">
        <v>0</v>
      </c>
      <c r="CQ658" s="66">
        <v>0</v>
      </c>
      <c r="CR658" s="66">
        <v>0</v>
      </c>
      <c r="CS658" s="66">
        <v>0</v>
      </c>
      <c r="CT658" s="66">
        <v>0</v>
      </c>
      <c r="CU658" s="66">
        <v>0</v>
      </c>
      <c r="CV658" s="66">
        <v>0</v>
      </c>
      <c r="CW658" s="66">
        <v>0</v>
      </c>
      <c r="CX658" s="66">
        <v>0</v>
      </c>
      <c r="CY658" s="66">
        <v>0</v>
      </c>
      <c r="CZ658" s="66">
        <v>0</v>
      </c>
      <c r="DA658" s="66"/>
      <c r="DB658" s="66"/>
      <c r="DC658" s="66"/>
      <c r="DD658" s="66"/>
      <c r="DE658" s="66"/>
      <c r="DF658" s="66"/>
      <c r="DG658" s="66"/>
      <c r="DH658" s="66"/>
      <c r="DI658" s="66"/>
      <c r="DJ658" s="66"/>
      <c r="DK658" s="66">
        <f>SUM(Table1[[#This Row],[01-03 Apr]:[Mar-26]])</f>
        <v>0</v>
      </c>
    </row>
    <row r="659" spans="1:115" hidden="1" x14ac:dyDescent="0.2">
      <c r="A659" s="28" t="s">
        <v>2255</v>
      </c>
      <c r="B659" s="29" t="s">
        <v>1579</v>
      </c>
      <c r="C659" s="29" t="s">
        <v>1580</v>
      </c>
      <c r="D659" s="30" t="s">
        <v>1581</v>
      </c>
      <c r="E659" s="30" t="s">
        <v>63</v>
      </c>
      <c r="F659" s="30"/>
      <c r="G659" s="31"/>
      <c r="H659" s="30">
        <v>2351717</v>
      </c>
      <c r="I659" s="30" t="str">
        <f>IF(Table1[[#This Row],[Centre Status]]="Returned","NA",IF(Table1[[#This Row],[SD]]&gt;19000,"Full Payment",IF(Table1[[#This Row],[SD]]&lt;1,"No Payment","Partial Payment")))</f>
        <v>Full Payment</v>
      </c>
      <c r="J659" s="30" t="s">
        <v>58</v>
      </c>
      <c r="K659" s="32">
        <v>110000</v>
      </c>
      <c r="L659" s="33">
        <f>Q659+R659+U659+Table1[[#This Row],[Farmer Payment]]</f>
        <v>65306.96940781099</v>
      </c>
      <c r="M659" s="30"/>
      <c r="N659" s="34"/>
      <c r="O659" s="34"/>
      <c r="P659" s="35">
        <f t="shared" si="68"/>
        <v>44693.03059218901</v>
      </c>
      <c r="Q659" s="33">
        <f>AI659+AV659+CK659+Table1[[#This Row],[FY 25-26]]</f>
        <v>45306.96940781099</v>
      </c>
      <c r="R659" s="36">
        <v>20000</v>
      </c>
      <c r="S659" s="37" t="s">
        <v>2296</v>
      </c>
      <c r="T659" s="38">
        <v>45177</v>
      </c>
      <c r="U659" s="39"/>
      <c r="V659" s="39"/>
      <c r="W659" s="40">
        <v>0</v>
      </c>
      <c r="X659" s="40">
        <v>0</v>
      </c>
      <c r="Y659" s="40">
        <v>0</v>
      </c>
      <c r="Z659" s="40">
        <v>0</v>
      </c>
      <c r="AA659" s="40">
        <v>0</v>
      </c>
      <c r="AB659" s="40">
        <v>0</v>
      </c>
      <c r="AC659" s="40">
        <v>0</v>
      </c>
      <c r="AD659" s="40">
        <v>0</v>
      </c>
      <c r="AE659" s="40">
        <v>0</v>
      </c>
      <c r="AF659" s="40">
        <v>0</v>
      </c>
      <c r="AG659" s="40">
        <v>0</v>
      </c>
      <c r="AH659" s="40">
        <v>0</v>
      </c>
      <c r="AI659" s="41">
        <f t="shared" si="69"/>
        <v>0</v>
      </c>
      <c r="AJ659" s="42">
        <v>0</v>
      </c>
      <c r="AK659" s="42">
        <v>0</v>
      </c>
      <c r="AL659" s="42">
        <v>0</v>
      </c>
      <c r="AM659" s="42">
        <v>0</v>
      </c>
      <c r="AN659" s="42">
        <v>0</v>
      </c>
      <c r="AO659" s="42">
        <v>0</v>
      </c>
      <c r="AP659" s="42">
        <v>0</v>
      </c>
      <c r="AQ659" s="42">
        <v>1861</v>
      </c>
      <c r="AR659" s="42">
        <v>2328.9744000000001</v>
      </c>
      <c r="AS659" s="42">
        <v>2749.5536000000006</v>
      </c>
      <c r="AT659" s="42">
        <v>2525.4945999999995</v>
      </c>
      <c r="AU659" s="42">
        <v>2478.5506000000005</v>
      </c>
      <c r="AV659" s="42">
        <f t="shared" si="70"/>
        <v>11943.573200000001</v>
      </c>
      <c r="AW659" s="42">
        <v>2615.2576457472005</v>
      </c>
      <c r="AX659" s="42">
        <v>2636.2481481984</v>
      </c>
      <c r="AY659" s="42">
        <v>2532.8196670043403</v>
      </c>
      <c r="AZ659" s="42">
        <v>3067.5641766912004</v>
      </c>
      <c r="BA659" s="42">
        <v>2928.0658887936006</v>
      </c>
      <c r="BB659" s="42">
        <v>0</v>
      </c>
      <c r="BC659" s="42">
        <v>3862.0619036442122</v>
      </c>
      <c r="BD659" s="42">
        <v>0</v>
      </c>
      <c r="BE659" s="42">
        <v>0</v>
      </c>
      <c r="BF659" s="42">
        <v>0</v>
      </c>
      <c r="BG659" s="42">
        <v>0</v>
      </c>
      <c r="BH659" s="42">
        <v>0</v>
      </c>
      <c r="BI659" s="42">
        <v>1960.8411179984562</v>
      </c>
      <c r="BJ659" s="42">
        <v>0</v>
      </c>
      <c r="BK659" s="42">
        <v>0</v>
      </c>
      <c r="BL659" s="42">
        <v>0</v>
      </c>
      <c r="BM659" s="42">
        <v>0</v>
      </c>
      <c r="BN659" s="42">
        <v>1872.0609799980562</v>
      </c>
      <c r="BO659" s="42">
        <v>0</v>
      </c>
      <c r="BP659" s="42">
        <v>0</v>
      </c>
      <c r="BQ659" s="42">
        <v>0</v>
      </c>
      <c r="BR659" s="42">
        <v>0</v>
      </c>
      <c r="BS659" s="42">
        <v>2343.78151067312</v>
      </c>
      <c r="BT659" s="42">
        <v>0</v>
      </c>
      <c r="BU659" s="42">
        <v>0</v>
      </c>
      <c r="BV659" s="42">
        <v>0</v>
      </c>
      <c r="BW659" s="42">
        <v>0</v>
      </c>
      <c r="BX659" s="42">
        <v>0</v>
      </c>
      <c r="BY659" s="42">
        <v>1861</v>
      </c>
      <c r="BZ659" s="42">
        <v>0</v>
      </c>
      <c r="CA659" s="42">
        <v>0</v>
      </c>
      <c r="CB659" s="42">
        <v>0</v>
      </c>
      <c r="CC659" s="42">
        <v>0</v>
      </c>
      <c r="CD659" s="42">
        <v>2100.6951690624001</v>
      </c>
      <c r="CE659" s="42">
        <v>0</v>
      </c>
      <c r="CF659" s="42">
        <v>0</v>
      </c>
      <c r="CG659" s="42">
        <v>0</v>
      </c>
      <c r="CH659" s="42">
        <v>0</v>
      </c>
      <c r="CI659" s="42">
        <v>0</v>
      </c>
      <c r="CJ659" s="42">
        <v>1861</v>
      </c>
      <c r="CK659" s="43">
        <f t="shared" si="67"/>
        <v>29641.396207810987</v>
      </c>
      <c r="CL659" s="66"/>
      <c r="CM659" s="66">
        <v>0</v>
      </c>
      <c r="CN659" s="66">
        <v>0</v>
      </c>
      <c r="CO659" s="66">
        <v>0</v>
      </c>
      <c r="CP659" s="66">
        <v>1861</v>
      </c>
      <c r="CQ659" s="66">
        <v>0</v>
      </c>
      <c r="CR659" s="66">
        <v>0</v>
      </c>
      <c r="CS659" s="66">
        <v>0</v>
      </c>
      <c r="CT659" s="66">
        <v>0</v>
      </c>
      <c r="CU659" s="66">
        <v>0</v>
      </c>
      <c r="CV659" s="66">
        <v>1861</v>
      </c>
      <c r="CW659" s="66">
        <v>0</v>
      </c>
      <c r="CX659" s="66">
        <v>0</v>
      </c>
      <c r="CY659" s="66">
        <v>0</v>
      </c>
      <c r="CZ659" s="66">
        <v>0</v>
      </c>
      <c r="DA659" s="66"/>
      <c r="DB659" s="66"/>
      <c r="DC659" s="66"/>
      <c r="DD659" s="66"/>
      <c r="DE659" s="66"/>
      <c r="DF659" s="66"/>
      <c r="DG659" s="66"/>
      <c r="DH659" s="66"/>
      <c r="DI659" s="66"/>
      <c r="DJ659" s="66"/>
      <c r="DK659" s="66">
        <f>SUM(Table1[[#This Row],[01-03 Apr]:[Mar-26]])</f>
        <v>3722</v>
      </c>
    </row>
    <row r="660" spans="1:115" hidden="1" x14ac:dyDescent="0.2">
      <c r="A660" s="28" t="s">
        <v>2255</v>
      </c>
      <c r="B660" s="29" t="s">
        <v>1582</v>
      </c>
      <c r="C660" s="29" t="s">
        <v>1583</v>
      </c>
      <c r="D660" s="30" t="s">
        <v>1584</v>
      </c>
      <c r="E660" s="30" t="s">
        <v>63</v>
      </c>
      <c r="F660" s="30"/>
      <c r="G660" s="31"/>
      <c r="H660" s="30">
        <v>2351716</v>
      </c>
      <c r="I660" s="30" t="str">
        <f>IF(Table1[[#This Row],[Centre Status]]="Returned","NA",IF(Table1[[#This Row],[SD]]&gt;19000,"Full Payment",IF(Table1[[#This Row],[SD]]&lt;1,"No Payment","Partial Payment")))</f>
        <v>Full Payment</v>
      </c>
      <c r="J660" s="30" t="s">
        <v>58</v>
      </c>
      <c r="K660" s="32">
        <v>110000</v>
      </c>
      <c r="L660" s="33">
        <f>Q660+R660+U660+Table1[[#This Row],[Farmer Payment]]</f>
        <v>89391.51511579963</v>
      </c>
      <c r="M660" s="30"/>
      <c r="N660" s="34"/>
      <c r="O660" s="34"/>
      <c r="P660" s="35">
        <f t="shared" si="68"/>
        <v>20608.48488420037</v>
      </c>
      <c r="Q660" s="33">
        <f>AI660+AV660+CK660+Table1[[#This Row],[FY 25-26]]</f>
        <v>69391.51511579963</v>
      </c>
      <c r="R660" s="36">
        <v>20000</v>
      </c>
      <c r="S660" s="37" t="s">
        <v>2300</v>
      </c>
      <c r="T660" s="38">
        <v>45185</v>
      </c>
      <c r="U660" s="39"/>
      <c r="V660" s="39"/>
      <c r="W660" s="40">
        <v>0</v>
      </c>
      <c r="X660" s="40">
        <v>0</v>
      </c>
      <c r="Y660" s="40">
        <v>0</v>
      </c>
      <c r="Z660" s="40">
        <v>0</v>
      </c>
      <c r="AA660" s="40">
        <v>0</v>
      </c>
      <c r="AB660" s="40">
        <v>0</v>
      </c>
      <c r="AC660" s="40">
        <v>0</v>
      </c>
      <c r="AD660" s="40">
        <v>0</v>
      </c>
      <c r="AE660" s="40">
        <v>0</v>
      </c>
      <c r="AF660" s="40">
        <v>0</v>
      </c>
      <c r="AG660" s="40">
        <v>0</v>
      </c>
      <c r="AH660" s="40">
        <v>0</v>
      </c>
      <c r="AI660" s="41">
        <f t="shared" si="69"/>
        <v>0</v>
      </c>
      <c r="AJ660" s="42">
        <v>0</v>
      </c>
      <c r="AK660" s="42">
        <v>0</v>
      </c>
      <c r="AL660" s="42">
        <v>0</v>
      </c>
      <c r="AM660" s="42">
        <v>0</v>
      </c>
      <c r="AN660" s="42">
        <v>0</v>
      </c>
      <c r="AO660" s="42">
        <v>0</v>
      </c>
      <c r="AP660" s="42">
        <v>0</v>
      </c>
      <c r="AQ660" s="42">
        <v>2142.9731999999999</v>
      </c>
      <c r="AR660" s="42">
        <v>3241.3955999999998</v>
      </c>
      <c r="AS660" s="42">
        <v>4360.0724</v>
      </c>
      <c r="AT660" s="42">
        <v>4288.3564000000006</v>
      </c>
      <c r="AU660" s="42">
        <v>5365.1481999999996</v>
      </c>
      <c r="AV660" s="42">
        <f t="shared" si="70"/>
        <v>19397.945800000001</v>
      </c>
      <c r="AW660" s="42">
        <v>4039.9096287423681</v>
      </c>
      <c r="AX660" s="42">
        <v>3261.6832051556603</v>
      </c>
      <c r="AY660" s="42">
        <v>2885.21373112216</v>
      </c>
      <c r="AZ660" s="42">
        <v>3329.9480595433702</v>
      </c>
      <c r="BA660" s="42">
        <v>4294.4127920704004</v>
      </c>
      <c r="BB660" s="42">
        <v>0</v>
      </c>
      <c r="BC660" s="42">
        <v>5718.5447698136804</v>
      </c>
      <c r="BD660" s="42">
        <v>0</v>
      </c>
      <c r="BE660" s="42">
        <v>0</v>
      </c>
      <c r="BF660" s="42">
        <v>0</v>
      </c>
      <c r="BG660" s="42">
        <v>0</v>
      </c>
      <c r="BH660" s="42">
        <v>0</v>
      </c>
      <c r="BI660" s="42">
        <v>2675.7078446475084</v>
      </c>
      <c r="BJ660" s="42">
        <v>0</v>
      </c>
      <c r="BK660" s="42">
        <v>0</v>
      </c>
      <c r="BL660" s="42">
        <v>0</v>
      </c>
      <c r="BM660" s="42">
        <v>0</v>
      </c>
      <c r="BN660" s="42">
        <v>1762</v>
      </c>
      <c r="BO660" s="42">
        <v>0</v>
      </c>
      <c r="BP660" s="42">
        <v>0</v>
      </c>
      <c r="BQ660" s="42">
        <v>0</v>
      </c>
      <c r="BR660" s="42">
        <v>0</v>
      </c>
      <c r="BS660" s="42">
        <v>3597.5140163421761</v>
      </c>
      <c r="BT660" s="42">
        <v>0</v>
      </c>
      <c r="BU660" s="42">
        <v>0</v>
      </c>
      <c r="BV660" s="42">
        <v>0</v>
      </c>
      <c r="BW660" s="42">
        <v>0</v>
      </c>
      <c r="BX660" s="42">
        <v>0</v>
      </c>
      <c r="BY660" s="42">
        <v>3689.0193138900786</v>
      </c>
      <c r="BZ660" s="42">
        <v>0</v>
      </c>
      <c r="CA660" s="42">
        <v>0</v>
      </c>
      <c r="CB660" s="42">
        <v>0</v>
      </c>
      <c r="CC660" s="42">
        <v>0</v>
      </c>
      <c r="CD660" s="42">
        <v>4185.5449834830824</v>
      </c>
      <c r="CE660" s="42">
        <v>0</v>
      </c>
      <c r="CF660" s="42">
        <v>0</v>
      </c>
      <c r="CG660" s="42">
        <v>0</v>
      </c>
      <c r="CH660" s="42">
        <v>0</v>
      </c>
      <c r="CI660" s="42">
        <v>0</v>
      </c>
      <c r="CJ660" s="42">
        <v>5377.1537263253149</v>
      </c>
      <c r="CK660" s="43">
        <f t="shared" si="67"/>
        <v>44816.652071135795</v>
      </c>
      <c r="CL660" s="66"/>
      <c r="CM660" s="66">
        <v>0</v>
      </c>
      <c r="CN660" s="66">
        <v>0</v>
      </c>
      <c r="CO660" s="66">
        <v>0</v>
      </c>
      <c r="CP660" s="66">
        <v>3142.367627833446</v>
      </c>
      <c r="CQ660" s="66">
        <v>0</v>
      </c>
      <c r="CR660" s="66">
        <v>0</v>
      </c>
      <c r="CS660" s="66">
        <v>0</v>
      </c>
      <c r="CT660" s="66">
        <v>0</v>
      </c>
      <c r="CU660" s="66">
        <v>0</v>
      </c>
      <c r="CV660" s="66">
        <v>2034.5496168303821</v>
      </c>
      <c r="CW660" s="66">
        <v>0</v>
      </c>
      <c r="CX660" s="66">
        <v>0</v>
      </c>
      <c r="CY660" s="66">
        <v>0</v>
      </c>
      <c r="CZ660" s="66">
        <v>0</v>
      </c>
      <c r="DA660" s="66"/>
      <c r="DB660" s="66"/>
      <c r="DC660" s="66"/>
      <c r="DD660" s="66"/>
      <c r="DE660" s="66"/>
      <c r="DF660" s="66"/>
      <c r="DG660" s="66"/>
      <c r="DH660" s="66"/>
      <c r="DI660" s="66"/>
      <c r="DJ660" s="66"/>
      <c r="DK660" s="66">
        <f>SUM(Table1[[#This Row],[01-03 Apr]:[Mar-26]])</f>
        <v>5176.9172446638277</v>
      </c>
    </row>
    <row r="661" spans="1:115" hidden="1" x14ac:dyDescent="0.2">
      <c r="A661" s="28" t="s">
        <v>2255</v>
      </c>
      <c r="B661" s="29" t="s">
        <v>1585</v>
      </c>
      <c r="C661" s="29" t="s">
        <v>1586</v>
      </c>
      <c r="D661" s="30" t="s">
        <v>1587</v>
      </c>
      <c r="E661" s="30" t="s">
        <v>57</v>
      </c>
      <c r="F661" s="30"/>
      <c r="G661" s="31"/>
      <c r="H661" s="30">
        <v>2351707</v>
      </c>
      <c r="I661" s="30" t="str">
        <f>IF(Table1[[#This Row],[Centre Status]]="Returned","NA",IF(Table1[[#This Row],[SD]]&gt;19000,"Full Payment",IF(Table1[[#This Row],[SD]]&lt;1,"No Payment","Partial Payment")))</f>
        <v>Full Payment</v>
      </c>
      <c r="J661" s="30" t="s">
        <v>58</v>
      </c>
      <c r="K661" s="32">
        <v>110000</v>
      </c>
      <c r="L661" s="33">
        <f>Q661+R661+U661+Table1[[#This Row],[Farmer Payment]]</f>
        <v>46261.6518</v>
      </c>
      <c r="M661" s="30"/>
      <c r="N661" s="34"/>
      <c r="O661" s="34"/>
      <c r="P661" s="35">
        <f t="shared" si="68"/>
        <v>63738.3482</v>
      </c>
      <c r="Q661" s="33">
        <f>AI661+AV661+CK661+Table1[[#This Row],[FY 25-26]]</f>
        <v>26261.6518</v>
      </c>
      <c r="R661" s="36">
        <v>20000</v>
      </c>
      <c r="S661" s="37" t="s">
        <v>2297</v>
      </c>
      <c r="T661" s="38">
        <v>45177</v>
      </c>
      <c r="U661" s="39"/>
      <c r="V661" s="39"/>
      <c r="W661" s="40">
        <v>0</v>
      </c>
      <c r="X661" s="40">
        <v>0</v>
      </c>
      <c r="Y661" s="40">
        <v>0</v>
      </c>
      <c r="Z661" s="40">
        <v>0</v>
      </c>
      <c r="AA661" s="40">
        <v>0</v>
      </c>
      <c r="AB661" s="40">
        <v>0</v>
      </c>
      <c r="AC661" s="40">
        <v>0</v>
      </c>
      <c r="AD661" s="40">
        <v>0</v>
      </c>
      <c r="AE661" s="40">
        <v>0</v>
      </c>
      <c r="AF661" s="40">
        <v>0</v>
      </c>
      <c r="AG661" s="40">
        <v>0</v>
      </c>
      <c r="AH661" s="40">
        <v>0</v>
      </c>
      <c r="AI661" s="41">
        <f t="shared" si="69"/>
        <v>0</v>
      </c>
      <c r="AJ661" s="42">
        <v>0</v>
      </c>
      <c r="AK661" s="42">
        <v>0</v>
      </c>
      <c r="AL661" s="42">
        <v>0</v>
      </c>
      <c r="AM661" s="42">
        <v>0</v>
      </c>
      <c r="AN661" s="42">
        <v>0</v>
      </c>
      <c r="AO661" s="42">
        <v>0</v>
      </c>
      <c r="AP661" s="42">
        <v>0</v>
      </c>
      <c r="AQ661" s="42">
        <v>2317.5927999999999</v>
      </c>
      <c r="AR661" s="42">
        <v>3062.1957999999995</v>
      </c>
      <c r="AS661" s="42">
        <v>1939.8632</v>
      </c>
      <c r="AT661" s="42">
        <v>1429</v>
      </c>
      <c r="AU661" s="42">
        <v>1097</v>
      </c>
      <c r="AV661" s="42">
        <f t="shared" si="70"/>
        <v>9845.6517999999996</v>
      </c>
      <c r="AW661" s="42">
        <v>1350</v>
      </c>
      <c r="AX661" s="42">
        <v>794</v>
      </c>
      <c r="AY661" s="42">
        <v>1353</v>
      </c>
      <c r="AZ661" s="42">
        <v>1059</v>
      </c>
      <c r="BA661" s="42">
        <v>0</v>
      </c>
      <c r="BB661" s="42">
        <v>500</v>
      </c>
      <c r="BC661" s="42">
        <v>0</v>
      </c>
      <c r="BD661" s="42">
        <v>500</v>
      </c>
      <c r="BE661" s="42">
        <v>500</v>
      </c>
      <c r="BF661" s="42">
        <v>500</v>
      </c>
      <c r="BG661" s="42">
        <v>500</v>
      </c>
      <c r="BH661" s="42">
        <v>500</v>
      </c>
      <c r="BI661" s="42">
        <v>0</v>
      </c>
      <c r="BJ661" s="42">
        <v>500</v>
      </c>
      <c r="BK661" s="42">
        <v>500</v>
      </c>
      <c r="BL661" s="42">
        <v>500</v>
      </c>
      <c r="BM661" s="42">
        <v>500</v>
      </c>
      <c r="BN661" s="42">
        <v>0</v>
      </c>
      <c r="BO661" s="42">
        <v>360</v>
      </c>
      <c r="BP661" s="42">
        <v>500</v>
      </c>
      <c r="BQ661" s="42">
        <v>500</v>
      </c>
      <c r="BR661" s="42">
        <v>500</v>
      </c>
      <c r="BS661" s="42">
        <v>0</v>
      </c>
      <c r="BT661" s="42">
        <v>500</v>
      </c>
      <c r="BU661" s="42">
        <v>500</v>
      </c>
      <c r="BV661" s="42">
        <v>500</v>
      </c>
      <c r="BW661" s="42">
        <v>500</v>
      </c>
      <c r="BX661" s="42">
        <v>500</v>
      </c>
      <c r="BY661" s="42">
        <v>0</v>
      </c>
      <c r="BZ661" s="42">
        <v>500</v>
      </c>
      <c r="CA661" s="42">
        <v>500</v>
      </c>
      <c r="CB661" s="42">
        <v>500</v>
      </c>
      <c r="CC661" s="42">
        <v>500</v>
      </c>
      <c r="CD661" s="42">
        <v>0</v>
      </c>
      <c r="CE661" s="42">
        <v>500</v>
      </c>
      <c r="CF661" s="42">
        <v>0</v>
      </c>
      <c r="CG661" s="42">
        <v>0</v>
      </c>
      <c r="CH661" s="42">
        <v>0</v>
      </c>
      <c r="CI661" s="42">
        <v>0</v>
      </c>
      <c r="CJ661" s="42">
        <v>0</v>
      </c>
      <c r="CK661" s="43">
        <f t="shared" si="67"/>
        <v>16416</v>
      </c>
      <c r="CL661" s="66"/>
      <c r="CM661" s="66">
        <v>0</v>
      </c>
      <c r="CN661" s="66">
        <v>0</v>
      </c>
      <c r="CO661" s="66">
        <v>0</v>
      </c>
      <c r="CP661" s="66">
        <v>0</v>
      </c>
      <c r="CQ661" s="66">
        <v>0</v>
      </c>
      <c r="CR661" s="66">
        <v>0</v>
      </c>
      <c r="CS661" s="66">
        <v>0</v>
      </c>
      <c r="CT661" s="66">
        <v>0</v>
      </c>
      <c r="CU661" s="66">
        <v>0</v>
      </c>
      <c r="CV661" s="66">
        <v>0</v>
      </c>
      <c r="CW661" s="66">
        <v>0</v>
      </c>
      <c r="CX661" s="66">
        <v>0</v>
      </c>
      <c r="CY661" s="66">
        <v>0</v>
      </c>
      <c r="CZ661" s="66">
        <v>0</v>
      </c>
      <c r="DA661" s="66"/>
      <c r="DB661" s="66"/>
      <c r="DC661" s="66"/>
      <c r="DD661" s="66"/>
      <c r="DE661" s="66"/>
      <c r="DF661" s="66"/>
      <c r="DG661" s="66"/>
      <c r="DH661" s="66"/>
      <c r="DI661" s="66"/>
      <c r="DJ661" s="66"/>
      <c r="DK661" s="66">
        <f>SUM(Table1[[#This Row],[01-03 Apr]:[Mar-26]])</f>
        <v>0</v>
      </c>
    </row>
    <row r="662" spans="1:115" hidden="1" x14ac:dyDescent="0.2">
      <c r="A662" s="28" t="s">
        <v>2255</v>
      </c>
      <c r="B662" s="29" t="s">
        <v>1588</v>
      </c>
      <c r="C662" s="29" t="s">
        <v>1589</v>
      </c>
      <c r="D662" s="30" t="s">
        <v>1590</v>
      </c>
      <c r="E662" s="30" t="s">
        <v>57</v>
      </c>
      <c r="F662" s="30"/>
      <c r="G662" s="31"/>
      <c r="H662" s="30">
        <v>2346389</v>
      </c>
      <c r="I662" s="30" t="str">
        <f>IF(Table1[[#This Row],[Centre Status]]="Returned","NA",IF(Table1[[#This Row],[SD]]&gt;19000,"Full Payment",IF(Table1[[#This Row],[SD]]&lt;1,"No Payment","Partial Payment")))</f>
        <v>Full Payment</v>
      </c>
      <c r="J662" s="30" t="s">
        <v>58</v>
      </c>
      <c r="K662" s="32">
        <v>110000</v>
      </c>
      <c r="L662" s="33">
        <f>Q662+R662+U662+Table1[[#This Row],[Farmer Payment]]</f>
        <v>93122.105160449457</v>
      </c>
      <c r="M662" s="30"/>
      <c r="N662" s="34"/>
      <c r="O662" s="34"/>
      <c r="P662" s="35">
        <f t="shared" si="68"/>
        <v>16877.894839550543</v>
      </c>
      <c r="Q662" s="33">
        <f>AI662+AV662+CK662+Table1[[#This Row],[FY 25-26]]</f>
        <v>73122.105160449457</v>
      </c>
      <c r="R662" s="36">
        <v>20000</v>
      </c>
      <c r="S662" s="37" t="s">
        <v>2298</v>
      </c>
      <c r="T662" s="38">
        <v>45182</v>
      </c>
      <c r="U662" s="39"/>
      <c r="V662" s="39"/>
      <c r="W662" s="40">
        <v>0</v>
      </c>
      <c r="X662" s="40">
        <v>0</v>
      </c>
      <c r="Y662" s="40">
        <v>0</v>
      </c>
      <c r="Z662" s="40">
        <v>0</v>
      </c>
      <c r="AA662" s="40">
        <v>0</v>
      </c>
      <c r="AB662" s="40">
        <v>0</v>
      </c>
      <c r="AC662" s="40">
        <v>0</v>
      </c>
      <c r="AD662" s="40">
        <v>0</v>
      </c>
      <c r="AE662" s="40">
        <v>0</v>
      </c>
      <c r="AF662" s="40">
        <v>0</v>
      </c>
      <c r="AG662" s="40">
        <v>0</v>
      </c>
      <c r="AH662" s="40">
        <v>0</v>
      </c>
      <c r="AI662" s="41">
        <f t="shared" si="69"/>
        <v>0</v>
      </c>
      <c r="AJ662" s="42">
        <v>0</v>
      </c>
      <c r="AK662" s="42">
        <v>0</v>
      </c>
      <c r="AL662" s="42">
        <v>0</v>
      </c>
      <c r="AM662" s="42">
        <v>0</v>
      </c>
      <c r="AN662" s="42">
        <v>0</v>
      </c>
      <c r="AO662" s="42">
        <v>0</v>
      </c>
      <c r="AP662" s="42">
        <v>0</v>
      </c>
      <c r="AQ662" s="42">
        <v>2577.36</v>
      </c>
      <c r="AR662" s="42">
        <v>3049.1606000000002</v>
      </c>
      <c r="AS662" s="42">
        <v>4183.3841999999995</v>
      </c>
      <c r="AT662" s="42">
        <v>4510.8252000000002</v>
      </c>
      <c r="AU662" s="42">
        <v>5082.5712000000003</v>
      </c>
      <c r="AV662" s="42">
        <f t="shared" si="70"/>
        <v>19403.301200000002</v>
      </c>
      <c r="AW662" s="42">
        <v>3745.7611955791708</v>
      </c>
      <c r="AX662" s="42">
        <v>2472.6600716641146</v>
      </c>
      <c r="AY662" s="42">
        <v>3034.9882218221205</v>
      </c>
      <c r="AZ662" s="42">
        <v>4816.8437127616517</v>
      </c>
      <c r="BA662" s="42">
        <v>3304.5689305482101</v>
      </c>
      <c r="BB662" s="42">
        <v>0</v>
      </c>
      <c r="BC662" s="42">
        <v>4668.4700630530842</v>
      </c>
      <c r="BD662" s="42">
        <v>0</v>
      </c>
      <c r="BE662" s="42">
        <v>0</v>
      </c>
      <c r="BF662" s="42">
        <v>0</v>
      </c>
      <c r="BG662" s="42">
        <v>0</v>
      </c>
      <c r="BH662" s="42">
        <v>0</v>
      </c>
      <c r="BI662" s="42">
        <v>4137.8243739970085</v>
      </c>
      <c r="BJ662" s="42">
        <v>0</v>
      </c>
      <c r="BK662" s="42">
        <v>0</v>
      </c>
      <c r="BL662" s="42">
        <v>0</v>
      </c>
      <c r="BM662" s="42">
        <v>0</v>
      </c>
      <c r="BN662" s="42">
        <v>4340.7236487184009</v>
      </c>
      <c r="BO662" s="42">
        <v>0</v>
      </c>
      <c r="BP662" s="42">
        <v>0</v>
      </c>
      <c r="BQ662" s="42">
        <v>0</v>
      </c>
      <c r="BR662" s="42">
        <v>0</v>
      </c>
      <c r="BS662" s="42">
        <v>4296.1834425291709</v>
      </c>
      <c r="BT662" s="42">
        <v>0</v>
      </c>
      <c r="BU662" s="42">
        <v>0</v>
      </c>
      <c r="BV662" s="42">
        <v>0</v>
      </c>
      <c r="BW662" s="42">
        <v>0</v>
      </c>
      <c r="BX662" s="42">
        <v>0</v>
      </c>
      <c r="BY662" s="42">
        <v>3636.3010387082936</v>
      </c>
      <c r="BZ662" s="42">
        <v>0</v>
      </c>
      <c r="CA662" s="42">
        <v>0</v>
      </c>
      <c r="CB662" s="42">
        <v>0</v>
      </c>
      <c r="CC662" s="42">
        <v>0</v>
      </c>
      <c r="CD662" s="42">
        <v>4099.5555219684602</v>
      </c>
      <c r="CE662" s="42">
        <v>0</v>
      </c>
      <c r="CF662" s="42">
        <v>0</v>
      </c>
      <c r="CG662" s="42">
        <v>0</v>
      </c>
      <c r="CH662" s="42">
        <v>0</v>
      </c>
      <c r="CI662" s="42">
        <v>0</v>
      </c>
      <c r="CJ662" s="42">
        <v>4973.3295171317532</v>
      </c>
      <c r="CK662" s="43">
        <f t="shared" si="67"/>
        <v>47527.209738481433</v>
      </c>
      <c r="CL662" s="66"/>
      <c r="CM662" s="66">
        <v>0</v>
      </c>
      <c r="CN662" s="66">
        <v>0</v>
      </c>
      <c r="CO662" s="66">
        <v>0</v>
      </c>
      <c r="CP662" s="66">
        <v>3600.8114800397962</v>
      </c>
      <c r="CQ662" s="66">
        <v>0</v>
      </c>
      <c r="CR662" s="66">
        <v>0</v>
      </c>
      <c r="CS662" s="66">
        <v>0</v>
      </c>
      <c r="CT662" s="66">
        <v>0</v>
      </c>
      <c r="CU662" s="66">
        <v>0</v>
      </c>
      <c r="CV662" s="66">
        <v>2590.7827419282362</v>
      </c>
      <c r="CW662" s="66">
        <v>0</v>
      </c>
      <c r="CX662" s="66">
        <v>0</v>
      </c>
      <c r="CY662" s="66">
        <v>0</v>
      </c>
      <c r="CZ662" s="66">
        <v>0</v>
      </c>
      <c r="DA662" s="66"/>
      <c r="DB662" s="66"/>
      <c r="DC662" s="66"/>
      <c r="DD662" s="66"/>
      <c r="DE662" s="66"/>
      <c r="DF662" s="66"/>
      <c r="DG662" s="66"/>
      <c r="DH662" s="66"/>
      <c r="DI662" s="66"/>
      <c r="DJ662" s="66"/>
      <c r="DK662" s="66">
        <f>SUM(Table1[[#This Row],[01-03 Apr]:[Mar-26]])</f>
        <v>6191.5942219680328</v>
      </c>
    </row>
    <row r="663" spans="1:115" hidden="1" x14ac:dyDescent="0.2">
      <c r="A663" s="28" t="s">
        <v>2255</v>
      </c>
      <c r="B663" s="29" t="s">
        <v>1591</v>
      </c>
      <c r="C663" s="29" t="s">
        <v>1592</v>
      </c>
      <c r="D663" s="30" t="s">
        <v>1593</v>
      </c>
      <c r="E663" s="30" t="s">
        <v>57</v>
      </c>
      <c r="F663" s="30"/>
      <c r="G663" s="31"/>
      <c r="H663" s="30">
        <v>2346392</v>
      </c>
      <c r="I663" s="30" t="str">
        <f>IF(Table1[[#This Row],[Centre Status]]="Returned","NA",IF(Table1[[#This Row],[SD]]&gt;19000,"Full Payment",IF(Table1[[#This Row],[SD]]&lt;1,"No Payment","Partial Payment")))</f>
        <v>NA</v>
      </c>
      <c r="J663" s="30" t="s">
        <v>1903</v>
      </c>
      <c r="K663" s="32">
        <v>110000</v>
      </c>
      <c r="L663" s="33">
        <f>Q663+R663+U663+Table1[[#This Row],[Farmer Payment]]</f>
        <v>35493.914600000004</v>
      </c>
      <c r="M663" s="30">
        <f>20000+7747</f>
        <v>27747</v>
      </c>
      <c r="N663" s="34">
        <v>45680</v>
      </c>
      <c r="O663" s="34" t="s">
        <v>2440</v>
      </c>
      <c r="P663" s="35">
        <f t="shared" si="68"/>
        <v>102253.0854</v>
      </c>
      <c r="Q663" s="33">
        <f>AI663+AV663+CK663+Table1[[#This Row],[FY 25-26]]</f>
        <v>15493.9146</v>
      </c>
      <c r="R663" s="36">
        <v>20000</v>
      </c>
      <c r="S663" s="37" t="s">
        <v>2299</v>
      </c>
      <c r="T663" s="38">
        <v>45182</v>
      </c>
      <c r="U663" s="39"/>
      <c r="V663" s="39"/>
      <c r="W663" s="40">
        <v>0</v>
      </c>
      <c r="X663" s="40">
        <v>0</v>
      </c>
      <c r="Y663" s="40">
        <v>0</v>
      </c>
      <c r="Z663" s="40">
        <v>0</v>
      </c>
      <c r="AA663" s="40">
        <v>0</v>
      </c>
      <c r="AB663" s="40">
        <v>0</v>
      </c>
      <c r="AC663" s="40">
        <v>0</v>
      </c>
      <c r="AD663" s="40">
        <v>0</v>
      </c>
      <c r="AE663" s="40">
        <v>0</v>
      </c>
      <c r="AF663" s="40">
        <v>0</v>
      </c>
      <c r="AG663" s="40">
        <v>0</v>
      </c>
      <c r="AH663" s="40">
        <v>0</v>
      </c>
      <c r="AI663" s="41">
        <f t="shared" si="69"/>
        <v>0</v>
      </c>
      <c r="AJ663" s="42">
        <v>0</v>
      </c>
      <c r="AK663" s="42">
        <v>0</v>
      </c>
      <c r="AL663" s="42">
        <v>0</v>
      </c>
      <c r="AM663" s="42">
        <v>0</v>
      </c>
      <c r="AN663" s="42">
        <v>0</v>
      </c>
      <c r="AO663" s="42">
        <v>0</v>
      </c>
      <c r="AP663" s="42">
        <v>0</v>
      </c>
      <c r="AQ663" s="42">
        <v>2493.6671999999999</v>
      </c>
      <c r="AR663" s="42">
        <v>3028.1881999999996</v>
      </c>
      <c r="AS663" s="42">
        <v>3626.4018000000005</v>
      </c>
      <c r="AT663" s="42">
        <v>3086.9482000000003</v>
      </c>
      <c r="AU663" s="42">
        <v>2937.7091999999993</v>
      </c>
      <c r="AV663" s="42">
        <f t="shared" si="70"/>
        <v>15172.9146</v>
      </c>
      <c r="AW663" s="42">
        <v>321</v>
      </c>
      <c r="AX663" s="42">
        <v>0</v>
      </c>
      <c r="AY663" s="42">
        <v>0</v>
      </c>
      <c r="AZ663" s="42">
        <v>0</v>
      </c>
      <c r="BA663" s="42">
        <v>0</v>
      </c>
      <c r="BB663" s="42">
        <v>0</v>
      </c>
      <c r="BC663" s="42">
        <v>0</v>
      </c>
      <c r="BD663" s="42">
        <v>0</v>
      </c>
      <c r="BE663" s="42">
        <v>0</v>
      </c>
      <c r="BF663" s="42">
        <v>0</v>
      </c>
      <c r="BG663" s="42">
        <v>0</v>
      </c>
      <c r="BH663" s="42">
        <v>0</v>
      </c>
      <c r="BI663" s="42">
        <v>0</v>
      </c>
      <c r="BJ663" s="42">
        <v>0</v>
      </c>
      <c r="BK663" s="42">
        <v>0</v>
      </c>
      <c r="BL663" s="42">
        <v>0</v>
      </c>
      <c r="BM663" s="42">
        <v>0</v>
      </c>
      <c r="BN663" s="42">
        <v>0</v>
      </c>
      <c r="BO663" s="42">
        <v>0</v>
      </c>
      <c r="BP663" s="42">
        <v>0</v>
      </c>
      <c r="BQ663" s="42">
        <v>0</v>
      </c>
      <c r="BR663" s="42">
        <v>0</v>
      </c>
      <c r="BS663" s="42">
        <v>0</v>
      </c>
      <c r="BT663" s="42">
        <v>0</v>
      </c>
      <c r="BU663" s="42">
        <v>0</v>
      </c>
      <c r="BV663" s="42">
        <v>0</v>
      </c>
      <c r="BW663" s="42">
        <v>0</v>
      </c>
      <c r="BX663" s="42">
        <v>0</v>
      </c>
      <c r="BY663" s="42">
        <v>0</v>
      </c>
      <c r="BZ663" s="42">
        <v>0</v>
      </c>
      <c r="CA663" s="42">
        <v>0</v>
      </c>
      <c r="CB663" s="42">
        <v>0</v>
      </c>
      <c r="CC663" s="42">
        <v>0</v>
      </c>
      <c r="CD663" s="42">
        <v>0</v>
      </c>
      <c r="CE663" s="42">
        <v>0</v>
      </c>
      <c r="CF663" s="42">
        <v>0</v>
      </c>
      <c r="CG663" s="42">
        <v>0</v>
      </c>
      <c r="CH663" s="42">
        <v>0</v>
      </c>
      <c r="CI663" s="42">
        <v>0</v>
      </c>
      <c r="CJ663" s="42">
        <v>0</v>
      </c>
      <c r="CK663" s="43">
        <f t="shared" si="67"/>
        <v>321</v>
      </c>
      <c r="CL663" s="66"/>
      <c r="CM663" s="66">
        <v>0</v>
      </c>
      <c r="CN663" s="66">
        <v>0</v>
      </c>
      <c r="CO663" s="66">
        <v>0</v>
      </c>
      <c r="CP663" s="66">
        <v>0</v>
      </c>
      <c r="CQ663" s="66">
        <v>0</v>
      </c>
      <c r="CR663" s="66">
        <v>0</v>
      </c>
      <c r="CS663" s="66">
        <v>0</v>
      </c>
      <c r="CT663" s="66">
        <v>0</v>
      </c>
      <c r="CU663" s="66">
        <v>0</v>
      </c>
      <c r="CV663" s="66">
        <v>0</v>
      </c>
      <c r="CW663" s="66">
        <v>0</v>
      </c>
      <c r="CX663" s="66">
        <v>0</v>
      </c>
      <c r="CY663" s="66">
        <v>0</v>
      </c>
      <c r="CZ663" s="66">
        <v>0</v>
      </c>
      <c r="DA663" s="66"/>
      <c r="DB663" s="66"/>
      <c r="DC663" s="66"/>
      <c r="DD663" s="66"/>
      <c r="DE663" s="66"/>
      <c r="DF663" s="66"/>
      <c r="DG663" s="66"/>
      <c r="DH663" s="66"/>
      <c r="DI663" s="66"/>
      <c r="DJ663" s="66"/>
      <c r="DK663" s="66">
        <f>SUM(Table1[[#This Row],[01-03 Apr]:[Mar-26]])</f>
        <v>0</v>
      </c>
    </row>
    <row r="664" spans="1:115" hidden="1" x14ac:dyDescent="0.2">
      <c r="A664" s="28" t="s">
        <v>2255</v>
      </c>
      <c r="B664" s="29" t="s">
        <v>1594</v>
      </c>
      <c r="C664" s="29" t="s">
        <v>1595</v>
      </c>
      <c r="D664" s="30" t="s">
        <v>1596</v>
      </c>
      <c r="E664" s="30" t="s">
        <v>57</v>
      </c>
      <c r="F664" s="30"/>
      <c r="G664" s="31"/>
      <c r="H664" s="30">
        <v>2336013</v>
      </c>
      <c r="I664" s="30" t="str">
        <f>IF(Table1[[#This Row],[Centre Status]]="Returned","NA",IF(Table1[[#This Row],[SD]]&gt;19000,"Full Payment",IF(Table1[[#This Row],[SD]]&lt;1,"No Payment","Partial Payment")))</f>
        <v>Full Payment</v>
      </c>
      <c r="J664" s="30" t="s">
        <v>58</v>
      </c>
      <c r="K664" s="32">
        <v>110000</v>
      </c>
      <c r="L664" s="33">
        <f>Q664+R664+U664+Table1[[#This Row],[Farmer Payment]]</f>
        <v>56711</v>
      </c>
      <c r="M664" s="30"/>
      <c r="N664" s="34"/>
      <c r="O664" s="34"/>
      <c r="P664" s="35">
        <f t="shared" si="68"/>
        <v>53289</v>
      </c>
      <c r="Q664" s="33">
        <f>AI664+AV664+CK664+Table1[[#This Row],[FY 25-26]]</f>
        <v>36711</v>
      </c>
      <c r="R664" s="36">
        <v>20000</v>
      </c>
      <c r="S664" s="37" t="s">
        <v>2302</v>
      </c>
      <c r="T664" s="38">
        <v>45199</v>
      </c>
      <c r="U664" s="39"/>
      <c r="V664" s="39"/>
      <c r="W664" s="40">
        <v>0</v>
      </c>
      <c r="X664" s="40">
        <v>0</v>
      </c>
      <c r="Y664" s="40">
        <v>0</v>
      </c>
      <c r="Z664" s="40">
        <v>0</v>
      </c>
      <c r="AA664" s="40">
        <v>0</v>
      </c>
      <c r="AB664" s="40">
        <v>0</v>
      </c>
      <c r="AC664" s="40">
        <v>0</v>
      </c>
      <c r="AD664" s="40">
        <v>0</v>
      </c>
      <c r="AE664" s="40">
        <v>0</v>
      </c>
      <c r="AF664" s="40">
        <v>0</v>
      </c>
      <c r="AG664" s="40">
        <v>0</v>
      </c>
      <c r="AH664" s="40">
        <v>0</v>
      </c>
      <c r="AI664" s="41">
        <f t="shared" si="69"/>
        <v>0</v>
      </c>
      <c r="AJ664" s="42">
        <v>0</v>
      </c>
      <c r="AK664" s="42">
        <v>0</v>
      </c>
      <c r="AL664" s="42">
        <v>0</v>
      </c>
      <c r="AM664" s="42">
        <v>0</v>
      </c>
      <c r="AN664" s="42">
        <v>0</v>
      </c>
      <c r="AO664" s="42">
        <v>0</v>
      </c>
      <c r="AP664" s="42">
        <v>0</v>
      </c>
      <c r="AQ664" s="42">
        <v>1304</v>
      </c>
      <c r="AR664" s="42">
        <v>1861</v>
      </c>
      <c r="AS664" s="42">
        <v>1861</v>
      </c>
      <c r="AT664" s="42">
        <v>1861</v>
      </c>
      <c r="AU664" s="42">
        <v>1672</v>
      </c>
      <c r="AV664" s="42">
        <f t="shared" si="70"/>
        <v>8559</v>
      </c>
      <c r="AW664" s="42">
        <v>1861</v>
      </c>
      <c r="AX664" s="42">
        <v>1551</v>
      </c>
      <c r="AY664" s="42">
        <v>1222</v>
      </c>
      <c r="AZ664" s="42">
        <v>1861</v>
      </c>
      <c r="BA664" s="42">
        <v>1861</v>
      </c>
      <c r="BB664" s="42">
        <v>0</v>
      </c>
      <c r="BC664" s="42">
        <v>1861</v>
      </c>
      <c r="BD664" s="42">
        <v>0</v>
      </c>
      <c r="BE664" s="42">
        <v>0</v>
      </c>
      <c r="BF664" s="42">
        <v>0</v>
      </c>
      <c r="BG664" s="42">
        <v>0</v>
      </c>
      <c r="BH664" s="42">
        <v>0</v>
      </c>
      <c r="BI664" s="42">
        <v>1861</v>
      </c>
      <c r="BJ664" s="42">
        <v>0</v>
      </c>
      <c r="BK664" s="42">
        <v>0</v>
      </c>
      <c r="BL664" s="42">
        <v>0</v>
      </c>
      <c r="BM664" s="42">
        <v>0</v>
      </c>
      <c r="BN664" s="42">
        <v>1074</v>
      </c>
      <c r="BO664" s="42">
        <v>500</v>
      </c>
      <c r="BP664" s="42">
        <v>500</v>
      </c>
      <c r="BQ664" s="42">
        <v>500</v>
      </c>
      <c r="BR664" s="42">
        <v>500</v>
      </c>
      <c r="BS664" s="42">
        <v>0</v>
      </c>
      <c r="BT664" s="42">
        <v>500</v>
      </c>
      <c r="BU664" s="42">
        <v>500</v>
      </c>
      <c r="BV664" s="42">
        <v>500</v>
      </c>
      <c r="BW664" s="42">
        <v>500</v>
      </c>
      <c r="BX664" s="42">
        <v>500</v>
      </c>
      <c r="BY664" s="42">
        <v>0</v>
      </c>
      <c r="BZ664" s="42">
        <v>500</v>
      </c>
      <c r="CA664" s="42">
        <v>500</v>
      </c>
      <c r="CB664" s="42">
        <v>500</v>
      </c>
      <c r="CC664" s="42">
        <v>500</v>
      </c>
      <c r="CD664" s="42">
        <v>0</v>
      </c>
      <c r="CE664" s="42">
        <v>500</v>
      </c>
      <c r="CF664" s="42">
        <v>500</v>
      </c>
      <c r="CG664" s="42">
        <v>500</v>
      </c>
      <c r="CH664" s="42">
        <v>500</v>
      </c>
      <c r="CI664" s="42">
        <v>500</v>
      </c>
      <c r="CJ664" s="42">
        <v>0</v>
      </c>
      <c r="CK664" s="43">
        <f t="shared" si="67"/>
        <v>22152</v>
      </c>
      <c r="CL664" s="66"/>
      <c r="CM664" s="66">
        <v>500</v>
      </c>
      <c r="CN664" s="66">
        <v>500</v>
      </c>
      <c r="CO664" s="66">
        <v>500</v>
      </c>
      <c r="CP664" s="66">
        <v>0</v>
      </c>
      <c r="CQ664" s="66">
        <v>500</v>
      </c>
      <c r="CR664" s="66">
        <v>500</v>
      </c>
      <c r="CS664" s="66">
        <v>500</v>
      </c>
      <c r="CT664" s="66">
        <v>500</v>
      </c>
      <c r="CU664" s="66">
        <v>500</v>
      </c>
      <c r="CV664" s="66">
        <v>0</v>
      </c>
      <c r="CW664" s="66">
        <v>500</v>
      </c>
      <c r="CX664" s="66">
        <v>500</v>
      </c>
      <c r="CY664" s="66">
        <v>500</v>
      </c>
      <c r="CZ664" s="66">
        <v>500</v>
      </c>
      <c r="DA664" s="66"/>
      <c r="DB664" s="66"/>
      <c r="DC664" s="66"/>
      <c r="DD664" s="66"/>
      <c r="DE664" s="66"/>
      <c r="DF664" s="66"/>
      <c r="DG664" s="66"/>
      <c r="DH664" s="66"/>
      <c r="DI664" s="66"/>
      <c r="DJ664" s="66"/>
      <c r="DK664" s="66">
        <f>SUM(Table1[[#This Row],[01-03 Apr]:[Mar-26]])</f>
        <v>6000</v>
      </c>
    </row>
    <row r="665" spans="1:115" hidden="1" x14ac:dyDescent="0.2">
      <c r="A665" s="28" t="s">
        <v>2255</v>
      </c>
      <c r="B665" s="29" t="s">
        <v>1597</v>
      </c>
      <c r="C665" s="29" t="s">
        <v>1598</v>
      </c>
      <c r="D665" s="30" t="s">
        <v>1599</v>
      </c>
      <c r="E665" s="30" t="s">
        <v>57</v>
      </c>
      <c r="F665" s="30"/>
      <c r="G665" s="31"/>
      <c r="H665" s="30">
        <v>2345660</v>
      </c>
      <c r="I665" s="30" t="str">
        <f>IF(Table1[[#This Row],[Centre Status]]="Returned","NA",IF(Table1[[#This Row],[SD]]&gt;19000,"Full Payment",IF(Table1[[#This Row],[SD]]&lt;1,"No Payment","Partial Payment")))</f>
        <v>NA</v>
      </c>
      <c r="J665" s="30" t="s">
        <v>1903</v>
      </c>
      <c r="K665" s="32">
        <v>110000</v>
      </c>
      <c r="L665" s="33">
        <f>Q665+R665+U665+Table1[[#This Row],[Farmer Payment]]</f>
        <v>57415.723370092048</v>
      </c>
      <c r="M665" s="30"/>
      <c r="N665" s="34"/>
      <c r="O665" s="34"/>
      <c r="P665" s="35">
        <f t="shared" si="68"/>
        <v>52584.276629907952</v>
      </c>
      <c r="Q665" s="33">
        <f>AI665+AV665+CK665+Table1[[#This Row],[FY 25-26]]</f>
        <v>37415.723370092048</v>
      </c>
      <c r="R665" s="36">
        <v>20000</v>
      </c>
      <c r="S665" s="37" t="s">
        <v>2303</v>
      </c>
      <c r="T665" s="38">
        <v>45199</v>
      </c>
      <c r="U665" s="39"/>
      <c r="V665" s="39"/>
      <c r="W665" s="40">
        <v>0</v>
      </c>
      <c r="X665" s="40">
        <v>0</v>
      </c>
      <c r="Y665" s="40">
        <v>0</v>
      </c>
      <c r="Z665" s="40">
        <v>0</v>
      </c>
      <c r="AA665" s="40">
        <v>0</v>
      </c>
      <c r="AB665" s="40">
        <v>0</v>
      </c>
      <c r="AC665" s="40">
        <v>0</v>
      </c>
      <c r="AD665" s="40">
        <v>0</v>
      </c>
      <c r="AE665" s="40">
        <v>0</v>
      </c>
      <c r="AF665" s="40">
        <v>0</v>
      </c>
      <c r="AG665" s="40">
        <v>0</v>
      </c>
      <c r="AH665" s="40">
        <v>0</v>
      </c>
      <c r="AI665" s="41">
        <f t="shared" si="69"/>
        <v>0</v>
      </c>
      <c r="AJ665" s="42">
        <v>0</v>
      </c>
      <c r="AK665" s="42">
        <v>0</v>
      </c>
      <c r="AL665" s="42">
        <v>0</v>
      </c>
      <c r="AM665" s="42">
        <v>0</v>
      </c>
      <c r="AN665" s="42">
        <v>0</v>
      </c>
      <c r="AO665" s="42">
        <v>0</v>
      </c>
      <c r="AP665" s="42">
        <v>0</v>
      </c>
      <c r="AQ665" s="42">
        <v>2665.39</v>
      </c>
      <c r="AR665" s="42">
        <v>2932.6158</v>
      </c>
      <c r="AS665" s="42">
        <v>3362.9461999999999</v>
      </c>
      <c r="AT665" s="42">
        <v>2955.5450000000001</v>
      </c>
      <c r="AU665" s="42">
        <v>3024.4762000000001</v>
      </c>
      <c r="AV665" s="42">
        <f t="shared" si="70"/>
        <v>14940.9732</v>
      </c>
      <c r="AW665" s="42">
        <v>2291.7501700920438</v>
      </c>
      <c r="AX665" s="42">
        <v>1861</v>
      </c>
      <c r="AY665" s="42">
        <v>1861</v>
      </c>
      <c r="AZ665" s="42">
        <v>801</v>
      </c>
      <c r="BA665" s="42">
        <v>815</v>
      </c>
      <c r="BB665" s="42">
        <v>500</v>
      </c>
      <c r="BC665" s="42">
        <v>861</v>
      </c>
      <c r="BD665" s="42">
        <v>500</v>
      </c>
      <c r="BE665" s="42">
        <v>0</v>
      </c>
      <c r="BF665" s="42">
        <v>0</v>
      </c>
      <c r="BG665" s="42">
        <v>0</v>
      </c>
      <c r="BH665" s="42">
        <v>0</v>
      </c>
      <c r="BI665" s="42">
        <v>1861</v>
      </c>
      <c r="BJ665" s="42">
        <v>0</v>
      </c>
      <c r="BK665" s="42">
        <v>0</v>
      </c>
      <c r="BL665" s="42">
        <v>0</v>
      </c>
      <c r="BM665" s="42">
        <v>0</v>
      </c>
      <c r="BN665" s="42">
        <v>1123</v>
      </c>
      <c r="BO665" s="42">
        <v>500</v>
      </c>
      <c r="BP665" s="42">
        <v>500</v>
      </c>
      <c r="BQ665" s="42">
        <v>500</v>
      </c>
      <c r="BR665" s="42">
        <v>500</v>
      </c>
      <c r="BS665" s="42">
        <v>0</v>
      </c>
      <c r="BT665" s="42">
        <v>500</v>
      </c>
      <c r="BU665" s="42">
        <v>500</v>
      </c>
      <c r="BV665" s="42">
        <v>500</v>
      </c>
      <c r="BW665" s="42">
        <v>500</v>
      </c>
      <c r="BX665" s="42">
        <v>500</v>
      </c>
      <c r="BY665" s="42">
        <v>0</v>
      </c>
      <c r="BZ665" s="42">
        <v>500</v>
      </c>
      <c r="CA665" s="42">
        <v>500</v>
      </c>
      <c r="CB665" s="42">
        <v>500</v>
      </c>
      <c r="CC665" s="42">
        <v>500</v>
      </c>
      <c r="CD665" s="42">
        <v>0</v>
      </c>
      <c r="CE665" s="42">
        <v>500</v>
      </c>
      <c r="CF665" s="42">
        <v>500</v>
      </c>
      <c r="CG665" s="42">
        <v>500</v>
      </c>
      <c r="CH665" s="42">
        <v>500</v>
      </c>
      <c r="CI665" s="42">
        <v>500</v>
      </c>
      <c r="CJ665" s="42">
        <v>0</v>
      </c>
      <c r="CK665" s="43">
        <f t="shared" si="67"/>
        <v>21474.750170092044</v>
      </c>
      <c r="CL665" s="66"/>
      <c r="CM665" s="66">
        <v>500</v>
      </c>
      <c r="CN665" s="66">
        <v>500</v>
      </c>
      <c r="CO665" s="66">
        <v>0</v>
      </c>
      <c r="CP665" s="66">
        <v>0</v>
      </c>
      <c r="CQ665" s="66">
        <v>0</v>
      </c>
      <c r="CR665" s="66">
        <v>0</v>
      </c>
      <c r="CS665" s="66">
        <v>0</v>
      </c>
      <c r="CT665" s="66">
        <v>0</v>
      </c>
      <c r="CU665" s="66">
        <v>0</v>
      </c>
      <c r="CV665" s="66">
        <v>0</v>
      </c>
      <c r="CW665" s="66">
        <v>0</v>
      </c>
      <c r="CX665" s="66">
        <v>0</v>
      </c>
      <c r="CY665" s="66">
        <v>0</v>
      </c>
      <c r="CZ665" s="66">
        <v>0</v>
      </c>
      <c r="DA665" s="66"/>
      <c r="DB665" s="66"/>
      <c r="DC665" s="66"/>
      <c r="DD665" s="66"/>
      <c r="DE665" s="66"/>
      <c r="DF665" s="66"/>
      <c r="DG665" s="66"/>
      <c r="DH665" s="66"/>
      <c r="DI665" s="66"/>
      <c r="DJ665" s="66"/>
      <c r="DK665" s="66">
        <f>SUM(Table1[[#This Row],[01-03 Apr]:[Mar-26]])</f>
        <v>1000</v>
      </c>
    </row>
    <row r="666" spans="1:115" hidden="1" x14ac:dyDescent="0.2">
      <c r="A666" s="28" t="s">
        <v>2255</v>
      </c>
      <c r="B666" s="29" t="s">
        <v>1600</v>
      </c>
      <c r="C666" s="29" t="s">
        <v>1601</v>
      </c>
      <c r="D666" s="30" t="s">
        <v>1602</v>
      </c>
      <c r="E666" s="30" t="s">
        <v>57</v>
      </c>
      <c r="F666" s="30"/>
      <c r="G666" s="31"/>
      <c r="H666" s="30">
        <v>2351824</v>
      </c>
      <c r="I666" s="30" t="str">
        <f>IF(Table1[[#This Row],[Centre Status]]="Returned","NA",IF(Table1[[#This Row],[SD]]&gt;19000,"Full Payment",IF(Table1[[#This Row],[SD]]&lt;1,"No Payment","Partial Payment")))</f>
        <v>Full Payment</v>
      </c>
      <c r="J666" s="30" t="s">
        <v>58</v>
      </c>
      <c r="K666" s="32">
        <v>110000</v>
      </c>
      <c r="L666" s="33">
        <f>Q666+R666+U666+Table1[[#This Row],[Farmer Payment]]</f>
        <v>68692.180940368809</v>
      </c>
      <c r="M666" s="30"/>
      <c r="N666" s="34"/>
      <c r="O666" s="34"/>
      <c r="P666" s="35">
        <f t="shared" si="68"/>
        <v>41307.819059631191</v>
      </c>
      <c r="Q666" s="33">
        <f>AI666+AV666+CK666+Table1[[#This Row],[FY 25-26]]</f>
        <v>48692.180940368809</v>
      </c>
      <c r="R666" s="36">
        <v>20000</v>
      </c>
      <c r="S666" s="37" t="s">
        <v>2304</v>
      </c>
      <c r="T666" s="38">
        <v>45203</v>
      </c>
      <c r="U666" s="39"/>
      <c r="V666" s="39"/>
      <c r="W666" s="40">
        <v>0</v>
      </c>
      <c r="X666" s="40">
        <v>0</v>
      </c>
      <c r="Y666" s="40">
        <v>0</v>
      </c>
      <c r="Z666" s="40">
        <v>0</v>
      </c>
      <c r="AA666" s="40">
        <v>0</v>
      </c>
      <c r="AB666" s="40">
        <v>0</v>
      </c>
      <c r="AC666" s="40">
        <v>0</v>
      </c>
      <c r="AD666" s="40">
        <v>0</v>
      </c>
      <c r="AE666" s="40">
        <v>0</v>
      </c>
      <c r="AF666" s="40">
        <v>0</v>
      </c>
      <c r="AG666" s="40">
        <v>0</v>
      </c>
      <c r="AH666" s="40">
        <v>0</v>
      </c>
      <c r="AI666" s="41">
        <f t="shared" si="69"/>
        <v>0</v>
      </c>
      <c r="AJ666" s="42">
        <v>0</v>
      </c>
      <c r="AK666" s="42">
        <v>0</v>
      </c>
      <c r="AL666" s="42">
        <v>0</v>
      </c>
      <c r="AM666" s="42">
        <v>0</v>
      </c>
      <c r="AN666" s="42">
        <v>0</v>
      </c>
      <c r="AO666" s="42">
        <v>0</v>
      </c>
      <c r="AP666" s="42">
        <v>0</v>
      </c>
      <c r="AQ666" s="42">
        <v>2624.1297999999997</v>
      </c>
      <c r="AR666" s="42">
        <v>3108.0776000000005</v>
      </c>
      <c r="AS666" s="42">
        <v>3185.2081999999996</v>
      </c>
      <c r="AT666" s="42">
        <v>2949.8247999999999</v>
      </c>
      <c r="AU666" s="42">
        <v>3540.2144000000003</v>
      </c>
      <c r="AV666" s="42">
        <f t="shared" si="70"/>
        <v>15407.454800000001</v>
      </c>
      <c r="AW666" s="42">
        <v>2792.2522451211721</v>
      </c>
      <c r="AX666" s="42">
        <v>2708.6959703040002</v>
      </c>
      <c r="AY666" s="42">
        <v>2990.7553380863997</v>
      </c>
      <c r="AZ666" s="42">
        <v>2866.5948674761203</v>
      </c>
      <c r="BA666" s="42">
        <v>2015.6164913344003</v>
      </c>
      <c r="BB666" s="42">
        <v>0</v>
      </c>
      <c r="BC666" s="42">
        <v>2628.8112280467139</v>
      </c>
      <c r="BD666" s="42">
        <v>0</v>
      </c>
      <c r="BE666" s="42">
        <v>0</v>
      </c>
      <c r="BF666" s="42">
        <v>0</v>
      </c>
      <c r="BG666" s="42">
        <v>0</v>
      </c>
      <c r="BH666" s="42">
        <v>0</v>
      </c>
      <c r="BI666" s="42">
        <v>1861</v>
      </c>
      <c r="BJ666" s="42">
        <v>0</v>
      </c>
      <c r="BK666" s="42">
        <v>0</v>
      </c>
      <c r="BL666" s="42">
        <v>0</v>
      </c>
      <c r="BM666" s="42">
        <v>0</v>
      </c>
      <c r="BN666" s="42">
        <v>921</v>
      </c>
      <c r="BO666" s="42">
        <v>500</v>
      </c>
      <c r="BP666" s="42">
        <v>500</v>
      </c>
      <c r="BQ666" s="42">
        <v>500</v>
      </c>
      <c r="BR666" s="42">
        <v>500</v>
      </c>
      <c r="BS666" s="42">
        <v>0</v>
      </c>
      <c r="BT666" s="42">
        <v>500</v>
      </c>
      <c r="BU666" s="42">
        <v>500</v>
      </c>
      <c r="BV666" s="42">
        <v>500</v>
      </c>
      <c r="BW666" s="42">
        <v>500</v>
      </c>
      <c r="BX666" s="42">
        <v>500</v>
      </c>
      <c r="BY666" s="42">
        <v>0</v>
      </c>
      <c r="BZ666" s="42">
        <v>500</v>
      </c>
      <c r="CA666" s="42">
        <v>500</v>
      </c>
      <c r="CB666" s="42">
        <v>500</v>
      </c>
      <c r="CC666" s="42">
        <v>500</v>
      </c>
      <c r="CD666" s="42">
        <v>0</v>
      </c>
      <c r="CE666" s="42">
        <v>500</v>
      </c>
      <c r="CF666" s="42">
        <v>500</v>
      </c>
      <c r="CG666" s="42">
        <v>500</v>
      </c>
      <c r="CH666" s="42">
        <v>500</v>
      </c>
      <c r="CI666" s="42">
        <v>500</v>
      </c>
      <c r="CJ666" s="42">
        <v>0</v>
      </c>
      <c r="CK666" s="43">
        <f t="shared" si="67"/>
        <v>27784.726140368806</v>
      </c>
      <c r="CL666" s="66"/>
      <c r="CM666" s="66">
        <v>500</v>
      </c>
      <c r="CN666" s="66">
        <v>500</v>
      </c>
      <c r="CO666" s="66">
        <v>500</v>
      </c>
      <c r="CP666" s="66">
        <v>0</v>
      </c>
      <c r="CQ666" s="66">
        <v>500</v>
      </c>
      <c r="CR666" s="66">
        <v>500</v>
      </c>
      <c r="CS666" s="66">
        <v>500</v>
      </c>
      <c r="CT666" s="66">
        <v>500</v>
      </c>
      <c r="CU666" s="66">
        <v>0</v>
      </c>
      <c r="CV666" s="66">
        <v>0</v>
      </c>
      <c r="CW666" s="66">
        <v>500</v>
      </c>
      <c r="CX666" s="66">
        <v>500</v>
      </c>
      <c r="CY666" s="66">
        <v>500</v>
      </c>
      <c r="CZ666" s="66">
        <v>500</v>
      </c>
      <c r="DA666" s="66"/>
      <c r="DB666" s="66"/>
      <c r="DC666" s="66"/>
      <c r="DD666" s="66"/>
      <c r="DE666" s="66"/>
      <c r="DF666" s="66"/>
      <c r="DG666" s="66"/>
      <c r="DH666" s="66"/>
      <c r="DI666" s="66"/>
      <c r="DJ666" s="66"/>
      <c r="DK666" s="66">
        <f>SUM(Table1[[#This Row],[01-03 Apr]:[Mar-26]])</f>
        <v>5500</v>
      </c>
    </row>
    <row r="667" spans="1:115" hidden="1" x14ac:dyDescent="0.2">
      <c r="A667" s="28" t="s">
        <v>2255</v>
      </c>
      <c r="B667" s="29" t="s">
        <v>1603</v>
      </c>
      <c r="C667" s="29" t="s">
        <v>1604</v>
      </c>
      <c r="D667" s="30" t="s">
        <v>1605</v>
      </c>
      <c r="E667" s="30" t="s">
        <v>57</v>
      </c>
      <c r="F667" s="30"/>
      <c r="G667" s="31"/>
      <c r="H667" s="30">
        <v>2351809</v>
      </c>
      <c r="I667" s="30" t="str">
        <f>IF(Table1[[#This Row],[Centre Status]]="Returned","NA",IF(Table1[[#This Row],[SD]]&gt;19000,"Full Payment",IF(Table1[[#This Row],[SD]]&lt;1,"No Payment","Partial Payment")))</f>
        <v>Full Payment</v>
      </c>
      <c r="J667" s="30" t="s">
        <v>58</v>
      </c>
      <c r="K667" s="32">
        <v>110000</v>
      </c>
      <c r="L667" s="33">
        <f>Q667+R667+U667+Table1[[#This Row],[Farmer Payment]]</f>
        <v>54729.603000000003</v>
      </c>
      <c r="M667" s="30"/>
      <c r="N667" s="34"/>
      <c r="O667" s="34"/>
      <c r="P667" s="35">
        <f t="shared" si="68"/>
        <v>55270.396999999997</v>
      </c>
      <c r="Q667" s="33">
        <f>AI667+AV667+CK667+Table1[[#This Row],[FY 25-26]]</f>
        <v>34729.603000000003</v>
      </c>
      <c r="R667" s="36">
        <v>20000</v>
      </c>
      <c r="S667" s="37" t="s">
        <v>2306</v>
      </c>
      <c r="T667" s="38">
        <v>45205</v>
      </c>
      <c r="U667" s="39"/>
      <c r="V667" s="39"/>
      <c r="W667" s="40">
        <v>0</v>
      </c>
      <c r="X667" s="40">
        <v>0</v>
      </c>
      <c r="Y667" s="40">
        <v>0</v>
      </c>
      <c r="Z667" s="40">
        <v>0</v>
      </c>
      <c r="AA667" s="40">
        <v>0</v>
      </c>
      <c r="AB667" s="40">
        <v>0</v>
      </c>
      <c r="AC667" s="40">
        <v>0</v>
      </c>
      <c r="AD667" s="40">
        <v>0</v>
      </c>
      <c r="AE667" s="40">
        <v>0</v>
      </c>
      <c r="AF667" s="40">
        <v>0</v>
      </c>
      <c r="AG667" s="40">
        <v>0</v>
      </c>
      <c r="AH667" s="40">
        <v>0</v>
      </c>
      <c r="AI667" s="41">
        <f t="shared" si="69"/>
        <v>0</v>
      </c>
      <c r="AJ667" s="42">
        <v>0</v>
      </c>
      <c r="AK667" s="42">
        <v>0</v>
      </c>
      <c r="AL667" s="42">
        <v>0</v>
      </c>
      <c r="AM667" s="42">
        <v>0</v>
      </c>
      <c r="AN667" s="42">
        <v>0</v>
      </c>
      <c r="AO667" s="42">
        <v>0</v>
      </c>
      <c r="AP667" s="42">
        <v>0</v>
      </c>
      <c r="AQ667" s="42">
        <v>1378</v>
      </c>
      <c r="AR667" s="42">
        <v>1861</v>
      </c>
      <c r="AS667" s="42">
        <v>1866.2620000000002</v>
      </c>
      <c r="AT667" s="42">
        <v>2226.2846000000004</v>
      </c>
      <c r="AU667" s="42">
        <v>2892.0564000000004</v>
      </c>
      <c r="AV667" s="42">
        <f t="shared" si="70"/>
        <v>10223.603000000003</v>
      </c>
      <c r="AW667" s="42">
        <v>1861</v>
      </c>
      <c r="AX667" s="42">
        <v>1861</v>
      </c>
      <c r="AY667" s="42">
        <v>1861</v>
      </c>
      <c r="AZ667" s="42">
        <v>1861</v>
      </c>
      <c r="BA667" s="42">
        <v>1813</v>
      </c>
      <c r="BB667" s="42">
        <v>500</v>
      </c>
      <c r="BC667" s="42">
        <v>861</v>
      </c>
      <c r="BD667" s="42">
        <v>500</v>
      </c>
      <c r="BE667" s="42">
        <v>0</v>
      </c>
      <c r="BF667" s="42">
        <v>0</v>
      </c>
      <c r="BG667" s="42">
        <v>0</v>
      </c>
      <c r="BH667" s="42">
        <v>0</v>
      </c>
      <c r="BI667" s="42">
        <v>1861</v>
      </c>
      <c r="BJ667" s="42">
        <v>0</v>
      </c>
      <c r="BK667" s="42">
        <v>0</v>
      </c>
      <c r="BL667" s="42">
        <v>0</v>
      </c>
      <c r="BM667" s="42">
        <v>0</v>
      </c>
      <c r="BN667" s="42">
        <v>1861</v>
      </c>
      <c r="BO667" s="42">
        <v>0</v>
      </c>
      <c r="BP667" s="42">
        <v>0</v>
      </c>
      <c r="BQ667" s="42">
        <v>0</v>
      </c>
      <c r="BR667" s="42">
        <v>0</v>
      </c>
      <c r="BS667" s="42">
        <v>1861</v>
      </c>
      <c r="BT667" s="42">
        <v>0</v>
      </c>
      <c r="BU667" s="42">
        <v>0</v>
      </c>
      <c r="BV667" s="42">
        <v>0</v>
      </c>
      <c r="BW667" s="42">
        <v>0</v>
      </c>
      <c r="BX667" s="42">
        <v>0</v>
      </c>
      <c r="BY667" s="42">
        <v>1861</v>
      </c>
      <c r="BZ667" s="42">
        <v>0</v>
      </c>
      <c r="CA667" s="42">
        <v>0</v>
      </c>
      <c r="CB667" s="42">
        <v>0</v>
      </c>
      <c r="CC667" s="42">
        <v>0</v>
      </c>
      <c r="CD667" s="42">
        <v>1832</v>
      </c>
      <c r="CE667" s="42">
        <v>0</v>
      </c>
      <c r="CF667" s="42">
        <v>0</v>
      </c>
      <c r="CG667" s="42">
        <v>0</v>
      </c>
      <c r="CH667" s="42">
        <v>0</v>
      </c>
      <c r="CI667" s="42">
        <v>0</v>
      </c>
      <c r="CJ667" s="42">
        <v>1861</v>
      </c>
      <c r="CK667" s="43">
        <f t="shared" si="67"/>
        <v>22255</v>
      </c>
      <c r="CL667" s="66"/>
      <c r="CM667" s="66">
        <v>0</v>
      </c>
      <c r="CN667" s="66">
        <v>0</v>
      </c>
      <c r="CO667" s="66">
        <v>0</v>
      </c>
      <c r="CP667" s="66">
        <v>1298</v>
      </c>
      <c r="CQ667" s="66">
        <v>0</v>
      </c>
      <c r="CR667" s="66">
        <v>0</v>
      </c>
      <c r="CS667" s="66">
        <v>0</v>
      </c>
      <c r="CT667" s="66">
        <v>0</v>
      </c>
      <c r="CU667" s="66">
        <v>0</v>
      </c>
      <c r="CV667" s="66">
        <v>953</v>
      </c>
      <c r="CW667" s="66">
        <v>0</v>
      </c>
      <c r="CX667" s="66">
        <v>0</v>
      </c>
      <c r="CY667" s="66">
        <v>0</v>
      </c>
      <c r="CZ667" s="66">
        <v>0</v>
      </c>
      <c r="DA667" s="66"/>
      <c r="DB667" s="66"/>
      <c r="DC667" s="66"/>
      <c r="DD667" s="66"/>
      <c r="DE667" s="66"/>
      <c r="DF667" s="66"/>
      <c r="DG667" s="66"/>
      <c r="DH667" s="66"/>
      <c r="DI667" s="66"/>
      <c r="DJ667" s="66"/>
      <c r="DK667" s="66">
        <f>SUM(Table1[[#This Row],[01-03 Apr]:[Mar-26]])</f>
        <v>2251</v>
      </c>
    </row>
    <row r="668" spans="1:115" hidden="1" x14ac:dyDescent="0.2">
      <c r="A668" s="28" t="s">
        <v>2255</v>
      </c>
      <c r="B668" s="29" t="s">
        <v>1606</v>
      </c>
      <c r="C668" s="29" t="s">
        <v>1607</v>
      </c>
      <c r="D668" s="30" t="s">
        <v>1608</v>
      </c>
      <c r="E668" s="30" t="s">
        <v>57</v>
      </c>
      <c r="F668" s="30"/>
      <c r="G668" s="31"/>
      <c r="H668" s="30">
        <v>2352031</v>
      </c>
      <c r="I668" s="30" t="str">
        <f>IF(Table1[[#This Row],[Centre Status]]="Returned","NA",IF(Table1[[#This Row],[SD]]&gt;19000,"Full Payment",IF(Table1[[#This Row],[SD]]&lt;1,"No Payment","Partial Payment")))</f>
        <v>Full Payment</v>
      </c>
      <c r="J668" s="30" t="s">
        <v>58</v>
      </c>
      <c r="K668" s="32">
        <v>110000</v>
      </c>
      <c r="L668" s="33">
        <f>Q668+R668+U668+Table1[[#This Row],[Farmer Payment]]</f>
        <v>59660.345585963463</v>
      </c>
      <c r="M668" s="30"/>
      <c r="N668" s="34"/>
      <c r="O668" s="34"/>
      <c r="P668" s="35">
        <f t="shared" si="68"/>
        <v>50339.654414036537</v>
      </c>
      <c r="Q668" s="33">
        <f>AI668+AV668+CK668+Table1[[#This Row],[FY 25-26]]</f>
        <v>39660.345585963463</v>
      </c>
      <c r="R668" s="36">
        <v>20000</v>
      </c>
      <c r="S668" s="37" t="s">
        <v>2301</v>
      </c>
      <c r="T668" s="38">
        <v>45191</v>
      </c>
      <c r="U668" s="39"/>
      <c r="V668" s="39"/>
      <c r="W668" s="40">
        <v>0</v>
      </c>
      <c r="X668" s="40">
        <v>0</v>
      </c>
      <c r="Y668" s="40">
        <v>0</v>
      </c>
      <c r="Z668" s="40">
        <v>0</v>
      </c>
      <c r="AA668" s="40">
        <v>0</v>
      </c>
      <c r="AB668" s="40">
        <v>0</v>
      </c>
      <c r="AC668" s="40">
        <v>0</v>
      </c>
      <c r="AD668" s="40">
        <v>0</v>
      </c>
      <c r="AE668" s="40">
        <v>0</v>
      </c>
      <c r="AF668" s="40">
        <v>0</v>
      </c>
      <c r="AG668" s="40">
        <v>0</v>
      </c>
      <c r="AH668" s="40">
        <v>0</v>
      </c>
      <c r="AI668" s="41">
        <f t="shared" si="69"/>
        <v>0</v>
      </c>
      <c r="AJ668" s="42">
        <v>0</v>
      </c>
      <c r="AK668" s="42">
        <v>0</v>
      </c>
      <c r="AL668" s="42">
        <v>0</v>
      </c>
      <c r="AM668" s="42">
        <v>0</v>
      </c>
      <c r="AN668" s="42">
        <v>0</v>
      </c>
      <c r="AO668" s="42">
        <v>0</v>
      </c>
      <c r="AP668" s="42">
        <v>0</v>
      </c>
      <c r="AQ668" s="42">
        <v>1864.2583999999999</v>
      </c>
      <c r="AR668" s="42">
        <v>2114.7231999999999</v>
      </c>
      <c r="AS668" s="42">
        <v>2219.9119999999998</v>
      </c>
      <c r="AT668" s="42">
        <v>2029.5370000000003</v>
      </c>
      <c r="AU668" s="42">
        <v>2326.6457999999998</v>
      </c>
      <c r="AV668" s="42">
        <f t="shared" si="70"/>
        <v>10555.0764</v>
      </c>
      <c r="AW668" s="42">
        <v>2074.3409914385243</v>
      </c>
      <c r="AX668" s="42">
        <v>1969.4856049032737</v>
      </c>
      <c r="AY668" s="42">
        <v>2000.3070924262458</v>
      </c>
      <c r="AZ668" s="42">
        <v>2793.336262339446</v>
      </c>
      <c r="BA668" s="42">
        <v>1861</v>
      </c>
      <c r="BB668" s="42">
        <v>0</v>
      </c>
      <c r="BC668" s="42">
        <v>2146.6165142461959</v>
      </c>
      <c r="BD668" s="42">
        <v>0</v>
      </c>
      <c r="BE668" s="42">
        <v>0</v>
      </c>
      <c r="BF668" s="42">
        <v>0</v>
      </c>
      <c r="BG668" s="42">
        <v>0</v>
      </c>
      <c r="BH668" s="42">
        <v>0</v>
      </c>
      <c r="BI668" s="42">
        <v>1861</v>
      </c>
      <c r="BJ668" s="42">
        <v>0</v>
      </c>
      <c r="BK668" s="42">
        <v>0</v>
      </c>
      <c r="BL668" s="42">
        <v>0</v>
      </c>
      <c r="BM668" s="42">
        <v>0</v>
      </c>
      <c r="BN668" s="42">
        <v>1896.9343403910677</v>
      </c>
      <c r="BO668" s="42">
        <v>0</v>
      </c>
      <c r="BP668" s="42">
        <v>0</v>
      </c>
      <c r="BQ668" s="42">
        <v>0</v>
      </c>
      <c r="BR668" s="42">
        <v>0</v>
      </c>
      <c r="BS668" s="42">
        <v>2438.3309002064584</v>
      </c>
      <c r="BT668" s="42">
        <v>0</v>
      </c>
      <c r="BU668" s="42">
        <v>0</v>
      </c>
      <c r="BV668" s="42">
        <v>0</v>
      </c>
      <c r="BW668" s="42">
        <v>0</v>
      </c>
      <c r="BX668" s="42">
        <v>0</v>
      </c>
      <c r="BY668" s="42">
        <v>1861</v>
      </c>
      <c r="BZ668" s="42">
        <v>0</v>
      </c>
      <c r="CA668" s="42">
        <v>0</v>
      </c>
      <c r="CB668" s="42">
        <v>0</v>
      </c>
      <c r="CC668" s="42">
        <v>0</v>
      </c>
      <c r="CD668" s="42">
        <v>1861</v>
      </c>
      <c r="CE668" s="42">
        <v>0</v>
      </c>
      <c r="CF668" s="42">
        <v>0</v>
      </c>
      <c r="CG668" s="42">
        <v>0</v>
      </c>
      <c r="CH668" s="42">
        <v>0</v>
      </c>
      <c r="CI668" s="42">
        <v>0</v>
      </c>
      <c r="CJ668" s="42">
        <v>1861</v>
      </c>
      <c r="CK668" s="43">
        <f t="shared" si="67"/>
        <v>24624.351705951212</v>
      </c>
      <c r="CL668" s="66"/>
      <c r="CM668" s="66">
        <v>0</v>
      </c>
      <c r="CN668" s="66">
        <v>0</v>
      </c>
      <c r="CO668" s="66">
        <v>0</v>
      </c>
      <c r="CP668" s="66">
        <v>1861</v>
      </c>
      <c r="CQ668" s="66">
        <v>0</v>
      </c>
      <c r="CR668" s="66">
        <v>0</v>
      </c>
      <c r="CS668" s="66">
        <v>0</v>
      </c>
      <c r="CT668" s="66">
        <v>0</v>
      </c>
      <c r="CU668" s="66">
        <v>0</v>
      </c>
      <c r="CV668" s="66">
        <v>2619.9174800122501</v>
      </c>
      <c r="CW668" s="66">
        <v>0</v>
      </c>
      <c r="CX668" s="66">
        <v>0</v>
      </c>
      <c r="CY668" s="66">
        <v>0</v>
      </c>
      <c r="CZ668" s="66">
        <v>0</v>
      </c>
      <c r="DA668" s="66"/>
      <c r="DB668" s="66"/>
      <c r="DC668" s="66"/>
      <c r="DD668" s="66"/>
      <c r="DE668" s="66"/>
      <c r="DF668" s="66"/>
      <c r="DG668" s="66"/>
      <c r="DH668" s="66"/>
      <c r="DI668" s="66"/>
      <c r="DJ668" s="66"/>
      <c r="DK668" s="66">
        <f>SUM(Table1[[#This Row],[01-03 Apr]:[Mar-26]])</f>
        <v>4480.9174800122501</v>
      </c>
    </row>
    <row r="669" spans="1:115" hidden="1" x14ac:dyDescent="0.2">
      <c r="A669" s="28" t="s">
        <v>2255</v>
      </c>
      <c r="B669" s="29" t="s">
        <v>1609</v>
      </c>
      <c r="C669" s="29" t="s">
        <v>1610</v>
      </c>
      <c r="D669" s="30" t="s">
        <v>1611</v>
      </c>
      <c r="E669" s="30" t="s">
        <v>63</v>
      </c>
      <c r="F669" s="30"/>
      <c r="G669" s="31"/>
      <c r="H669" s="30">
        <v>2351802</v>
      </c>
      <c r="I669" s="30" t="str">
        <f>IF(Table1[[#This Row],[Centre Status]]="Returned","NA",IF(Table1[[#This Row],[SD]]&gt;19000,"Full Payment",IF(Table1[[#This Row],[SD]]&lt;1,"No Payment","Partial Payment")))</f>
        <v>Full Payment</v>
      </c>
      <c r="J669" s="30" t="s">
        <v>58</v>
      </c>
      <c r="K669" s="32">
        <v>110000</v>
      </c>
      <c r="L669" s="33">
        <f>Q669+R669+U669+Table1[[#This Row],[Farmer Payment]]</f>
        <v>110000</v>
      </c>
      <c r="M669" s="30"/>
      <c r="N669" s="34"/>
      <c r="O669" s="34"/>
      <c r="P669" s="35">
        <f t="shared" si="68"/>
        <v>0</v>
      </c>
      <c r="Q669" s="33">
        <f>AI669+AV669+CK669+Table1[[#This Row],[FY 25-26]]</f>
        <v>90000</v>
      </c>
      <c r="R669" s="36">
        <v>20000</v>
      </c>
      <c r="S669" s="37" t="s">
        <v>2305</v>
      </c>
      <c r="T669" s="38">
        <v>45205</v>
      </c>
      <c r="U669" s="39"/>
      <c r="V669" s="39"/>
      <c r="W669" s="40">
        <v>0</v>
      </c>
      <c r="X669" s="40">
        <v>0</v>
      </c>
      <c r="Y669" s="40">
        <v>0</v>
      </c>
      <c r="Z669" s="40">
        <v>0</v>
      </c>
      <c r="AA669" s="40">
        <v>0</v>
      </c>
      <c r="AB669" s="40">
        <v>0</v>
      </c>
      <c r="AC669" s="40">
        <v>0</v>
      </c>
      <c r="AD669" s="40">
        <v>0</v>
      </c>
      <c r="AE669" s="40">
        <v>0</v>
      </c>
      <c r="AF669" s="40">
        <v>0</v>
      </c>
      <c r="AG669" s="40">
        <v>0</v>
      </c>
      <c r="AH669" s="40">
        <v>0</v>
      </c>
      <c r="AI669" s="41">
        <f t="shared" si="69"/>
        <v>0</v>
      </c>
      <c r="AJ669" s="42">
        <v>0</v>
      </c>
      <c r="AK669" s="42">
        <v>0</v>
      </c>
      <c r="AL669" s="42">
        <v>0</v>
      </c>
      <c r="AM669" s="42">
        <v>0</v>
      </c>
      <c r="AN669" s="42">
        <v>0</v>
      </c>
      <c r="AO669" s="42">
        <v>0</v>
      </c>
      <c r="AP669" s="42">
        <v>0</v>
      </c>
      <c r="AQ669" s="42">
        <v>8103.7476000000006</v>
      </c>
      <c r="AR669" s="42">
        <v>10853.040800000001</v>
      </c>
      <c r="AS669" s="42">
        <v>13926.742000000002</v>
      </c>
      <c r="AT669" s="42">
        <v>12532.055000000002</v>
      </c>
      <c r="AU669" s="42">
        <v>13785.651800000005</v>
      </c>
      <c r="AV669" s="42">
        <f t="shared" si="70"/>
        <v>59201.23720000001</v>
      </c>
      <c r="AW669" s="42">
        <v>9610.3813593214909</v>
      </c>
      <c r="AX669" s="42">
        <v>7454.5608141209532</v>
      </c>
      <c r="AY669" s="42">
        <v>7038.1266023908875</v>
      </c>
      <c r="AZ669" s="42">
        <v>6695.6940241666598</v>
      </c>
      <c r="BA669" s="42">
        <v>0</v>
      </c>
      <c r="BB669" s="42">
        <v>0</v>
      </c>
      <c r="BC669" s="42">
        <v>0</v>
      </c>
      <c r="BD669" s="42">
        <v>0</v>
      </c>
      <c r="BE669" s="42">
        <v>0</v>
      </c>
      <c r="BF669" s="42">
        <v>0</v>
      </c>
      <c r="BG669" s="42">
        <v>0</v>
      </c>
      <c r="BH669" s="42">
        <v>0</v>
      </c>
      <c r="BI669" s="42">
        <v>0</v>
      </c>
      <c r="BJ669" s="42">
        <v>0</v>
      </c>
      <c r="BK669" s="42">
        <v>0</v>
      </c>
      <c r="BL669" s="42">
        <v>0</v>
      </c>
      <c r="BM669" s="42">
        <v>0</v>
      </c>
      <c r="BN669" s="42">
        <v>0</v>
      </c>
      <c r="BO669" s="42">
        <v>0</v>
      </c>
      <c r="BP669" s="42">
        <v>0</v>
      </c>
      <c r="BQ669" s="42">
        <v>0</v>
      </c>
      <c r="BR669" s="42">
        <v>0</v>
      </c>
      <c r="BS669" s="42">
        <v>0</v>
      </c>
      <c r="BT669" s="42">
        <v>0</v>
      </c>
      <c r="BU669" s="42">
        <v>0</v>
      </c>
      <c r="BV669" s="42">
        <v>0</v>
      </c>
      <c r="BW669" s="42">
        <v>0</v>
      </c>
      <c r="BX669" s="42">
        <v>0</v>
      </c>
      <c r="BY669" s="42">
        <v>0</v>
      </c>
      <c r="BZ669" s="42">
        <v>0</v>
      </c>
      <c r="CA669" s="42">
        <v>0</v>
      </c>
      <c r="CB669" s="42">
        <v>0</v>
      </c>
      <c r="CC669" s="42">
        <v>0</v>
      </c>
      <c r="CD669" s="42">
        <v>0</v>
      </c>
      <c r="CE669" s="42">
        <v>0</v>
      </c>
      <c r="CF669" s="42">
        <v>0</v>
      </c>
      <c r="CG669" s="42">
        <v>0</v>
      </c>
      <c r="CH669" s="42">
        <v>0</v>
      </c>
      <c r="CI669" s="42">
        <v>0</v>
      </c>
      <c r="CJ669" s="42">
        <v>0</v>
      </c>
      <c r="CK669" s="43">
        <f t="shared" si="67"/>
        <v>30798.76279999999</v>
      </c>
      <c r="CL669" s="66"/>
      <c r="CM669" s="66">
        <v>0</v>
      </c>
      <c r="CN669" s="66">
        <v>0</v>
      </c>
      <c r="CO669" s="66">
        <v>0</v>
      </c>
      <c r="CP669" s="66">
        <v>0</v>
      </c>
      <c r="CQ669" s="66">
        <v>0</v>
      </c>
      <c r="CR669" s="66">
        <v>0</v>
      </c>
      <c r="CS669" s="66">
        <v>0</v>
      </c>
      <c r="CT669" s="66">
        <v>0</v>
      </c>
      <c r="CU669" s="66">
        <v>0</v>
      </c>
      <c r="CV669" s="66">
        <v>0</v>
      </c>
      <c r="CW669" s="66">
        <v>0</v>
      </c>
      <c r="CX669" s="66">
        <v>0</v>
      </c>
      <c r="CY669" s="66">
        <v>0</v>
      </c>
      <c r="CZ669" s="66">
        <v>0</v>
      </c>
      <c r="DA669" s="66"/>
      <c r="DB669" s="66"/>
      <c r="DC669" s="66"/>
      <c r="DD669" s="66"/>
      <c r="DE669" s="66"/>
      <c r="DF669" s="66"/>
      <c r="DG669" s="66"/>
      <c r="DH669" s="66"/>
      <c r="DI669" s="66"/>
      <c r="DJ669" s="66"/>
      <c r="DK669" s="66">
        <f>SUM(Table1[[#This Row],[01-03 Apr]:[Mar-26]])</f>
        <v>0</v>
      </c>
    </row>
    <row r="670" spans="1:115" hidden="1" x14ac:dyDescent="0.2">
      <c r="A670" s="28" t="s">
        <v>2367</v>
      </c>
      <c r="B670" s="29" t="s">
        <v>1612</v>
      </c>
      <c r="C670" s="29" t="s">
        <v>1613</v>
      </c>
      <c r="D670" s="30" t="s">
        <v>1614</v>
      </c>
      <c r="E670" s="30" t="s">
        <v>63</v>
      </c>
      <c r="F670" s="30"/>
      <c r="G670" s="31"/>
      <c r="H670" s="30">
        <v>384297</v>
      </c>
      <c r="I670" s="30" t="str">
        <f>IF(Table1[[#This Row],[Centre Status]]="Returned","NA",IF(Table1[[#This Row],[SD]]&gt;19000,"Full Payment",IF(Table1[[#This Row],[SD]]&lt;1,"No Payment","Partial Payment")))</f>
        <v>Full Payment</v>
      </c>
      <c r="J670" s="30" t="s">
        <v>58</v>
      </c>
      <c r="K670" s="32">
        <v>110000</v>
      </c>
      <c r="L670" s="33">
        <f>Q670+R670+U670+Table1[[#This Row],[Farmer Payment]]</f>
        <v>80935.689118068331</v>
      </c>
      <c r="M670" s="30"/>
      <c r="N670" s="34"/>
      <c r="O670" s="34"/>
      <c r="P670" s="35">
        <f t="shared" si="68"/>
        <v>29064.310881931669</v>
      </c>
      <c r="Q670" s="33">
        <f>AI670+AV670+CK670+Table1[[#This Row],[FY 25-26]]</f>
        <v>60935.689118068331</v>
      </c>
      <c r="R670" s="36">
        <v>20000</v>
      </c>
      <c r="S670" s="37" t="s">
        <v>2310</v>
      </c>
      <c r="T670" s="38">
        <v>45236</v>
      </c>
      <c r="U670" s="39"/>
      <c r="V670" s="39"/>
      <c r="W670" s="40">
        <v>0</v>
      </c>
      <c r="X670" s="40">
        <v>0</v>
      </c>
      <c r="Y670" s="40">
        <v>0</v>
      </c>
      <c r="Z670" s="40">
        <v>0</v>
      </c>
      <c r="AA670" s="40">
        <v>0</v>
      </c>
      <c r="AB670" s="40">
        <v>0</v>
      </c>
      <c r="AC670" s="40">
        <v>0</v>
      </c>
      <c r="AD670" s="40">
        <v>0</v>
      </c>
      <c r="AE670" s="40">
        <v>0</v>
      </c>
      <c r="AF670" s="40">
        <v>0</v>
      </c>
      <c r="AG670" s="40">
        <v>0</v>
      </c>
      <c r="AH670" s="40">
        <v>0</v>
      </c>
      <c r="AI670" s="41">
        <f t="shared" si="69"/>
        <v>0</v>
      </c>
      <c r="AJ670" s="42">
        <v>0</v>
      </c>
      <c r="AK670" s="42">
        <v>0</v>
      </c>
      <c r="AL670" s="42">
        <v>0</v>
      </c>
      <c r="AM670" s="42">
        <v>0</v>
      </c>
      <c r="AN670" s="42">
        <v>0</v>
      </c>
      <c r="AO670" s="42">
        <v>0</v>
      </c>
      <c r="AP670" s="42">
        <v>0</v>
      </c>
      <c r="AQ670" s="42">
        <v>0</v>
      </c>
      <c r="AR670" s="42">
        <v>1364</v>
      </c>
      <c r="AS670" s="42">
        <v>3268.5702000000001</v>
      </c>
      <c r="AT670" s="42">
        <v>3856.3917999999999</v>
      </c>
      <c r="AU670" s="42">
        <v>4348.1954000000005</v>
      </c>
      <c r="AV670" s="42">
        <f t="shared" si="70"/>
        <v>12837.1574</v>
      </c>
      <c r="AW670" s="42">
        <v>3698.1340392959996</v>
      </c>
      <c r="AX670" s="42">
        <v>3276.9556802304</v>
      </c>
      <c r="AY670" s="42">
        <v>2923.7424135168003</v>
      </c>
      <c r="AZ670" s="42">
        <v>3091.2460747296004</v>
      </c>
      <c r="BA670" s="42">
        <v>2348.844723308368</v>
      </c>
      <c r="BB670" s="42">
        <v>0</v>
      </c>
      <c r="BC670" s="42">
        <v>2804.7468271133002</v>
      </c>
      <c r="BD670" s="42">
        <v>0</v>
      </c>
      <c r="BE670" s="42">
        <v>0</v>
      </c>
      <c r="BF670" s="42">
        <v>0</v>
      </c>
      <c r="BG670" s="42">
        <v>0</v>
      </c>
      <c r="BH670" s="42">
        <v>0</v>
      </c>
      <c r="BI670" s="42">
        <v>2347.6009051580641</v>
      </c>
      <c r="BJ670" s="42">
        <v>0</v>
      </c>
      <c r="BK670" s="42">
        <v>0</v>
      </c>
      <c r="BL670" s="42">
        <v>0</v>
      </c>
      <c r="BM670" s="42">
        <v>0</v>
      </c>
      <c r="BN670" s="42">
        <v>2556.6299693548522</v>
      </c>
      <c r="BO670" s="42">
        <v>0</v>
      </c>
      <c r="BP670" s="42">
        <v>0</v>
      </c>
      <c r="BQ670" s="42">
        <v>0</v>
      </c>
      <c r="BR670" s="42">
        <v>0</v>
      </c>
      <c r="BS670" s="42">
        <v>3772.7654404449645</v>
      </c>
      <c r="BT670" s="42">
        <v>0</v>
      </c>
      <c r="BU670" s="42">
        <v>0</v>
      </c>
      <c r="BV670" s="42">
        <v>0</v>
      </c>
      <c r="BW670" s="42">
        <v>0</v>
      </c>
      <c r="BX670" s="42">
        <v>0</v>
      </c>
      <c r="BY670" s="42">
        <v>0</v>
      </c>
      <c r="BZ670" s="42">
        <v>0</v>
      </c>
      <c r="CA670" s="42">
        <v>0</v>
      </c>
      <c r="CB670" s="42">
        <v>0</v>
      </c>
      <c r="CC670" s="42">
        <v>0</v>
      </c>
      <c r="CD670" s="42">
        <v>4902.0536771779625</v>
      </c>
      <c r="CE670" s="42">
        <v>0</v>
      </c>
      <c r="CF670" s="42">
        <v>0</v>
      </c>
      <c r="CG670" s="42">
        <v>0</v>
      </c>
      <c r="CH670" s="42">
        <v>0</v>
      </c>
      <c r="CI670" s="42">
        <v>0</v>
      </c>
      <c r="CJ670" s="42">
        <v>6375.3225450366681</v>
      </c>
      <c r="CK670" s="43">
        <f t="shared" si="67"/>
        <v>38098.042295366977</v>
      </c>
      <c r="CL670" s="66"/>
      <c r="CM670" s="66">
        <v>0</v>
      </c>
      <c r="CN670" s="66">
        <v>0</v>
      </c>
      <c r="CO670" s="66">
        <v>0</v>
      </c>
      <c r="CP670" s="66">
        <v>5900.7079627539779</v>
      </c>
      <c r="CQ670" s="66">
        <v>0</v>
      </c>
      <c r="CR670" s="66">
        <v>0</v>
      </c>
      <c r="CS670" s="66">
        <v>0</v>
      </c>
      <c r="CT670" s="66">
        <v>0</v>
      </c>
      <c r="CU670" s="66">
        <v>0</v>
      </c>
      <c r="CV670" s="66">
        <v>4099.7814599473777</v>
      </c>
      <c r="CW670" s="66">
        <v>0</v>
      </c>
      <c r="CX670" s="66">
        <v>0</v>
      </c>
      <c r="CY670" s="66">
        <v>0</v>
      </c>
      <c r="CZ670" s="66">
        <v>0</v>
      </c>
      <c r="DA670" s="66"/>
      <c r="DB670" s="66"/>
      <c r="DC670" s="66"/>
      <c r="DD670" s="66"/>
      <c r="DE670" s="66"/>
      <c r="DF670" s="66"/>
      <c r="DG670" s="66"/>
      <c r="DH670" s="66"/>
      <c r="DI670" s="66"/>
      <c r="DJ670" s="66"/>
      <c r="DK670" s="66">
        <f>SUM(Table1[[#This Row],[01-03 Apr]:[Mar-26]])</f>
        <v>10000.489422701356</v>
      </c>
    </row>
    <row r="671" spans="1:115" hidden="1" x14ac:dyDescent="0.2">
      <c r="A671" s="28" t="s">
        <v>2367</v>
      </c>
      <c r="B671" s="29" t="s">
        <v>1615</v>
      </c>
      <c r="C671" s="29" t="s">
        <v>1616</v>
      </c>
      <c r="D671" s="30" t="s">
        <v>1617</v>
      </c>
      <c r="E671" s="30" t="s">
        <v>63</v>
      </c>
      <c r="F671" s="30"/>
      <c r="G671" s="31"/>
      <c r="H671" s="30">
        <v>391974</v>
      </c>
      <c r="I671" s="30" t="str">
        <f>IF(Table1[[#This Row],[Centre Status]]="Returned","NA",IF(Table1[[#This Row],[SD]]&gt;19000,"Full Payment",IF(Table1[[#This Row],[SD]]&lt;1,"No Payment","Partial Payment")))</f>
        <v>Full Payment</v>
      </c>
      <c r="J671" s="30" t="s">
        <v>58</v>
      </c>
      <c r="K671" s="32">
        <v>110000</v>
      </c>
      <c r="L671" s="33">
        <f>Q671+R671+U671+Table1[[#This Row],[Farmer Payment]]</f>
        <v>70285.322468801518</v>
      </c>
      <c r="M671" s="30"/>
      <c r="N671" s="34"/>
      <c r="O671" s="34"/>
      <c r="P671" s="35">
        <f t="shared" si="68"/>
        <v>39714.677531198482</v>
      </c>
      <c r="Q671" s="33">
        <f>AI671+AV671+CK671+Table1[[#This Row],[FY 25-26]]</f>
        <v>50285.322468801518</v>
      </c>
      <c r="R671" s="36">
        <v>20000</v>
      </c>
      <c r="S671" s="37" t="s">
        <v>2308</v>
      </c>
      <c r="T671" s="38">
        <v>45231</v>
      </c>
      <c r="U671" s="39"/>
      <c r="V671" s="39"/>
      <c r="W671" s="40">
        <v>0</v>
      </c>
      <c r="X671" s="40">
        <v>0</v>
      </c>
      <c r="Y671" s="40">
        <v>0</v>
      </c>
      <c r="Z671" s="40">
        <v>0</v>
      </c>
      <c r="AA671" s="40">
        <v>0</v>
      </c>
      <c r="AB671" s="40">
        <v>0</v>
      </c>
      <c r="AC671" s="40">
        <v>0</v>
      </c>
      <c r="AD671" s="40">
        <v>0</v>
      </c>
      <c r="AE671" s="40">
        <v>0</v>
      </c>
      <c r="AF671" s="40">
        <v>0</v>
      </c>
      <c r="AG671" s="40">
        <v>0</v>
      </c>
      <c r="AH671" s="40">
        <v>0</v>
      </c>
      <c r="AI671" s="41">
        <f t="shared" si="69"/>
        <v>0</v>
      </c>
      <c r="AJ671" s="42">
        <v>0</v>
      </c>
      <c r="AK671" s="42">
        <v>0</v>
      </c>
      <c r="AL671" s="42">
        <v>0</v>
      </c>
      <c r="AM671" s="42">
        <v>0</v>
      </c>
      <c r="AN671" s="42">
        <v>0</v>
      </c>
      <c r="AO671" s="42">
        <v>0</v>
      </c>
      <c r="AP671" s="42">
        <v>0</v>
      </c>
      <c r="AQ671" s="42">
        <v>0</v>
      </c>
      <c r="AR671" s="42">
        <v>692</v>
      </c>
      <c r="AS671" s="42">
        <v>1861</v>
      </c>
      <c r="AT671" s="42">
        <v>1979.6947999999998</v>
      </c>
      <c r="AU671" s="42">
        <v>2934.5151999999998</v>
      </c>
      <c r="AV671" s="42">
        <f t="shared" si="70"/>
        <v>7467.2099999999991</v>
      </c>
      <c r="AW671" s="42">
        <v>3327.3412141804083</v>
      </c>
      <c r="AX671" s="42">
        <v>3706.1757426334561</v>
      </c>
      <c r="AY671" s="42">
        <v>3410.003470732096</v>
      </c>
      <c r="AZ671" s="42">
        <v>3895.0630356577867</v>
      </c>
      <c r="BA671" s="42">
        <v>2922.5522377371399</v>
      </c>
      <c r="BB671" s="42">
        <v>0</v>
      </c>
      <c r="BC671" s="42">
        <v>3004.1329189302528</v>
      </c>
      <c r="BD671" s="42">
        <v>0</v>
      </c>
      <c r="BE671" s="42">
        <v>0</v>
      </c>
      <c r="BF671" s="42">
        <v>0</v>
      </c>
      <c r="BG671" s="42">
        <v>0</v>
      </c>
      <c r="BH671" s="42">
        <v>0</v>
      </c>
      <c r="BI671" s="42">
        <v>1861</v>
      </c>
      <c r="BJ671" s="42">
        <v>0</v>
      </c>
      <c r="BK671" s="42">
        <v>0</v>
      </c>
      <c r="BL671" s="42">
        <v>0</v>
      </c>
      <c r="BM671" s="42">
        <v>0</v>
      </c>
      <c r="BN671" s="42">
        <v>1861</v>
      </c>
      <c r="BO671" s="42">
        <v>0</v>
      </c>
      <c r="BP671" s="42">
        <v>0</v>
      </c>
      <c r="BQ671" s="42">
        <v>0</v>
      </c>
      <c r="BR671" s="42">
        <v>0</v>
      </c>
      <c r="BS671" s="42">
        <v>2940.6738125419565</v>
      </c>
      <c r="BT671" s="42">
        <v>0</v>
      </c>
      <c r="BU671" s="42">
        <v>0</v>
      </c>
      <c r="BV671" s="42">
        <v>0</v>
      </c>
      <c r="BW671" s="42">
        <v>0</v>
      </c>
      <c r="BX671" s="42">
        <v>0</v>
      </c>
      <c r="BY671" s="42">
        <v>0</v>
      </c>
      <c r="BZ671" s="42">
        <v>0</v>
      </c>
      <c r="CA671" s="42">
        <v>0</v>
      </c>
      <c r="CB671" s="42">
        <v>0</v>
      </c>
      <c r="CC671" s="42">
        <v>0</v>
      </c>
      <c r="CD671" s="42">
        <v>3886.2637244516081</v>
      </c>
      <c r="CE671" s="42">
        <v>0</v>
      </c>
      <c r="CF671" s="42">
        <v>0</v>
      </c>
      <c r="CG671" s="42">
        <v>0</v>
      </c>
      <c r="CH671" s="42">
        <v>0</v>
      </c>
      <c r="CI671" s="42">
        <v>0</v>
      </c>
      <c r="CJ671" s="42">
        <v>4247.5364732075823</v>
      </c>
      <c r="CK671" s="43">
        <f t="shared" si="67"/>
        <v>35061.742630072287</v>
      </c>
      <c r="CL671" s="66"/>
      <c r="CM671" s="66">
        <v>0</v>
      </c>
      <c r="CN671" s="66">
        <v>0</v>
      </c>
      <c r="CO671" s="66">
        <v>0</v>
      </c>
      <c r="CP671" s="66">
        <v>4471.9321211628567</v>
      </c>
      <c r="CQ671" s="66">
        <v>0</v>
      </c>
      <c r="CR671" s="66">
        <v>0</v>
      </c>
      <c r="CS671" s="66">
        <v>0</v>
      </c>
      <c r="CT671" s="66">
        <v>0</v>
      </c>
      <c r="CU671" s="66">
        <v>0</v>
      </c>
      <c r="CV671" s="66">
        <v>3284.4377175663744</v>
      </c>
      <c r="CW671" s="66">
        <v>0</v>
      </c>
      <c r="CX671" s="66">
        <v>0</v>
      </c>
      <c r="CY671" s="66">
        <v>0</v>
      </c>
      <c r="CZ671" s="66">
        <v>0</v>
      </c>
      <c r="DA671" s="66"/>
      <c r="DB671" s="66"/>
      <c r="DC671" s="66"/>
      <c r="DD671" s="66"/>
      <c r="DE671" s="66"/>
      <c r="DF671" s="66"/>
      <c r="DG671" s="66"/>
      <c r="DH671" s="66"/>
      <c r="DI671" s="66"/>
      <c r="DJ671" s="66"/>
      <c r="DK671" s="66">
        <f>SUM(Table1[[#This Row],[01-03 Apr]:[Mar-26]])</f>
        <v>7756.3698387292316</v>
      </c>
    </row>
    <row r="672" spans="1:115" hidden="1" x14ac:dyDescent="0.2">
      <c r="A672" s="28" t="s">
        <v>2367</v>
      </c>
      <c r="B672" s="29" t="s">
        <v>1618</v>
      </c>
      <c r="C672" s="29" t="s">
        <v>1619</v>
      </c>
      <c r="D672" s="30" t="s">
        <v>1620</v>
      </c>
      <c r="E672" s="30" t="s">
        <v>1321</v>
      </c>
      <c r="F672" s="30"/>
      <c r="G672" s="31"/>
      <c r="H672" s="30">
        <v>384723</v>
      </c>
      <c r="I672" s="30" t="str">
        <f>IF(Table1[[#This Row],[Centre Status]]="Returned","NA",IF(Table1[[#This Row],[SD]]&gt;19000,"Full Payment",IF(Table1[[#This Row],[SD]]&lt;1,"No Payment","Partial Payment")))</f>
        <v>Full Payment</v>
      </c>
      <c r="J672" s="30" t="s">
        <v>58</v>
      </c>
      <c r="K672" s="32">
        <v>110000</v>
      </c>
      <c r="L672" s="33">
        <f>Q672+R672+U672+Table1[[#This Row],[Farmer Payment]]</f>
        <v>68266.918970745159</v>
      </c>
      <c r="M672" s="30"/>
      <c r="N672" s="34"/>
      <c r="O672" s="34"/>
      <c r="P672" s="35">
        <f t="shared" si="68"/>
        <v>41733.081029254841</v>
      </c>
      <c r="Q672" s="33">
        <f>AI672+AV672+CK672+Table1[[#This Row],[FY 25-26]]</f>
        <v>48266.918970745159</v>
      </c>
      <c r="R672" s="36">
        <v>20000</v>
      </c>
      <c r="S672" s="37" t="s">
        <v>2307</v>
      </c>
      <c r="T672" s="38">
        <v>45216</v>
      </c>
      <c r="U672" s="39"/>
      <c r="V672" s="39"/>
      <c r="W672" s="40">
        <v>0</v>
      </c>
      <c r="X672" s="40">
        <v>0</v>
      </c>
      <c r="Y672" s="40">
        <v>0</v>
      </c>
      <c r="Z672" s="40">
        <v>0</v>
      </c>
      <c r="AA672" s="40">
        <v>0</v>
      </c>
      <c r="AB672" s="40">
        <v>0</v>
      </c>
      <c r="AC672" s="40">
        <v>0</v>
      </c>
      <c r="AD672" s="40">
        <v>0</v>
      </c>
      <c r="AE672" s="40">
        <v>0</v>
      </c>
      <c r="AF672" s="40">
        <v>0</v>
      </c>
      <c r="AG672" s="40">
        <v>0</v>
      </c>
      <c r="AH672" s="40">
        <v>0</v>
      </c>
      <c r="AI672" s="41">
        <f t="shared" si="69"/>
        <v>0</v>
      </c>
      <c r="AJ672" s="42">
        <v>0</v>
      </c>
      <c r="AK672" s="42">
        <v>0</v>
      </c>
      <c r="AL672" s="42">
        <v>0</v>
      </c>
      <c r="AM672" s="42">
        <v>0</v>
      </c>
      <c r="AN672" s="42">
        <v>0</v>
      </c>
      <c r="AO672" s="42">
        <v>0</v>
      </c>
      <c r="AP672" s="42">
        <v>0</v>
      </c>
      <c r="AQ672" s="42">
        <v>0</v>
      </c>
      <c r="AR672" s="42">
        <v>1861</v>
      </c>
      <c r="AS672" s="42">
        <v>3022.2912000000001</v>
      </c>
      <c r="AT672" s="42">
        <v>3615.1055999999994</v>
      </c>
      <c r="AU672" s="42">
        <v>3585.4928</v>
      </c>
      <c r="AV672" s="42">
        <f t="shared" si="70"/>
        <v>12083.889599999999</v>
      </c>
      <c r="AW672" s="42">
        <v>3804.0299485476003</v>
      </c>
      <c r="AX672" s="42">
        <v>2822.5823341911205</v>
      </c>
      <c r="AY672" s="42">
        <v>2905.2990714624007</v>
      </c>
      <c r="AZ672" s="42">
        <v>3270.6997459621648</v>
      </c>
      <c r="BA672" s="42">
        <v>1861</v>
      </c>
      <c r="BB672" s="42">
        <v>0</v>
      </c>
      <c r="BC672" s="42">
        <v>2085.8185422351726</v>
      </c>
      <c r="BD672" s="42">
        <v>0</v>
      </c>
      <c r="BE672" s="42">
        <v>0</v>
      </c>
      <c r="BF672" s="42">
        <v>0</v>
      </c>
      <c r="BG672" s="42">
        <v>0</v>
      </c>
      <c r="BH672" s="42">
        <v>0</v>
      </c>
      <c r="BI672" s="42">
        <v>1861</v>
      </c>
      <c r="BJ672" s="42">
        <v>0</v>
      </c>
      <c r="BK672" s="42">
        <v>0</v>
      </c>
      <c r="BL672" s="42">
        <v>0</v>
      </c>
      <c r="BM672" s="42">
        <v>0</v>
      </c>
      <c r="BN672" s="42">
        <v>2009.2593053746261</v>
      </c>
      <c r="BO672" s="42">
        <v>0</v>
      </c>
      <c r="BP672" s="42">
        <v>0</v>
      </c>
      <c r="BQ672" s="42">
        <v>0</v>
      </c>
      <c r="BR672" s="42">
        <v>0</v>
      </c>
      <c r="BS672" s="42">
        <v>3490.064555013696</v>
      </c>
      <c r="BT672" s="42">
        <v>0</v>
      </c>
      <c r="BU672" s="42">
        <v>0</v>
      </c>
      <c r="BV672" s="42">
        <v>0</v>
      </c>
      <c r="BW672" s="42">
        <v>0</v>
      </c>
      <c r="BX672" s="42">
        <v>0</v>
      </c>
      <c r="BY672" s="42">
        <v>0</v>
      </c>
      <c r="BZ672" s="42">
        <v>0</v>
      </c>
      <c r="CA672" s="42">
        <v>0</v>
      </c>
      <c r="CB672" s="42">
        <v>0</v>
      </c>
      <c r="CC672" s="42">
        <v>0</v>
      </c>
      <c r="CD672" s="42">
        <v>2858.1254370777287</v>
      </c>
      <c r="CE672" s="42">
        <v>0</v>
      </c>
      <c r="CF672" s="42">
        <v>0</v>
      </c>
      <c r="CG672" s="42">
        <v>0</v>
      </c>
      <c r="CH672" s="42">
        <v>0</v>
      </c>
      <c r="CI672" s="42">
        <v>0</v>
      </c>
      <c r="CJ672" s="42">
        <v>3138.1185461563946</v>
      </c>
      <c r="CK672" s="43">
        <f t="shared" si="67"/>
        <v>30105.997486020908</v>
      </c>
      <c r="CL672" s="66"/>
      <c r="CM672" s="66">
        <v>0</v>
      </c>
      <c r="CN672" s="66">
        <v>0</v>
      </c>
      <c r="CO672" s="66">
        <v>0</v>
      </c>
      <c r="CP672" s="66">
        <v>2890.4253618451535</v>
      </c>
      <c r="CQ672" s="66">
        <v>0</v>
      </c>
      <c r="CR672" s="66">
        <v>0</v>
      </c>
      <c r="CS672" s="66">
        <v>0</v>
      </c>
      <c r="CT672" s="66">
        <v>0</v>
      </c>
      <c r="CU672" s="66">
        <v>0</v>
      </c>
      <c r="CV672" s="66">
        <v>3186.6065228791008</v>
      </c>
      <c r="CW672" s="66">
        <v>0</v>
      </c>
      <c r="CX672" s="66">
        <v>0</v>
      </c>
      <c r="CY672" s="66">
        <v>0</v>
      </c>
      <c r="CZ672" s="66">
        <v>0</v>
      </c>
      <c r="DA672" s="66"/>
      <c r="DB672" s="66"/>
      <c r="DC672" s="66"/>
      <c r="DD672" s="66"/>
      <c r="DE672" s="66"/>
      <c r="DF672" s="66"/>
      <c r="DG672" s="66"/>
      <c r="DH672" s="66"/>
      <c r="DI672" s="66"/>
      <c r="DJ672" s="66"/>
      <c r="DK672" s="66">
        <f>SUM(Table1[[#This Row],[01-03 Apr]:[Mar-26]])</f>
        <v>6077.0318847242543</v>
      </c>
    </row>
    <row r="673" spans="1:115" hidden="1" x14ac:dyDescent="0.2">
      <c r="A673" s="28" t="s">
        <v>2367</v>
      </c>
      <c r="B673" s="29" t="s">
        <v>1621</v>
      </c>
      <c r="C673" s="29" t="s">
        <v>1622</v>
      </c>
      <c r="D673" s="30" t="s">
        <v>1623</v>
      </c>
      <c r="E673" s="30" t="s">
        <v>1321</v>
      </c>
      <c r="F673" s="30"/>
      <c r="G673" s="31"/>
      <c r="H673" s="30">
        <v>390548</v>
      </c>
      <c r="I673" s="30" t="str">
        <f>IF(Table1[[#This Row],[Centre Status]]="Returned","NA",IF(Table1[[#This Row],[SD]]&gt;19000,"Full Payment",IF(Table1[[#This Row],[SD]]&lt;1,"No Payment","Partial Payment")))</f>
        <v>Full Payment</v>
      </c>
      <c r="J673" s="30" t="s">
        <v>58</v>
      </c>
      <c r="K673" s="32">
        <v>110000</v>
      </c>
      <c r="L673" s="33">
        <f>Q673+R673+U673+Table1[[#This Row],[Farmer Payment]]</f>
        <v>57317.348585600455</v>
      </c>
      <c r="M673" s="30"/>
      <c r="N673" s="34"/>
      <c r="O673" s="34"/>
      <c r="P673" s="35">
        <f t="shared" si="68"/>
        <v>52682.651414399545</v>
      </c>
      <c r="Q673" s="33">
        <f>AI673+AV673+CK673+Table1[[#This Row],[FY 25-26]]</f>
        <v>37317.348585600455</v>
      </c>
      <c r="R673" s="36">
        <v>20000</v>
      </c>
      <c r="S673" s="37" t="s">
        <v>2309</v>
      </c>
      <c r="T673" s="38">
        <v>45233</v>
      </c>
      <c r="U673" s="39"/>
      <c r="V673" s="39"/>
      <c r="W673" s="40">
        <v>0</v>
      </c>
      <c r="X673" s="40">
        <v>0</v>
      </c>
      <c r="Y673" s="40">
        <v>0</v>
      </c>
      <c r="Z673" s="40">
        <v>0</v>
      </c>
      <c r="AA673" s="40">
        <v>0</v>
      </c>
      <c r="AB673" s="40">
        <v>0</v>
      </c>
      <c r="AC673" s="40">
        <v>0</v>
      </c>
      <c r="AD673" s="40">
        <v>0</v>
      </c>
      <c r="AE673" s="40">
        <v>0</v>
      </c>
      <c r="AF673" s="40">
        <v>0</v>
      </c>
      <c r="AG673" s="40">
        <v>0</v>
      </c>
      <c r="AH673" s="40">
        <v>0</v>
      </c>
      <c r="AI673" s="41">
        <f t="shared" si="69"/>
        <v>0</v>
      </c>
      <c r="AJ673" s="42">
        <v>0</v>
      </c>
      <c r="AK673" s="42">
        <v>0</v>
      </c>
      <c r="AL673" s="42">
        <v>0</v>
      </c>
      <c r="AM673" s="42">
        <v>0</v>
      </c>
      <c r="AN673" s="42">
        <v>0</v>
      </c>
      <c r="AO673" s="42">
        <v>0</v>
      </c>
      <c r="AP673" s="42">
        <v>0</v>
      </c>
      <c r="AQ673" s="42">
        <v>0</v>
      </c>
      <c r="AR673" s="42">
        <v>1861</v>
      </c>
      <c r="AS673" s="42">
        <v>1921.394</v>
      </c>
      <c r="AT673" s="42">
        <v>1861</v>
      </c>
      <c r="AU673" s="42">
        <v>1861</v>
      </c>
      <c r="AV673" s="42">
        <f t="shared" si="70"/>
        <v>7504.3940000000002</v>
      </c>
      <c r="AW673" s="42">
        <v>1861</v>
      </c>
      <c r="AX673" s="42">
        <v>1861</v>
      </c>
      <c r="AY673" s="42">
        <v>1861</v>
      </c>
      <c r="AZ673" s="42">
        <v>2534.9265258914802</v>
      </c>
      <c r="BA673" s="42">
        <v>2212.4582997899402</v>
      </c>
      <c r="BB673" s="42">
        <v>0</v>
      </c>
      <c r="BC673" s="42">
        <v>3582.7111401223365</v>
      </c>
      <c r="BD673" s="42">
        <v>0</v>
      </c>
      <c r="BE673" s="42">
        <v>0</v>
      </c>
      <c r="BF673" s="42">
        <v>0</v>
      </c>
      <c r="BG673" s="42">
        <v>0</v>
      </c>
      <c r="BH673" s="42">
        <v>0</v>
      </c>
      <c r="BI673" s="42">
        <v>2254.9208862521687</v>
      </c>
      <c r="BJ673" s="42">
        <v>0</v>
      </c>
      <c r="BK673" s="42">
        <v>0</v>
      </c>
      <c r="BL673" s="42">
        <v>0</v>
      </c>
      <c r="BM673" s="42">
        <v>0</v>
      </c>
      <c r="BN673" s="42">
        <v>1914.6419920518683</v>
      </c>
      <c r="BO673" s="42">
        <v>0</v>
      </c>
      <c r="BP673" s="42">
        <v>0</v>
      </c>
      <c r="BQ673" s="42">
        <v>0</v>
      </c>
      <c r="BR673" s="42">
        <v>0</v>
      </c>
      <c r="BS673" s="42">
        <v>2252.8049288383399</v>
      </c>
      <c r="BT673" s="42">
        <v>0</v>
      </c>
      <c r="BU673" s="42">
        <v>0</v>
      </c>
      <c r="BV673" s="42">
        <v>0</v>
      </c>
      <c r="BW673" s="42">
        <v>0</v>
      </c>
      <c r="BX673" s="42">
        <v>0</v>
      </c>
      <c r="BY673" s="42">
        <v>0</v>
      </c>
      <c r="BZ673" s="42">
        <v>0</v>
      </c>
      <c r="CA673" s="42">
        <v>0</v>
      </c>
      <c r="CB673" s="42">
        <v>0</v>
      </c>
      <c r="CC673" s="42">
        <v>0</v>
      </c>
      <c r="CD673" s="42">
        <v>2555.1479116089681</v>
      </c>
      <c r="CE673" s="42">
        <v>0</v>
      </c>
      <c r="CF673" s="42">
        <v>0</v>
      </c>
      <c r="CG673" s="42">
        <v>0</v>
      </c>
      <c r="CH673" s="42">
        <v>0</v>
      </c>
      <c r="CI673" s="42">
        <v>0</v>
      </c>
      <c r="CJ673" s="42">
        <v>2970.6467081641163</v>
      </c>
      <c r="CK673" s="43">
        <f t="shared" si="67"/>
        <v>25861.258392719221</v>
      </c>
      <c r="CL673" s="66"/>
      <c r="CM673" s="66">
        <v>0</v>
      </c>
      <c r="CN673" s="66">
        <v>0</v>
      </c>
      <c r="CO673" s="66">
        <v>0</v>
      </c>
      <c r="CP673" s="66">
        <v>2090.6961928812402</v>
      </c>
      <c r="CQ673" s="66">
        <v>0</v>
      </c>
      <c r="CR673" s="66">
        <v>0</v>
      </c>
      <c r="CS673" s="66">
        <v>0</v>
      </c>
      <c r="CT673" s="66">
        <v>0</v>
      </c>
      <c r="CU673" s="66">
        <v>0</v>
      </c>
      <c r="CV673" s="66">
        <v>1861</v>
      </c>
      <c r="CW673" s="66">
        <v>0</v>
      </c>
      <c r="CX673" s="66">
        <v>0</v>
      </c>
      <c r="CY673" s="66">
        <v>0</v>
      </c>
      <c r="CZ673" s="66">
        <v>0</v>
      </c>
      <c r="DA673" s="66"/>
      <c r="DB673" s="66"/>
      <c r="DC673" s="66"/>
      <c r="DD673" s="66"/>
      <c r="DE673" s="66"/>
      <c r="DF673" s="66"/>
      <c r="DG673" s="66"/>
      <c r="DH673" s="66"/>
      <c r="DI673" s="66"/>
      <c r="DJ673" s="66"/>
      <c r="DK673" s="66">
        <f>SUM(Table1[[#This Row],[01-03 Apr]:[Mar-26]])</f>
        <v>3951.6961928812402</v>
      </c>
    </row>
    <row r="674" spans="1:115" hidden="1" x14ac:dyDescent="0.2">
      <c r="A674" s="28" t="s">
        <v>2367</v>
      </c>
      <c r="B674" s="29" t="s">
        <v>1624</v>
      </c>
      <c r="C674" s="29" t="s">
        <v>1625</v>
      </c>
      <c r="D674" s="30" t="s">
        <v>1626</v>
      </c>
      <c r="E674" s="30" t="s">
        <v>1321</v>
      </c>
      <c r="F674" s="30"/>
      <c r="G674" s="31"/>
      <c r="H674" s="30">
        <v>391372</v>
      </c>
      <c r="I674" s="30" t="str">
        <f>IF(Table1[[#This Row],[Centre Status]]="Returned","NA",IF(Table1[[#This Row],[SD]]&gt;19000,"Full Payment",IF(Table1[[#This Row],[SD]]&lt;1,"No Payment","Partial Payment")))</f>
        <v>NA</v>
      </c>
      <c r="J674" s="30" t="s">
        <v>1903</v>
      </c>
      <c r="K674" s="32">
        <v>0</v>
      </c>
      <c r="L674" s="33">
        <f>Q674+R674+U674+Table1[[#This Row],[Farmer Payment]]</f>
        <v>27841.91</v>
      </c>
      <c r="M674" s="30">
        <v>20000</v>
      </c>
      <c r="N674" s="34">
        <v>45575</v>
      </c>
      <c r="O674" s="34" t="s">
        <v>2722</v>
      </c>
      <c r="P674" s="35">
        <f t="shared" si="68"/>
        <v>-7841.91</v>
      </c>
      <c r="Q674" s="33">
        <f>AI674+AV674+CK674+Table1[[#This Row],[FY 25-26]]</f>
        <v>7841.91</v>
      </c>
      <c r="R674" s="36">
        <v>20000</v>
      </c>
      <c r="S674" s="37" t="s">
        <v>2645</v>
      </c>
      <c r="T674" s="38">
        <v>45245</v>
      </c>
      <c r="U674" s="39"/>
      <c r="V674" s="39"/>
      <c r="W674" s="40">
        <v>0</v>
      </c>
      <c r="X674" s="40">
        <v>0</v>
      </c>
      <c r="Y674" s="40">
        <v>0</v>
      </c>
      <c r="Z674" s="40">
        <v>0</v>
      </c>
      <c r="AA674" s="40">
        <v>0</v>
      </c>
      <c r="AB674" s="40">
        <v>0</v>
      </c>
      <c r="AC674" s="40">
        <v>0</v>
      </c>
      <c r="AD674" s="40">
        <v>0</v>
      </c>
      <c r="AE674" s="40">
        <v>0</v>
      </c>
      <c r="AF674" s="40">
        <v>0</v>
      </c>
      <c r="AG674" s="40">
        <v>0</v>
      </c>
      <c r="AH674" s="40">
        <v>0</v>
      </c>
      <c r="AI674" s="41">
        <f t="shared" si="69"/>
        <v>0</v>
      </c>
      <c r="AJ674" s="42">
        <v>0</v>
      </c>
      <c r="AK674" s="42">
        <v>0</v>
      </c>
      <c r="AL674" s="42">
        <v>0</v>
      </c>
      <c r="AM674" s="42">
        <v>0</v>
      </c>
      <c r="AN674" s="42">
        <v>0</v>
      </c>
      <c r="AO674" s="42">
        <v>0</v>
      </c>
      <c r="AP674" s="42">
        <v>0</v>
      </c>
      <c r="AQ674" s="42">
        <v>0</v>
      </c>
      <c r="AR674" s="42">
        <v>1861</v>
      </c>
      <c r="AS674" s="42">
        <v>2176.6812</v>
      </c>
      <c r="AT674" s="42">
        <v>1943.2288000000003</v>
      </c>
      <c r="AU674" s="42">
        <v>1861</v>
      </c>
      <c r="AV674" s="42">
        <f t="shared" si="70"/>
        <v>7841.91</v>
      </c>
      <c r="AW674" s="42">
        <v>0</v>
      </c>
      <c r="AX674" s="42">
        <v>0</v>
      </c>
      <c r="AY674" s="42">
        <v>0</v>
      </c>
      <c r="AZ674" s="42">
        <v>0</v>
      </c>
      <c r="BA674" s="42">
        <v>0</v>
      </c>
      <c r="BB674" s="42">
        <v>0</v>
      </c>
      <c r="BC674" s="42">
        <v>0</v>
      </c>
      <c r="BD674" s="42">
        <v>0</v>
      </c>
      <c r="BE674" s="42">
        <v>0</v>
      </c>
      <c r="BF674" s="42">
        <v>0</v>
      </c>
      <c r="BG674" s="42">
        <v>0</v>
      </c>
      <c r="BH674" s="42">
        <v>0</v>
      </c>
      <c r="BI674" s="42">
        <v>0</v>
      </c>
      <c r="BJ674" s="42">
        <v>0</v>
      </c>
      <c r="BK674" s="42">
        <v>0</v>
      </c>
      <c r="BL674" s="42">
        <v>0</v>
      </c>
      <c r="BM674" s="42">
        <v>0</v>
      </c>
      <c r="BN674" s="42">
        <v>0</v>
      </c>
      <c r="BO674" s="42">
        <v>0</v>
      </c>
      <c r="BP674" s="42">
        <v>0</v>
      </c>
      <c r="BQ674" s="42">
        <v>0</v>
      </c>
      <c r="BR674" s="42">
        <v>0</v>
      </c>
      <c r="BS674" s="42">
        <v>0</v>
      </c>
      <c r="BT674" s="42">
        <v>0</v>
      </c>
      <c r="BU674" s="42">
        <v>0</v>
      </c>
      <c r="BV674" s="42">
        <v>0</v>
      </c>
      <c r="BW674" s="42">
        <v>0</v>
      </c>
      <c r="BX674" s="42">
        <v>0</v>
      </c>
      <c r="BY674" s="42">
        <v>0</v>
      </c>
      <c r="BZ674" s="42">
        <v>0</v>
      </c>
      <c r="CA674" s="42">
        <v>0</v>
      </c>
      <c r="CB674" s="42">
        <v>0</v>
      </c>
      <c r="CC674" s="42">
        <v>0</v>
      </c>
      <c r="CD674" s="42">
        <v>0</v>
      </c>
      <c r="CE674" s="42">
        <v>0</v>
      </c>
      <c r="CF674" s="42">
        <v>0</v>
      </c>
      <c r="CG674" s="42">
        <v>0</v>
      </c>
      <c r="CH674" s="42">
        <v>0</v>
      </c>
      <c r="CI674" s="42">
        <v>0</v>
      </c>
      <c r="CJ674" s="42">
        <v>0</v>
      </c>
      <c r="CK674" s="43">
        <f t="shared" si="67"/>
        <v>0</v>
      </c>
      <c r="CL674" s="66"/>
      <c r="CM674" s="66">
        <v>0</v>
      </c>
      <c r="CN674" s="66">
        <v>0</v>
      </c>
      <c r="CO674" s="66">
        <v>0</v>
      </c>
      <c r="CP674" s="66">
        <v>0</v>
      </c>
      <c r="CQ674" s="66">
        <v>0</v>
      </c>
      <c r="CR674" s="66">
        <v>0</v>
      </c>
      <c r="CS674" s="66">
        <v>0</v>
      </c>
      <c r="CT674" s="66">
        <v>0</v>
      </c>
      <c r="CU674" s="66">
        <v>0</v>
      </c>
      <c r="CV674" s="66">
        <v>0</v>
      </c>
      <c r="CW674" s="66">
        <v>0</v>
      </c>
      <c r="CX674" s="66">
        <v>0</v>
      </c>
      <c r="CY674" s="66">
        <v>0</v>
      </c>
      <c r="CZ674" s="66">
        <v>0</v>
      </c>
      <c r="DA674" s="66"/>
      <c r="DB674" s="66"/>
      <c r="DC674" s="66"/>
      <c r="DD674" s="66"/>
      <c r="DE674" s="66"/>
      <c r="DF674" s="66"/>
      <c r="DG674" s="66"/>
      <c r="DH674" s="66"/>
      <c r="DI674" s="66"/>
      <c r="DJ674" s="66"/>
      <c r="DK674" s="66">
        <f>SUM(Table1[[#This Row],[01-03 Apr]:[Mar-26]])</f>
        <v>0</v>
      </c>
    </row>
    <row r="675" spans="1:115" hidden="1" x14ac:dyDescent="0.2">
      <c r="A675" s="28" t="s">
        <v>2367</v>
      </c>
      <c r="B675" s="29" t="s">
        <v>1627</v>
      </c>
      <c r="C675" s="29" t="s">
        <v>1628</v>
      </c>
      <c r="D675" s="30" t="s">
        <v>1629</v>
      </c>
      <c r="E675" s="30" t="s">
        <v>1630</v>
      </c>
      <c r="F675" s="30"/>
      <c r="G675" s="31"/>
      <c r="H675" s="30">
        <v>2349704</v>
      </c>
      <c r="I675" s="30" t="str">
        <f>IF(Table1[[#This Row],[Centre Status]]="Returned","NA",IF(Table1[[#This Row],[SD]]&gt;19000,"Full Payment",IF(Table1[[#This Row],[SD]]&lt;1,"No Payment","Partial Payment")))</f>
        <v>NA</v>
      </c>
      <c r="J675" s="30" t="s">
        <v>1903</v>
      </c>
      <c r="K675" s="32">
        <v>110000</v>
      </c>
      <c r="L675" s="33">
        <f>Q675+R675+U675+Table1[[#This Row],[Farmer Payment]]</f>
        <v>47009.986634115841</v>
      </c>
      <c r="M675" s="30">
        <v>30000</v>
      </c>
      <c r="N675" s="34">
        <v>45755</v>
      </c>
      <c r="O675" s="34" t="s">
        <v>3157</v>
      </c>
      <c r="P675" s="35">
        <f t="shared" si="68"/>
        <v>92990.013365884166</v>
      </c>
      <c r="Q675" s="33">
        <f>AI675+AV675+CK675+Table1[[#This Row],[FY 25-26]]</f>
        <v>37009.986634115841</v>
      </c>
      <c r="R675" s="36">
        <v>10000</v>
      </c>
      <c r="S675" s="37" t="s">
        <v>1631</v>
      </c>
      <c r="T675" s="38">
        <v>45119</v>
      </c>
      <c r="U675" s="39"/>
      <c r="V675" s="39"/>
      <c r="W675" s="40">
        <v>0</v>
      </c>
      <c r="X675" s="40">
        <v>0</v>
      </c>
      <c r="Y675" s="40">
        <v>0</v>
      </c>
      <c r="Z675" s="40">
        <v>0</v>
      </c>
      <c r="AA675" s="40">
        <v>0</v>
      </c>
      <c r="AB675" s="40">
        <v>0</v>
      </c>
      <c r="AC675" s="40">
        <v>0</v>
      </c>
      <c r="AD675" s="40">
        <v>0</v>
      </c>
      <c r="AE675" s="40">
        <v>0</v>
      </c>
      <c r="AF675" s="40">
        <v>0</v>
      </c>
      <c r="AG675" s="40">
        <v>0</v>
      </c>
      <c r="AH675" s="40">
        <v>0</v>
      </c>
      <c r="AI675" s="41">
        <f t="shared" si="69"/>
        <v>0</v>
      </c>
      <c r="AJ675" s="42">
        <v>0</v>
      </c>
      <c r="AK675" s="42">
        <v>0</v>
      </c>
      <c r="AL675" s="42">
        <v>0</v>
      </c>
      <c r="AM675" s="42">
        <v>0</v>
      </c>
      <c r="AN675" s="42">
        <v>0</v>
      </c>
      <c r="AO675" s="42">
        <v>0</v>
      </c>
      <c r="AP675" s="42">
        <v>0</v>
      </c>
      <c r="AQ675" s="42">
        <v>2247.6038000000003</v>
      </c>
      <c r="AR675" s="42">
        <v>2865.2429999999999</v>
      </c>
      <c r="AS675" s="42">
        <v>3599.0390000000002</v>
      </c>
      <c r="AT675" s="42">
        <v>3175.5538000000001</v>
      </c>
      <c r="AU675" s="42">
        <v>3463.4695999999999</v>
      </c>
      <c r="AV675" s="42">
        <f t="shared" si="70"/>
        <v>15350.9092</v>
      </c>
      <c r="AW675" s="42">
        <v>3795.2649925209594</v>
      </c>
      <c r="AX675" s="42">
        <v>3656.7105425356808</v>
      </c>
      <c r="AY675" s="42">
        <v>3829.7885713920004</v>
      </c>
      <c r="AZ675" s="42">
        <v>3813.2082604800007</v>
      </c>
      <c r="BA675" s="42">
        <v>2156.1050671872003</v>
      </c>
      <c r="BB675" s="42">
        <v>0</v>
      </c>
      <c r="BC675" s="42">
        <v>1861</v>
      </c>
      <c r="BD675" s="42">
        <v>0</v>
      </c>
      <c r="BE675" s="42">
        <v>0</v>
      </c>
      <c r="BF675" s="42">
        <v>0</v>
      </c>
      <c r="BG675" s="42">
        <v>0</v>
      </c>
      <c r="BH675" s="42">
        <v>0</v>
      </c>
      <c r="BI675" s="42">
        <v>1861</v>
      </c>
      <c r="BJ675" s="42">
        <v>0</v>
      </c>
      <c r="BK675" s="42">
        <v>0</v>
      </c>
      <c r="BL675" s="42">
        <v>0</v>
      </c>
      <c r="BM675" s="42">
        <v>0</v>
      </c>
      <c r="BN675" s="42">
        <v>686</v>
      </c>
      <c r="BO675" s="42">
        <v>0</v>
      </c>
      <c r="BP675" s="42">
        <v>0</v>
      </c>
      <c r="BQ675" s="42">
        <v>0</v>
      </c>
      <c r="BR675" s="42">
        <v>0</v>
      </c>
      <c r="BS675" s="42">
        <v>0</v>
      </c>
      <c r="BT675" s="42">
        <v>0</v>
      </c>
      <c r="BU675" s="42">
        <v>0</v>
      </c>
      <c r="BV675" s="42">
        <v>0</v>
      </c>
      <c r="BW675" s="42">
        <v>0</v>
      </c>
      <c r="BX675" s="42">
        <v>0</v>
      </c>
      <c r="BY675" s="42">
        <v>0</v>
      </c>
      <c r="BZ675" s="42">
        <v>0</v>
      </c>
      <c r="CA675" s="42">
        <v>0</v>
      </c>
      <c r="CB675" s="42">
        <v>0</v>
      </c>
      <c r="CC675" s="42">
        <v>0</v>
      </c>
      <c r="CD675" s="42">
        <v>0</v>
      </c>
      <c r="CE675" s="42">
        <v>0</v>
      </c>
      <c r="CF675" s="42">
        <v>0</v>
      </c>
      <c r="CG675" s="42">
        <v>0</v>
      </c>
      <c r="CH675" s="42">
        <v>0</v>
      </c>
      <c r="CI675" s="42">
        <v>0</v>
      </c>
      <c r="CJ675" s="42">
        <v>0</v>
      </c>
      <c r="CK675" s="43">
        <f t="shared" si="67"/>
        <v>21659.077434115843</v>
      </c>
      <c r="CL675" s="66"/>
      <c r="CM675" s="66">
        <v>0</v>
      </c>
      <c r="CN675" s="66">
        <v>0</v>
      </c>
      <c r="CO675" s="66">
        <v>0</v>
      </c>
      <c r="CP675" s="66">
        <v>0</v>
      </c>
      <c r="CQ675" s="66">
        <v>0</v>
      </c>
      <c r="CR675" s="66">
        <v>0</v>
      </c>
      <c r="CS675" s="66">
        <v>0</v>
      </c>
      <c r="CT675" s="66">
        <v>0</v>
      </c>
      <c r="CU675" s="66">
        <v>0</v>
      </c>
      <c r="CV675" s="66">
        <v>0</v>
      </c>
      <c r="CW675" s="66">
        <v>0</v>
      </c>
      <c r="CX675" s="66">
        <v>0</v>
      </c>
      <c r="CY675" s="66">
        <v>0</v>
      </c>
      <c r="CZ675" s="66">
        <v>0</v>
      </c>
      <c r="DA675" s="66"/>
      <c r="DB675" s="66"/>
      <c r="DC675" s="66"/>
      <c r="DD675" s="66"/>
      <c r="DE675" s="66"/>
      <c r="DF675" s="66"/>
      <c r="DG675" s="66"/>
      <c r="DH675" s="66"/>
      <c r="DI675" s="66"/>
      <c r="DJ675" s="66"/>
      <c r="DK675" s="66">
        <f>SUM(Table1[[#This Row],[01-03 Apr]:[Mar-26]])</f>
        <v>0</v>
      </c>
    </row>
    <row r="676" spans="1:115" x14ac:dyDescent="0.2">
      <c r="A676" s="28" t="s">
        <v>2367</v>
      </c>
      <c r="B676" s="29" t="s">
        <v>1632</v>
      </c>
      <c r="C676" s="29" t="s">
        <v>1633</v>
      </c>
      <c r="D676" s="30" t="s">
        <v>1634</v>
      </c>
      <c r="E676" s="30" t="s">
        <v>1630</v>
      </c>
      <c r="F676" s="30"/>
      <c r="G676" s="31"/>
      <c r="H676" s="30">
        <v>2352040</v>
      </c>
      <c r="I676" s="30" t="str">
        <f>IF(Table1[[#This Row],[Centre Status]]="Returned","NA",IF(Table1[[#This Row],[SD]]&gt;19000,"Full Payment",IF(Table1[[#This Row],[SD]]&lt;1,"No Payment","Partial Payment")))</f>
        <v>No Payment</v>
      </c>
      <c r="J676" s="30" t="s">
        <v>58</v>
      </c>
      <c r="K676" s="32">
        <v>110000</v>
      </c>
      <c r="L676" s="33">
        <f>Q676+R676+U676+Table1[[#This Row],[Farmer Payment]]</f>
        <v>48802.234922935029</v>
      </c>
      <c r="M676" s="30"/>
      <c r="N676" s="34"/>
      <c r="O676" s="34"/>
      <c r="P676" s="35">
        <f t="shared" si="68"/>
        <v>61197.765077064971</v>
      </c>
      <c r="Q676" s="33">
        <f>AI676+AV676+CK676+Table1[[#This Row],[FY 25-26]]</f>
        <v>48802.234922935029</v>
      </c>
      <c r="R676" s="36"/>
      <c r="S676" s="37"/>
      <c r="T676" s="38"/>
      <c r="U676" s="39"/>
      <c r="V676" s="39"/>
      <c r="W676" s="40">
        <v>0</v>
      </c>
      <c r="X676" s="40">
        <v>0</v>
      </c>
      <c r="Y676" s="40">
        <v>0</v>
      </c>
      <c r="Z676" s="40">
        <v>0</v>
      </c>
      <c r="AA676" s="40">
        <v>0</v>
      </c>
      <c r="AB676" s="40">
        <v>0</v>
      </c>
      <c r="AC676" s="40">
        <v>0</v>
      </c>
      <c r="AD676" s="40">
        <v>0</v>
      </c>
      <c r="AE676" s="40">
        <v>0</v>
      </c>
      <c r="AF676" s="40">
        <v>0</v>
      </c>
      <c r="AG676" s="40">
        <v>0</v>
      </c>
      <c r="AH676" s="40">
        <v>0</v>
      </c>
      <c r="AI676" s="41">
        <f t="shared" si="69"/>
        <v>0</v>
      </c>
      <c r="AJ676" s="42">
        <v>0</v>
      </c>
      <c r="AK676" s="42">
        <v>0</v>
      </c>
      <c r="AL676" s="42">
        <v>0</v>
      </c>
      <c r="AM676" s="42">
        <v>0</v>
      </c>
      <c r="AN676" s="42">
        <v>0</v>
      </c>
      <c r="AO676" s="42">
        <v>0</v>
      </c>
      <c r="AP676" s="42">
        <v>0</v>
      </c>
      <c r="AQ676" s="42">
        <v>1861</v>
      </c>
      <c r="AR676" s="42">
        <v>1922.7222000000004</v>
      </c>
      <c r="AS676" s="42">
        <v>2971.3538000000003</v>
      </c>
      <c r="AT676" s="42">
        <v>2603.6686000000004</v>
      </c>
      <c r="AU676" s="42">
        <v>2725.0023999999999</v>
      </c>
      <c r="AV676" s="42">
        <f t="shared" si="70"/>
        <v>12083.747000000001</v>
      </c>
      <c r="AW676" s="42">
        <v>2165.1774110455381</v>
      </c>
      <c r="AX676" s="42">
        <v>1861</v>
      </c>
      <c r="AY676" s="42">
        <v>1861</v>
      </c>
      <c r="AZ676" s="42">
        <v>2252.6803057718066</v>
      </c>
      <c r="BA676" s="42">
        <v>2345.8936285238824</v>
      </c>
      <c r="BB676" s="42">
        <v>0</v>
      </c>
      <c r="BC676" s="42">
        <v>3418.2493395740044</v>
      </c>
      <c r="BD676" s="42">
        <v>0</v>
      </c>
      <c r="BE676" s="42">
        <v>0</v>
      </c>
      <c r="BF676" s="42">
        <v>0</v>
      </c>
      <c r="BG676" s="42">
        <v>0</v>
      </c>
      <c r="BH676" s="42">
        <v>0</v>
      </c>
      <c r="BI676" s="42">
        <v>2571.8343689796602</v>
      </c>
      <c r="BJ676" s="42">
        <v>0</v>
      </c>
      <c r="BK676" s="42">
        <v>0</v>
      </c>
      <c r="BL676" s="42">
        <v>0</v>
      </c>
      <c r="BM676" s="42">
        <v>0</v>
      </c>
      <c r="BN676" s="42">
        <v>2438.20967855341</v>
      </c>
      <c r="BO676" s="42">
        <v>0</v>
      </c>
      <c r="BP676" s="42">
        <v>0</v>
      </c>
      <c r="BQ676" s="42">
        <v>0</v>
      </c>
      <c r="BR676" s="42">
        <v>0</v>
      </c>
      <c r="BS676" s="42">
        <v>3230.0379855573929</v>
      </c>
      <c r="BT676" s="42">
        <v>0</v>
      </c>
      <c r="BU676" s="42">
        <v>0</v>
      </c>
      <c r="BV676" s="42">
        <v>0</v>
      </c>
      <c r="BW676" s="42">
        <v>0</v>
      </c>
      <c r="BX676" s="42">
        <v>0</v>
      </c>
      <c r="BY676" s="42">
        <v>2771.6534699868084</v>
      </c>
      <c r="BZ676" s="42">
        <v>0</v>
      </c>
      <c r="CA676" s="42">
        <v>0</v>
      </c>
      <c r="CB676" s="42">
        <v>0</v>
      </c>
      <c r="CC676" s="42">
        <v>0</v>
      </c>
      <c r="CD676" s="42">
        <v>3236.5002144883883</v>
      </c>
      <c r="CE676" s="42">
        <v>0</v>
      </c>
      <c r="CF676" s="42">
        <v>0</v>
      </c>
      <c r="CG676" s="42">
        <v>0</v>
      </c>
      <c r="CH676" s="42">
        <v>0</v>
      </c>
      <c r="CI676" s="42">
        <v>0</v>
      </c>
      <c r="CJ676" s="42">
        <v>3695.2946620921325</v>
      </c>
      <c r="CK676" s="43">
        <f t="shared" si="67"/>
        <v>31847.531064573024</v>
      </c>
      <c r="CL676" s="66"/>
      <c r="CM676" s="66">
        <v>0</v>
      </c>
      <c r="CN676" s="66">
        <v>0</v>
      </c>
      <c r="CO676" s="66">
        <v>0</v>
      </c>
      <c r="CP676" s="66">
        <v>2600.0339575954745</v>
      </c>
      <c r="CQ676" s="66">
        <v>0</v>
      </c>
      <c r="CR676" s="66">
        <v>0</v>
      </c>
      <c r="CS676" s="66">
        <v>0</v>
      </c>
      <c r="CT676" s="66">
        <v>0</v>
      </c>
      <c r="CU676" s="66">
        <v>0</v>
      </c>
      <c r="CV676" s="66">
        <v>2270.922900766529</v>
      </c>
      <c r="CW676" s="66">
        <v>0</v>
      </c>
      <c r="CX676" s="66">
        <v>0</v>
      </c>
      <c r="CY676" s="66">
        <v>0</v>
      </c>
      <c r="CZ676" s="66">
        <v>0</v>
      </c>
      <c r="DA676" s="66"/>
      <c r="DB676" s="66"/>
      <c r="DC676" s="66"/>
      <c r="DD676" s="66"/>
      <c r="DE676" s="66"/>
      <c r="DF676" s="66"/>
      <c r="DG676" s="66"/>
      <c r="DH676" s="66"/>
      <c r="DI676" s="66"/>
      <c r="DJ676" s="66"/>
      <c r="DK676" s="66">
        <f>SUM(Table1[[#This Row],[01-03 Apr]:[Mar-26]])</f>
        <v>4870.9568583620039</v>
      </c>
    </row>
    <row r="677" spans="1:115" x14ac:dyDescent="0.2">
      <c r="A677" s="28" t="s">
        <v>2367</v>
      </c>
      <c r="B677" s="29" t="s">
        <v>1635</v>
      </c>
      <c r="C677" s="29" t="s">
        <v>1636</v>
      </c>
      <c r="D677" s="30" t="s">
        <v>1637</v>
      </c>
      <c r="E677" s="30" t="s">
        <v>177</v>
      </c>
      <c r="F677" s="30"/>
      <c r="G677" s="31"/>
      <c r="H677" s="30">
        <v>2352038</v>
      </c>
      <c r="I677" s="30" t="str">
        <f>IF(Table1[[#This Row],[Centre Status]]="Returned","NA",IF(Table1[[#This Row],[SD]]&gt;19000,"Full Payment",IF(Table1[[#This Row],[SD]]&lt;1,"No Payment","Partial Payment")))</f>
        <v>Partial Payment</v>
      </c>
      <c r="J677" s="30" t="s">
        <v>58</v>
      </c>
      <c r="K677" s="32">
        <v>110000</v>
      </c>
      <c r="L677" s="33">
        <f>Q677+R677+U677+Table1[[#This Row],[Farmer Payment]]</f>
        <v>43345.196599999996</v>
      </c>
      <c r="M677" s="30"/>
      <c r="N677" s="34"/>
      <c r="O677" s="34"/>
      <c r="P677" s="35">
        <f t="shared" si="68"/>
        <v>66654.803400000004</v>
      </c>
      <c r="Q677" s="33">
        <f>AI677+AV677+CK677+Table1[[#This Row],[FY 25-26]]</f>
        <v>33345.196599999996</v>
      </c>
      <c r="R677" s="36">
        <v>10000</v>
      </c>
      <c r="S677" s="37" t="s">
        <v>1638</v>
      </c>
      <c r="T677" s="38">
        <v>45221</v>
      </c>
      <c r="U677" s="39"/>
      <c r="V677" s="39"/>
      <c r="W677" s="40">
        <v>0</v>
      </c>
      <c r="X677" s="40">
        <v>0</v>
      </c>
      <c r="Y677" s="40">
        <v>0</v>
      </c>
      <c r="Z677" s="40">
        <v>0</v>
      </c>
      <c r="AA677" s="40">
        <v>0</v>
      </c>
      <c r="AB677" s="40">
        <v>0</v>
      </c>
      <c r="AC677" s="40">
        <v>0</v>
      </c>
      <c r="AD677" s="40">
        <v>0</v>
      </c>
      <c r="AE677" s="40">
        <v>0</v>
      </c>
      <c r="AF677" s="40">
        <v>0</v>
      </c>
      <c r="AG677" s="40">
        <v>0</v>
      </c>
      <c r="AH677" s="40">
        <v>0</v>
      </c>
      <c r="AI677" s="41">
        <f t="shared" si="69"/>
        <v>0</v>
      </c>
      <c r="AJ677" s="42">
        <v>0</v>
      </c>
      <c r="AK677" s="42">
        <v>0</v>
      </c>
      <c r="AL677" s="42">
        <v>0</v>
      </c>
      <c r="AM677" s="42">
        <v>0</v>
      </c>
      <c r="AN677" s="42">
        <v>0</v>
      </c>
      <c r="AO677" s="42">
        <v>0</v>
      </c>
      <c r="AP677" s="42">
        <v>0</v>
      </c>
      <c r="AQ677" s="42">
        <v>1892</v>
      </c>
      <c r="AR677" s="42">
        <v>1861</v>
      </c>
      <c r="AS677" s="42">
        <v>2220.6697999999997</v>
      </c>
      <c r="AT677" s="42">
        <v>2106.8752000000004</v>
      </c>
      <c r="AU677" s="42">
        <v>1904.6516000000001</v>
      </c>
      <c r="AV677" s="42">
        <f t="shared" si="70"/>
        <v>9985.1965999999993</v>
      </c>
      <c r="AW677" s="42">
        <v>1861</v>
      </c>
      <c r="AX677" s="42">
        <v>1861</v>
      </c>
      <c r="AY677" s="42">
        <v>1444</v>
      </c>
      <c r="AZ677" s="42">
        <v>1207</v>
      </c>
      <c r="BA677" s="42">
        <v>959</v>
      </c>
      <c r="BB677" s="42">
        <v>500</v>
      </c>
      <c r="BC677" s="42">
        <v>861</v>
      </c>
      <c r="BD677" s="42">
        <v>500</v>
      </c>
      <c r="BE677" s="42">
        <v>0</v>
      </c>
      <c r="BF677" s="42">
        <v>0</v>
      </c>
      <c r="BG677" s="42">
        <v>0</v>
      </c>
      <c r="BH677" s="42">
        <v>0</v>
      </c>
      <c r="BI677" s="42">
        <v>1861</v>
      </c>
      <c r="BJ677" s="42">
        <v>0</v>
      </c>
      <c r="BK677" s="42">
        <v>0</v>
      </c>
      <c r="BL677" s="42">
        <v>0</v>
      </c>
      <c r="BM677" s="42">
        <v>0</v>
      </c>
      <c r="BN677" s="42">
        <v>1500</v>
      </c>
      <c r="BO677" s="42">
        <v>0</v>
      </c>
      <c r="BP677" s="42">
        <v>0</v>
      </c>
      <c r="BQ677" s="42">
        <v>0</v>
      </c>
      <c r="BR677" s="42">
        <v>0</v>
      </c>
      <c r="BS677" s="42">
        <v>1501</v>
      </c>
      <c r="BT677" s="42">
        <v>0</v>
      </c>
      <c r="BU677" s="42">
        <v>0</v>
      </c>
      <c r="BV677" s="42">
        <v>0</v>
      </c>
      <c r="BW677" s="42">
        <v>0</v>
      </c>
      <c r="BX677" s="42">
        <v>0</v>
      </c>
      <c r="BY677" s="42">
        <v>1861</v>
      </c>
      <c r="BZ677" s="42">
        <v>0</v>
      </c>
      <c r="CA677" s="42">
        <v>0</v>
      </c>
      <c r="CB677" s="42">
        <v>0</v>
      </c>
      <c r="CC677" s="42">
        <v>0</v>
      </c>
      <c r="CD677" s="42">
        <v>1861</v>
      </c>
      <c r="CE677" s="42">
        <v>0</v>
      </c>
      <c r="CF677" s="42">
        <v>0</v>
      </c>
      <c r="CG677" s="42">
        <v>0</v>
      </c>
      <c r="CH677" s="42">
        <v>0</v>
      </c>
      <c r="CI677" s="42">
        <v>0</v>
      </c>
      <c r="CJ677" s="42">
        <v>1861</v>
      </c>
      <c r="CK677" s="43">
        <f t="shared" si="67"/>
        <v>19638</v>
      </c>
      <c r="CL677" s="66"/>
      <c r="CM677" s="66">
        <v>0</v>
      </c>
      <c r="CN677" s="66">
        <v>0</v>
      </c>
      <c r="CO677" s="66">
        <v>0</v>
      </c>
      <c r="CP677" s="66">
        <v>1861</v>
      </c>
      <c r="CQ677" s="66">
        <v>0</v>
      </c>
      <c r="CR677" s="66">
        <v>0</v>
      </c>
      <c r="CS677" s="66">
        <v>0</v>
      </c>
      <c r="CT677" s="66">
        <v>0</v>
      </c>
      <c r="CU677" s="66">
        <v>0</v>
      </c>
      <c r="CV677" s="66">
        <v>1861</v>
      </c>
      <c r="CW677" s="66">
        <v>0</v>
      </c>
      <c r="CX677" s="66">
        <v>0</v>
      </c>
      <c r="CY677" s="66">
        <v>0</v>
      </c>
      <c r="CZ677" s="66">
        <v>0</v>
      </c>
      <c r="DA677" s="66"/>
      <c r="DB677" s="66"/>
      <c r="DC677" s="66"/>
      <c r="DD677" s="66"/>
      <c r="DE677" s="66"/>
      <c r="DF677" s="66"/>
      <c r="DG677" s="66"/>
      <c r="DH677" s="66"/>
      <c r="DI677" s="66"/>
      <c r="DJ677" s="66"/>
      <c r="DK677" s="66">
        <f>SUM(Table1[[#This Row],[01-03 Apr]:[Mar-26]])</f>
        <v>3722</v>
      </c>
    </row>
    <row r="678" spans="1:115" x14ac:dyDescent="0.2">
      <c r="A678" s="28" t="s">
        <v>2367</v>
      </c>
      <c r="B678" s="29" t="s">
        <v>1639</v>
      </c>
      <c r="C678" s="29" t="s">
        <v>1640</v>
      </c>
      <c r="D678" s="30" t="s">
        <v>1641</v>
      </c>
      <c r="E678" s="30" t="s">
        <v>177</v>
      </c>
      <c r="F678" s="30"/>
      <c r="G678" s="31"/>
      <c r="H678" s="30">
        <v>2346395</v>
      </c>
      <c r="I678" s="30" t="str">
        <f>IF(Table1[[#This Row],[Centre Status]]="Returned","NA",IF(Table1[[#This Row],[SD]]&gt;19000,"Full Payment",IF(Table1[[#This Row],[SD]]&lt;1,"No Payment","Partial Payment")))</f>
        <v>Partial Payment</v>
      </c>
      <c r="J678" s="30" t="s">
        <v>58</v>
      </c>
      <c r="K678" s="32">
        <v>110000</v>
      </c>
      <c r="L678" s="33">
        <f>Q678+R678+U678+Table1[[#This Row],[Farmer Payment]]</f>
        <v>98912.192532727349</v>
      </c>
      <c r="M678" s="30"/>
      <c r="N678" s="34"/>
      <c r="O678" s="34"/>
      <c r="P678" s="35">
        <f t="shared" si="68"/>
        <v>11087.807467272651</v>
      </c>
      <c r="Q678" s="33">
        <f>AI678+AV678+CK678+Table1[[#This Row],[FY 25-26]]</f>
        <v>88912.192532727349</v>
      </c>
      <c r="R678" s="36">
        <v>10000</v>
      </c>
      <c r="S678" s="37" t="s">
        <v>1642</v>
      </c>
      <c r="T678" s="38">
        <v>45218</v>
      </c>
      <c r="U678" s="39"/>
      <c r="V678" s="39"/>
      <c r="W678" s="40">
        <v>0</v>
      </c>
      <c r="X678" s="40">
        <v>0</v>
      </c>
      <c r="Y678" s="40">
        <v>0</v>
      </c>
      <c r="Z678" s="40">
        <v>0</v>
      </c>
      <c r="AA678" s="40">
        <v>0</v>
      </c>
      <c r="AB678" s="40">
        <v>0</v>
      </c>
      <c r="AC678" s="40">
        <v>0</v>
      </c>
      <c r="AD678" s="40">
        <v>0</v>
      </c>
      <c r="AE678" s="40">
        <v>0</v>
      </c>
      <c r="AF678" s="40">
        <v>0</v>
      </c>
      <c r="AG678" s="40">
        <v>0</v>
      </c>
      <c r="AH678" s="40">
        <v>0</v>
      </c>
      <c r="AI678" s="41">
        <f t="shared" si="69"/>
        <v>0</v>
      </c>
      <c r="AJ678" s="42">
        <v>0</v>
      </c>
      <c r="AK678" s="42">
        <v>0</v>
      </c>
      <c r="AL678" s="42">
        <v>0</v>
      </c>
      <c r="AM678" s="42">
        <v>0</v>
      </c>
      <c r="AN678" s="42">
        <v>0</v>
      </c>
      <c r="AO678" s="42">
        <v>0</v>
      </c>
      <c r="AP678" s="42">
        <v>0</v>
      </c>
      <c r="AQ678" s="42">
        <v>3258.4674000000005</v>
      </c>
      <c r="AR678" s="42">
        <v>4267.3411999999998</v>
      </c>
      <c r="AS678" s="42">
        <v>5416.2276000000002</v>
      </c>
      <c r="AT678" s="42">
        <v>4723.8038000000006</v>
      </c>
      <c r="AU678" s="42">
        <v>3854.5902000000001</v>
      </c>
      <c r="AV678" s="42">
        <f t="shared" si="70"/>
        <v>21520.430199999999</v>
      </c>
      <c r="AW678" s="42">
        <v>2905.8238457856</v>
      </c>
      <c r="AX678" s="42">
        <v>3558.2532632832003</v>
      </c>
      <c r="AY678" s="42">
        <v>4370.4516784128</v>
      </c>
      <c r="AZ678" s="42">
        <v>5159.9527440383999</v>
      </c>
      <c r="BA678" s="42">
        <v>4365.4118062080006</v>
      </c>
      <c r="BB678" s="42">
        <v>0</v>
      </c>
      <c r="BC678" s="42">
        <v>6514.0304702208005</v>
      </c>
      <c r="BD678" s="42">
        <v>0</v>
      </c>
      <c r="BE678" s="42">
        <v>0</v>
      </c>
      <c r="BF678" s="42">
        <v>0</v>
      </c>
      <c r="BG678" s="42">
        <v>0</v>
      </c>
      <c r="BH678" s="42">
        <v>0</v>
      </c>
      <c r="BI678" s="42">
        <v>5171.8889213460561</v>
      </c>
      <c r="BJ678" s="42">
        <v>0</v>
      </c>
      <c r="BK678" s="42">
        <v>0</v>
      </c>
      <c r="BL678" s="42">
        <v>0</v>
      </c>
      <c r="BM678" s="42">
        <v>0</v>
      </c>
      <c r="BN678" s="42">
        <v>5110.2814321565456</v>
      </c>
      <c r="BO678" s="42">
        <v>0</v>
      </c>
      <c r="BP678" s="42">
        <v>0</v>
      </c>
      <c r="BQ678" s="42">
        <v>0</v>
      </c>
      <c r="BR678" s="42">
        <v>0</v>
      </c>
      <c r="BS678" s="42">
        <v>7510.3635482800009</v>
      </c>
      <c r="BT678" s="42">
        <v>0</v>
      </c>
      <c r="BU678" s="42">
        <v>0</v>
      </c>
      <c r="BV678" s="42">
        <v>0</v>
      </c>
      <c r="BW678" s="42">
        <v>0</v>
      </c>
      <c r="BX678" s="42">
        <v>0</v>
      </c>
      <c r="BY678" s="42">
        <v>6583.0711210752015</v>
      </c>
      <c r="BZ678" s="42">
        <v>0</v>
      </c>
      <c r="CA678" s="42">
        <v>0</v>
      </c>
      <c r="CB678" s="42">
        <v>0</v>
      </c>
      <c r="CC678" s="42">
        <v>0</v>
      </c>
      <c r="CD678" s="42">
        <v>6175.3737504303408</v>
      </c>
      <c r="CE678" s="42">
        <v>0</v>
      </c>
      <c r="CF678" s="42">
        <v>0</v>
      </c>
      <c r="CG678" s="42">
        <v>0</v>
      </c>
      <c r="CH678" s="42">
        <v>0</v>
      </c>
      <c r="CI678" s="42">
        <v>0</v>
      </c>
      <c r="CJ678" s="42">
        <v>4806.8943227519994</v>
      </c>
      <c r="CK678" s="43">
        <f t="shared" si="67"/>
        <v>62231.79690398895</v>
      </c>
      <c r="CL678" s="66"/>
      <c r="CM678" s="66">
        <v>0</v>
      </c>
      <c r="CN678" s="66">
        <v>0</v>
      </c>
      <c r="CO678" s="66">
        <v>0</v>
      </c>
      <c r="CP678" s="66">
        <v>2916.4056419160001</v>
      </c>
      <c r="CQ678" s="66">
        <v>0</v>
      </c>
      <c r="CR678" s="66">
        <v>0</v>
      </c>
      <c r="CS678" s="66">
        <v>0</v>
      </c>
      <c r="CT678" s="66">
        <v>0</v>
      </c>
      <c r="CU678" s="66">
        <v>0</v>
      </c>
      <c r="CV678" s="66">
        <v>2243.5597868224008</v>
      </c>
      <c r="CW678" s="66">
        <v>0</v>
      </c>
      <c r="CX678" s="66">
        <v>0</v>
      </c>
      <c r="CY678" s="66">
        <v>0</v>
      </c>
      <c r="CZ678" s="66">
        <v>0</v>
      </c>
      <c r="DA678" s="66"/>
      <c r="DB678" s="66"/>
      <c r="DC678" s="66"/>
      <c r="DD678" s="66"/>
      <c r="DE678" s="66"/>
      <c r="DF678" s="66"/>
      <c r="DG678" s="66"/>
      <c r="DH678" s="66"/>
      <c r="DI678" s="66"/>
      <c r="DJ678" s="66"/>
      <c r="DK678" s="66">
        <f>SUM(Table1[[#This Row],[01-03 Apr]:[Mar-26]])</f>
        <v>5159.965428738401</v>
      </c>
    </row>
    <row r="679" spans="1:115" x14ac:dyDescent="0.2">
      <c r="A679" s="28" t="s">
        <v>2367</v>
      </c>
      <c r="B679" s="29" t="s">
        <v>1643</v>
      </c>
      <c r="C679" s="29" t="s">
        <v>1644</v>
      </c>
      <c r="D679" s="30" t="s">
        <v>1645</v>
      </c>
      <c r="E679" s="30" t="s">
        <v>177</v>
      </c>
      <c r="F679" s="30"/>
      <c r="G679" s="31"/>
      <c r="H679" s="30">
        <v>2345648</v>
      </c>
      <c r="I679" s="30" t="str">
        <f>IF(Table1[[#This Row],[Centre Status]]="Returned","NA",IF(Table1[[#This Row],[SD]]&gt;19000,"Full Payment",IF(Table1[[#This Row],[SD]]&lt;1,"No Payment","Partial Payment")))</f>
        <v>Partial Payment</v>
      </c>
      <c r="J679" s="30" t="s">
        <v>58</v>
      </c>
      <c r="K679" s="32">
        <v>110000</v>
      </c>
      <c r="L679" s="33">
        <f>Q679+R679+U679+Table1[[#This Row],[Farmer Payment]]</f>
        <v>47875.372811854366</v>
      </c>
      <c r="M679" s="30"/>
      <c r="N679" s="34"/>
      <c r="O679" s="34"/>
      <c r="P679" s="35">
        <f t="shared" si="68"/>
        <v>62124.627188145634</v>
      </c>
      <c r="Q679" s="33">
        <f>AI679+AV679+CK679+Table1[[#This Row],[FY 25-26]]</f>
        <v>37875.372811854366</v>
      </c>
      <c r="R679" s="36">
        <v>10000</v>
      </c>
      <c r="S679" s="37" t="s">
        <v>1646</v>
      </c>
      <c r="T679" s="38">
        <v>45219</v>
      </c>
      <c r="U679" s="39"/>
      <c r="V679" s="39"/>
      <c r="W679" s="40">
        <v>0</v>
      </c>
      <c r="X679" s="40">
        <v>0</v>
      </c>
      <c r="Y679" s="40">
        <v>0</v>
      </c>
      <c r="Z679" s="40">
        <v>0</v>
      </c>
      <c r="AA679" s="40">
        <v>0</v>
      </c>
      <c r="AB679" s="40">
        <v>0</v>
      </c>
      <c r="AC679" s="40">
        <v>0</v>
      </c>
      <c r="AD679" s="40">
        <v>0</v>
      </c>
      <c r="AE679" s="40">
        <v>0</v>
      </c>
      <c r="AF679" s="40">
        <v>0</v>
      </c>
      <c r="AG679" s="40">
        <v>0</v>
      </c>
      <c r="AH679" s="40">
        <v>0</v>
      </c>
      <c r="AI679" s="41">
        <f t="shared" si="69"/>
        <v>0</v>
      </c>
      <c r="AJ679" s="42">
        <v>0</v>
      </c>
      <c r="AK679" s="42">
        <v>0</v>
      </c>
      <c r="AL679" s="42">
        <v>0</v>
      </c>
      <c r="AM679" s="42">
        <v>0</v>
      </c>
      <c r="AN679" s="42">
        <v>0</v>
      </c>
      <c r="AO679" s="42">
        <v>0</v>
      </c>
      <c r="AP679" s="42">
        <v>0</v>
      </c>
      <c r="AQ679" s="42">
        <v>1861</v>
      </c>
      <c r="AR679" s="42">
        <v>2249.54</v>
      </c>
      <c r="AS679" s="42">
        <v>3352.6487999999999</v>
      </c>
      <c r="AT679" s="42">
        <v>3018.2843999999996</v>
      </c>
      <c r="AU679" s="42">
        <v>3707.7290000000003</v>
      </c>
      <c r="AV679" s="42">
        <f t="shared" si="70"/>
        <v>14189.2022</v>
      </c>
      <c r="AW679" s="42">
        <v>2828.9551837439999</v>
      </c>
      <c r="AX679" s="42">
        <v>2050.1153727743999</v>
      </c>
      <c r="AY679" s="42">
        <v>2425.9831068672001</v>
      </c>
      <c r="AZ679" s="42">
        <v>2599.63759932316</v>
      </c>
      <c r="BA679" s="42">
        <v>1861</v>
      </c>
      <c r="BB679" s="42">
        <v>0</v>
      </c>
      <c r="BC679" s="42">
        <v>2139.0362768640007</v>
      </c>
      <c r="BD679" s="42">
        <v>0</v>
      </c>
      <c r="BE679" s="42">
        <v>0</v>
      </c>
      <c r="BF679" s="42">
        <v>0</v>
      </c>
      <c r="BG679" s="42">
        <v>0</v>
      </c>
      <c r="BH679" s="42">
        <v>0</v>
      </c>
      <c r="BI679" s="42">
        <v>1861</v>
      </c>
      <c r="BJ679" s="42">
        <v>0</v>
      </c>
      <c r="BK679" s="42">
        <v>0</v>
      </c>
      <c r="BL679" s="42">
        <v>0</v>
      </c>
      <c r="BM679" s="42">
        <v>0</v>
      </c>
      <c r="BN679" s="42">
        <v>1861</v>
      </c>
      <c r="BO679" s="42">
        <v>0</v>
      </c>
      <c r="BP679" s="42">
        <v>0</v>
      </c>
      <c r="BQ679" s="42">
        <v>0</v>
      </c>
      <c r="BR679" s="42">
        <v>0</v>
      </c>
      <c r="BS679" s="42">
        <v>1901.4430722816001</v>
      </c>
      <c r="BT679" s="42">
        <v>0</v>
      </c>
      <c r="BU679" s="42">
        <v>0</v>
      </c>
      <c r="BV679" s="42">
        <v>0</v>
      </c>
      <c r="BW679" s="42">
        <v>0</v>
      </c>
      <c r="BX679" s="42">
        <v>0</v>
      </c>
      <c r="BY679" s="42">
        <v>0</v>
      </c>
      <c r="BZ679" s="42">
        <v>0</v>
      </c>
      <c r="CA679" s="42">
        <v>500</v>
      </c>
      <c r="CB679" s="42">
        <v>0</v>
      </c>
      <c r="CC679" s="42">
        <v>0</v>
      </c>
      <c r="CD679" s="42">
        <v>684</v>
      </c>
      <c r="CE679" s="42">
        <v>0</v>
      </c>
      <c r="CF679" s="42">
        <v>0</v>
      </c>
      <c r="CG679" s="42">
        <v>0</v>
      </c>
      <c r="CH679" s="42">
        <v>0</v>
      </c>
      <c r="CI679" s="42">
        <v>0</v>
      </c>
      <c r="CJ679" s="42">
        <v>460</v>
      </c>
      <c r="CK679" s="43">
        <f t="shared" si="67"/>
        <v>21172.170611854363</v>
      </c>
      <c r="CL679" s="66"/>
      <c r="CM679" s="66">
        <v>0</v>
      </c>
      <c r="CN679" s="66">
        <v>0</v>
      </c>
      <c r="CO679" s="66">
        <v>0</v>
      </c>
      <c r="CP679" s="66">
        <v>853</v>
      </c>
      <c r="CQ679" s="66">
        <v>0</v>
      </c>
      <c r="CR679" s="66">
        <v>0</v>
      </c>
      <c r="CS679" s="66">
        <v>0</v>
      </c>
      <c r="CT679" s="66">
        <v>0</v>
      </c>
      <c r="CU679" s="66">
        <v>0</v>
      </c>
      <c r="CV679" s="66">
        <v>1661</v>
      </c>
      <c r="CW679" s="66">
        <v>0</v>
      </c>
      <c r="CX679" s="66">
        <v>0</v>
      </c>
      <c r="CY679" s="66">
        <v>0</v>
      </c>
      <c r="CZ679" s="66">
        <v>0</v>
      </c>
      <c r="DA679" s="66"/>
      <c r="DB679" s="66"/>
      <c r="DC679" s="66"/>
      <c r="DD679" s="66"/>
      <c r="DE679" s="66"/>
      <c r="DF679" s="66"/>
      <c r="DG679" s="66"/>
      <c r="DH679" s="66"/>
      <c r="DI679" s="66"/>
      <c r="DJ679" s="66"/>
      <c r="DK679" s="66">
        <f>SUM(Table1[[#This Row],[01-03 Apr]:[Mar-26]])</f>
        <v>2514</v>
      </c>
    </row>
    <row r="680" spans="1:115" x14ac:dyDescent="0.2">
      <c r="A680" s="28" t="s">
        <v>2367</v>
      </c>
      <c r="B680" s="29" t="s">
        <v>1647</v>
      </c>
      <c r="C680" s="29" t="s">
        <v>1648</v>
      </c>
      <c r="D680" s="30" t="s">
        <v>1649</v>
      </c>
      <c r="E680" s="30" t="s">
        <v>177</v>
      </c>
      <c r="F680" s="30"/>
      <c r="G680" s="31"/>
      <c r="H680" s="30">
        <v>2352032</v>
      </c>
      <c r="I680" s="30" t="str">
        <f>IF(Table1[[#This Row],[Centre Status]]="Returned","NA",IF(Table1[[#This Row],[SD]]&gt;19000,"Full Payment",IF(Table1[[#This Row],[SD]]&lt;1,"No Payment","Partial Payment")))</f>
        <v>Partial Payment</v>
      </c>
      <c r="J680" s="30" t="s">
        <v>58</v>
      </c>
      <c r="K680" s="32">
        <v>110000</v>
      </c>
      <c r="L680" s="33">
        <f>Q680+R680+U680+Table1[[#This Row],[Farmer Payment]]</f>
        <v>39595.94229642368</v>
      </c>
      <c r="M680" s="30"/>
      <c r="N680" s="34"/>
      <c r="O680" s="34"/>
      <c r="P680" s="35">
        <f t="shared" si="68"/>
        <v>70404.057703576313</v>
      </c>
      <c r="Q680" s="33">
        <f>AI680+AV680+CK680+Table1[[#This Row],[FY 25-26]]</f>
        <v>29595.94229642368</v>
      </c>
      <c r="R680" s="36">
        <v>10000</v>
      </c>
      <c r="S680" s="37" t="s">
        <v>1650</v>
      </c>
      <c r="T680" s="38">
        <v>45222</v>
      </c>
      <c r="U680" s="39"/>
      <c r="V680" s="39"/>
      <c r="W680" s="40">
        <v>0</v>
      </c>
      <c r="X680" s="40">
        <v>0</v>
      </c>
      <c r="Y680" s="40">
        <v>0</v>
      </c>
      <c r="Z680" s="40">
        <v>0</v>
      </c>
      <c r="AA680" s="40">
        <v>0</v>
      </c>
      <c r="AB680" s="40">
        <v>0</v>
      </c>
      <c r="AC680" s="40">
        <v>0</v>
      </c>
      <c r="AD680" s="40">
        <v>0</v>
      </c>
      <c r="AE680" s="40">
        <v>0</v>
      </c>
      <c r="AF680" s="40">
        <v>0</v>
      </c>
      <c r="AG680" s="40">
        <v>0</v>
      </c>
      <c r="AH680" s="40">
        <v>0</v>
      </c>
      <c r="AI680" s="41">
        <f t="shared" si="69"/>
        <v>0</v>
      </c>
      <c r="AJ680" s="42">
        <v>0</v>
      </c>
      <c r="AK680" s="42">
        <v>0</v>
      </c>
      <c r="AL680" s="42">
        <v>0</v>
      </c>
      <c r="AM680" s="42">
        <v>0</v>
      </c>
      <c r="AN680" s="42">
        <v>0</v>
      </c>
      <c r="AO680" s="42">
        <v>0</v>
      </c>
      <c r="AP680" s="42">
        <v>0</v>
      </c>
      <c r="AQ680" s="42">
        <v>1861</v>
      </c>
      <c r="AR680" s="42">
        <v>1861</v>
      </c>
      <c r="AS680" s="42">
        <v>1861</v>
      </c>
      <c r="AT680" s="42">
        <v>1861</v>
      </c>
      <c r="AU680" s="42">
        <v>1861</v>
      </c>
      <c r="AV680" s="42">
        <f t="shared" si="70"/>
        <v>9305</v>
      </c>
      <c r="AW680" s="42">
        <v>0</v>
      </c>
      <c r="AX680" s="42">
        <v>0</v>
      </c>
      <c r="AY680" s="42">
        <v>0</v>
      </c>
      <c r="AZ680" s="42">
        <v>32</v>
      </c>
      <c r="BA680" s="42">
        <v>1772</v>
      </c>
      <c r="BB680" s="42">
        <v>500</v>
      </c>
      <c r="BC680" s="42">
        <v>881.20771889408002</v>
      </c>
      <c r="BD680" s="42">
        <v>500</v>
      </c>
      <c r="BE680" s="42">
        <v>0</v>
      </c>
      <c r="BF680" s="42">
        <v>0</v>
      </c>
      <c r="BG680" s="42">
        <v>0</v>
      </c>
      <c r="BH680" s="42">
        <v>0</v>
      </c>
      <c r="BI680" s="42">
        <v>1861</v>
      </c>
      <c r="BJ680" s="42">
        <v>0</v>
      </c>
      <c r="BK680" s="42">
        <v>0</v>
      </c>
      <c r="BL680" s="42">
        <v>0</v>
      </c>
      <c r="BM680" s="42">
        <v>0</v>
      </c>
      <c r="BN680" s="42">
        <v>1433</v>
      </c>
      <c r="BO680" s="42">
        <v>0</v>
      </c>
      <c r="BP680" s="42">
        <v>0</v>
      </c>
      <c r="BQ680" s="42">
        <v>0</v>
      </c>
      <c r="BR680" s="42">
        <v>0</v>
      </c>
      <c r="BS680" s="42">
        <v>1861</v>
      </c>
      <c r="BT680" s="42">
        <v>0</v>
      </c>
      <c r="BU680" s="42">
        <v>0</v>
      </c>
      <c r="BV680" s="42">
        <v>0</v>
      </c>
      <c r="BW680" s="42">
        <v>0</v>
      </c>
      <c r="BX680" s="42">
        <v>0</v>
      </c>
      <c r="BY680" s="42">
        <v>2742.0162663859205</v>
      </c>
      <c r="BZ680" s="42">
        <v>0</v>
      </c>
      <c r="CA680" s="42">
        <v>0</v>
      </c>
      <c r="CB680" s="42">
        <v>0</v>
      </c>
      <c r="CC680" s="42">
        <v>0</v>
      </c>
      <c r="CD680" s="42">
        <v>2818.6384069286396</v>
      </c>
      <c r="CE680" s="42">
        <v>0</v>
      </c>
      <c r="CF680" s="42">
        <v>0</v>
      </c>
      <c r="CG680" s="42">
        <v>0</v>
      </c>
      <c r="CH680" s="42">
        <v>0</v>
      </c>
      <c r="CI680" s="42">
        <v>0</v>
      </c>
      <c r="CJ680" s="42">
        <v>2168.0799042150402</v>
      </c>
      <c r="CK680" s="43">
        <f t="shared" ref="CK680:CK744" si="71">SUM(AW680:CJ680)</f>
        <v>16568.94229642368</v>
      </c>
      <c r="CL680" s="66"/>
      <c r="CM680" s="66">
        <v>0</v>
      </c>
      <c r="CN680" s="66">
        <v>0</v>
      </c>
      <c r="CO680" s="66">
        <v>0</v>
      </c>
      <c r="CP680" s="66">
        <v>1861</v>
      </c>
      <c r="CQ680" s="66">
        <v>0</v>
      </c>
      <c r="CR680" s="66">
        <v>0</v>
      </c>
      <c r="CS680" s="66">
        <v>0</v>
      </c>
      <c r="CT680" s="66">
        <v>0</v>
      </c>
      <c r="CU680" s="66">
        <v>0</v>
      </c>
      <c r="CV680" s="66">
        <v>1861</v>
      </c>
      <c r="CW680" s="66">
        <v>0</v>
      </c>
      <c r="CX680" s="66">
        <v>0</v>
      </c>
      <c r="CY680" s="66">
        <v>0</v>
      </c>
      <c r="CZ680" s="66">
        <v>0</v>
      </c>
      <c r="DA680" s="66"/>
      <c r="DB680" s="66"/>
      <c r="DC680" s="66"/>
      <c r="DD680" s="66"/>
      <c r="DE680" s="66"/>
      <c r="DF680" s="66"/>
      <c r="DG680" s="66"/>
      <c r="DH680" s="66"/>
      <c r="DI680" s="66"/>
      <c r="DJ680" s="66"/>
      <c r="DK680" s="66">
        <f>SUM(Table1[[#This Row],[01-03 Apr]:[Mar-26]])</f>
        <v>3722</v>
      </c>
    </row>
    <row r="681" spans="1:115" hidden="1" x14ac:dyDescent="0.2">
      <c r="A681" s="28" t="s">
        <v>2255</v>
      </c>
      <c r="B681" s="29" t="s">
        <v>1655</v>
      </c>
      <c r="C681" s="29" t="s">
        <v>1656</v>
      </c>
      <c r="D681" s="30" t="s">
        <v>1657</v>
      </c>
      <c r="E681" s="30" t="s">
        <v>584</v>
      </c>
      <c r="F681" s="30"/>
      <c r="G681" s="31"/>
      <c r="H681" s="30">
        <v>2323269</v>
      </c>
      <c r="I681" s="30" t="str">
        <f>IF(Table1[[#This Row],[Centre Status]]="Returned","NA",IF(Table1[[#This Row],[SD]]&gt;19000,"Full Payment",IF(Table1[[#This Row],[SD]]&lt;1,"No Payment","Partial Payment")))</f>
        <v>Full Payment</v>
      </c>
      <c r="J681" s="30" t="s">
        <v>58</v>
      </c>
      <c r="K681" s="32">
        <v>110000</v>
      </c>
      <c r="L681" s="33">
        <f>Q681+R681+U681+Table1[[#This Row],[Farmer Payment]]</f>
        <v>89546.270580458295</v>
      </c>
      <c r="M681" s="30"/>
      <c r="N681" s="34"/>
      <c r="O681" s="34"/>
      <c r="P681" s="35">
        <f t="shared" ref="P681:P746" si="72">K681-L681+M681</f>
        <v>20453.729419541705</v>
      </c>
      <c r="Q681" s="33">
        <f>AI681+AV681+CK681+Table1[[#This Row],[FY 25-26]]</f>
        <v>69546.270580458295</v>
      </c>
      <c r="R681" s="36">
        <v>20000</v>
      </c>
      <c r="S681" s="37" t="s">
        <v>2294</v>
      </c>
      <c r="T681" s="38">
        <v>45188</v>
      </c>
      <c r="U681" s="39"/>
      <c r="V681" s="39"/>
      <c r="W681" s="40">
        <v>0</v>
      </c>
      <c r="X681" s="40">
        <v>0</v>
      </c>
      <c r="Y681" s="40">
        <v>0</v>
      </c>
      <c r="Z681" s="40">
        <v>0</v>
      </c>
      <c r="AA681" s="40">
        <v>0</v>
      </c>
      <c r="AB681" s="40">
        <v>0</v>
      </c>
      <c r="AC681" s="40">
        <v>0</v>
      </c>
      <c r="AD681" s="40">
        <v>0</v>
      </c>
      <c r="AE681" s="40">
        <v>0</v>
      </c>
      <c r="AF681" s="40">
        <v>0</v>
      </c>
      <c r="AG681" s="40">
        <v>0</v>
      </c>
      <c r="AH681" s="40">
        <v>0</v>
      </c>
      <c r="AI681" s="41">
        <f t="shared" ref="AI681:AI746" si="73">SUM(W681:AH681)</f>
        <v>0</v>
      </c>
      <c r="AJ681" s="42">
        <v>0</v>
      </c>
      <c r="AK681" s="42">
        <v>0</v>
      </c>
      <c r="AL681" s="42">
        <v>0</v>
      </c>
      <c r="AM681" s="42">
        <v>0</v>
      </c>
      <c r="AN681" s="42">
        <v>0</v>
      </c>
      <c r="AO681" s="42">
        <v>0</v>
      </c>
      <c r="AP681" s="42">
        <v>0</v>
      </c>
      <c r="AQ681" s="42">
        <v>1949.8336000000002</v>
      </c>
      <c r="AR681" s="42">
        <v>4192.1252000000004</v>
      </c>
      <c r="AS681" s="42">
        <v>8904.9</v>
      </c>
      <c r="AT681" s="42">
        <v>9258.6764000000003</v>
      </c>
      <c r="AU681" s="42">
        <v>8246.1730000000007</v>
      </c>
      <c r="AV681" s="42">
        <f t="shared" ref="AV681:AV746" si="74">SUM(AJ681:AU681)</f>
        <v>32551.708200000001</v>
      </c>
      <c r="AW681" s="42">
        <v>4147.2493715929431</v>
      </c>
      <c r="AX681" s="42">
        <v>2701.1616234609119</v>
      </c>
      <c r="AY681" s="42">
        <v>2441.7128755472422</v>
      </c>
      <c r="AZ681" s="42">
        <v>1998.2011437211784</v>
      </c>
      <c r="BA681" s="42">
        <v>1861</v>
      </c>
      <c r="BB681" s="42">
        <v>0</v>
      </c>
      <c r="BC681" s="42">
        <v>1936.0348490047402</v>
      </c>
      <c r="BD681" s="42">
        <v>0</v>
      </c>
      <c r="BE681" s="42">
        <v>0</v>
      </c>
      <c r="BF681" s="42">
        <v>0</v>
      </c>
      <c r="BG681" s="42">
        <v>0</v>
      </c>
      <c r="BH681" s="42">
        <v>0</v>
      </c>
      <c r="BI681" s="42">
        <v>1861</v>
      </c>
      <c r="BJ681" s="42">
        <v>0</v>
      </c>
      <c r="BK681" s="42">
        <v>0</v>
      </c>
      <c r="BL681" s="42">
        <v>0</v>
      </c>
      <c r="BM681" s="42">
        <v>0</v>
      </c>
      <c r="BN681" s="42">
        <v>2100.67711745822</v>
      </c>
      <c r="BO681" s="42">
        <v>0</v>
      </c>
      <c r="BP681" s="42">
        <v>0</v>
      </c>
      <c r="BQ681" s="42">
        <v>0</v>
      </c>
      <c r="BR681" s="42">
        <v>0</v>
      </c>
      <c r="BS681" s="42">
        <v>3286.2271602268397</v>
      </c>
      <c r="BT681" s="42">
        <v>0</v>
      </c>
      <c r="BU681" s="42">
        <v>0</v>
      </c>
      <c r="BV681" s="42">
        <v>0</v>
      </c>
      <c r="BW681" s="42">
        <v>0</v>
      </c>
      <c r="BX681" s="42">
        <v>0</v>
      </c>
      <c r="BY681" s="42">
        <v>0</v>
      </c>
      <c r="BZ681" s="42">
        <v>0</v>
      </c>
      <c r="CA681" s="42">
        <v>0</v>
      </c>
      <c r="CB681" s="42">
        <v>0</v>
      </c>
      <c r="CC681" s="42">
        <v>0</v>
      </c>
      <c r="CD681" s="42">
        <v>5898.2173419305191</v>
      </c>
      <c r="CE681" s="42">
        <v>0</v>
      </c>
      <c r="CF681" s="42">
        <v>0</v>
      </c>
      <c r="CG681" s="42">
        <v>0</v>
      </c>
      <c r="CH681" s="42">
        <v>0</v>
      </c>
      <c r="CI681" s="42">
        <v>0</v>
      </c>
      <c r="CJ681" s="42">
        <v>5041.0808975157006</v>
      </c>
      <c r="CK681" s="43">
        <f t="shared" si="71"/>
        <v>33272.562380458294</v>
      </c>
      <c r="CL681" s="66"/>
      <c r="CM681" s="66">
        <v>0</v>
      </c>
      <c r="CN681" s="66">
        <v>0</v>
      </c>
      <c r="CO681" s="66">
        <v>0</v>
      </c>
      <c r="CP681" s="66">
        <v>1861</v>
      </c>
      <c r="CQ681" s="66">
        <v>0</v>
      </c>
      <c r="CR681" s="66">
        <v>0</v>
      </c>
      <c r="CS681" s="66">
        <v>0</v>
      </c>
      <c r="CT681" s="66">
        <v>0</v>
      </c>
      <c r="CU681" s="66">
        <v>0</v>
      </c>
      <c r="CV681" s="66">
        <v>1861</v>
      </c>
      <c r="CW681" s="66">
        <v>0</v>
      </c>
      <c r="CX681" s="66">
        <v>0</v>
      </c>
      <c r="CY681" s="66">
        <v>0</v>
      </c>
      <c r="CZ681" s="66">
        <v>0</v>
      </c>
      <c r="DA681" s="66"/>
      <c r="DB681" s="66"/>
      <c r="DC681" s="66"/>
      <c r="DD681" s="66"/>
      <c r="DE681" s="66"/>
      <c r="DF681" s="66"/>
      <c r="DG681" s="66"/>
      <c r="DH681" s="66"/>
      <c r="DI681" s="66"/>
      <c r="DJ681" s="66"/>
      <c r="DK681" s="66">
        <f>SUM(Table1[[#This Row],[01-03 Apr]:[Mar-26]])</f>
        <v>3722</v>
      </c>
    </row>
    <row r="682" spans="1:115" x14ac:dyDescent="0.2">
      <c r="A682" s="28" t="s">
        <v>2255</v>
      </c>
      <c r="B682" s="29" t="s">
        <v>1658</v>
      </c>
      <c r="C682" s="29" t="s">
        <v>1659</v>
      </c>
      <c r="D682" s="30" t="s">
        <v>1660</v>
      </c>
      <c r="E682" s="30" t="s">
        <v>584</v>
      </c>
      <c r="F682" s="30"/>
      <c r="G682" s="31"/>
      <c r="H682" s="30">
        <v>2352093</v>
      </c>
      <c r="I682" s="30" t="str">
        <f>IF(Table1[[#This Row],[Centre Status]]="Returned","NA",IF(Table1[[#This Row],[SD]]&gt;19000,"Full Payment",IF(Table1[[#This Row],[SD]]&lt;1,"No Payment","Partial Payment")))</f>
        <v>No Payment</v>
      </c>
      <c r="J682" s="30" t="s">
        <v>58</v>
      </c>
      <c r="K682" s="32">
        <v>110000</v>
      </c>
      <c r="L682" s="33">
        <f>Q682+R682+U682+Table1[[#This Row],[Farmer Payment]]</f>
        <v>47190.486220779159</v>
      </c>
      <c r="M682" s="30"/>
      <c r="N682" s="34"/>
      <c r="O682" s="34"/>
      <c r="P682" s="35">
        <f t="shared" si="72"/>
        <v>62809.513779220841</v>
      </c>
      <c r="Q682" s="33">
        <f>AI682+AV682+CK682+Table1[[#This Row],[FY 25-26]]</f>
        <v>47190.486220779159</v>
      </c>
      <c r="R682" s="36"/>
      <c r="S682" s="37"/>
      <c r="T682" s="38"/>
      <c r="U682" s="39"/>
      <c r="V682" s="39"/>
      <c r="W682" s="40">
        <v>0</v>
      </c>
      <c r="X682" s="40">
        <v>0</v>
      </c>
      <c r="Y682" s="40">
        <v>0</v>
      </c>
      <c r="Z682" s="40">
        <v>0</v>
      </c>
      <c r="AA682" s="40">
        <v>0</v>
      </c>
      <c r="AB682" s="40">
        <v>0</v>
      </c>
      <c r="AC682" s="40">
        <v>0</v>
      </c>
      <c r="AD682" s="40">
        <v>0</v>
      </c>
      <c r="AE682" s="40">
        <v>0</v>
      </c>
      <c r="AF682" s="40">
        <v>0</v>
      </c>
      <c r="AG682" s="40">
        <v>0</v>
      </c>
      <c r="AH682" s="40">
        <v>0</v>
      </c>
      <c r="AI682" s="41">
        <f t="shared" si="73"/>
        <v>0</v>
      </c>
      <c r="AJ682" s="42">
        <v>0</v>
      </c>
      <c r="AK682" s="42">
        <v>0</v>
      </c>
      <c r="AL682" s="42">
        <v>0</v>
      </c>
      <c r="AM682" s="42">
        <v>0</v>
      </c>
      <c r="AN682" s="42">
        <v>0</v>
      </c>
      <c r="AO682" s="42">
        <v>0</v>
      </c>
      <c r="AP682" s="42">
        <v>0</v>
      </c>
      <c r="AQ682" s="42">
        <v>1861</v>
      </c>
      <c r="AR682" s="42">
        <v>2403.6550000000002</v>
      </c>
      <c r="AS682" s="42">
        <v>4803.8868000000002</v>
      </c>
      <c r="AT682" s="42">
        <v>4330.5518000000002</v>
      </c>
      <c r="AU682" s="42">
        <v>3448.1161999999999</v>
      </c>
      <c r="AV682" s="42">
        <f t="shared" si="74"/>
        <v>16847.209800000001</v>
      </c>
      <c r="AW682" s="42">
        <v>2249.8537704760138</v>
      </c>
      <c r="AX682" s="42">
        <v>1861</v>
      </c>
      <c r="AY682" s="42">
        <v>1861</v>
      </c>
      <c r="AZ682" s="42">
        <v>1861</v>
      </c>
      <c r="BA682" s="42">
        <v>1861</v>
      </c>
      <c r="BB682" s="42">
        <v>0</v>
      </c>
      <c r="BC682" s="42">
        <v>2023.5667832767604</v>
      </c>
      <c r="BD682" s="42">
        <v>0</v>
      </c>
      <c r="BE682" s="42">
        <v>0</v>
      </c>
      <c r="BF682" s="42">
        <v>0</v>
      </c>
      <c r="BG682" s="42">
        <v>0</v>
      </c>
      <c r="BH682" s="42">
        <v>0</v>
      </c>
      <c r="BI682" s="42">
        <v>1861</v>
      </c>
      <c r="BJ682" s="42">
        <v>0</v>
      </c>
      <c r="BK682" s="42">
        <v>0</v>
      </c>
      <c r="BL682" s="42">
        <v>0</v>
      </c>
      <c r="BM682" s="42">
        <v>0</v>
      </c>
      <c r="BN682" s="42">
        <v>1861</v>
      </c>
      <c r="BO682" s="42">
        <v>0</v>
      </c>
      <c r="BP682" s="42">
        <v>0</v>
      </c>
      <c r="BQ682" s="42">
        <v>0</v>
      </c>
      <c r="BR682" s="42">
        <v>0</v>
      </c>
      <c r="BS682" s="42">
        <v>3014.2360029958199</v>
      </c>
      <c r="BT682" s="42">
        <v>0</v>
      </c>
      <c r="BU682" s="42">
        <v>0</v>
      </c>
      <c r="BV682" s="42">
        <v>0</v>
      </c>
      <c r="BW682" s="42">
        <v>0</v>
      </c>
      <c r="BX682" s="42">
        <v>0</v>
      </c>
      <c r="BY682" s="42">
        <v>0</v>
      </c>
      <c r="BZ682" s="42">
        <v>0</v>
      </c>
      <c r="CA682" s="42">
        <v>0</v>
      </c>
      <c r="CB682" s="42">
        <v>0</v>
      </c>
      <c r="CC682" s="42">
        <v>0</v>
      </c>
      <c r="CD682" s="42">
        <v>4677.6865815374504</v>
      </c>
      <c r="CE682" s="42">
        <v>0</v>
      </c>
      <c r="CF682" s="42">
        <v>0</v>
      </c>
      <c r="CG682" s="42">
        <v>0</v>
      </c>
      <c r="CH682" s="42">
        <v>0</v>
      </c>
      <c r="CI682" s="42">
        <v>0</v>
      </c>
      <c r="CJ682" s="42">
        <v>3480.9869350809604</v>
      </c>
      <c r="CK682" s="43">
        <f t="shared" si="71"/>
        <v>26612.330073367008</v>
      </c>
      <c r="CL682" s="66"/>
      <c r="CM682" s="66">
        <v>0</v>
      </c>
      <c r="CN682" s="66">
        <v>0</v>
      </c>
      <c r="CO682" s="66">
        <v>0</v>
      </c>
      <c r="CP682" s="66">
        <v>1869.9463474121503</v>
      </c>
      <c r="CQ682" s="66">
        <v>0</v>
      </c>
      <c r="CR682" s="66">
        <v>0</v>
      </c>
      <c r="CS682" s="66">
        <v>0</v>
      </c>
      <c r="CT682" s="66">
        <v>0</v>
      </c>
      <c r="CU682" s="66">
        <v>0</v>
      </c>
      <c r="CV682" s="66">
        <v>1861</v>
      </c>
      <c r="CW682" s="66">
        <v>0</v>
      </c>
      <c r="CX682" s="66">
        <v>0</v>
      </c>
      <c r="CY682" s="66">
        <v>0</v>
      </c>
      <c r="CZ682" s="66">
        <v>0</v>
      </c>
      <c r="DA682" s="66"/>
      <c r="DB682" s="66"/>
      <c r="DC682" s="66"/>
      <c r="DD682" s="66"/>
      <c r="DE682" s="66"/>
      <c r="DF682" s="66"/>
      <c r="DG682" s="66"/>
      <c r="DH682" s="66"/>
      <c r="DI682" s="66"/>
      <c r="DJ682" s="66"/>
      <c r="DK682" s="66">
        <f>SUM(Table1[[#This Row],[01-03 Apr]:[Mar-26]])</f>
        <v>3730.9463474121503</v>
      </c>
    </row>
    <row r="683" spans="1:115" x14ac:dyDescent="0.2">
      <c r="A683" s="28" t="s">
        <v>2255</v>
      </c>
      <c r="B683" s="29" t="s">
        <v>1661</v>
      </c>
      <c r="C683" s="29" t="s">
        <v>1662</v>
      </c>
      <c r="D683" s="30" t="s">
        <v>1663</v>
      </c>
      <c r="E683" s="30" t="s">
        <v>584</v>
      </c>
      <c r="F683" s="30"/>
      <c r="G683" s="31"/>
      <c r="H683" s="30">
        <v>2352097</v>
      </c>
      <c r="I683" s="30" t="str">
        <f>IF(Table1[[#This Row],[Centre Status]]="Returned","NA",IF(Table1[[#This Row],[SD]]&gt;19000,"Full Payment",IF(Table1[[#This Row],[SD]]&lt;1,"No Payment","Partial Payment")))</f>
        <v>No Payment</v>
      </c>
      <c r="J683" s="30" t="s">
        <v>58</v>
      </c>
      <c r="K683" s="32">
        <v>110000</v>
      </c>
      <c r="L683" s="33">
        <f>Q683+R683+U683+Table1[[#This Row],[Farmer Payment]]</f>
        <v>69405.519852054087</v>
      </c>
      <c r="M683" s="30"/>
      <c r="N683" s="34"/>
      <c r="O683" s="34"/>
      <c r="P683" s="35">
        <f t="shared" si="72"/>
        <v>40594.480147945913</v>
      </c>
      <c r="Q683" s="33">
        <f>AI683+AV683+CK683+Table1[[#This Row],[FY 25-26]]</f>
        <v>69405.519852054087</v>
      </c>
      <c r="R683" s="36"/>
      <c r="S683" s="37"/>
      <c r="T683" s="38"/>
      <c r="U683" s="39"/>
      <c r="V683" s="39"/>
      <c r="W683" s="40">
        <v>0</v>
      </c>
      <c r="X683" s="40">
        <v>0</v>
      </c>
      <c r="Y683" s="40">
        <v>0</v>
      </c>
      <c r="Z683" s="40">
        <v>0</v>
      </c>
      <c r="AA683" s="40">
        <v>0</v>
      </c>
      <c r="AB683" s="40">
        <v>0</v>
      </c>
      <c r="AC683" s="40">
        <v>0</v>
      </c>
      <c r="AD683" s="40">
        <v>0</v>
      </c>
      <c r="AE683" s="40">
        <v>0</v>
      </c>
      <c r="AF683" s="40">
        <v>0</v>
      </c>
      <c r="AG683" s="40">
        <v>0</v>
      </c>
      <c r="AH683" s="40">
        <v>0</v>
      </c>
      <c r="AI683" s="41">
        <f t="shared" si="73"/>
        <v>0</v>
      </c>
      <c r="AJ683" s="42">
        <v>0</v>
      </c>
      <c r="AK683" s="42">
        <v>0</v>
      </c>
      <c r="AL683" s="42">
        <v>0</v>
      </c>
      <c r="AM683" s="42">
        <v>0</v>
      </c>
      <c r="AN683" s="42">
        <v>0</v>
      </c>
      <c r="AO683" s="42">
        <v>0</v>
      </c>
      <c r="AP683" s="42">
        <v>0</v>
      </c>
      <c r="AQ683" s="42">
        <v>1861</v>
      </c>
      <c r="AR683" s="42">
        <v>1861</v>
      </c>
      <c r="AS683" s="42">
        <v>2372.1142</v>
      </c>
      <c r="AT683" s="42">
        <v>3056.9732000000004</v>
      </c>
      <c r="AU683" s="42">
        <v>3141.8318000000004</v>
      </c>
      <c r="AV683" s="42">
        <f t="shared" si="74"/>
        <v>12292.9192</v>
      </c>
      <c r="AW683" s="42">
        <v>1974.3799404979202</v>
      </c>
      <c r="AX683" s="42">
        <v>1861</v>
      </c>
      <c r="AY683" s="42">
        <v>2838.9814656768008</v>
      </c>
      <c r="AZ683" s="42">
        <v>4184.146702233601</v>
      </c>
      <c r="BA683" s="42">
        <v>3330.8371769088003</v>
      </c>
      <c r="BB683" s="42">
        <v>0</v>
      </c>
      <c r="BC683" s="42">
        <v>4971.2239074816007</v>
      </c>
      <c r="BD683" s="42">
        <v>0</v>
      </c>
      <c r="BE683" s="42">
        <v>0</v>
      </c>
      <c r="BF683" s="42">
        <v>0</v>
      </c>
      <c r="BG683" s="42">
        <v>0</v>
      </c>
      <c r="BH683" s="42">
        <v>0</v>
      </c>
      <c r="BI683" s="42">
        <v>2830.1821783296</v>
      </c>
      <c r="BJ683" s="42">
        <v>0</v>
      </c>
      <c r="BK683" s="42">
        <v>0</v>
      </c>
      <c r="BL683" s="42">
        <v>0</v>
      </c>
      <c r="BM683" s="42">
        <v>0</v>
      </c>
      <c r="BN683" s="42">
        <v>2936.2780777727999</v>
      </c>
      <c r="BO683" s="42">
        <v>0</v>
      </c>
      <c r="BP683" s="42">
        <v>0</v>
      </c>
      <c r="BQ683" s="42">
        <v>0</v>
      </c>
      <c r="BR683" s="42">
        <v>0</v>
      </c>
      <c r="BS683" s="42">
        <v>5063.1558147407995</v>
      </c>
      <c r="BT683" s="42">
        <v>0</v>
      </c>
      <c r="BU683" s="42">
        <v>0</v>
      </c>
      <c r="BV683" s="42">
        <v>0</v>
      </c>
      <c r="BW683" s="42">
        <v>0</v>
      </c>
      <c r="BX683" s="42">
        <v>0</v>
      </c>
      <c r="BY683" s="42">
        <v>0</v>
      </c>
      <c r="BZ683" s="42">
        <v>0</v>
      </c>
      <c r="CA683" s="42">
        <v>0</v>
      </c>
      <c r="CB683" s="42">
        <v>0</v>
      </c>
      <c r="CC683" s="42">
        <v>0</v>
      </c>
      <c r="CD683" s="42">
        <v>8814.0490243968015</v>
      </c>
      <c r="CE683" s="42">
        <v>0</v>
      </c>
      <c r="CF683" s="42">
        <v>0</v>
      </c>
      <c r="CG683" s="42">
        <v>0</v>
      </c>
      <c r="CH683" s="42">
        <v>0</v>
      </c>
      <c r="CI683" s="42">
        <v>0</v>
      </c>
      <c r="CJ683" s="42">
        <v>9784.9034080511992</v>
      </c>
      <c r="CK683" s="43">
        <f t="shared" si="71"/>
        <v>48589.137696089922</v>
      </c>
      <c r="CL683" s="66"/>
      <c r="CM683" s="66">
        <v>0</v>
      </c>
      <c r="CN683" s="66">
        <v>0</v>
      </c>
      <c r="CO683" s="66">
        <v>0</v>
      </c>
      <c r="CP683" s="66">
        <v>5079.8087109465605</v>
      </c>
      <c r="CQ683" s="66">
        <v>0</v>
      </c>
      <c r="CR683" s="66">
        <v>0</v>
      </c>
      <c r="CS683" s="66">
        <v>0</v>
      </c>
      <c r="CT683" s="66">
        <v>0</v>
      </c>
      <c r="CU683" s="66">
        <v>0</v>
      </c>
      <c r="CV683" s="66">
        <v>3443.6542450176007</v>
      </c>
      <c r="CW683" s="66">
        <v>0</v>
      </c>
      <c r="CX683" s="66">
        <v>0</v>
      </c>
      <c r="CY683" s="66">
        <v>0</v>
      </c>
      <c r="CZ683" s="66">
        <v>0</v>
      </c>
      <c r="DA683" s="66"/>
      <c r="DB683" s="66"/>
      <c r="DC683" s="66"/>
      <c r="DD683" s="66"/>
      <c r="DE683" s="66"/>
      <c r="DF683" s="66"/>
      <c r="DG683" s="66"/>
      <c r="DH683" s="66"/>
      <c r="DI683" s="66"/>
      <c r="DJ683" s="66"/>
      <c r="DK683" s="66">
        <f>SUM(Table1[[#This Row],[01-03 Apr]:[Mar-26]])</f>
        <v>8523.4629559641617</v>
      </c>
    </row>
    <row r="684" spans="1:115" hidden="1" x14ac:dyDescent="0.2">
      <c r="A684" s="28" t="s">
        <v>2255</v>
      </c>
      <c r="B684" s="29" t="s">
        <v>1664</v>
      </c>
      <c r="C684" s="29" t="s">
        <v>1665</v>
      </c>
      <c r="D684" s="30" t="s">
        <v>1666</v>
      </c>
      <c r="E684" s="30" t="s">
        <v>584</v>
      </c>
      <c r="F684" s="30"/>
      <c r="G684" s="31"/>
      <c r="H684" s="30">
        <v>2352042</v>
      </c>
      <c r="I684" s="30" t="str">
        <f>IF(Table1[[#This Row],[Centre Status]]="Returned","NA",IF(Table1[[#This Row],[SD]]&gt;19000,"Full Payment",IF(Table1[[#This Row],[SD]]&lt;1,"No Payment","Partial Payment")))</f>
        <v>NA</v>
      </c>
      <c r="J684" s="30" t="s">
        <v>1903</v>
      </c>
      <c r="K684" s="32">
        <v>110000</v>
      </c>
      <c r="L684" s="33">
        <f>Q684+R684+U684+Table1[[#This Row],[Farmer Payment]]</f>
        <v>30998.760600000001</v>
      </c>
      <c r="M684" s="30">
        <v>20000</v>
      </c>
      <c r="N684" s="34">
        <v>45652</v>
      </c>
      <c r="O684" s="34" t="s">
        <v>2863</v>
      </c>
      <c r="P684" s="35">
        <f t="shared" si="72"/>
        <v>99001.239399999991</v>
      </c>
      <c r="Q684" s="33">
        <f>AI684+AV684+CK684+Table1[[#This Row],[FY 25-26]]</f>
        <v>10998.7606</v>
      </c>
      <c r="R684" s="36">
        <v>20000</v>
      </c>
      <c r="S684" s="37" t="s">
        <v>2828</v>
      </c>
      <c r="T684" s="38">
        <v>45190</v>
      </c>
      <c r="U684" s="39"/>
      <c r="V684" s="39"/>
      <c r="W684" s="40">
        <v>0</v>
      </c>
      <c r="X684" s="40">
        <v>0</v>
      </c>
      <c r="Y684" s="40">
        <v>0</v>
      </c>
      <c r="Z684" s="40">
        <v>0</v>
      </c>
      <c r="AA684" s="40">
        <v>0</v>
      </c>
      <c r="AB684" s="40">
        <v>0</v>
      </c>
      <c r="AC684" s="40">
        <v>0</v>
      </c>
      <c r="AD684" s="40">
        <v>0</v>
      </c>
      <c r="AE684" s="40">
        <v>0</v>
      </c>
      <c r="AF684" s="40">
        <v>0</v>
      </c>
      <c r="AG684" s="40">
        <v>0</v>
      </c>
      <c r="AH684" s="40">
        <v>0</v>
      </c>
      <c r="AI684" s="41">
        <f t="shared" si="73"/>
        <v>0</v>
      </c>
      <c r="AJ684" s="42">
        <v>0</v>
      </c>
      <c r="AK684" s="42">
        <v>0</v>
      </c>
      <c r="AL684" s="42">
        <v>0</v>
      </c>
      <c r="AM684" s="42">
        <v>0</v>
      </c>
      <c r="AN684" s="42">
        <v>0</v>
      </c>
      <c r="AO684" s="42">
        <v>0</v>
      </c>
      <c r="AP684" s="42">
        <v>0</v>
      </c>
      <c r="AQ684" s="42">
        <v>654</v>
      </c>
      <c r="AR684" s="42">
        <v>1861</v>
      </c>
      <c r="AS684" s="42">
        <v>1861</v>
      </c>
      <c r="AT684" s="42">
        <v>1864.7606000000001</v>
      </c>
      <c r="AU684" s="42">
        <v>1861</v>
      </c>
      <c r="AV684" s="42">
        <f t="shared" si="74"/>
        <v>8101.7605999999996</v>
      </c>
      <c r="AW684" s="42">
        <v>357</v>
      </c>
      <c r="AX684" s="42">
        <v>133</v>
      </c>
      <c r="AY684" s="42">
        <v>151</v>
      </c>
      <c r="AZ684" s="42">
        <v>1</v>
      </c>
      <c r="BA684" s="42">
        <v>34</v>
      </c>
      <c r="BB684" s="42">
        <v>500</v>
      </c>
      <c r="BC684" s="42">
        <v>0</v>
      </c>
      <c r="BD684" s="42">
        <v>500</v>
      </c>
      <c r="BE684" s="42">
        <v>500</v>
      </c>
      <c r="BF684" s="42">
        <v>500</v>
      </c>
      <c r="BG684" s="42">
        <v>221</v>
      </c>
      <c r="BH684" s="42">
        <v>0</v>
      </c>
      <c r="BI684" s="42">
        <v>0</v>
      </c>
      <c r="BJ684" s="42">
        <v>0</v>
      </c>
      <c r="BK684" s="42">
        <v>0</v>
      </c>
      <c r="BL684" s="42">
        <v>0</v>
      </c>
      <c r="BM684" s="42">
        <v>0</v>
      </c>
      <c r="BN684" s="42">
        <v>0</v>
      </c>
      <c r="BO684" s="42">
        <v>0</v>
      </c>
      <c r="BP684" s="42">
        <v>0</v>
      </c>
      <c r="BQ684" s="42">
        <v>0</v>
      </c>
      <c r="BR684" s="42">
        <v>0</v>
      </c>
      <c r="BS684" s="42">
        <v>0</v>
      </c>
      <c r="BT684" s="42">
        <v>0</v>
      </c>
      <c r="BU684" s="42">
        <v>0</v>
      </c>
      <c r="BV684" s="42">
        <v>0</v>
      </c>
      <c r="BW684" s="42">
        <v>0</v>
      </c>
      <c r="BX684" s="42">
        <v>0</v>
      </c>
      <c r="BY684" s="42">
        <v>0</v>
      </c>
      <c r="BZ684" s="42">
        <v>0</v>
      </c>
      <c r="CA684" s="42">
        <v>0</v>
      </c>
      <c r="CB684" s="42">
        <v>0</v>
      </c>
      <c r="CC684" s="42">
        <v>0</v>
      </c>
      <c r="CD684" s="42">
        <v>0</v>
      </c>
      <c r="CE684" s="42">
        <v>0</v>
      </c>
      <c r="CF684" s="42">
        <v>0</v>
      </c>
      <c r="CG684" s="42">
        <v>0</v>
      </c>
      <c r="CH684" s="42">
        <v>0</v>
      </c>
      <c r="CI684" s="42">
        <v>0</v>
      </c>
      <c r="CJ684" s="42">
        <v>0</v>
      </c>
      <c r="CK684" s="43">
        <f t="shared" si="71"/>
        <v>2897</v>
      </c>
      <c r="CL684" s="66"/>
      <c r="CM684" s="66">
        <v>0</v>
      </c>
      <c r="CN684" s="66">
        <v>0</v>
      </c>
      <c r="CO684" s="66">
        <v>0</v>
      </c>
      <c r="CP684" s="66">
        <v>0</v>
      </c>
      <c r="CQ684" s="66">
        <v>0</v>
      </c>
      <c r="CR684" s="66">
        <v>0</v>
      </c>
      <c r="CS684" s="66">
        <v>0</v>
      </c>
      <c r="CT684" s="66">
        <v>0</v>
      </c>
      <c r="CU684" s="66">
        <v>0</v>
      </c>
      <c r="CV684" s="66">
        <v>0</v>
      </c>
      <c r="CW684" s="66">
        <v>0</v>
      </c>
      <c r="CX684" s="66">
        <v>0</v>
      </c>
      <c r="CY684" s="66">
        <v>0</v>
      </c>
      <c r="CZ684" s="66">
        <v>0</v>
      </c>
      <c r="DA684" s="66"/>
      <c r="DB684" s="66"/>
      <c r="DC684" s="66"/>
      <c r="DD684" s="66"/>
      <c r="DE684" s="66"/>
      <c r="DF684" s="66"/>
      <c r="DG684" s="66"/>
      <c r="DH684" s="66"/>
      <c r="DI684" s="66"/>
      <c r="DJ684" s="66"/>
      <c r="DK684" s="66">
        <f>SUM(Table1[[#This Row],[01-03 Apr]:[Mar-26]])</f>
        <v>0</v>
      </c>
    </row>
    <row r="685" spans="1:115" hidden="1" x14ac:dyDescent="0.2">
      <c r="A685" s="28" t="s">
        <v>2255</v>
      </c>
      <c r="B685" s="29" t="s">
        <v>1667</v>
      </c>
      <c r="C685" s="29" t="s">
        <v>1668</v>
      </c>
      <c r="D685" s="30" t="s">
        <v>1669</v>
      </c>
      <c r="E685" s="30" t="s">
        <v>584</v>
      </c>
      <c r="F685" s="30"/>
      <c r="G685" s="31"/>
      <c r="H685" s="30">
        <v>2347805</v>
      </c>
      <c r="I685" s="30" t="str">
        <f>IF(Table1[[#This Row],[Centre Status]]="Returned","NA",IF(Table1[[#This Row],[SD]]&gt;19000,"Full Payment",IF(Table1[[#This Row],[SD]]&lt;1,"No Payment","Partial Payment")))</f>
        <v>Full Payment</v>
      </c>
      <c r="J685" s="30" t="s">
        <v>58</v>
      </c>
      <c r="K685" s="32">
        <v>110000</v>
      </c>
      <c r="L685" s="33">
        <f>Q685+R685+U685+Table1[[#This Row],[Farmer Payment]]</f>
        <v>65557.807867938682</v>
      </c>
      <c r="M685" s="30"/>
      <c r="N685" s="34"/>
      <c r="O685" s="34"/>
      <c r="P685" s="35">
        <f t="shared" si="72"/>
        <v>44442.192132061318</v>
      </c>
      <c r="Q685" s="33">
        <f>AI685+AV685+CK685+Table1[[#This Row],[FY 25-26]]</f>
        <v>45557.807867938682</v>
      </c>
      <c r="R685" s="36">
        <v>20000</v>
      </c>
      <c r="S685" s="37" t="s">
        <v>2295</v>
      </c>
      <c r="T685" s="38">
        <v>45189</v>
      </c>
      <c r="U685" s="39"/>
      <c r="V685" s="39"/>
      <c r="W685" s="40">
        <v>0</v>
      </c>
      <c r="X685" s="40">
        <v>0</v>
      </c>
      <c r="Y685" s="40">
        <v>0</v>
      </c>
      <c r="Z685" s="40">
        <v>0</v>
      </c>
      <c r="AA685" s="40">
        <v>0</v>
      </c>
      <c r="AB685" s="40">
        <v>0</v>
      </c>
      <c r="AC685" s="40">
        <v>0</v>
      </c>
      <c r="AD685" s="40">
        <v>0</v>
      </c>
      <c r="AE685" s="40">
        <v>0</v>
      </c>
      <c r="AF685" s="40">
        <v>0</v>
      </c>
      <c r="AG685" s="40">
        <v>0</v>
      </c>
      <c r="AH685" s="40">
        <v>0</v>
      </c>
      <c r="AI685" s="41">
        <f t="shared" si="73"/>
        <v>0</v>
      </c>
      <c r="AJ685" s="42">
        <v>0</v>
      </c>
      <c r="AK685" s="42">
        <v>0</v>
      </c>
      <c r="AL685" s="42">
        <v>0</v>
      </c>
      <c r="AM685" s="42">
        <v>0</v>
      </c>
      <c r="AN685" s="42">
        <v>0</v>
      </c>
      <c r="AO685" s="42">
        <v>0</v>
      </c>
      <c r="AP685" s="42">
        <v>0</v>
      </c>
      <c r="AQ685" s="42">
        <v>1861</v>
      </c>
      <c r="AR685" s="42">
        <v>2406.6486</v>
      </c>
      <c r="AS685" s="42">
        <v>4402.1738000000005</v>
      </c>
      <c r="AT685" s="42">
        <v>4484.7246000000005</v>
      </c>
      <c r="AU685" s="42">
        <v>3447.1821999999997</v>
      </c>
      <c r="AV685" s="42">
        <f t="shared" si="74"/>
        <v>16601.729200000002</v>
      </c>
      <c r="AW685" s="42">
        <v>2974.648482805344</v>
      </c>
      <c r="AX685" s="42">
        <v>1861</v>
      </c>
      <c r="AY685" s="42">
        <v>1994.8733346048004</v>
      </c>
      <c r="AZ685" s="42">
        <v>2630.8137894912002</v>
      </c>
      <c r="BA685" s="42">
        <v>1861</v>
      </c>
      <c r="BB685" s="42">
        <v>0</v>
      </c>
      <c r="BC685" s="42">
        <v>2130.633499984212</v>
      </c>
      <c r="BD685" s="42">
        <v>0</v>
      </c>
      <c r="BE685" s="42">
        <v>0</v>
      </c>
      <c r="BF685" s="42">
        <v>0</v>
      </c>
      <c r="BG685" s="42">
        <v>0</v>
      </c>
      <c r="BH685" s="42">
        <v>0</v>
      </c>
      <c r="BI685" s="42">
        <v>1861</v>
      </c>
      <c r="BJ685" s="42">
        <v>0</v>
      </c>
      <c r="BK685" s="42">
        <v>0</v>
      </c>
      <c r="BL685" s="42">
        <v>0</v>
      </c>
      <c r="BM685" s="42">
        <v>0</v>
      </c>
      <c r="BN685" s="42">
        <v>1831</v>
      </c>
      <c r="BO685" s="42">
        <v>0</v>
      </c>
      <c r="BP685" s="42">
        <v>0</v>
      </c>
      <c r="BQ685" s="42">
        <v>0</v>
      </c>
      <c r="BR685" s="42">
        <v>0</v>
      </c>
      <c r="BS685" s="42">
        <v>2340.9537099125523</v>
      </c>
      <c r="BT685" s="42">
        <v>0</v>
      </c>
      <c r="BU685" s="42">
        <v>0</v>
      </c>
      <c r="BV685" s="42">
        <v>0</v>
      </c>
      <c r="BW685" s="42">
        <v>0</v>
      </c>
      <c r="BX685" s="42">
        <v>0</v>
      </c>
      <c r="BY685" s="42">
        <v>0</v>
      </c>
      <c r="BZ685" s="42">
        <v>0</v>
      </c>
      <c r="CA685" s="42">
        <v>0</v>
      </c>
      <c r="CB685" s="42">
        <v>0</v>
      </c>
      <c r="CC685" s="42">
        <v>0</v>
      </c>
      <c r="CD685" s="42">
        <v>2887.2570285362403</v>
      </c>
      <c r="CE685" s="42">
        <v>0</v>
      </c>
      <c r="CF685" s="42">
        <v>0</v>
      </c>
      <c r="CG685" s="42">
        <v>0</v>
      </c>
      <c r="CH685" s="42">
        <v>0</v>
      </c>
      <c r="CI685" s="42">
        <v>0</v>
      </c>
      <c r="CJ685" s="42">
        <v>2617.8301483132905</v>
      </c>
      <c r="CK685" s="43">
        <f t="shared" si="71"/>
        <v>24991.00999364764</v>
      </c>
      <c r="CL685" s="66"/>
      <c r="CM685" s="66">
        <v>0</v>
      </c>
      <c r="CN685" s="66">
        <v>0</v>
      </c>
      <c r="CO685" s="66">
        <v>0</v>
      </c>
      <c r="CP685" s="66">
        <v>2104.0686742910402</v>
      </c>
      <c r="CQ685" s="66">
        <v>0</v>
      </c>
      <c r="CR685" s="66">
        <v>0</v>
      </c>
      <c r="CS685" s="66">
        <v>0</v>
      </c>
      <c r="CT685" s="66">
        <v>0</v>
      </c>
      <c r="CU685" s="66">
        <v>0</v>
      </c>
      <c r="CV685" s="66">
        <v>1861</v>
      </c>
      <c r="CW685" s="66">
        <v>0</v>
      </c>
      <c r="CX685" s="66">
        <v>0</v>
      </c>
      <c r="CY685" s="66">
        <v>0</v>
      </c>
      <c r="CZ685" s="66">
        <v>0</v>
      </c>
      <c r="DA685" s="66"/>
      <c r="DB685" s="66"/>
      <c r="DC685" s="66"/>
      <c r="DD685" s="66"/>
      <c r="DE685" s="66"/>
      <c r="DF685" s="66"/>
      <c r="DG685" s="66"/>
      <c r="DH685" s="66"/>
      <c r="DI685" s="66"/>
      <c r="DJ685" s="66"/>
      <c r="DK685" s="66">
        <f>SUM(Table1[[#This Row],[01-03 Apr]:[Mar-26]])</f>
        <v>3965.0686742910402</v>
      </c>
    </row>
    <row r="686" spans="1:115" hidden="1" x14ac:dyDescent="0.2">
      <c r="A686" s="28" t="s">
        <v>2255</v>
      </c>
      <c r="B686" s="29" t="s">
        <v>1670</v>
      </c>
      <c r="C686" s="29" t="s">
        <v>1671</v>
      </c>
      <c r="D686" s="30" t="s">
        <v>1672</v>
      </c>
      <c r="E686" s="30" t="s">
        <v>584</v>
      </c>
      <c r="F686" s="30"/>
      <c r="G686" s="31"/>
      <c r="H686" s="30">
        <v>2347806</v>
      </c>
      <c r="I686" s="30" t="str">
        <f>IF(Table1[[#This Row],[Centre Status]]="Returned","NA",IF(Table1[[#This Row],[SD]]&gt;19000,"Full Payment",IF(Table1[[#This Row],[SD]]&lt;1,"No Payment","Partial Payment")))</f>
        <v>NA</v>
      </c>
      <c r="J686" s="30" t="s">
        <v>1903</v>
      </c>
      <c r="K686" s="32">
        <v>110000</v>
      </c>
      <c r="L686" s="33">
        <f>Q686+R686+U686+Table1[[#This Row],[Farmer Payment]]</f>
        <v>44623.338901125528</v>
      </c>
      <c r="M686" s="30">
        <v>20000</v>
      </c>
      <c r="N686" s="34">
        <v>45622</v>
      </c>
      <c r="O686" s="34"/>
      <c r="P686" s="35">
        <f t="shared" si="72"/>
        <v>85376.661098874465</v>
      </c>
      <c r="Q686" s="33">
        <f>AI686+AV686+CK686+Table1[[#This Row],[FY 25-26]]</f>
        <v>24623.338901125528</v>
      </c>
      <c r="R686" s="36">
        <v>20000</v>
      </c>
      <c r="S686" s="37" t="s">
        <v>2738</v>
      </c>
      <c r="T686" s="38">
        <v>45197</v>
      </c>
      <c r="U686" s="39"/>
      <c r="V686" s="39"/>
      <c r="W686" s="40">
        <v>0</v>
      </c>
      <c r="X686" s="40">
        <v>0</v>
      </c>
      <c r="Y686" s="40">
        <v>0</v>
      </c>
      <c r="Z686" s="40">
        <v>0</v>
      </c>
      <c r="AA686" s="40">
        <v>0</v>
      </c>
      <c r="AB686" s="40">
        <v>0</v>
      </c>
      <c r="AC686" s="40">
        <v>0</v>
      </c>
      <c r="AD686" s="40">
        <v>0</v>
      </c>
      <c r="AE686" s="40">
        <v>0</v>
      </c>
      <c r="AF686" s="40">
        <v>0</v>
      </c>
      <c r="AG686" s="40">
        <v>0</v>
      </c>
      <c r="AH686" s="40">
        <v>0</v>
      </c>
      <c r="AI686" s="41">
        <f t="shared" si="73"/>
        <v>0</v>
      </c>
      <c r="AJ686" s="42">
        <v>0</v>
      </c>
      <c r="AK686" s="42">
        <v>0</v>
      </c>
      <c r="AL686" s="42">
        <v>0</v>
      </c>
      <c r="AM686" s="42">
        <v>0</v>
      </c>
      <c r="AN686" s="42">
        <v>0</v>
      </c>
      <c r="AO686" s="42">
        <v>0</v>
      </c>
      <c r="AP686" s="42">
        <v>0</v>
      </c>
      <c r="AQ686" s="42">
        <v>2442.3492000000001</v>
      </c>
      <c r="AR686" s="42">
        <v>4260.7031999999999</v>
      </c>
      <c r="AS686" s="42">
        <v>6308.5950000000003</v>
      </c>
      <c r="AT686" s="42">
        <v>5151.1284000000005</v>
      </c>
      <c r="AU686" s="42">
        <v>2829.1114000000002</v>
      </c>
      <c r="AV686" s="42">
        <f t="shared" si="74"/>
        <v>20991.887200000005</v>
      </c>
      <c r="AW686" s="42">
        <v>2014.4517011255241</v>
      </c>
      <c r="AX686" s="42">
        <v>1032</v>
      </c>
      <c r="AY686" s="42">
        <v>585</v>
      </c>
      <c r="AZ686" s="42">
        <v>0</v>
      </c>
      <c r="BA686" s="42">
        <v>0</v>
      </c>
      <c r="BB686" s="42">
        <v>0</v>
      </c>
      <c r="BC686" s="42">
        <v>0</v>
      </c>
      <c r="BD686" s="42">
        <v>0</v>
      </c>
      <c r="BE686" s="42">
        <v>0</v>
      </c>
      <c r="BF686" s="42">
        <v>0</v>
      </c>
      <c r="BG686" s="42">
        <v>0</v>
      </c>
      <c r="BH686" s="42">
        <v>0</v>
      </c>
      <c r="BI686" s="42">
        <v>0</v>
      </c>
      <c r="BJ686" s="42">
        <v>0</v>
      </c>
      <c r="BK686" s="42">
        <v>0</v>
      </c>
      <c r="BL686" s="42">
        <v>0</v>
      </c>
      <c r="BM686" s="42">
        <v>0</v>
      </c>
      <c r="BN686" s="42">
        <v>0</v>
      </c>
      <c r="BO686" s="42">
        <v>0</v>
      </c>
      <c r="BP686" s="42">
        <v>0</v>
      </c>
      <c r="BQ686" s="42">
        <v>0</v>
      </c>
      <c r="BR686" s="42">
        <v>0</v>
      </c>
      <c r="BS686" s="42">
        <v>0</v>
      </c>
      <c r="BT686" s="42">
        <v>0</v>
      </c>
      <c r="BU686" s="42">
        <v>0</v>
      </c>
      <c r="BV686" s="42">
        <v>0</v>
      </c>
      <c r="BW686" s="42">
        <v>0</v>
      </c>
      <c r="BX686" s="42">
        <v>0</v>
      </c>
      <c r="BY686" s="42">
        <v>0</v>
      </c>
      <c r="BZ686" s="42">
        <v>0</v>
      </c>
      <c r="CA686" s="42">
        <v>0</v>
      </c>
      <c r="CB686" s="42">
        <v>0</v>
      </c>
      <c r="CC686" s="42">
        <v>0</v>
      </c>
      <c r="CD686" s="42">
        <v>0</v>
      </c>
      <c r="CE686" s="42">
        <v>0</v>
      </c>
      <c r="CF686" s="42">
        <v>0</v>
      </c>
      <c r="CG686" s="42">
        <v>0</v>
      </c>
      <c r="CH686" s="42">
        <v>0</v>
      </c>
      <c r="CI686" s="42">
        <v>0</v>
      </c>
      <c r="CJ686" s="42">
        <v>0</v>
      </c>
      <c r="CK686" s="43">
        <f t="shared" si="71"/>
        <v>3631.4517011255239</v>
      </c>
      <c r="CL686" s="66"/>
      <c r="CM686" s="66">
        <v>0</v>
      </c>
      <c r="CN686" s="66">
        <v>0</v>
      </c>
      <c r="CO686" s="66">
        <v>0</v>
      </c>
      <c r="CP686" s="66">
        <v>0</v>
      </c>
      <c r="CQ686" s="66">
        <v>0</v>
      </c>
      <c r="CR686" s="66">
        <v>0</v>
      </c>
      <c r="CS686" s="66">
        <v>0</v>
      </c>
      <c r="CT686" s="66">
        <v>0</v>
      </c>
      <c r="CU686" s="66">
        <v>0</v>
      </c>
      <c r="CV686" s="66">
        <v>0</v>
      </c>
      <c r="CW686" s="66">
        <v>0</v>
      </c>
      <c r="CX686" s="66">
        <v>0</v>
      </c>
      <c r="CY686" s="66">
        <v>0</v>
      </c>
      <c r="CZ686" s="66">
        <v>0</v>
      </c>
      <c r="DA686" s="66"/>
      <c r="DB686" s="66"/>
      <c r="DC686" s="66"/>
      <c r="DD686" s="66"/>
      <c r="DE686" s="66"/>
      <c r="DF686" s="66"/>
      <c r="DG686" s="66"/>
      <c r="DH686" s="66"/>
      <c r="DI686" s="66"/>
      <c r="DJ686" s="66"/>
      <c r="DK686" s="66">
        <f>SUM(Table1[[#This Row],[01-03 Apr]:[Mar-26]])</f>
        <v>0</v>
      </c>
    </row>
    <row r="687" spans="1:115" x14ac:dyDescent="0.2">
      <c r="A687" s="28" t="s">
        <v>2255</v>
      </c>
      <c r="B687" s="29" t="s">
        <v>1673</v>
      </c>
      <c r="C687" s="29" t="s">
        <v>1674</v>
      </c>
      <c r="D687" s="30" t="s">
        <v>1675</v>
      </c>
      <c r="E687" s="30" t="s">
        <v>584</v>
      </c>
      <c r="F687" s="30"/>
      <c r="G687" s="31"/>
      <c r="H687" s="30">
        <v>2347807</v>
      </c>
      <c r="I687" s="30" t="str">
        <f>IF(Table1[[#This Row],[Centre Status]]="Returned","NA",IF(Table1[[#This Row],[SD]]&gt;19000,"Full Payment",IF(Table1[[#This Row],[SD]]&lt;1,"No Payment","Partial Payment")))</f>
        <v>No Payment</v>
      </c>
      <c r="J687" s="30" t="s">
        <v>58</v>
      </c>
      <c r="K687" s="32">
        <v>110000</v>
      </c>
      <c r="L687" s="33">
        <f>Q687+R687+U687+Table1[[#This Row],[Farmer Payment]]</f>
        <v>33748.465262357662</v>
      </c>
      <c r="M687" s="30"/>
      <c r="N687" s="34"/>
      <c r="O687" s="34"/>
      <c r="P687" s="35">
        <f t="shared" si="72"/>
        <v>76251.534737642331</v>
      </c>
      <c r="Q687" s="33">
        <f>AI687+AV687+CK687+Table1[[#This Row],[FY 25-26]]</f>
        <v>33748.465262357662</v>
      </c>
      <c r="R687" s="36"/>
      <c r="S687" s="37"/>
      <c r="T687" s="38"/>
      <c r="U687" s="39"/>
      <c r="V687" s="39"/>
      <c r="W687" s="40">
        <v>0</v>
      </c>
      <c r="X687" s="40">
        <v>0</v>
      </c>
      <c r="Y687" s="40">
        <v>0</v>
      </c>
      <c r="Z687" s="40">
        <v>0</v>
      </c>
      <c r="AA687" s="40">
        <v>0</v>
      </c>
      <c r="AB687" s="40">
        <v>0</v>
      </c>
      <c r="AC687" s="40">
        <v>0</v>
      </c>
      <c r="AD687" s="40">
        <v>0</v>
      </c>
      <c r="AE687" s="40">
        <v>0</v>
      </c>
      <c r="AF687" s="40">
        <v>0</v>
      </c>
      <c r="AG687" s="40">
        <v>0</v>
      </c>
      <c r="AH687" s="40">
        <v>0</v>
      </c>
      <c r="AI687" s="41">
        <f t="shared" si="73"/>
        <v>0</v>
      </c>
      <c r="AJ687" s="42">
        <v>0</v>
      </c>
      <c r="AK687" s="42">
        <v>0</v>
      </c>
      <c r="AL687" s="42">
        <v>0</v>
      </c>
      <c r="AM687" s="42">
        <v>0</v>
      </c>
      <c r="AN687" s="42">
        <v>0</v>
      </c>
      <c r="AO687" s="42">
        <v>0</v>
      </c>
      <c r="AP687" s="42">
        <v>0</v>
      </c>
      <c r="AQ687" s="42">
        <v>1311</v>
      </c>
      <c r="AR687" s="42">
        <v>1861</v>
      </c>
      <c r="AS687" s="42">
        <v>1861</v>
      </c>
      <c r="AT687" s="42">
        <v>2114.3465999999999</v>
      </c>
      <c r="AU687" s="42">
        <v>1983.3084000000003</v>
      </c>
      <c r="AV687" s="42">
        <f t="shared" si="74"/>
        <v>9130.6550000000007</v>
      </c>
      <c r="AW687" s="42">
        <v>1861</v>
      </c>
      <c r="AX687" s="42">
        <v>2179.8420915455999</v>
      </c>
      <c r="AY687" s="42">
        <v>1930.8976141823998</v>
      </c>
      <c r="AZ687" s="42">
        <v>1861</v>
      </c>
      <c r="BA687" s="42">
        <v>848</v>
      </c>
      <c r="BB687" s="42">
        <v>500</v>
      </c>
      <c r="BC687" s="42">
        <v>622</v>
      </c>
      <c r="BD687" s="42">
        <v>500</v>
      </c>
      <c r="BE687" s="42">
        <v>500</v>
      </c>
      <c r="BF687" s="42">
        <v>500</v>
      </c>
      <c r="BG687" s="42">
        <v>500</v>
      </c>
      <c r="BH687" s="42">
        <v>500</v>
      </c>
      <c r="BI687" s="42">
        <v>0</v>
      </c>
      <c r="BJ687" s="42">
        <v>500</v>
      </c>
      <c r="BK687" s="42">
        <v>500</v>
      </c>
      <c r="BL687" s="42">
        <v>500</v>
      </c>
      <c r="BM687" s="42">
        <v>500</v>
      </c>
      <c r="BN687" s="42">
        <v>-176</v>
      </c>
      <c r="BO687" s="42">
        <v>500</v>
      </c>
      <c r="BP687" s="42">
        <v>0</v>
      </c>
      <c r="BQ687" s="42">
        <v>500</v>
      </c>
      <c r="BR687" s="42">
        <v>500</v>
      </c>
      <c r="BS687" s="42">
        <v>0</v>
      </c>
      <c r="BT687" s="42">
        <v>500</v>
      </c>
      <c r="BU687" s="42">
        <v>500</v>
      </c>
      <c r="BV687" s="42">
        <v>0</v>
      </c>
      <c r="BW687" s="42">
        <v>0</v>
      </c>
      <c r="BX687" s="42">
        <v>0</v>
      </c>
      <c r="BY687" s="42">
        <v>0</v>
      </c>
      <c r="BZ687" s="42">
        <v>0</v>
      </c>
      <c r="CA687" s="42">
        <v>0</v>
      </c>
      <c r="CB687" s="42">
        <v>0</v>
      </c>
      <c r="CC687" s="42">
        <v>0</v>
      </c>
      <c r="CD687" s="42">
        <v>2148.4789918080005</v>
      </c>
      <c r="CE687" s="42">
        <v>0</v>
      </c>
      <c r="CF687" s="42">
        <v>0</v>
      </c>
      <c r="CG687" s="42">
        <v>0</v>
      </c>
      <c r="CH687" s="42">
        <v>0</v>
      </c>
      <c r="CI687" s="42">
        <v>0</v>
      </c>
      <c r="CJ687" s="42">
        <v>2120.5915648216605</v>
      </c>
      <c r="CK687" s="43">
        <f t="shared" si="71"/>
        <v>20895.810262357663</v>
      </c>
      <c r="CL687" s="66"/>
      <c r="CM687" s="66">
        <v>0</v>
      </c>
      <c r="CN687" s="66">
        <v>0</v>
      </c>
      <c r="CO687" s="66">
        <v>0</v>
      </c>
      <c r="CP687" s="66">
        <v>1861</v>
      </c>
      <c r="CQ687" s="66">
        <v>0</v>
      </c>
      <c r="CR687" s="66">
        <v>0</v>
      </c>
      <c r="CS687" s="66">
        <v>0</v>
      </c>
      <c r="CT687" s="66">
        <v>0</v>
      </c>
      <c r="CU687" s="66">
        <v>0</v>
      </c>
      <c r="CV687" s="66">
        <v>1861</v>
      </c>
      <c r="CW687" s="66">
        <v>0</v>
      </c>
      <c r="CX687" s="66">
        <v>0</v>
      </c>
      <c r="CY687" s="66">
        <v>0</v>
      </c>
      <c r="CZ687" s="66">
        <v>0</v>
      </c>
      <c r="DA687" s="66"/>
      <c r="DB687" s="66"/>
      <c r="DC687" s="66"/>
      <c r="DD687" s="66"/>
      <c r="DE687" s="66"/>
      <c r="DF687" s="66"/>
      <c r="DG687" s="66"/>
      <c r="DH687" s="66"/>
      <c r="DI687" s="66"/>
      <c r="DJ687" s="66"/>
      <c r="DK687" s="66">
        <f>SUM(Table1[[#This Row],[01-03 Apr]:[Mar-26]])</f>
        <v>3722</v>
      </c>
    </row>
    <row r="688" spans="1:115" x14ac:dyDescent="0.2">
      <c r="A688" s="28" t="s">
        <v>2255</v>
      </c>
      <c r="B688" s="29" t="s">
        <v>1676</v>
      </c>
      <c r="C688" s="29" t="s">
        <v>1677</v>
      </c>
      <c r="D688" s="30" t="s">
        <v>1678</v>
      </c>
      <c r="E688" s="30" t="s">
        <v>584</v>
      </c>
      <c r="F688" s="30"/>
      <c r="G688" s="31"/>
      <c r="H688" s="30">
        <v>2347808</v>
      </c>
      <c r="I688" s="30" t="str">
        <f>IF(Table1[[#This Row],[Centre Status]]="Returned","NA",IF(Table1[[#This Row],[SD]]&gt;19000,"Full Payment",IF(Table1[[#This Row],[SD]]&lt;1,"No Payment","Partial Payment")))</f>
        <v>No Payment</v>
      </c>
      <c r="J688" s="30" t="s">
        <v>58</v>
      </c>
      <c r="K688" s="32">
        <v>110000</v>
      </c>
      <c r="L688" s="33">
        <f>Q688+R688+U688+Table1[[#This Row],[Farmer Payment]]</f>
        <v>31415.852355185987</v>
      </c>
      <c r="M688" s="30"/>
      <c r="N688" s="34"/>
      <c r="O688" s="34"/>
      <c r="P688" s="35">
        <f t="shared" si="72"/>
        <v>78584.147644814017</v>
      </c>
      <c r="Q688" s="33">
        <f>AI688+AV688+CK688+Table1[[#This Row],[FY 25-26]]</f>
        <v>31415.852355185987</v>
      </c>
      <c r="R688" s="36"/>
      <c r="S688" s="37"/>
      <c r="T688" s="38"/>
      <c r="U688" s="39"/>
      <c r="V688" s="39"/>
      <c r="W688" s="40">
        <v>0</v>
      </c>
      <c r="X688" s="40">
        <v>0</v>
      </c>
      <c r="Y688" s="40">
        <v>0</v>
      </c>
      <c r="Z688" s="40">
        <v>0</v>
      </c>
      <c r="AA688" s="40">
        <v>0</v>
      </c>
      <c r="AB688" s="40">
        <v>0</v>
      </c>
      <c r="AC688" s="40">
        <v>0</v>
      </c>
      <c r="AD688" s="40">
        <v>0</v>
      </c>
      <c r="AE688" s="40">
        <v>0</v>
      </c>
      <c r="AF688" s="40">
        <v>0</v>
      </c>
      <c r="AG688" s="40">
        <v>0</v>
      </c>
      <c r="AH688" s="40">
        <v>0</v>
      </c>
      <c r="AI688" s="41">
        <f t="shared" si="73"/>
        <v>0</v>
      </c>
      <c r="AJ688" s="42">
        <v>0</v>
      </c>
      <c r="AK688" s="42">
        <v>0</v>
      </c>
      <c r="AL688" s="42">
        <v>0</v>
      </c>
      <c r="AM688" s="42">
        <v>0</v>
      </c>
      <c r="AN688" s="42">
        <v>0</v>
      </c>
      <c r="AO688" s="42">
        <v>0</v>
      </c>
      <c r="AP688" s="42">
        <v>0</v>
      </c>
      <c r="AQ688" s="42">
        <v>1861</v>
      </c>
      <c r="AR688" s="42">
        <v>1861</v>
      </c>
      <c r="AS688" s="42">
        <v>1861</v>
      </c>
      <c r="AT688" s="42">
        <v>871.85235518598779</v>
      </c>
      <c r="AU688" s="42">
        <v>0</v>
      </c>
      <c r="AV688" s="42">
        <f t="shared" si="74"/>
        <v>6454.852355185988</v>
      </c>
      <c r="AW688" s="42">
        <v>835</v>
      </c>
      <c r="AX688" s="42">
        <v>1750</v>
      </c>
      <c r="AY688" s="42">
        <v>1779</v>
      </c>
      <c r="AZ688" s="42">
        <v>363</v>
      </c>
      <c r="BA688" s="42">
        <v>0</v>
      </c>
      <c r="BB688" s="42">
        <v>500</v>
      </c>
      <c r="BC688" s="42">
        <v>512</v>
      </c>
      <c r="BD688" s="42">
        <v>500</v>
      </c>
      <c r="BE688" s="42">
        <v>500</v>
      </c>
      <c r="BF688" s="42">
        <v>500</v>
      </c>
      <c r="BG688" s="42">
        <v>500</v>
      </c>
      <c r="BH688" s="42">
        <v>500</v>
      </c>
      <c r="BI688" s="42">
        <v>0</v>
      </c>
      <c r="BJ688" s="42">
        <v>500</v>
      </c>
      <c r="BK688" s="42">
        <v>500</v>
      </c>
      <c r="BL688" s="42">
        <v>500</v>
      </c>
      <c r="BM688" s="42">
        <v>500</v>
      </c>
      <c r="BN688" s="42">
        <v>0</v>
      </c>
      <c r="BO688" s="42">
        <v>500</v>
      </c>
      <c r="BP688" s="42">
        <v>500</v>
      </c>
      <c r="BQ688" s="42">
        <v>500</v>
      </c>
      <c r="BR688" s="42">
        <v>500</v>
      </c>
      <c r="BS688" s="42">
        <v>0</v>
      </c>
      <c r="BT688" s="42">
        <v>500</v>
      </c>
      <c r="BU688" s="42">
        <v>500</v>
      </c>
      <c r="BV688" s="42">
        <v>500</v>
      </c>
      <c r="BW688" s="42">
        <v>500</v>
      </c>
      <c r="BX688" s="42">
        <v>500</v>
      </c>
      <c r="BY688" s="42">
        <v>0</v>
      </c>
      <c r="BZ688" s="42">
        <v>500</v>
      </c>
      <c r="CA688" s="42">
        <v>0</v>
      </c>
      <c r="CB688" s="42">
        <v>500</v>
      </c>
      <c r="CC688" s="42">
        <v>500</v>
      </c>
      <c r="CD688" s="42">
        <v>361</v>
      </c>
      <c r="CE688" s="42">
        <v>500</v>
      </c>
      <c r="CF688" s="42">
        <v>500</v>
      </c>
      <c r="CG688" s="42">
        <v>500</v>
      </c>
      <c r="CH688" s="42">
        <v>500</v>
      </c>
      <c r="CI688" s="42">
        <v>500</v>
      </c>
      <c r="CJ688" s="42">
        <v>0</v>
      </c>
      <c r="CK688" s="43">
        <f t="shared" si="71"/>
        <v>19100</v>
      </c>
      <c r="CL688" s="66"/>
      <c r="CM688" s="66">
        <v>500</v>
      </c>
      <c r="CN688" s="66">
        <v>500</v>
      </c>
      <c r="CO688" s="66">
        <v>500</v>
      </c>
      <c r="CP688" s="66">
        <v>0</v>
      </c>
      <c r="CQ688" s="66">
        <v>500</v>
      </c>
      <c r="CR688" s="66">
        <v>500</v>
      </c>
      <c r="CS688" s="66">
        <v>0</v>
      </c>
      <c r="CT688" s="66">
        <v>500</v>
      </c>
      <c r="CU688" s="66">
        <v>500</v>
      </c>
      <c r="CV688" s="66">
        <v>361</v>
      </c>
      <c r="CW688" s="66">
        <v>500</v>
      </c>
      <c r="CX688" s="66">
        <v>500</v>
      </c>
      <c r="CY688" s="66">
        <v>500</v>
      </c>
      <c r="CZ688" s="66">
        <v>500</v>
      </c>
      <c r="DA688" s="66"/>
      <c r="DB688" s="66"/>
      <c r="DC688" s="66"/>
      <c r="DD688" s="66"/>
      <c r="DE688" s="66"/>
      <c r="DF688" s="66"/>
      <c r="DG688" s="66"/>
      <c r="DH688" s="66"/>
      <c r="DI688" s="66"/>
      <c r="DJ688" s="66"/>
      <c r="DK688" s="66">
        <f>SUM(Table1[[#This Row],[01-03 Apr]:[Mar-26]])</f>
        <v>5861</v>
      </c>
    </row>
    <row r="689" spans="1:115" hidden="1" x14ac:dyDescent="0.2">
      <c r="A689" s="28" t="s">
        <v>2367</v>
      </c>
      <c r="B689" s="29" t="s">
        <v>1687</v>
      </c>
      <c r="C689" s="29" t="s">
        <v>1688</v>
      </c>
      <c r="D689" s="30" t="s">
        <v>1689</v>
      </c>
      <c r="E689" s="30" t="s">
        <v>1630</v>
      </c>
      <c r="F689" s="30"/>
      <c r="G689" s="31"/>
      <c r="H689" s="30">
        <v>310435</v>
      </c>
      <c r="I689" s="30" t="str">
        <f>IF(Table1[[#This Row],[Centre Status]]="Returned","NA",IF(Table1[[#This Row],[SD]]&gt;19000,"Full Payment",IF(Table1[[#This Row],[SD]]&lt;1,"No Payment","Partial Payment")))</f>
        <v>NA</v>
      </c>
      <c r="J689" s="30" t="s">
        <v>1903</v>
      </c>
      <c r="K689" s="32">
        <v>110000</v>
      </c>
      <c r="L689" s="33">
        <f>Q689+R689+U689+Table1[[#This Row],[Farmer Payment]]</f>
        <v>20952.031800000001</v>
      </c>
      <c r="M689" s="30"/>
      <c r="N689" s="34"/>
      <c r="O689" s="34"/>
      <c r="P689" s="35">
        <f t="shared" si="72"/>
        <v>89047.968200000003</v>
      </c>
      <c r="Q689" s="33">
        <f>AI689+AV689+CK689+Table1[[#This Row],[FY 25-26]]</f>
        <v>15952.031800000001</v>
      </c>
      <c r="R689" s="36">
        <v>5000</v>
      </c>
      <c r="S689" s="37" t="s">
        <v>1690</v>
      </c>
      <c r="T689" s="38">
        <v>45220</v>
      </c>
      <c r="U689" s="39"/>
      <c r="V689" s="39"/>
      <c r="W689" s="40">
        <v>0</v>
      </c>
      <c r="X689" s="40">
        <v>0</v>
      </c>
      <c r="Y689" s="40">
        <v>0</v>
      </c>
      <c r="Z689" s="40">
        <v>0</v>
      </c>
      <c r="AA689" s="40">
        <v>0</v>
      </c>
      <c r="AB689" s="40">
        <v>0</v>
      </c>
      <c r="AC689" s="40">
        <v>0</v>
      </c>
      <c r="AD689" s="40">
        <v>0</v>
      </c>
      <c r="AE689" s="40">
        <v>0</v>
      </c>
      <c r="AF689" s="40">
        <v>0</v>
      </c>
      <c r="AG689" s="40">
        <v>0</v>
      </c>
      <c r="AH689" s="40">
        <v>0</v>
      </c>
      <c r="AI689" s="41">
        <f t="shared" si="73"/>
        <v>0</v>
      </c>
      <c r="AJ689" s="42">
        <v>0</v>
      </c>
      <c r="AK689" s="42">
        <v>0</v>
      </c>
      <c r="AL689" s="42">
        <v>0</v>
      </c>
      <c r="AM689" s="42">
        <v>0</v>
      </c>
      <c r="AN689" s="42">
        <v>0</v>
      </c>
      <c r="AO689" s="42">
        <v>0</v>
      </c>
      <c r="AP689" s="42">
        <v>0</v>
      </c>
      <c r="AQ689" s="42">
        <v>0</v>
      </c>
      <c r="AR689" s="42">
        <v>1861</v>
      </c>
      <c r="AS689" s="42">
        <v>2059.2352000000001</v>
      </c>
      <c r="AT689" s="42">
        <v>1861</v>
      </c>
      <c r="AU689" s="42">
        <v>1960.7965999999997</v>
      </c>
      <c r="AV689" s="42">
        <f t="shared" si="74"/>
        <v>7742.0317999999997</v>
      </c>
      <c r="AW689" s="42">
        <v>1861</v>
      </c>
      <c r="AX689" s="42">
        <v>1861</v>
      </c>
      <c r="AY689" s="42">
        <v>1861</v>
      </c>
      <c r="AZ689" s="42">
        <v>0</v>
      </c>
      <c r="BA689" s="42">
        <v>1627</v>
      </c>
      <c r="BB689" s="42">
        <v>500</v>
      </c>
      <c r="BC689" s="42">
        <v>0</v>
      </c>
      <c r="BD689" s="42">
        <v>500</v>
      </c>
      <c r="BE689" s="42">
        <v>0</v>
      </c>
      <c r="BF689" s="42">
        <v>0</v>
      </c>
      <c r="BG689" s="42">
        <v>0</v>
      </c>
      <c r="BH689" s="42">
        <v>0</v>
      </c>
      <c r="BI689" s="42">
        <v>0</v>
      </c>
      <c r="BJ689" s="42">
        <v>0</v>
      </c>
      <c r="BK689" s="42">
        <v>0</v>
      </c>
      <c r="BL689" s="42">
        <v>0</v>
      </c>
      <c r="BM689" s="42">
        <v>0</v>
      </c>
      <c r="BN689" s="42">
        <v>0</v>
      </c>
      <c r="BO689" s="42">
        <v>0</v>
      </c>
      <c r="BP689" s="42">
        <v>0</v>
      </c>
      <c r="BQ689" s="42">
        <v>0</v>
      </c>
      <c r="BR689" s="42">
        <v>0</v>
      </c>
      <c r="BS689" s="42">
        <v>0</v>
      </c>
      <c r="BT689" s="42">
        <v>0</v>
      </c>
      <c r="BU689" s="42">
        <v>0</v>
      </c>
      <c r="BV689" s="42">
        <v>0</v>
      </c>
      <c r="BW689" s="42">
        <v>0</v>
      </c>
      <c r="BX689" s="42">
        <v>0</v>
      </c>
      <c r="BY689" s="42">
        <v>0</v>
      </c>
      <c r="BZ689" s="42">
        <v>0</v>
      </c>
      <c r="CA689" s="42">
        <v>0</v>
      </c>
      <c r="CB689" s="42">
        <v>0</v>
      </c>
      <c r="CC689" s="42">
        <v>0</v>
      </c>
      <c r="CD689" s="42">
        <v>0</v>
      </c>
      <c r="CE689" s="42">
        <v>0</v>
      </c>
      <c r="CF689" s="42">
        <v>0</v>
      </c>
      <c r="CG689" s="42">
        <v>0</v>
      </c>
      <c r="CH689" s="42">
        <v>0</v>
      </c>
      <c r="CI689" s="42">
        <v>0</v>
      </c>
      <c r="CJ689" s="42">
        <v>0</v>
      </c>
      <c r="CK689" s="43">
        <f t="shared" si="71"/>
        <v>8210</v>
      </c>
      <c r="CL689" s="66"/>
      <c r="CM689" s="66">
        <v>0</v>
      </c>
      <c r="CN689" s="66">
        <v>0</v>
      </c>
      <c r="CO689" s="66">
        <v>0</v>
      </c>
      <c r="CP689" s="66">
        <v>0</v>
      </c>
      <c r="CQ689" s="66">
        <v>0</v>
      </c>
      <c r="CR689" s="66">
        <v>0</v>
      </c>
      <c r="CS689" s="66">
        <v>0</v>
      </c>
      <c r="CT689" s="66">
        <v>0</v>
      </c>
      <c r="CU689" s="66">
        <v>0</v>
      </c>
      <c r="CV689" s="66">
        <v>0</v>
      </c>
      <c r="CW689" s="66">
        <v>0</v>
      </c>
      <c r="CX689" s="66">
        <v>0</v>
      </c>
      <c r="CY689" s="66">
        <v>0</v>
      </c>
      <c r="CZ689" s="66">
        <v>0</v>
      </c>
      <c r="DA689" s="66"/>
      <c r="DB689" s="66"/>
      <c r="DC689" s="66"/>
      <c r="DD689" s="66"/>
      <c r="DE689" s="66"/>
      <c r="DF689" s="66"/>
      <c r="DG689" s="66"/>
      <c r="DH689" s="66"/>
      <c r="DI689" s="66"/>
      <c r="DJ689" s="66"/>
      <c r="DK689" s="66">
        <f>SUM(Table1[[#This Row],[01-03 Apr]:[Mar-26]])</f>
        <v>0</v>
      </c>
    </row>
    <row r="690" spans="1:115" x14ac:dyDescent="0.2">
      <c r="A690" s="28" t="s">
        <v>2367</v>
      </c>
      <c r="B690" s="29" t="s">
        <v>1691</v>
      </c>
      <c r="C690" s="29" t="s">
        <v>1692</v>
      </c>
      <c r="D690" s="30" t="s">
        <v>1693</v>
      </c>
      <c r="E690" s="30" t="s">
        <v>203</v>
      </c>
      <c r="F690" s="30"/>
      <c r="G690" s="31"/>
      <c r="H690" s="30">
        <v>368627</v>
      </c>
      <c r="I690" s="30" t="str">
        <f>IF(Table1[[#This Row],[Centre Status]]="Returned","NA",IF(Table1[[#This Row],[SD]]&gt;19000,"Full Payment",IF(Table1[[#This Row],[SD]]&lt;1,"No Payment","Partial Payment")))</f>
        <v>No Payment</v>
      </c>
      <c r="J690" s="30" t="s">
        <v>58</v>
      </c>
      <c r="K690" s="32">
        <v>110000</v>
      </c>
      <c r="L690" s="33">
        <f>Q690+R690+U690+Table1[[#This Row],[Farmer Payment]]</f>
        <v>23575.572576419214</v>
      </c>
      <c r="M690" s="30"/>
      <c r="N690" s="34"/>
      <c r="O690" s="34"/>
      <c r="P690" s="35">
        <f t="shared" si="72"/>
        <v>86424.427423580782</v>
      </c>
      <c r="Q690" s="33">
        <f>AI690+AV690+CK690+Table1[[#This Row],[FY 25-26]]</f>
        <v>23575.572576419214</v>
      </c>
      <c r="R690" s="36"/>
      <c r="S690" s="37"/>
      <c r="T690" s="38"/>
      <c r="U690" s="39"/>
      <c r="V690" s="39"/>
      <c r="W690" s="40">
        <v>0</v>
      </c>
      <c r="X690" s="40">
        <v>0</v>
      </c>
      <c r="Y690" s="40">
        <v>0</v>
      </c>
      <c r="Z690" s="40">
        <v>0</v>
      </c>
      <c r="AA690" s="40">
        <v>0</v>
      </c>
      <c r="AB690" s="40">
        <v>0</v>
      </c>
      <c r="AC690" s="40">
        <v>0</v>
      </c>
      <c r="AD690" s="40">
        <v>0</v>
      </c>
      <c r="AE690" s="40">
        <v>0</v>
      </c>
      <c r="AF690" s="40">
        <v>0</v>
      </c>
      <c r="AG690" s="40">
        <v>0</v>
      </c>
      <c r="AH690" s="40">
        <v>0</v>
      </c>
      <c r="AI690" s="41">
        <f t="shared" si="73"/>
        <v>0</v>
      </c>
      <c r="AJ690" s="42">
        <v>0</v>
      </c>
      <c r="AK690" s="42">
        <v>0</v>
      </c>
      <c r="AL690" s="42">
        <v>0</v>
      </c>
      <c r="AM690" s="42">
        <v>0</v>
      </c>
      <c r="AN690" s="42">
        <v>0</v>
      </c>
      <c r="AO690" s="42">
        <v>0</v>
      </c>
      <c r="AP690" s="42">
        <v>0</v>
      </c>
      <c r="AQ690" s="42">
        <v>0</v>
      </c>
      <c r="AR690" s="42">
        <v>1262</v>
      </c>
      <c r="AS690" s="42">
        <v>1861</v>
      </c>
      <c r="AT690" s="42">
        <v>952.5725764192141</v>
      </c>
      <c r="AU690" s="42">
        <v>0</v>
      </c>
      <c r="AV690" s="42">
        <f t="shared" si="74"/>
        <v>4075.5725764192139</v>
      </c>
      <c r="AW690" s="42">
        <v>0</v>
      </c>
      <c r="AX690" s="42">
        <v>0</v>
      </c>
      <c r="AY690" s="42">
        <v>0</v>
      </c>
      <c r="AZ690" s="42">
        <v>0</v>
      </c>
      <c r="BA690" s="42">
        <v>0</v>
      </c>
      <c r="BB690" s="42">
        <v>500</v>
      </c>
      <c r="BC690" s="42">
        <v>0</v>
      </c>
      <c r="BD690" s="42">
        <v>500</v>
      </c>
      <c r="BE690" s="42">
        <v>500</v>
      </c>
      <c r="BF690" s="42">
        <v>500</v>
      </c>
      <c r="BG690" s="42">
        <v>500</v>
      </c>
      <c r="BH690" s="42">
        <v>500</v>
      </c>
      <c r="BI690" s="42">
        <v>0</v>
      </c>
      <c r="BJ690" s="42">
        <v>500</v>
      </c>
      <c r="BK690" s="42">
        <v>500</v>
      </c>
      <c r="BL690" s="42">
        <v>500</v>
      </c>
      <c r="BM690" s="42">
        <v>500</v>
      </c>
      <c r="BN690" s="42">
        <v>0</v>
      </c>
      <c r="BO690" s="42">
        <v>500</v>
      </c>
      <c r="BP690" s="42">
        <v>500</v>
      </c>
      <c r="BQ690" s="42">
        <v>500</v>
      </c>
      <c r="BR690" s="42">
        <v>500</v>
      </c>
      <c r="BS690" s="42">
        <v>0</v>
      </c>
      <c r="BT690" s="42">
        <v>500</v>
      </c>
      <c r="BU690" s="42">
        <v>500</v>
      </c>
      <c r="BV690" s="42">
        <v>500</v>
      </c>
      <c r="BW690" s="42">
        <v>500</v>
      </c>
      <c r="BX690" s="42">
        <v>500</v>
      </c>
      <c r="BY690" s="42">
        <v>0</v>
      </c>
      <c r="BZ690" s="42">
        <v>500</v>
      </c>
      <c r="CA690" s="42">
        <v>500</v>
      </c>
      <c r="CB690" s="42">
        <v>500</v>
      </c>
      <c r="CC690" s="42">
        <v>500</v>
      </c>
      <c r="CD690" s="42">
        <v>0</v>
      </c>
      <c r="CE690" s="42">
        <v>500</v>
      </c>
      <c r="CF690" s="42">
        <v>500</v>
      </c>
      <c r="CG690" s="42">
        <v>500</v>
      </c>
      <c r="CH690" s="42">
        <v>500</v>
      </c>
      <c r="CI690" s="42">
        <v>500</v>
      </c>
      <c r="CJ690" s="42">
        <v>0</v>
      </c>
      <c r="CK690" s="43">
        <f t="shared" si="71"/>
        <v>14000</v>
      </c>
      <c r="CL690" s="66"/>
      <c r="CM690" s="66">
        <v>500</v>
      </c>
      <c r="CN690" s="66">
        <v>500</v>
      </c>
      <c r="CO690" s="66">
        <v>500</v>
      </c>
      <c r="CP690" s="66">
        <v>0</v>
      </c>
      <c r="CQ690" s="66">
        <v>500</v>
      </c>
      <c r="CR690" s="66">
        <v>500</v>
      </c>
      <c r="CS690" s="66">
        <v>500</v>
      </c>
      <c r="CT690" s="66">
        <v>500</v>
      </c>
      <c r="CU690" s="66">
        <v>500</v>
      </c>
      <c r="CV690" s="66">
        <v>0</v>
      </c>
      <c r="CW690" s="66">
        <v>500</v>
      </c>
      <c r="CX690" s="66">
        <v>500</v>
      </c>
      <c r="CY690" s="66">
        <v>500</v>
      </c>
      <c r="CZ690" s="66">
        <v>0</v>
      </c>
      <c r="DA690" s="66"/>
      <c r="DB690" s="66"/>
      <c r="DC690" s="66"/>
      <c r="DD690" s="66"/>
      <c r="DE690" s="66"/>
      <c r="DF690" s="66"/>
      <c r="DG690" s="66"/>
      <c r="DH690" s="66"/>
      <c r="DI690" s="66"/>
      <c r="DJ690" s="66"/>
      <c r="DK690" s="66">
        <f>SUM(Table1[[#This Row],[01-03 Apr]:[Mar-26]])</f>
        <v>5500</v>
      </c>
    </row>
    <row r="691" spans="1:115" x14ac:dyDescent="0.2">
      <c r="A691" s="28" t="s">
        <v>2367</v>
      </c>
      <c r="B691" s="29" t="s">
        <v>1694</v>
      </c>
      <c r="C691" s="29" t="s">
        <v>1695</v>
      </c>
      <c r="D691" s="30" t="s">
        <v>1696</v>
      </c>
      <c r="E691" s="30" t="s">
        <v>203</v>
      </c>
      <c r="F691" s="30"/>
      <c r="G691" s="31"/>
      <c r="H691" s="30">
        <v>194017</v>
      </c>
      <c r="I691" s="30" t="str">
        <f>IF(Table1[[#This Row],[Centre Status]]="Returned","NA",IF(Table1[[#This Row],[SD]]&gt;19000,"Full Payment",IF(Table1[[#This Row],[SD]]&lt;1,"No Payment","Partial Payment")))</f>
        <v>No Payment</v>
      </c>
      <c r="J691" s="30" t="s">
        <v>58</v>
      </c>
      <c r="K691" s="32">
        <v>110000</v>
      </c>
      <c r="L691" s="33">
        <f>Q691+R691+U691+Table1[[#This Row],[Farmer Payment]]</f>
        <v>30675.143297912415</v>
      </c>
      <c r="M691" s="30"/>
      <c r="N691" s="34"/>
      <c r="O691" s="34"/>
      <c r="P691" s="35">
        <f t="shared" si="72"/>
        <v>79324.856702087593</v>
      </c>
      <c r="Q691" s="33">
        <f>AI691+AV691+CK691+Table1[[#This Row],[FY 25-26]]</f>
        <v>30675.143297912415</v>
      </c>
      <c r="R691" s="36"/>
      <c r="S691" s="37"/>
      <c r="T691" s="38"/>
      <c r="U691" s="39"/>
      <c r="V691" s="39"/>
      <c r="W691" s="40">
        <v>0</v>
      </c>
      <c r="X691" s="40">
        <v>0</v>
      </c>
      <c r="Y691" s="40">
        <v>0</v>
      </c>
      <c r="Z691" s="40">
        <v>0</v>
      </c>
      <c r="AA691" s="40">
        <v>0</v>
      </c>
      <c r="AB691" s="40">
        <v>0</v>
      </c>
      <c r="AC691" s="40">
        <v>0</v>
      </c>
      <c r="AD691" s="40">
        <v>0</v>
      </c>
      <c r="AE691" s="40">
        <v>0</v>
      </c>
      <c r="AF691" s="40">
        <v>0</v>
      </c>
      <c r="AG691" s="40">
        <v>0</v>
      </c>
      <c r="AH691" s="40">
        <v>0</v>
      </c>
      <c r="AI691" s="41">
        <f t="shared" si="73"/>
        <v>0</v>
      </c>
      <c r="AJ691" s="42">
        <v>0</v>
      </c>
      <c r="AK691" s="42">
        <v>0</v>
      </c>
      <c r="AL691" s="42">
        <v>0</v>
      </c>
      <c r="AM691" s="42">
        <v>0</v>
      </c>
      <c r="AN691" s="42">
        <v>0</v>
      </c>
      <c r="AO691" s="42">
        <v>0</v>
      </c>
      <c r="AP691" s="42">
        <v>0</v>
      </c>
      <c r="AQ691" s="42">
        <v>0</v>
      </c>
      <c r="AR691" s="42">
        <v>0</v>
      </c>
      <c r="AS691" s="42">
        <v>1861</v>
      </c>
      <c r="AT691" s="42">
        <v>2483.2262000000001</v>
      </c>
      <c r="AU691" s="42">
        <v>3481.2143999999994</v>
      </c>
      <c r="AV691" s="42">
        <f t="shared" si="74"/>
        <v>7825.4405999999999</v>
      </c>
      <c r="AW691" s="42">
        <v>2071.6748771622397</v>
      </c>
      <c r="AX691" s="42">
        <v>2220.8248350835206</v>
      </c>
      <c r="AY691" s="42">
        <v>1861</v>
      </c>
      <c r="AZ691" s="42">
        <v>1861.5446806912962</v>
      </c>
      <c r="BA691" s="42">
        <v>0</v>
      </c>
      <c r="BB691" s="42">
        <v>0</v>
      </c>
      <c r="BC691" s="42">
        <v>2029.6583049753604</v>
      </c>
      <c r="BD691" s="42">
        <v>0</v>
      </c>
      <c r="BE691" s="42">
        <v>0</v>
      </c>
      <c r="BF691" s="42">
        <v>0</v>
      </c>
      <c r="BG691" s="42">
        <v>0</v>
      </c>
      <c r="BH691" s="42">
        <v>0</v>
      </c>
      <c r="BI691" s="42">
        <v>0</v>
      </c>
      <c r="BJ691" s="42">
        <v>0</v>
      </c>
      <c r="BK691" s="42">
        <v>0</v>
      </c>
      <c r="BL691" s="42">
        <v>500</v>
      </c>
      <c r="BM691" s="42">
        <v>500</v>
      </c>
      <c r="BN691" s="42">
        <v>0</v>
      </c>
      <c r="BO691" s="42">
        <v>500</v>
      </c>
      <c r="BP691" s="42">
        <v>500</v>
      </c>
      <c r="BQ691" s="42">
        <v>500</v>
      </c>
      <c r="BR691" s="42">
        <v>500</v>
      </c>
      <c r="BS691" s="42">
        <v>0</v>
      </c>
      <c r="BT691" s="42">
        <v>500</v>
      </c>
      <c r="BU691" s="42">
        <v>500</v>
      </c>
      <c r="BV691" s="42">
        <v>0</v>
      </c>
      <c r="BW691" s="42">
        <v>0</v>
      </c>
      <c r="BX691" s="42">
        <v>0</v>
      </c>
      <c r="BY691" s="42">
        <v>1361</v>
      </c>
      <c r="BZ691" s="42">
        <v>0</v>
      </c>
      <c r="CA691" s="42">
        <v>0</v>
      </c>
      <c r="CB691" s="42">
        <v>0</v>
      </c>
      <c r="CC691" s="42">
        <v>0</v>
      </c>
      <c r="CD691" s="42">
        <v>1861</v>
      </c>
      <c r="CE691" s="42">
        <v>0</v>
      </c>
      <c r="CF691" s="42">
        <v>0</v>
      </c>
      <c r="CG691" s="42">
        <v>0</v>
      </c>
      <c r="CH691" s="42">
        <v>0</v>
      </c>
      <c r="CI691" s="42">
        <v>0</v>
      </c>
      <c r="CJ691" s="42">
        <v>1861</v>
      </c>
      <c r="CK691" s="43">
        <f t="shared" si="71"/>
        <v>19127.702697912417</v>
      </c>
      <c r="CL691" s="66"/>
      <c r="CM691" s="66">
        <v>0</v>
      </c>
      <c r="CN691" s="66">
        <v>0</v>
      </c>
      <c r="CO691" s="66">
        <v>0</v>
      </c>
      <c r="CP691" s="66">
        <v>1861</v>
      </c>
      <c r="CQ691" s="66">
        <v>0</v>
      </c>
      <c r="CR691" s="66">
        <v>0</v>
      </c>
      <c r="CS691" s="66">
        <v>0</v>
      </c>
      <c r="CT691" s="66">
        <v>0</v>
      </c>
      <c r="CU691" s="66">
        <v>0</v>
      </c>
      <c r="CV691" s="66">
        <v>1861</v>
      </c>
      <c r="CW691" s="66">
        <v>0</v>
      </c>
      <c r="CX691" s="66">
        <v>0</v>
      </c>
      <c r="CY691" s="66">
        <v>0</v>
      </c>
      <c r="CZ691" s="66">
        <v>0</v>
      </c>
      <c r="DA691" s="66"/>
      <c r="DB691" s="66"/>
      <c r="DC691" s="66"/>
      <c r="DD691" s="66"/>
      <c r="DE691" s="66"/>
      <c r="DF691" s="66"/>
      <c r="DG691" s="66"/>
      <c r="DH691" s="66"/>
      <c r="DI691" s="66"/>
      <c r="DJ691" s="66"/>
      <c r="DK691" s="66">
        <f>SUM(Table1[[#This Row],[01-03 Apr]:[Mar-26]])</f>
        <v>3722</v>
      </c>
    </row>
    <row r="692" spans="1:115" x14ac:dyDescent="0.2">
      <c r="A692" s="28" t="s">
        <v>2367</v>
      </c>
      <c r="B692" s="29" t="s">
        <v>1697</v>
      </c>
      <c r="C692" s="29" t="s">
        <v>1698</v>
      </c>
      <c r="D692" s="30" t="s">
        <v>1699</v>
      </c>
      <c r="E692" s="30" t="s">
        <v>203</v>
      </c>
      <c r="F692" s="30"/>
      <c r="G692" s="31"/>
      <c r="H692" s="30">
        <v>322452</v>
      </c>
      <c r="I692" s="30" t="str">
        <f>IF(Table1[[#This Row],[Centre Status]]="Returned","NA",IF(Table1[[#This Row],[SD]]&gt;19000,"Full Payment",IF(Table1[[#This Row],[SD]]&lt;1,"No Payment","Partial Payment")))</f>
        <v>No Payment</v>
      </c>
      <c r="J692" s="30" t="s">
        <v>58</v>
      </c>
      <c r="K692" s="32">
        <v>110000</v>
      </c>
      <c r="L692" s="33">
        <f>Q692+R692+U692+Table1[[#This Row],[Farmer Payment]]</f>
        <v>14853.3604</v>
      </c>
      <c r="M692" s="30"/>
      <c r="N692" s="34"/>
      <c r="O692" s="34"/>
      <c r="P692" s="35">
        <f t="shared" si="72"/>
        <v>95146.639599999995</v>
      </c>
      <c r="Q692" s="33">
        <f>AI692+AV692+CK692+Table1[[#This Row],[FY 25-26]]</f>
        <v>14853.3604</v>
      </c>
      <c r="R692" s="36"/>
      <c r="S692" s="37"/>
      <c r="T692" s="38"/>
      <c r="U692" s="39"/>
      <c r="V692" s="39"/>
      <c r="W692" s="40">
        <v>0</v>
      </c>
      <c r="X692" s="40">
        <v>0</v>
      </c>
      <c r="Y692" s="40">
        <v>0</v>
      </c>
      <c r="Z692" s="40">
        <v>0</v>
      </c>
      <c r="AA692" s="40">
        <v>0</v>
      </c>
      <c r="AB692" s="40">
        <v>0</v>
      </c>
      <c r="AC692" s="40">
        <v>0</v>
      </c>
      <c r="AD692" s="40">
        <v>0</v>
      </c>
      <c r="AE692" s="40">
        <v>0</v>
      </c>
      <c r="AF692" s="40">
        <v>0</v>
      </c>
      <c r="AG692" s="40">
        <v>0</v>
      </c>
      <c r="AH692" s="40">
        <v>0</v>
      </c>
      <c r="AI692" s="41">
        <f t="shared" si="73"/>
        <v>0</v>
      </c>
      <c r="AJ692" s="42">
        <v>0</v>
      </c>
      <c r="AK692" s="42">
        <v>0</v>
      </c>
      <c r="AL692" s="42">
        <v>0</v>
      </c>
      <c r="AM692" s="42">
        <v>0</v>
      </c>
      <c r="AN692" s="42">
        <v>0</v>
      </c>
      <c r="AO692" s="42">
        <v>0</v>
      </c>
      <c r="AP692" s="42">
        <v>0</v>
      </c>
      <c r="AQ692" s="42">
        <v>0</v>
      </c>
      <c r="AR692" s="42">
        <v>0</v>
      </c>
      <c r="AS692" s="42">
        <v>237</v>
      </c>
      <c r="AT692" s="42">
        <v>1861</v>
      </c>
      <c r="AU692" s="42">
        <v>2380.3604</v>
      </c>
      <c r="AV692" s="42">
        <f t="shared" si="74"/>
        <v>4478.3603999999996</v>
      </c>
      <c r="AW692" s="42">
        <v>1861</v>
      </c>
      <c r="AX692" s="42">
        <v>1861</v>
      </c>
      <c r="AY692" s="42">
        <v>1276</v>
      </c>
      <c r="AZ692" s="42">
        <v>0</v>
      </c>
      <c r="BA692" s="42">
        <v>0</v>
      </c>
      <c r="BB692" s="42">
        <v>500</v>
      </c>
      <c r="BC692" s="42">
        <v>0</v>
      </c>
      <c r="BD692" s="42">
        <v>500</v>
      </c>
      <c r="BE692" s="42">
        <v>500</v>
      </c>
      <c r="BF692" s="42">
        <v>500</v>
      </c>
      <c r="BG692" s="42">
        <v>500</v>
      </c>
      <c r="BH692" s="42">
        <v>500</v>
      </c>
      <c r="BI692" s="42">
        <v>0</v>
      </c>
      <c r="BJ692" s="42">
        <v>500</v>
      </c>
      <c r="BK692" s="42">
        <v>500</v>
      </c>
      <c r="BL692" s="42">
        <v>500</v>
      </c>
      <c r="BM692" s="42">
        <v>500</v>
      </c>
      <c r="BN692" s="42">
        <v>0</v>
      </c>
      <c r="BO692" s="42">
        <v>324</v>
      </c>
      <c r="BP692" s="42">
        <v>53</v>
      </c>
      <c r="BQ692" s="42">
        <v>0</v>
      </c>
      <c r="BR692" s="42">
        <v>0</v>
      </c>
      <c r="BS692" s="42">
        <v>0</v>
      </c>
      <c r="BT692" s="42">
        <v>0</v>
      </c>
      <c r="BU692" s="42">
        <v>0</v>
      </c>
      <c r="BV692" s="42">
        <v>0</v>
      </c>
      <c r="BW692" s="42">
        <v>0</v>
      </c>
      <c r="BX692" s="42">
        <v>0</v>
      </c>
      <c r="BY692" s="42">
        <v>0</v>
      </c>
      <c r="BZ692" s="42">
        <v>0</v>
      </c>
      <c r="CA692" s="42">
        <v>0</v>
      </c>
      <c r="CB692" s="42">
        <v>0</v>
      </c>
      <c r="CC692" s="42">
        <v>0</v>
      </c>
      <c r="CD692" s="42">
        <v>0</v>
      </c>
      <c r="CE692" s="42">
        <v>0</v>
      </c>
      <c r="CF692" s="42">
        <v>0</v>
      </c>
      <c r="CG692" s="42">
        <v>0</v>
      </c>
      <c r="CH692" s="42">
        <v>0</v>
      </c>
      <c r="CI692" s="42">
        <v>0</v>
      </c>
      <c r="CJ692" s="42">
        <v>0</v>
      </c>
      <c r="CK692" s="43">
        <f t="shared" si="71"/>
        <v>10375</v>
      </c>
      <c r="CL692" s="66"/>
      <c r="CM692" s="66">
        <v>0</v>
      </c>
      <c r="CN692" s="66">
        <v>0</v>
      </c>
      <c r="CO692" s="66">
        <v>0</v>
      </c>
      <c r="CP692" s="66">
        <v>0</v>
      </c>
      <c r="CQ692" s="66">
        <v>0</v>
      </c>
      <c r="CR692" s="66">
        <v>0</v>
      </c>
      <c r="CS692" s="66">
        <v>0</v>
      </c>
      <c r="CT692" s="66">
        <v>0</v>
      </c>
      <c r="CU692" s="66">
        <v>0</v>
      </c>
      <c r="CV692" s="66">
        <v>0</v>
      </c>
      <c r="CW692" s="66">
        <v>0</v>
      </c>
      <c r="CX692" s="66">
        <v>0</v>
      </c>
      <c r="CY692" s="66">
        <v>0</v>
      </c>
      <c r="CZ692" s="66">
        <v>0</v>
      </c>
      <c r="DA692" s="66"/>
      <c r="DB692" s="66"/>
      <c r="DC692" s="66"/>
      <c r="DD692" s="66"/>
      <c r="DE692" s="66"/>
      <c r="DF692" s="66"/>
      <c r="DG692" s="66"/>
      <c r="DH692" s="66"/>
      <c r="DI692" s="66"/>
      <c r="DJ692" s="66"/>
      <c r="DK692" s="66">
        <f>SUM(Table1[[#This Row],[01-03 Apr]:[Mar-26]])</f>
        <v>0</v>
      </c>
    </row>
    <row r="693" spans="1:115" x14ac:dyDescent="0.2">
      <c r="A693" s="28" t="s">
        <v>2255</v>
      </c>
      <c r="B693" s="29" t="s">
        <v>1706</v>
      </c>
      <c r="C693" s="29" t="s">
        <v>1707</v>
      </c>
      <c r="D693" s="30" t="s">
        <v>1708</v>
      </c>
      <c r="E693" s="30" t="s">
        <v>1709</v>
      </c>
      <c r="F693" s="30"/>
      <c r="G693" s="31"/>
      <c r="H693" s="30">
        <v>382427</v>
      </c>
      <c r="I693" s="30" t="str">
        <f>IF(Table1[[#This Row],[Centre Status]]="Returned","NA",IF(Table1[[#This Row],[SD]]&gt;19000,"Full Payment",IF(Table1[[#This Row],[SD]]&lt;1,"No Payment","Partial Payment")))</f>
        <v>Partial Payment</v>
      </c>
      <c r="J693" s="30" t="s">
        <v>58</v>
      </c>
      <c r="K693" s="32">
        <v>110000</v>
      </c>
      <c r="L693" s="33">
        <f>Q693+R693+U693+Table1[[#This Row],[Farmer Payment]]</f>
        <v>33243.094706667674</v>
      </c>
      <c r="M693" s="30"/>
      <c r="N693" s="34"/>
      <c r="O693" s="34"/>
      <c r="P693" s="35">
        <f t="shared" si="72"/>
        <v>76756.905293332326</v>
      </c>
      <c r="Q693" s="33">
        <f>AI693+AV693+CK693+Table1[[#This Row],[FY 25-26]]</f>
        <v>28243.094706667674</v>
      </c>
      <c r="R693" s="36">
        <v>5000</v>
      </c>
      <c r="S693" s="37" t="s">
        <v>1710</v>
      </c>
      <c r="T693" s="38">
        <v>45205</v>
      </c>
      <c r="U693" s="39"/>
      <c r="V693" s="39"/>
      <c r="W693" s="40">
        <v>0</v>
      </c>
      <c r="X693" s="40">
        <v>0</v>
      </c>
      <c r="Y693" s="40">
        <v>0</v>
      </c>
      <c r="Z693" s="40">
        <v>0</v>
      </c>
      <c r="AA693" s="40">
        <v>0</v>
      </c>
      <c r="AB693" s="40">
        <v>0</v>
      </c>
      <c r="AC693" s="40">
        <v>0</v>
      </c>
      <c r="AD693" s="40">
        <v>0</v>
      </c>
      <c r="AE693" s="40">
        <v>0</v>
      </c>
      <c r="AF693" s="40">
        <v>0</v>
      </c>
      <c r="AG693" s="40">
        <v>0</v>
      </c>
      <c r="AH693" s="40">
        <v>0</v>
      </c>
      <c r="AI693" s="41">
        <f t="shared" si="73"/>
        <v>0</v>
      </c>
      <c r="AJ693" s="42">
        <v>0</v>
      </c>
      <c r="AK693" s="42">
        <v>0</v>
      </c>
      <c r="AL693" s="42">
        <v>0</v>
      </c>
      <c r="AM693" s="42">
        <v>0</v>
      </c>
      <c r="AN693" s="42">
        <v>0</v>
      </c>
      <c r="AO693" s="42">
        <v>0</v>
      </c>
      <c r="AP693" s="42">
        <v>0</v>
      </c>
      <c r="AQ693" s="42">
        <v>921</v>
      </c>
      <c r="AR693" s="42">
        <v>1165</v>
      </c>
      <c r="AS693" s="42">
        <v>1482</v>
      </c>
      <c r="AT693" s="42">
        <v>0</v>
      </c>
      <c r="AU693" s="42">
        <v>0</v>
      </c>
      <c r="AV693" s="42">
        <f t="shared" si="74"/>
        <v>3568</v>
      </c>
      <c r="AW693" s="42">
        <v>0</v>
      </c>
      <c r="AX693" s="42">
        <v>283</v>
      </c>
      <c r="AY693" s="42">
        <v>1212</v>
      </c>
      <c r="AZ693" s="42">
        <v>1861</v>
      </c>
      <c r="BA693" s="42">
        <v>665</v>
      </c>
      <c r="BB693" s="42">
        <v>500</v>
      </c>
      <c r="BC693" s="42">
        <v>459</v>
      </c>
      <c r="BD693" s="42">
        <v>500</v>
      </c>
      <c r="BE693" s="42">
        <v>500</v>
      </c>
      <c r="BF693" s="42">
        <v>500</v>
      </c>
      <c r="BG693" s="42">
        <v>500</v>
      </c>
      <c r="BH693" s="42">
        <v>500</v>
      </c>
      <c r="BI693" s="42">
        <v>0</v>
      </c>
      <c r="BJ693" s="42">
        <v>500</v>
      </c>
      <c r="BK693" s="42">
        <v>500</v>
      </c>
      <c r="BL693" s="42">
        <v>500</v>
      </c>
      <c r="BM693" s="42">
        <v>500</v>
      </c>
      <c r="BN693" s="42">
        <v>0</v>
      </c>
      <c r="BO693" s="42">
        <v>500</v>
      </c>
      <c r="BP693" s="42">
        <v>500</v>
      </c>
      <c r="BQ693" s="42">
        <v>500</v>
      </c>
      <c r="BR693" s="42">
        <v>500</v>
      </c>
      <c r="BS693" s="42">
        <v>0</v>
      </c>
      <c r="BT693" s="42">
        <v>500</v>
      </c>
      <c r="BU693" s="42">
        <v>500</v>
      </c>
      <c r="BV693" s="42">
        <v>500</v>
      </c>
      <c r="BW693" s="42">
        <v>500</v>
      </c>
      <c r="BX693" s="42">
        <v>500</v>
      </c>
      <c r="BY693" s="42">
        <v>0</v>
      </c>
      <c r="BZ693" s="42">
        <v>500</v>
      </c>
      <c r="CA693" s="42">
        <v>0</v>
      </c>
      <c r="CB693" s="42">
        <v>500</v>
      </c>
      <c r="CC693" s="42">
        <v>500</v>
      </c>
      <c r="CD693" s="42">
        <v>421.46443014889019</v>
      </c>
      <c r="CE693" s="42">
        <v>500</v>
      </c>
      <c r="CF693" s="42">
        <v>500</v>
      </c>
      <c r="CG693" s="42">
        <v>500</v>
      </c>
      <c r="CH693" s="42">
        <v>500</v>
      </c>
      <c r="CI693" s="42">
        <v>500</v>
      </c>
      <c r="CJ693" s="42">
        <v>273.63027651878838</v>
      </c>
      <c r="CK693" s="43">
        <f t="shared" si="71"/>
        <v>18675.094706667674</v>
      </c>
      <c r="CL693" s="66"/>
      <c r="CM693" s="66">
        <v>500</v>
      </c>
      <c r="CN693" s="66">
        <v>500</v>
      </c>
      <c r="CO693" s="66">
        <v>500</v>
      </c>
      <c r="CP693" s="66">
        <v>0</v>
      </c>
      <c r="CQ693" s="66">
        <v>500</v>
      </c>
      <c r="CR693" s="66">
        <v>500</v>
      </c>
      <c r="CS693" s="66">
        <v>500</v>
      </c>
      <c r="CT693" s="66">
        <v>500</v>
      </c>
      <c r="CU693" s="66">
        <v>500</v>
      </c>
      <c r="CV693" s="66">
        <v>0</v>
      </c>
      <c r="CW693" s="66">
        <v>500</v>
      </c>
      <c r="CX693" s="66">
        <v>500</v>
      </c>
      <c r="CY693" s="66">
        <v>500</v>
      </c>
      <c r="CZ693" s="66">
        <v>500</v>
      </c>
      <c r="DA693" s="66"/>
      <c r="DB693" s="66"/>
      <c r="DC693" s="66"/>
      <c r="DD693" s="66"/>
      <c r="DE693" s="66"/>
      <c r="DF693" s="66"/>
      <c r="DG693" s="66"/>
      <c r="DH693" s="66"/>
      <c r="DI693" s="66"/>
      <c r="DJ693" s="66"/>
      <c r="DK693" s="66">
        <f>SUM(Table1[[#This Row],[01-03 Apr]:[Mar-26]])</f>
        <v>6000</v>
      </c>
    </row>
    <row r="694" spans="1:115" x14ac:dyDescent="0.2">
      <c r="A694" s="28" t="s">
        <v>2255</v>
      </c>
      <c r="B694" s="29" t="s">
        <v>1711</v>
      </c>
      <c r="C694" s="29" t="s">
        <v>1712</v>
      </c>
      <c r="D694" s="30" t="s">
        <v>1713</v>
      </c>
      <c r="E694" s="30" t="s">
        <v>217</v>
      </c>
      <c r="F694" s="30"/>
      <c r="G694" s="31"/>
      <c r="H694" s="30">
        <v>387836</v>
      </c>
      <c r="I694" s="30" t="str">
        <f>IF(Table1[[#This Row],[Centre Status]]="Returned","NA",IF(Table1[[#This Row],[SD]]&gt;19000,"Full Payment",IF(Table1[[#This Row],[SD]]&lt;1,"No Payment","Partial Payment")))</f>
        <v>Partial Payment</v>
      </c>
      <c r="J694" s="30" t="s">
        <v>58</v>
      </c>
      <c r="K694" s="32">
        <v>110000</v>
      </c>
      <c r="L694" s="33">
        <f>Q694+R694+U694+Table1[[#This Row],[Farmer Payment]]</f>
        <v>26256.890200000002</v>
      </c>
      <c r="M694" s="30"/>
      <c r="N694" s="34"/>
      <c r="O694" s="34"/>
      <c r="P694" s="35">
        <f t="shared" si="72"/>
        <v>83743.109800000006</v>
      </c>
      <c r="Q694" s="33">
        <f>AI694+AV694+CK694+Table1[[#This Row],[FY 25-26]]</f>
        <v>16256.890200000002</v>
      </c>
      <c r="R694" s="36">
        <v>10000</v>
      </c>
      <c r="S694" s="37" t="s">
        <v>1714</v>
      </c>
      <c r="T694" s="38">
        <v>45205</v>
      </c>
      <c r="U694" s="39"/>
      <c r="V694" s="39"/>
      <c r="W694" s="40">
        <v>0</v>
      </c>
      <c r="X694" s="40">
        <v>0</v>
      </c>
      <c r="Y694" s="40">
        <v>0</v>
      </c>
      <c r="Z694" s="40">
        <v>0</v>
      </c>
      <c r="AA694" s="40">
        <v>0</v>
      </c>
      <c r="AB694" s="40">
        <v>0</v>
      </c>
      <c r="AC694" s="40">
        <v>0</v>
      </c>
      <c r="AD694" s="40">
        <v>0</v>
      </c>
      <c r="AE694" s="40">
        <v>0</v>
      </c>
      <c r="AF694" s="40">
        <v>0</v>
      </c>
      <c r="AG694" s="40">
        <v>0</v>
      </c>
      <c r="AH694" s="40">
        <v>0</v>
      </c>
      <c r="AI694" s="41">
        <f t="shared" si="73"/>
        <v>0</v>
      </c>
      <c r="AJ694" s="42">
        <v>0</v>
      </c>
      <c r="AK694" s="42">
        <v>0</v>
      </c>
      <c r="AL694" s="42">
        <v>0</v>
      </c>
      <c r="AM694" s="42">
        <v>0</v>
      </c>
      <c r="AN694" s="42">
        <v>0</v>
      </c>
      <c r="AO694" s="42">
        <v>0</v>
      </c>
      <c r="AP694" s="42">
        <v>0</v>
      </c>
      <c r="AQ694" s="42">
        <v>2903.6670000000004</v>
      </c>
      <c r="AR694" s="42">
        <v>1861</v>
      </c>
      <c r="AS694" s="42">
        <v>4232.381800000001</v>
      </c>
      <c r="AT694" s="42">
        <v>5800.8414000000002</v>
      </c>
      <c r="AU694" s="42">
        <v>1459</v>
      </c>
      <c r="AV694" s="42">
        <f t="shared" si="74"/>
        <v>16256.890200000002</v>
      </c>
      <c r="AW694" s="42">
        <v>0</v>
      </c>
      <c r="AX694" s="42">
        <v>0</v>
      </c>
      <c r="AY694" s="42">
        <v>0</v>
      </c>
      <c r="AZ694" s="42">
        <v>0</v>
      </c>
      <c r="BA694" s="42">
        <v>0</v>
      </c>
      <c r="BB694" s="42">
        <v>0</v>
      </c>
      <c r="BC694" s="42">
        <v>0</v>
      </c>
      <c r="BD694" s="42">
        <v>0</v>
      </c>
      <c r="BE694" s="42">
        <v>0</v>
      </c>
      <c r="BF694" s="42">
        <v>0</v>
      </c>
      <c r="BG694" s="42">
        <v>0</v>
      </c>
      <c r="BH694" s="42">
        <v>0</v>
      </c>
      <c r="BI694" s="42">
        <v>0</v>
      </c>
      <c r="BJ694" s="42">
        <v>0</v>
      </c>
      <c r="BK694" s="42">
        <v>0</v>
      </c>
      <c r="BL694" s="42">
        <v>0</v>
      </c>
      <c r="BM694" s="42">
        <v>0</v>
      </c>
      <c r="BN694" s="42">
        <v>0</v>
      </c>
      <c r="BO694" s="42">
        <v>0</v>
      </c>
      <c r="BP694" s="42">
        <v>0</v>
      </c>
      <c r="BQ694" s="42">
        <v>0</v>
      </c>
      <c r="BR694" s="42">
        <v>0</v>
      </c>
      <c r="BS694" s="42">
        <v>0</v>
      </c>
      <c r="BT694" s="42">
        <v>0</v>
      </c>
      <c r="BU694" s="42">
        <v>0</v>
      </c>
      <c r="BV694" s="42">
        <v>0</v>
      </c>
      <c r="BW694" s="42">
        <v>0</v>
      </c>
      <c r="BX694" s="42">
        <v>0</v>
      </c>
      <c r="BY694" s="42">
        <v>0</v>
      </c>
      <c r="BZ694" s="42">
        <v>0</v>
      </c>
      <c r="CA694" s="42">
        <v>0</v>
      </c>
      <c r="CB694" s="42">
        <v>0</v>
      </c>
      <c r="CC694" s="42">
        <v>0</v>
      </c>
      <c r="CD694" s="42">
        <v>0</v>
      </c>
      <c r="CE694" s="42">
        <v>0</v>
      </c>
      <c r="CF694" s="42">
        <v>0</v>
      </c>
      <c r="CG694" s="42">
        <v>0</v>
      </c>
      <c r="CH694" s="42">
        <v>0</v>
      </c>
      <c r="CI694" s="42">
        <v>0</v>
      </c>
      <c r="CJ694" s="42">
        <v>0</v>
      </c>
      <c r="CK694" s="43">
        <f t="shared" si="71"/>
        <v>0</v>
      </c>
      <c r="CL694" s="66"/>
      <c r="CM694" s="66">
        <v>0</v>
      </c>
      <c r="CN694" s="66">
        <v>0</v>
      </c>
      <c r="CO694" s="66">
        <v>0</v>
      </c>
      <c r="CP694" s="66">
        <v>0</v>
      </c>
      <c r="CQ694" s="66">
        <v>0</v>
      </c>
      <c r="CR694" s="66">
        <v>0</v>
      </c>
      <c r="CS694" s="66">
        <v>0</v>
      </c>
      <c r="CT694" s="66">
        <v>0</v>
      </c>
      <c r="CU694" s="66">
        <v>0</v>
      </c>
      <c r="CV694" s="66">
        <v>0</v>
      </c>
      <c r="CW694" s="66">
        <v>0</v>
      </c>
      <c r="CX694" s="66">
        <v>0</v>
      </c>
      <c r="CY694" s="66">
        <v>0</v>
      </c>
      <c r="CZ694" s="66">
        <v>0</v>
      </c>
      <c r="DA694" s="66"/>
      <c r="DB694" s="66"/>
      <c r="DC694" s="66"/>
      <c r="DD694" s="66"/>
      <c r="DE694" s="66"/>
      <c r="DF694" s="66"/>
      <c r="DG694" s="66"/>
      <c r="DH694" s="66"/>
      <c r="DI694" s="66"/>
      <c r="DJ694" s="66"/>
      <c r="DK694" s="66">
        <f>SUM(Table1[[#This Row],[01-03 Apr]:[Mar-26]])</f>
        <v>0</v>
      </c>
    </row>
    <row r="695" spans="1:115" x14ac:dyDescent="0.2">
      <c r="A695" s="28" t="s">
        <v>2629</v>
      </c>
      <c r="B695" s="29" t="s">
        <v>1715</v>
      </c>
      <c r="C695" s="29" t="s">
        <v>3336</v>
      </c>
      <c r="D695" s="30" t="s">
        <v>1716</v>
      </c>
      <c r="E695" s="30" t="s">
        <v>1709</v>
      </c>
      <c r="F695" s="30"/>
      <c r="G695" s="31"/>
      <c r="H695" s="30"/>
      <c r="I695" s="30" t="str">
        <f>IF(Table1[[#This Row],[Centre Status]]="Returned","NA",IF(Table1[[#This Row],[SD]]&gt;19000,"Full Payment",IF(Table1[[#This Row],[SD]]&lt;1,"No Payment","Partial Payment")))</f>
        <v>No Payment</v>
      </c>
      <c r="J695" s="30" t="s">
        <v>58</v>
      </c>
      <c r="K695" s="32">
        <v>110000</v>
      </c>
      <c r="L695" s="33">
        <f>Q695+R695+U695+Table1[[#This Row],[Farmer Payment]]</f>
        <v>0</v>
      </c>
      <c r="M695" s="30"/>
      <c r="N695" s="34"/>
      <c r="O695" s="34"/>
      <c r="P695" s="35">
        <f t="shared" si="72"/>
        <v>110000</v>
      </c>
      <c r="Q695" s="33">
        <f>AI695+AV695+CK695+Table1[[#This Row],[FY 25-26]]</f>
        <v>0</v>
      </c>
      <c r="R695" s="36"/>
      <c r="S695" s="37"/>
      <c r="T695" s="38"/>
      <c r="U695" s="39"/>
      <c r="V695" s="39"/>
      <c r="W695" s="40">
        <v>0</v>
      </c>
      <c r="X695" s="40">
        <v>0</v>
      </c>
      <c r="Y695" s="40">
        <v>0</v>
      </c>
      <c r="Z695" s="40">
        <v>0</v>
      </c>
      <c r="AA695" s="40">
        <v>0</v>
      </c>
      <c r="AB695" s="40">
        <v>0</v>
      </c>
      <c r="AC695" s="40">
        <v>0</v>
      </c>
      <c r="AD695" s="40">
        <v>0</v>
      </c>
      <c r="AE695" s="40">
        <v>0</v>
      </c>
      <c r="AF695" s="40">
        <v>0</v>
      </c>
      <c r="AG695" s="40">
        <v>0</v>
      </c>
      <c r="AH695" s="40">
        <v>0</v>
      </c>
      <c r="AI695" s="41">
        <f t="shared" si="73"/>
        <v>0</v>
      </c>
      <c r="AJ695" s="42">
        <v>0</v>
      </c>
      <c r="AK695" s="42">
        <v>0</v>
      </c>
      <c r="AL695" s="42">
        <v>0</v>
      </c>
      <c r="AM695" s="42">
        <v>0</v>
      </c>
      <c r="AN695" s="42">
        <v>0</v>
      </c>
      <c r="AO695" s="42">
        <v>0</v>
      </c>
      <c r="AP695" s="42">
        <v>0</v>
      </c>
      <c r="AQ695" s="42">
        <v>0</v>
      </c>
      <c r="AR695" s="42">
        <v>0</v>
      </c>
      <c r="AS695" s="42">
        <v>0</v>
      </c>
      <c r="AT695" s="42">
        <v>0</v>
      </c>
      <c r="AU695" s="42">
        <v>0</v>
      </c>
      <c r="AV695" s="42">
        <f t="shared" si="74"/>
        <v>0</v>
      </c>
      <c r="AW695" s="42">
        <v>0</v>
      </c>
      <c r="AX695" s="42">
        <v>0</v>
      </c>
      <c r="AY695" s="42">
        <v>0</v>
      </c>
      <c r="AZ695" s="42">
        <v>0</v>
      </c>
      <c r="BA695" s="42">
        <v>0</v>
      </c>
      <c r="BB695" s="42">
        <v>0</v>
      </c>
      <c r="BC695" s="42">
        <v>0</v>
      </c>
      <c r="BD695" s="42">
        <v>0</v>
      </c>
      <c r="BE695" s="42">
        <v>0</v>
      </c>
      <c r="BF695" s="42">
        <v>0</v>
      </c>
      <c r="BG695" s="42">
        <v>0</v>
      </c>
      <c r="BH695" s="42">
        <v>0</v>
      </c>
      <c r="BI695" s="42">
        <v>0</v>
      </c>
      <c r="BJ695" s="42">
        <v>0</v>
      </c>
      <c r="BK695" s="42">
        <v>0</v>
      </c>
      <c r="BL695" s="42">
        <v>0</v>
      </c>
      <c r="BM695" s="42">
        <v>0</v>
      </c>
      <c r="BN695" s="42">
        <v>0</v>
      </c>
      <c r="BO695" s="42">
        <v>0</v>
      </c>
      <c r="BP695" s="42">
        <v>0</v>
      </c>
      <c r="BQ695" s="42">
        <v>0</v>
      </c>
      <c r="BR695" s="42">
        <v>0</v>
      </c>
      <c r="BS695" s="42">
        <v>0</v>
      </c>
      <c r="BT695" s="42">
        <v>0</v>
      </c>
      <c r="BU695" s="42">
        <v>0</v>
      </c>
      <c r="BV695" s="42">
        <v>0</v>
      </c>
      <c r="BW695" s="42">
        <v>0</v>
      </c>
      <c r="BX695" s="42">
        <v>0</v>
      </c>
      <c r="BY695" s="42">
        <v>0</v>
      </c>
      <c r="BZ695" s="42">
        <v>0</v>
      </c>
      <c r="CA695" s="42">
        <v>0</v>
      </c>
      <c r="CB695" s="42">
        <v>0</v>
      </c>
      <c r="CC695" s="42">
        <v>0</v>
      </c>
      <c r="CD695" s="42">
        <v>0</v>
      </c>
      <c r="CE695" s="42">
        <v>0</v>
      </c>
      <c r="CF695" s="42">
        <v>0</v>
      </c>
      <c r="CG695" s="42">
        <v>0</v>
      </c>
      <c r="CH695" s="42">
        <v>0</v>
      </c>
      <c r="CI695" s="42">
        <v>0</v>
      </c>
      <c r="CJ695" s="42">
        <v>0</v>
      </c>
      <c r="CK695" s="43">
        <f t="shared" si="71"/>
        <v>0</v>
      </c>
      <c r="CL695" s="66"/>
      <c r="CM695" s="66">
        <v>0</v>
      </c>
      <c r="CN695" s="66">
        <v>0</v>
      </c>
      <c r="CO695" s="66">
        <v>0</v>
      </c>
      <c r="CP695" s="66">
        <v>0</v>
      </c>
      <c r="CQ695" s="66">
        <v>0</v>
      </c>
      <c r="CR695" s="66">
        <v>0</v>
      </c>
      <c r="CS695" s="66">
        <v>0</v>
      </c>
      <c r="CT695" s="66">
        <v>0</v>
      </c>
      <c r="CU695" s="66">
        <v>0</v>
      </c>
      <c r="CV695" s="66">
        <v>0</v>
      </c>
      <c r="CW695" s="66">
        <v>0</v>
      </c>
      <c r="CX695" s="66">
        <v>0</v>
      </c>
      <c r="CY695" s="66">
        <v>0</v>
      </c>
      <c r="CZ695" s="66">
        <v>0</v>
      </c>
      <c r="DA695" s="66"/>
      <c r="DB695" s="66"/>
      <c r="DC695" s="66"/>
      <c r="DD695" s="66"/>
      <c r="DE695" s="66"/>
      <c r="DF695" s="66"/>
      <c r="DG695" s="66"/>
      <c r="DH695" s="66"/>
      <c r="DI695" s="66"/>
      <c r="DJ695" s="66"/>
      <c r="DK695" s="66">
        <f>SUM(Table1[[#This Row],[01-03 Apr]:[Mar-26]])</f>
        <v>0</v>
      </c>
    </row>
    <row r="696" spans="1:115" x14ac:dyDescent="0.2">
      <c r="A696" s="28" t="s">
        <v>2629</v>
      </c>
      <c r="B696" s="29" t="s">
        <v>1717</v>
      </c>
      <c r="C696" s="29" t="s">
        <v>3336</v>
      </c>
      <c r="D696" s="30" t="s">
        <v>1718</v>
      </c>
      <c r="E696" s="30" t="s">
        <v>1709</v>
      </c>
      <c r="F696" s="30"/>
      <c r="G696" s="31"/>
      <c r="H696" s="30"/>
      <c r="I696" s="30" t="str">
        <f>IF(Table1[[#This Row],[Centre Status]]="Returned","NA",IF(Table1[[#This Row],[SD]]&gt;19000,"Full Payment",IF(Table1[[#This Row],[SD]]&lt;1,"No Payment","Partial Payment")))</f>
        <v>No Payment</v>
      </c>
      <c r="J696" s="30" t="s">
        <v>58</v>
      </c>
      <c r="K696" s="32">
        <v>110000</v>
      </c>
      <c r="L696" s="33">
        <f>Q696+R696+U696+Table1[[#This Row],[Farmer Payment]]</f>
        <v>0</v>
      </c>
      <c r="M696" s="30"/>
      <c r="N696" s="34"/>
      <c r="O696" s="34"/>
      <c r="P696" s="35">
        <f t="shared" si="72"/>
        <v>110000</v>
      </c>
      <c r="Q696" s="33">
        <f>AI696+AV696+CK696+Table1[[#This Row],[FY 25-26]]</f>
        <v>0</v>
      </c>
      <c r="R696" s="36"/>
      <c r="S696" s="37"/>
      <c r="T696" s="38"/>
      <c r="U696" s="39"/>
      <c r="V696" s="39"/>
      <c r="W696" s="40">
        <v>0</v>
      </c>
      <c r="X696" s="40">
        <v>0</v>
      </c>
      <c r="Y696" s="40">
        <v>0</v>
      </c>
      <c r="Z696" s="40">
        <v>0</v>
      </c>
      <c r="AA696" s="40">
        <v>0</v>
      </c>
      <c r="AB696" s="40">
        <v>0</v>
      </c>
      <c r="AC696" s="40">
        <v>0</v>
      </c>
      <c r="AD696" s="40">
        <v>0</v>
      </c>
      <c r="AE696" s="40">
        <v>0</v>
      </c>
      <c r="AF696" s="40">
        <v>0</v>
      </c>
      <c r="AG696" s="40">
        <v>0</v>
      </c>
      <c r="AH696" s="40">
        <v>0</v>
      </c>
      <c r="AI696" s="41">
        <f t="shared" si="73"/>
        <v>0</v>
      </c>
      <c r="AJ696" s="42">
        <v>0</v>
      </c>
      <c r="AK696" s="42">
        <v>0</v>
      </c>
      <c r="AL696" s="42">
        <v>0</v>
      </c>
      <c r="AM696" s="42">
        <v>0</v>
      </c>
      <c r="AN696" s="42">
        <v>0</v>
      </c>
      <c r="AO696" s="42">
        <v>0</v>
      </c>
      <c r="AP696" s="42">
        <v>0</v>
      </c>
      <c r="AQ696" s="42">
        <v>0</v>
      </c>
      <c r="AR696" s="42">
        <v>0</v>
      </c>
      <c r="AS696" s="42">
        <v>0</v>
      </c>
      <c r="AT696" s="42">
        <v>0</v>
      </c>
      <c r="AU696" s="42">
        <v>0</v>
      </c>
      <c r="AV696" s="42">
        <f t="shared" si="74"/>
        <v>0</v>
      </c>
      <c r="AW696" s="42">
        <v>0</v>
      </c>
      <c r="AX696" s="42">
        <v>0</v>
      </c>
      <c r="AY696" s="42">
        <v>0</v>
      </c>
      <c r="AZ696" s="42">
        <v>0</v>
      </c>
      <c r="BA696" s="42">
        <v>0</v>
      </c>
      <c r="BB696" s="42">
        <v>0</v>
      </c>
      <c r="BC696" s="42">
        <v>0</v>
      </c>
      <c r="BD696" s="42">
        <v>0</v>
      </c>
      <c r="BE696" s="42">
        <v>0</v>
      </c>
      <c r="BF696" s="42">
        <v>0</v>
      </c>
      <c r="BG696" s="42">
        <v>0</v>
      </c>
      <c r="BH696" s="42">
        <v>0</v>
      </c>
      <c r="BI696" s="42">
        <v>0</v>
      </c>
      <c r="BJ696" s="42">
        <v>0</v>
      </c>
      <c r="BK696" s="42">
        <v>0</v>
      </c>
      <c r="BL696" s="42">
        <v>0</v>
      </c>
      <c r="BM696" s="42">
        <v>0</v>
      </c>
      <c r="BN696" s="42">
        <v>0</v>
      </c>
      <c r="BO696" s="42">
        <v>0</v>
      </c>
      <c r="BP696" s="42">
        <v>0</v>
      </c>
      <c r="BQ696" s="42">
        <v>0</v>
      </c>
      <c r="BR696" s="42">
        <v>0</v>
      </c>
      <c r="BS696" s="42">
        <v>0</v>
      </c>
      <c r="BT696" s="42">
        <v>0</v>
      </c>
      <c r="BU696" s="42">
        <v>0</v>
      </c>
      <c r="BV696" s="42">
        <v>0</v>
      </c>
      <c r="BW696" s="42">
        <v>0</v>
      </c>
      <c r="BX696" s="42">
        <v>0</v>
      </c>
      <c r="BY696" s="42">
        <v>0</v>
      </c>
      <c r="BZ696" s="42">
        <v>0</v>
      </c>
      <c r="CA696" s="42">
        <v>0</v>
      </c>
      <c r="CB696" s="42">
        <v>0</v>
      </c>
      <c r="CC696" s="42">
        <v>0</v>
      </c>
      <c r="CD696" s="42">
        <v>0</v>
      </c>
      <c r="CE696" s="42">
        <v>0</v>
      </c>
      <c r="CF696" s="42">
        <v>0</v>
      </c>
      <c r="CG696" s="42">
        <v>0</v>
      </c>
      <c r="CH696" s="42">
        <v>0</v>
      </c>
      <c r="CI696" s="42">
        <v>0</v>
      </c>
      <c r="CJ696" s="42">
        <v>0</v>
      </c>
      <c r="CK696" s="43">
        <f t="shared" si="71"/>
        <v>0</v>
      </c>
      <c r="CL696" s="66"/>
      <c r="CM696" s="66">
        <v>0</v>
      </c>
      <c r="CN696" s="66">
        <v>0</v>
      </c>
      <c r="CO696" s="66">
        <v>0</v>
      </c>
      <c r="CP696" s="66">
        <v>0</v>
      </c>
      <c r="CQ696" s="66">
        <v>0</v>
      </c>
      <c r="CR696" s="66">
        <v>0</v>
      </c>
      <c r="CS696" s="66">
        <v>0</v>
      </c>
      <c r="CT696" s="66">
        <v>0</v>
      </c>
      <c r="CU696" s="66">
        <v>0</v>
      </c>
      <c r="CV696" s="66">
        <v>0</v>
      </c>
      <c r="CW696" s="66">
        <v>0</v>
      </c>
      <c r="CX696" s="66">
        <v>0</v>
      </c>
      <c r="CY696" s="66">
        <v>0</v>
      </c>
      <c r="CZ696" s="66">
        <v>0</v>
      </c>
      <c r="DA696" s="66"/>
      <c r="DB696" s="66"/>
      <c r="DC696" s="66"/>
      <c r="DD696" s="66"/>
      <c r="DE696" s="66"/>
      <c r="DF696" s="66"/>
      <c r="DG696" s="66"/>
      <c r="DH696" s="66"/>
      <c r="DI696" s="66"/>
      <c r="DJ696" s="66"/>
      <c r="DK696" s="66">
        <f>SUM(Table1[[#This Row],[01-03 Apr]:[Mar-26]])</f>
        <v>0</v>
      </c>
    </row>
    <row r="697" spans="1:115" hidden="1" x14ac:dyDescent="0.2">
      <c r="A697" s="28" t="s">
        <v>2367</v>
      </c>
      <c r="B697" s="29" t="s">
        <v>1722</v>
      </c>
      <c r="C697" s="29" t="s">
        <v>1723</v>
      </c>
      <c r="D697" s="30" t="s">
        <v>1094</v>
      </c>
      <c r="E697" s="30" t="s">
        <v>217</v>
      </c>
      <c r="F697" s="30"/>
      <c r="G697" s="31"/>
      <c r="H697" s="30">
        <v>382418</v>
      </c>
      <c r="I697" s="30" t="str">
        <f>IF(Table1[[#This Row],[Centre Status]]="Returned","NA",IF(Table1[[#This Row],[SD]]&gt;19000,"Full Payment",IF(Table1[[#This Row],[SD]]&lt;1,"No Payment","Partial Payment")))</f>
        <v>Full Payment</v>
      </c>
      <c r="J697" s="30" t="s">
        <v>58</v>
      </c>
      <c r="K697" s="32">
        <v>110000</v>
      </c>
      <c r="L697" s="33">
        <f>Q697+R697+U697+Table1[[#This Row],[Farmer Payment]]</f>
        <v>110000</v>
      </c>
      <c r="M697" s="30"/>
      <c r="N697" s="34"/>
      <c r="O697" s="34"/>
      <c r="P697" s="35">
        <f t="shared" si="72"/>
        <v>0</v>
      </c>
      <c r="Q697" s="33">
        <f>AI697+AV697+CK697+Table1[[#This Row],[FY 25-26]]</f>
        <v>90000</v>
      </c>
      <c r="R697" s="36">
        <v>20000</v>
      </c>
      <c r="S697" s="37" t="s">
        <v>1724</v>
      </c>
      <c r="T697" s="38">
        <v>45194</v>
      </c>
      <c r="U697" s="39"/>
      <c r="V697" s="39"/>
      <c r="W697" s="40">
        <v>0</v>
      </c>
      <c r="X697" s="40">
        <v>0</v>
      </c>
      <c r="Y697" s="40">
        <v>0</v>
      </c>
      <c r="Z697" s="40">
        <v>0</v>
      </c>
      <c r="AA697" s="40">
        <v>0</v>
      </c>
      <c r="AB697" s="40">
        <v>0</v>
      </c>
      <c r="AC697" s="40">
        <v>0</v>
      </c>
      <c r="AD697" s="40">
        <v>0</v>
      </c>
      <c r="AE697" s="40">
        <v>0</v>
      </c>
      <c r="AF697" s="40">
        <v>0</v>
      </c>
      <c r="AG697" s="40">
        <v>0</v>
      </c>
      <c r="AH697" s="40">
        <v>0</v>
      </c>
      <c r="AI697" s="41">
        <f t="shared" si="73"/>
        <v>0</v>
      </c>
      <c r="AJ697" s="42">
        <v>0</v>
      </c>
      <c r="AK697" s="42">
        <v>0</v>
      </c>
      <c r="AL697" s="42">
        <v>0</v>
      </c>
      <c r="AM697" s="42">
        <v>0</v>
      </c>
      <c r="AN697" s="42">
        <v>0</v>
      </c>
      <c r="AO697" s="42">
        <v>0</v>
      </c>
      <c r="AP697" s="42">
        <v>0</v>
      </c>
      <c r="AQ697" s="42">
        <v>0</v>
      </c>
      <c r="AR697" s="42">
        <v>8991.0252</v>
      </c>
      <c r="AS697" s="42">
        <v>20599.651000000002</v>
      </c>
      <c r="AT697" s="42">
        <v>16661.736799999999</v>
      </c>
      <c r="AU697" s="42">
        <v>8451.125</v>
      </c>
      <c r="AV697" s="42">
        <f t="shared" si="74"/>
        <v>54703.538</v>
      </c>
      <c r="AW697" s="42">
        <v>4840.1482703531065</v>
      </c>
      <c r="AX697" s="42">
        <v>3199.2505786894712</v>
      </c>
      <c r="AY697" s="42">
        <v>2098.8797592770543</v>
      </c>
      <c r="AZ697" s="42">
        <v>1962.9655844347601</v>
      </c>
      <c r="BA697" s="42">
        <v>2802.6970909241045</v>
      </c>
      <c r="BB697" s="42">
        <v>0</v>
      </c>
      <c r="BC697" s="42">
        <v>5503.8003199998329</v>
      </c>
      <c r="BD697" s="42">
        <v>0</v>
      </c>
      <c r="BE697" s="42">
        <v>0</v>
      </c>
      <c r="BF697" s="42">
        <v>0</v>
      </c>
      <c r="BG697" s="42">
        <v>0</v>
      </c>
      <c r="BH697" s="42">
        <v>0</v>
      </c>
      <c r="BI697" s="42">
        <v>3003.6144148963726</v>
      </c>
      <c r="BJ697" s="42">
        <v>0</v>
      </c>
      <c r="BK697" s="42">
        <v>0</v>
      </c>
      <c r="BL697" s="42">
        <v>0</v>
      </c>
      <c r="BM697" s="42">
        <v>0</v>
      </c>
      <c r="BN697" s="42">
        <v>1861</v>
      </c>
      <c r="BO697" s="42">
        <v>0</v>
      </c>
      <c r="BP697" s="42">
        <v>0</v>
      </c>
      <c r="BQ697" s="42">
        <v>0</v>
      </c>
      <c r="BR697" s="42">
        <v>0</v>
      </c>
      <c r="BS697" s="42">
        <v>3296.0162092717728</v>
      </c>
      <c r="BT697" s="42">
        <v>0</v>
      </c>
      <c r="BU697" s="42">
        <v>0</v>
      </c>
      <c r="BV697" s="42">
        <v>0</v>
      </c>
      <c r="BW697" s="42">
        <v>0</v>
      </c>
      <c r="BX697" s="42">
        <v>0</v>
      </c>
      <c r="BY697" s="42">
        <v>3586.0895495794248</v>
      </c>
      <c r="BZ697" s="42">
        <v>0</v>
      </c>
      <c r="CA697" s="42">
        <v>0</v>
      </c>
      <c r="CB697" s="42">
        <v>0</v>
      </c>
      <c r="CC697" s="42">
        <v>0</v>
      </c>
      <c r="CD697" s="42">
        <v>3142.0002225741046</v>
      </c>
      <c r="CE697" s="42">
        <v>0</v>
      </c>
      <c r="CF697" s="42">
        <v>0</v>
      </c>
      <c r="CG697" s="42">
        <v>0</v>
      </c>
      <c r="CH697" s="42">
        <v>0</v>
      </c>
      <c r="CI697" s="42">
        <v>0</v>
      </c>
      <c r="CJ697" s="42">
        <v>0</v>
      </c>
      <c r="CK697" s="43">
        <f t="shared" si="71"/>
        <v>35296.462000000007</v>
      </c>
      <c r="CL697" s="66"/>
      <c r="CM697" s="66">
        <v>0</v>
      </c>
      <c r="CN697" s="66">
        <v>0</v>
      </c>
      <c r="CO697" s="66">
        <v>0</v>
      </c>
      <c r="CP697" s="66">
        <v>0</v>
      </c>
      <c r="CQ697" s="66">
        <v>0</v>
      </c>
      <c r="CR697" s="66">
        <v>0</v>
      </c>
      <c r="CS697" s="66">
        <v>0</v>
      </c>
      <c r="CT697" s="66">
        <v>0</v>
      </c>
      <c r="CU697" s="66">
        <v>0</v>
      </c>
      <c r="CV697" s="66">
        <v>0</v>
      </c>
      <c r="CW697" s="66">
        <v>0</v>
      </c>
      <c r="CX697" s="66">
        <v>0</v>
      </c>
      <c r="CY697" s="66">
        <v>0</v>
      </c>
      <c r="CZ697" s="66">
        <v>0</v>
      </c>
      <c r="DA697" s="66"/>
      <c r="DB697" s="66"/>
      <c r="DC697" s="66"/>
      <c r="DD697" s="66"/>
      <c r="DE697" s="66"/>
      <c r="DF697" s="66"/>
      <c r="DG697" s="66"/>
      <c r="DH697" s="66"/>
      <c r="DI697" s="66"/>
      <c r="DJ697" s="66"/>
      <c r="DK697" s="66">
        <f>SUM(Table1[[#This Row],[01-03 Apr]:[Mar-26]])</f>
        <v>0</v>
      </c>
    </row>
    <row r="698" spans="1:115" hidden="1" x14ac:dyDescent="0.2">
      <c r="A698" s="28" t="s">
        <v>2255</v>
      </c>
      <c r="B698" s="29" t="s">
        <v>1725</v>
      </c>
      <c r="C698" s="29" t="s">
        <v>1726</v>
      </c>
      <c r="D698" s="30" t="s">
        <v>1727</v>
      </c>
      <c r="E698" s="30" t="s">
        <v>217</v>
      </c>
      <c r="F698" s="30"/>
      <c r="G698" s="31"/>
      <c r="H698" s="30">
        <v>391001</v>
      </c>
      <c r="I698" s="30" t="str">
        <f>IF(Table1[[#This Row],[Centre Status]]="Returned","NA",IF(Table1[[#This Row],[SD]]&gt;19000,"Full Payment",IF(Table1[[#This Row],[SD]]&lt;1,"No Payment","Partial Payment")))</f>
        <v>Full Payment</v>
      </c>
      <c r="J698" s="30" t="s">
        <v>58</v>
      </c>
      <c r="K698" s="32">
        <v>110000</v>
      </c>
      <c r="L698" s="33">
        <f>Q698+R698+U698+Table1[[#This Row],[Farmer Payment]]</f>
        <v>73028.824779936665</v>
      </c>
      <c r="M698" s="30"/>
      <c r="N698" s="34"/>
      <c r="O698" s="34"/>
      <c r="P698" s="35">
        <f t="shared" si="72"/>
        <v>36971.175220063335</v>
      </c>
      <c r="Q698" s="33">
        <f>AI698+AV698+CK698+Table1[[#This Row],[FY 25-26]]</f>
        <v>53028.824779936673</v>
      </c>
      <c r="R698" s="36">
        <v>20000</v>
      </c>
      <c r="S698" s="37" t="s">
        <v>1728</v>
      </c>
      <c r="T698" s="38">
        <v>45202</v>
      </c>
      <c r="U698" s="39"/>
      <c r="V698" s="39"/>
      <c r="W698" s="40">
        <v>0</v>
      </c>
      <c r="X698" s="40">
        <v>0</v>
      </c>
      <c r="Y698" s="40">
        <v>0</v>
      </c>
      <c r="Z698" s="40">
        <v>0</v>
      </c>
      <c r="AA698" s="40">
        <v>0</v>
      </c>
      <c r="AB698" s="40">
        <v>0</v>
      </c>
      <c r="AC698" s="40">
        <v>0</v>
      </c>
      <c r="AD698" s="40">
        <v>0</v>
      </c>
      <c r="AE698" s="40">
        <v>0</v>
      </c>
      <c r="AF698" s="40">
        <v>0</v>
      </c>
      <c r="AG698" s="40">
        <v>0</v>
      </c>
      <c r="AH698" s="40">
        <v>0</v>
      </c>
      <c r="AI698" s="41">
        <f t="shared" si="73"/>
        <v>0</v>
      </c>
      <c r="AJ698" s="42">
        <v>0</v>
      </c>
      <c r="AK698" s="42">
        <v>0</v>
      </c>
      <c r="AL698" s="42">
        <v>0</v>
      </c>
      <c r="AM698" s="42">
        <v>0</v>
      </c>
      <c r="AN698" s="42">
        <v>0</v>
      </c>
      <c r="AO698" s="42">
        <v>0</v>
      </c>
      <c r="AP698" s="42">
        <v>0</v>
      </c>
      <c r="AQ698" s="42">
        <v>1861</v>
      </c>
      <c r="AR698" s="42">
        <v>1883.6465999999998</v>
      </c>
      <c r="AS698" s="42">
        <v>3296.0862000000002</v>
      </c>
      <c r="AT698" s="42">
        <v>3145.395</v>
      </c>
      <c r="AU698" s="42">
        <v>3187.9864000000002</v>
      </c>
      <c r="AV698" s="42">
        <f t="shared" si="74"/>
        <v>13374.1142</v>
      </c>
      <c r="AW698" s="42">
        <v>2855.5076252006397</v>
      </c>
      <c r="AX698" s="42">
        <v>2093.5663171584001</v>
      </c>
      <c r="AY698" s="42">
        <v>2351.9616816000002</v>
      </c>
      <c r="AZ698" s="42">
        <v>2732.9827581697541</v>
      </c>
      <c r="BA698" s="42">
        <v>2464.1398784140802</v>
      </c>
      <c r="BB698" s="42">
        <v>0</v>
      </c>
      <c r="BC698" s="42">
        <v>3112.4609167104004</v>
      </c>
      <c r="BD698" s="42">
        <v>0</v>
      </c>
      <c r="BE698" s="42">
        <v>0</v>
      </c>
      <c r="BF698" s="42">
        <v>0</v>
      </c>
      <c r="BG698" s="42">
        <v>0</v>
      </c>
      <c r="BH698" s="42">
        <v>0</v>
      </c>
      <c r="BI698" s="42">
        <v>2028.5396007936006</v>
      </c>
      <c r="BJ698" s="42">
        <v>0</v>
      </c>
      <c r="BK698" s="42">
        <v>0</v>
      </c>
      <c r="BL698" s="42">
        <v>0</v>
      </c>
      <c r="BM698" s="42">
        <v>0</v>
      </c>
      <c r="BN698" s="42">
        <v>1861</v>
      </c>
      <c r="BO698" s="42">
        <v>0</v>
      </c>
      <c r="BP698" s="42">
        <v>0</v>
      </c>
      <c r="BQ698" s="42">
        <v>0</v>
      </c>
      <c r="BR698" s="42">
        <v>0</v>
      </c>
      <c r="BS698" s="42">
        <v>3240.5742502836001</v>
      </c>
      <c r="BT698" s="42">
        <v>0</v>
      </c>
      <c r="BU698" s="42">
        <v>0</v>
      </c>
      <c r="BV698" s="42">
        <v>0</v>
      </c>
      <c r="BW698" s="42">
        <v>0</v>
      </c>
      <c r="BX698" s="42">
        <v>0</v>
      </c>
      <c r="BY698" s="42">
        <v>2899.6970683775999</v>
      </c>
      <c r="BZ698" s="42">
        <v>0</v>
      </c>
      <c r="CA698" s="42">
        <v>0</v>
      </c>
      <c r="CB698" s="42">
        <v>0</v>
      </c>
      <c r="CC698" s="42">
        <v>0</v>
      </c>
      <c r="CD698" s="42">
        <v>3620.5748673024</v>
      </c>
      <c r="CE698" s="42">
        <v>0</v>
      </c>
      <c r="CF698" s="42">
        <v>0</v>
      </c>
      <c r="CG698" s="42">
        <v>0</v>
      </c>
      <c r="CH698" s="42">
        <v>0</v>
      </c>
      <c r="CI698" s="42">
        <v>0</v>
      </c>
      <c r="CJ698" s="42">
        <v>4283.1316179379201</v>
      </c>
      <c r="CK698" s="43">
        <f t="shared" si="71"/>
        <v>33544.136581948398</v>
      </c>
      <c r="CL698" s="66"/>
      <c r="CM698" s="66">
        <v>0</v>
      </c>
      <c r="CN698" s="66">
        <v>0</v>
      </c>
      <c r="CO698" s="66">
        <v>0</v>
      </c>
      <c r="CP698" s="66">
        <v>2878.4300556484295</v>
      </c>
      <c r="CQ698" s="66">
        <v>0</v>
      </c>
      <c r="CR698" s="66">
        <v>0</v>
      </c>
      <c r="CS698" s="66">
        <v>0</v>
      </c>
      <c r="CT698" s="66">
        <v>0</v>
      </c>
      <c r="CU698" s="66">
        <v>0</v>
      </c>
      <c r="CV698" s="66">
        <v>3232.1439423398406</v>
      </c>
      <c r="CW698" s="66">
        <v>0</v>
      </c>
      <c r="CX698" s="66">
        <v>0</v>
      </c>
      <c r="CY698" s="66">
        <v>0</v>
      </c>
      <c r="CZ698" s="66">
        <v>0</v>
      </c>
      <c r="DA698" s="66"/>
      <c r="DB698" s="66"/>
      <c r="DC698" s="66"/>
      <c r="DD698" s="66"/>
      <c r="DE698" s="66"/>
      <c r="DF698" s="66"/>
      <c r="DG698" s="66"/>
      <c r="DH698" s="66"/>
      <c r="DI698" s="66"/>
      <c r="DJ698" s="66"/>
      <c r="DK698" s="66">
        <f>SUM(Table1[[#This Row],[01-03 Apr]:[Mar-26]])</f>
        <v>6110.5739979882701</v>
      </c>
    </row>
    <row r="699" spans="1:115" x14ac:dyDescent="0.2">
      <c r="A699" s="28" t="s">
        <v>2255</v>
      </c>
      <c r="B699" s="29" t="s">
        <v>1735</v>
      </c>
      <c r="C699" s="29" t="s">
        <v>1736</v>
      </c>
      <c r="D699" s="30" t="s">
        <v>1737</v>
      </c>
      <c r="E699" s="30" t="s">
        <v>203</v>
      </c>
      <c r="F699" s="30"/>
      <c r="G699" s="31"/>
      <c r="H699" s="30">
        <v>387851</v>
      </c>
      <c r="I699" s="30" t="str">
        <f>IF(Table1[[#This Row],[Centre Status]]="Returned","NA",IF(Table1[[#This Row],[SD]]&gt;19000,"Full Payment",IF(Table1[[#This Row],[SD]]&lt;1,"No Payment","Partial Payment")))</f>
        <v>No Payment</v>
      </c>
      <c r="J699" s="30" t="s">
        <v>58</v>
      </c>
      <c r="K699" s="32">
        <v>110000</v>
      </c>
      <c r="L699" s="33">
        <f>Q699+R699+U699+Table1[[#This Row],[Farmer Payment]]</f>
        <v>18280.488189902277</v>
      </c>
      <c r="M699" s="30"/>
      <c r="N699" s="34"/>
      <c r="O699" s="34"/>
      <c r="P699" s="35">
        <f t="shared" si="72"/>
        <v>91719.511810097727</v>
      </c>
      <c r="Q699" s="33">
        <f>AI699+AV699+CK699+Table1[[#This Row],[FY 25-26]]</f>
        <v>18280.488189902277</v>
      </c>
      <c r="R699" s="36"/>
      <c r="S699" s="37"/>
      <c r="T699" s="38"/>
      <c r="U699" s="39"/>
      <c r="V699" s="39"/>
      <c r="W699" s="40">
        <v>0</v>
      </c>
      <c r="X699" s="40">
        <v>0</v>
      </c>
      <c r="Y699" s="40">
        <v>0</v>
      </c>
      <c r="Z699" s="40">
        <v>0</v>
      </c>
      <c r="AA699" s="40">
        <v>0</v>
      </c>
      <c r="AB699" s="40">
        <v>0</v>
      </c>
      <c r="AC699" s="40">
        <v>0</v>
      </c>
      <c r="AD699" s="40">
        <v>0</v>
      </c>
      <c r="AE699" s="40">
        <v>0</v>
      </c>
      <c r="AF699" s="40">
        <v>0</v>
      </c>
      <c r="AG699" s="40">
        <v>0</v>
      </c>
      <c r="AH699" s="40">
        <v>0</v>
      </c>
      <c r="AI699" s="41">
        <f t="shared" si="73"/>
        <v>0</v>
      </c>
      <c r="AJ699" s="42">
        <v>0</v>
      </c>
      <c r="AK699" s="42">
        <v>0</v>
      </c>
      <c r="AL699" s="42">
        <v>0</v>
      </c>
      <c r="AM699" s="42">
        <v>0</v>
      </c>
      <c r="AN699" s="42">
        <v>0</v>
      </c>
      <c r="AO699" s="42">
        <v>0</v>
      </c>
      <c r="AP699" s="42">
        <v>0</v>
      </c>
      <c r="AQ699" s="42">
        <v>0</v>
      </c>
      <c r="AR699" s="42">
        <v>0</v>
      </c>
      <c r="AS699" s="42">
        <v>153</v>
      </c>
      <c r="AT699" s="42">
        <v>913.48818990227687</v>
      </c>
      <c r="AU699" s="42">
        <v>698</v>
      </c>
      <c r="AV699" s="42">
        <f t="shared" si="74"/>
        <v>1764.4881899022769</v>
      </c>
      <c r="AW699" s="42">
        <v>0</v>
      </c>
      <c r="AX699" s="42">
        <v>0</v>
      </c>
      <c r="AY699" s="42">
        <v>0</v>
      </c>
      <c r="AZ699" s="42">
        <v>0</v>
      </c>
      <c r="BA699" s="42">
        <v>0</v>
      </c>
      <c r="BB699" s="42">
        <v>500</v>
      </c>
      <c r="BC699" s="42">
        <v>16</v>
      </c>
      <c r="BD699" s="42">
        <v>500</v>
      </c>
      <c r="BE699" s="42">
        <v>500</v>
      </c>
      <c r="BF699" s="42">
        <v>500</v>
      </c>
      <c r="BG699" s="42">
        <v>500</v>
      </c>
      <c r="BH699" s="42">
        <v>500</v>
      </c>
      <c r="BI699" s="42">
        <v>0</v>
      </c>
      <c r="BJ699" s="42">
        <v>500</v>
      </c>
      <c r="BK699" s="42">
        <v>500</v>
      </c>
      <c r="BL699" s="42">
        <v>500</v>
      </c>
      <c r="BM699" s="42">
        <v>500</v>
      </c>
      <c r="BN699" s="42">
        <v>0</v>
      </c>
      <c r="BO699" s="42">
        <v>500</v>
      </c>
      <c r="BP699" s="42">
        <v>500</v>
      </c>
      <c r="BQ699" s="42">
        <v>500</v>
      </c>
      <c r="BR699" s="42">
        <v>500</v>
      </c>
      <c r="BS699" s="42">
        <v>0</v>
      </c>
      <c r="BT699" s="42">
        <v>500</v>
      </c>
      <c r="BU699" s="42">
        <v>500</v>
      </c>
      <c r="BV699" s="42">
        <v>500</v>
      </c>
      <c r="BW699" s="42">
        <v>500</v>
      </c>
      <c r="BX699" s="42">
        <v>0</v>
      </c>
      <c r="BY699" s="42">
        <v>0</v>
      </c>
      <c r="BZ699" s="42">
        <v>500</v>
      </c>
      <c r="CA699" s="42">
        <v>500</v>
      </c>
      <c r="CB699" s="42">
        <v>500</v>
      </c>
      <c r="CC699" s="42">
        <v>500</v>
      </c>
      <c r="CD699" s="42">
        <v>0</v>
      </c>
      <c r="CE699" s="42">
        <v>500</v>
      </c>
      <c r="CF699" s="42">
        <v>500</v>
      </c>
      <c r="CG699" s="42">
        <v>500</v>
      </c>
      <c r="CH699" s="42">
        <v>500</v>
      </c>
      <c r="CI699" s="42">
        <v>500</v>
      </c>
      <c r="CJ699" s="42">
        <v>0</v>
      </c>
      <c r="CK699" s="43">
        <f t="shared" si="71"/>
        <v>13516</v>
      </c>
      <c r="CL699" s="66"/>
      <c r="CM699" s="66">
        <v>500</v>
      </c>
      <c r="CN699" s="66">
        <v>500</v>
      </c>
      <c r="CO699" s="66">
        <v>500</v>
      </c>
      <c r="CP699" s="66">
        <v>0</v>
      </c>
      <c r="CQ699" s="66">
        <v>500</v>
      </c>
      <c r="CR699" s="66">
        <v>500</v>
      </c>
      <c r="CS699" s="66">
        <v>500</v>
      </c>
      <c r="CT699" s="66">
        <v>0</v>
      </c>
      <c r="CU699" s="66">
        <v>0</v>
      </c>
      <c r="CV699" s="66">
        <v>0</v>
      </c>
      <c r="CW699" s="66">
        <v>0</v>
      </c>
      <c r="CX699" s="66">
        <v>0</v>
      </c>
      <c r="CY699" s="66">
        <v>0</v>
      </c>
      <c r="CZ699" s="66">
        <v>0</v>
      </c>
      <c r="DA699" s="66"/>
      <c r="DB699" s="66"/>
      <c r="DC699" s="66"/>
      <c r="DD699" s="66"/>
      <c r="DE699" s="66"/>
      <c r="DF699" s="66"/>
      <c r="DG699" s="66"/>
      <c r="DH699" s="66"/>
      <c r="DI699" s="66"/>
      <c r="DJ699" s="66"/>
      <c r="DK699" s="66">
        <f>SUM(Table1[[#This Row],[01-03 Apr]:[Mar-26]])</f>
        <v>3000</v>
      </c>
    </row>
    <row r="700" spans="1:115" x14ac:dyDescent="0.2">
      <c r="A700" s="28" t="s">
        <v>2255</v>
      </c>
      <c r="B700" s="29" t="s">
        <v>1738</v>
      </c>
      <c r="C700" s="29" t="s">
        <v>1739</v>
      </c>
      <c r="D700" s="30" t="s">
        <v>1740</v>
      </c>
      <c r="E700" s="30" t="s">
        <v>1709</v>
      </c>
      <c r="F700" s="30"/>
      <c r="G700" s="31"/>
      <c r="H700" s="30">
        <v>387881</v>
      </c>
      <c r="I700" s="30" t="str">
        <f>IF(Table1[[#This Row],[Centre Status]]="Returned","NA",IF(Table1[[#This Row],[SD]]&gt;19000,"Full Payment",IF(Table1[[#This Row],[SD]]&lt;1,"No Payment","Partial Payment")))</f>
        <v>No Payment</v>
      </c>
      <c r="J700" s="30" t="s">
        <v>58</v>
      </c>
      <c r="K700" s="32">
        <v>110000</v>
      </c>
      <c r="L700" s="33">
        <f>Q700+R700+U700+Table1[[#This Row],[Farmer Payment]]</f>
        <v>6978</v>
      </c>
      <c r="M700" s="30"/>
      <c r="N700" s="34"/>
      <c r="O700" s="34"/>
      <c r="P700" s="35">
        <f t="shared" si="72"/>
        <v>103022</v>
      </c>
      <c r="Q700" s="33">
        <f>AI700+AV700+CK700+Table1[[#This Row],[FY 25-26]]</f>
        <v>6978</v>
      </c>
      <c r="R700" s="36"/>
      <c r="S700" s="37"/>
      <c r="T700" s="38"/>
      <c r="U700" s="39"/>
      <c r="V700" s="39"/>
      <c r="W700" s="40">
        <v>0</v>
      </c>
      <c r="X700" s="40">
        <v>0</v>
      </c>
      <c r="Y700" s="40">
        <v>0</v>
      </c>
      <c r="Z700" s="40">
        <v>0</v>
      </c>
      <c r="AA700" s="40">
        <v>0</v>
      </c>
      <c r="AB700" s="40">
        <v>0</v>
      </c>
      <c r="AC700" s="40">
        <v>0</v>
      </c>
      <c r="AD700" s="40">
        <v>0</v>
      </c>
      <c r="AE700" s="40">
        <v>0</v>
      </c>
      <c r="AF700" s="40">
        <v>0</v>
      </c>
      <c r="AG700" s="40">
        <v>0</v>
      </c>
      <c r="AH700" s="40">
        <v>0</v>
      </c>
      <c r="AI700" s="41">
        <f t="shared" si="73"/>
        <v>0</v>
      </c>
      <c r="AJ700" s="42">
        <v>0</v>
      </c>
      <c r="AK700" s="42">
        <v>0</v>
      </c>
      <c r="AL700" s="42">
        <v>0</v>
      </c>
      <c r="AM700" s="42">
        <v>0</v>
      </c>
      <c r="AN700" s="42">
        <v>0</v>
      </c>
      <c r="AO700" s="42">
        <v>0</v>
      </c>
      <c r="AP700" s="42">
        <v>0</v>
      </c>
      <c r="AQ700" s="42">
        <v>0</v>
      </c>
      <c r="AR700" s="42">
        <v>141</v>
      </c>
      <c r="AS700" s="42">
        <v>1861</v>
      </c>
      <c r="AT700" s="42">
        <v>1861</v>
      </c>
      <c r="AU700" s="42">
        <v>1615</v>
      </c>
      <c r="AV700" s="42">
        <f t="shared" si="74"/>
        <v>5478</v>
      </c>
      <c r="AW700" s="42">
        <v>0</v>
      </c>
      <c r="AX700" s="42">
        <v>0</v>
      </c>
      <c r="AY700" s="42">
        <v>0</v>
      </c>
      <c r="AZ700" s="42">
        <v>0</v>
      </c>
      <c r="BA700" s="42">
        <v>0</v>
      </c>
      <c r="BB700" s="42">
        <v>500</v>
      </c>
      <c r="BC700" s="42">
        <v>0</v>
      </c>
      <c r="BD700" s="42">
        <v>500</v>
      </c>
      <c r="BE700" s="42">
        <v>500</v>
      </c>
      <c r="BF700" s="42">
        <v>0</v>
      </c>
      <c r="BG700" s="42">
        <v>0</v>
      </c>
      <c r="BH700" s="42">
        <v>0</v>
      </c>
      <c r="BI700" s="42">
        <v>0</v>
      </c>
      <c r="BJ700" s="42">
        <v>0</v>
      </c>
      <c r="BK700" s="42">
        <v>0</v>
      </c>
      <c r="BL700" s="42">
        <v>0</v>
      </c>
      <c r="BM700" s="42">
        <v>0</v>
      </c>
      <c r="BN700" s="42">
        <v>0</v>
      </c>
      <c r="BO700" s="42">
        <v>0</v>
      </c>
      <c r="BP700" s="42">
        <v>0</v>
      </c>
      <c r="BQ700" s="42">
        <v>0</v>
      </c>
      <c r="BR700" s="42">
        <v>0</v>
      </c>
      <c r="BS700" s="42">
        <v>0</v>
      </c>
      <c r="BT700" s="42">
        <v>0</v>
      </c>
      <c r="BU700" s="42">
        <v>0</v>
      </c>
      <c r="BV700" s="42">
        <v>0</v>
      </c>
      <c r="BW700" s="42">
        <v>0</v>
      </c>
      <c r="BX700" s="42">
        <v>0</v>
      </c>
      <c r="BY700" s="42">
        <v>0</v>
      </c>
      <c r="BZ700" s="42">
        <v>0</v>
      </c>
      <c r="CA700" s="42">
        <v>0</v>
      </c>
      <c r="CB700" s="42">
        <v>0</v>
      </c>
      <c r="CC700" s="42">
        <v>0</v>
      </c>
      <c r="CD700" s="42">
        <v>0</v>
      </c>
      <c r="CE700" s="42">
        <v>0</v>
      </c>
      <c r="CF700" s="42">
        <v>0</v>
      </c>
      <c r="CG700" s="42">
        <v>0</v>
      </c>
      <c r="CH700" s="42">
        <v>0</v>
      </c>
      <c r="CI700" s="42">
        <v>0</v>
      </c>
      <c r="CJ700" s="42">
        <v>0</v>
      </c>
      <c r="CK700" s="43">
        <f t="shared" si="71"/>
        <v>1500</v>
      </c>
      <c r="CL700" s="66"/>
      <c r="CM700" s="66">
        <v>0</v>
      </c>
      <c r="CN700" s="66">
        <v>0</v>
      </c>
      <c r="CO700" s="66">
        <v>0</v>
      </c>
      <c r="CP700" s="66">
        <v>0</v>
      </c>
      <c r="CQ700" s="66">
        <v>0</v>
      </c>
      <c r="CR700" s="66">
        <v>0</v>
      </c>
      <c r="CS700" s="66">
        <v>0</v>
      </c>
      <c r="CT700" s="66">
        <v>0</v>
      </c>
      <c r="CU700" s="66">
        <v>0</v>
      </c>
      <c r="CV700" s="66">
        <v>0</v>
      </c>
      <c r="CW700" s="66">
        <v>0</v>
      </c>
      <c r="CX700" s="66">
        <v>0</v>
      </c>
      <c r="CY700" s="66">
        <v>0</v>
      </c>
      <c r="CZ700" s="66">
        <v>0</v>
      </c>
      <c r="DA700" s="66"/>
      <c r="DB700" s="66"/>
      <c r="DC700" s="66"/>
      <c r="DD700" s="66"/>
      <c r="DE700" s="66"/>
      <c r="DF700" s="66"/>
      <c r="DG700" s="66"/>
      <c r="DH700" s="66"/>
      <c r="DI700" s="66"/>
      <c r="DJ700" s="66"/>
      <c r="DK700" s="66">
        <f>SUM(Table1[[#This Row],[01-03 Apr]:[Mar-26]])</f>
        <v>0</v>
      </c>
    </row>
    <row r="701" spans="1:115" x14ac:dyDescent="0.2">
      <c r="A701" s="28"/>
      <c r="B701" s="29"/>
      <c r="C701" s="29" t="s">
        <v>2735</v>
      </c>
      <c r="D701" s="30" t="s">
        <v>2736</v>
      </c>
      <c r="E701" s="30" t="s">
        <v>85</v>
      </c>
      <c r="F701" s="30"/>
      <c r="G701" s="31"/>
      <c r="H701" s="30">
        <v>360138</v>
      </c>
      <c r="I701" s="30" t="str">
        <f>IF(Table1[[#This Row],[Centre Status]]="Returned","NA",IF(Table1[[#This Row],[SD]]&gt;19000,"Full Payment",IF(Table1[[#This Row],[SD]]&lt;1,"No Payment","Partial Payment")))</f>
        <v>Partial Payment</v>
      </c>
      <c r="J701" s="30" t="s">
        <v>58</v>
      </c>
      <c r="K701" s="32">
        <v>110000</v>
      </c>
      <c r="L701" s="33">
        <f>Q701+R701+U701+Table1[[#This Row],[Farmer Payment]]</f>
        <v>26540.612648998402</v>
      </c>
      <c r="M701" s="30"/>
      <c r="N701" s="34"/>
      <c r="O701" s="34"/>
      <c r="P701" s="35">
        <f>K701-L701+M701</f>
        <v>83459.387351001598</v>
      </c>
      <c r="Q701" s="33">
        <f>AI701+AV701+CK701+Table1[[#This Row],[FY 25-26]]</f>
        <v>11540.6126489984</v>
      </c>
      <c r="R701" s="36">
        <v>15000</v>
      </c>
      <c r="S701" s="37" t="s">
        <v>2737</v>
      </c>
      <c r="T701" s="38">
        <v>45611</v>
      </c>
      <c r="U701" s="39"/>
      <c r="V701" s="39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1">
        <f>SUM(W701:AH701)</f>
        <v>0</v>
      </c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>
        <f>SUM(AJ701:AU701)</f>
        <v>0</v>
      </c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>
        <v>0</v>
      </c>
      <c r="BJ701" s="42"/>
      <c r="BK701" s="42"/>
      <c r="BL701" s="42">
        <v>0</v>
      </c>
      <c r="BM701" s="42">
        <v>0</v>
      </c>
      <c r="BN701" s="42">
        <v>0</v>
      </c>
      <c r="BO701" s="42">
        <v>0</v>
      </c>
      <c r="BP701" s="42">
        <v>0</v>
      </c>
      <c r="BQ701" s="42">
        <v>0</v>
      </c>
      <c r="BR701" s="42">
        <v>0</v>
      </c>
      <c r="BS701" s="42">
        <v>1861</v>
      </c>
      <c r="BT701" s="42">
        <v>0</v>
      </c>
      <c r="BU701" s="42">
        <v>0</v>
      </c>
      <c r="BV701" s="42">
        <v>0</v>
      </c>
      <c r="BW701" s="42">
        <v>0</v>
      </c>
      <c r="BX701" s="42">
        <v>0</v>
      </c>
      <c r="BY701" s="42">
        <v>1861</v>
      </c>
      <c r="BZ701" s="42">
        <v>0</v>
      </c>
      <c r="CA701" s="42">
        <v>0</v>
      </c>
      <c r="CB701" s="42">
        <v>0</v>
      </c>
      <c r="CC701" s="42">
        <v>0</v>
      </c>
      <c r="CD701" s="42">
        <v>1861</v>
      </c>
      <c r="CE701" s="42">
        <v>0</v>
      </c>
      <c r="CF701" s="42">
        <v>0</v>
      </c>
      <c r="CG701" s="42">
        <v>0</v>
      </c>
      <c r="CH701" s="42">
        <v>0</v>
      </c>
      <c r="CI701" s="42">
        <v>0</v>
      </c>
      <c r="CJ701" s="42">
        <v>2235.6126489984003</v>
      </c>
      <c r="CK701" s="43">
        <f t="shared" si="71"/>
        <v>7818.6126489983999</v>
      </c>
      <c r="CL701" s="66"/>
      <c r="CM701" s="66">
        <v>0</v>
      </c>
      <c r="CN701" s="66">
        <v>0</v>
      </c>
      <c r="CO701" s="66">
        <v>0</v>
      </c>
      <c r="CP701" s="66">
        <v>1861</v>
      </c>
      <c r="CQ701" s="66">
        <v>0</v>
      </c>
      <c r="CR701" s="66">
        <v>0</v>
      </c>
      <c r="CS701" s="66">
        <v>0</v>
      </c>
      <c r="CT701" s="66">
        <v>0</v>
      </c>
      <c r="CU701" s="66">
        <v>0</v>
      </c>
      <c r="CV701" s="66">
        <v>1861</v>
      </c>
      <c r="CW701" s="66">
        <v>0</v>
      </c>
      <c r="CX701" s="66">
        <v>0</v>
      </c>
      <c r="CY701" s="66">
        <v>0</v>
      </c>
      <c r="CZ701" s="66">
        <v>0</v>
      </c>
      <c r="DA701" s="66"/>
      <c r="DB701" s="66"/>
      <c r="DC701" s="66"/>
      <c r="DD701" s="66"/>
      <c r="DE701" s="66"/>
      <c r="DF701" s="66"/>
      <c r="DG701" s="66"/>
      <c r="DH701" s="66"/>
      <c r="DI701" s="66"/>
      <c r="DJ701" s="66"/>
      <c r="DK701" s="66">
        <f>SUM(Table1[[#This Row],[01-03 Apr]:[Mar-26]])</f>
        <v>3722</v>
      </c>
    </row>
    <row r="702" spans="1:115" x14ac:dyDescent="0.2">
      <c r="A702" s="28" t="s">
        <v>2255</v>
      </c>
      <c r="B702" s="29" t="s">
        <v>1741</v>
      </c>
      <c r="C702" s="29" t="s">
        <v>1742</v>
      </c>
      <c r="D702" s="30" t="s">
        <v>1743</v>
      </c>
      <c r="E702" s="30" t="s">
        <v>217</v>
      </c>
      <c r="F702" s="30"/>
      <c r="G702" s="31"/>
      <c r="H702" s="30">
        <v>388160</v>
      </c>
      <c r="I702" s="30" t="str">
        <f>IF(Table1[[#This Row],[Centre Status]]="Returned","NA",IF(Table1[[#This Row],[SD]]&gt;19000,"Full Payment",IF(Table1[[#This Row],[SD]]&lt;1,"No Payment","Partial Payment")))</f>
        <v>No Payment</v>
      </c>
      <c r="J702" s="30" t="s">
        <v>58</v>
      </c>
      <c r="K702" s="32">
        <v>110000</v>
      </c>
      <c r="L702" s="33">
        <f>Q702+R702+U702+Table1[[#This Row],[Farmer Payment]]</f>
        <v>24873.384669361163</v>
      </c>
      <c r="M702" s="30"/>
      <c r="N702" s="34"/>
      <c r="O702" s="34"/>
      <c r="P702" s="35">
        <f t="shared" si="72"/>
        <v>85126.61533063883</v>
      </c>
      <c r="Q702" s="33">
        <f>AI702+AV702+CK702+Table1[[#This Row],[FY 25-26]]</f>
        <v>24873.384669361163</v>
      </c>
      <c r="R702" s="36"/>
      <c r="S702" s="37"/>
      <c r="T702" s="38"/>
      <c r="U702" s="39"/>
      <c r="V702" s="39"/>
      <c r="W702" s="40">
        <v>0</v>
      </c>
      <c r="X702" s="40">
        <v>0</v>
      </c>
      <c r="Y702" s="40">
        <v>0</v>
      </c>
      <c r="Z702" s="40">
        <v>0</v>
      </c>
      <c r="AA702" s="40">
        <v>0</v>
      </c>
      <c r="AB702" s="40">
        <v>0</v>
      </c>
      <c r="AC702" s="40">
        <v>0</v>
      </c>
      <c r="AD702" s="40">
        <v>0</v>
      </c>
      <c r="AE702" s="40">
        <v>0</v>
      </c>
      <c r="AF702" s="40">
        <v>0</v>
      </c>
      <c r="AG702" s="40">
        <v>0</v>
      </c>
      <c r="AH702" s="40">
        <v>0</v>
      </c>
      <c r="AI702" s="41">
        <f t="shared" si="73"/>
        <v>0</v>
      </c>
      <c r="AJ702" s="42">
        <v>0</v>
      </c>
      <c r="AK702" s="42">
        <v>0</v>
      </c>
      <c r="AL702" s="42">
        <v>0</v>
      </c>
      <c r="AM702" s="42">
        <v>0</v>
      </c>
      <c r="AN702" s="42">
        <v>0</v>
      </c>
      <c r="AO702" s="42">
        <v>0</v>
      </c>
      <c r="AP702" s="42">
        <v>0</v>
      </c>
      <c r="AQ702" s="42">
        <v>1623</v>
      </c>
      <c r="AR702" s="42">
        <v>183</v>
      </c>
      <c r="AS702" s="42">
        <v>1520</v>
      </c>
      <c r="AT702" s="42">
        <v>905.38466936116083</v>
      </c>
      <c r="AU702" s="42">
        <v>0</v>
      </c>
      <c r="AV702" s="42">
        <f t="shared" si="74"/>
        <v>4231.3846693611613</v>
      </c>
      <c r="AW702" s="42">
        <v>0</v>
      </c>
      <c r="AX702" s="42">
        <v>0</v>
      </c>
      <c r="AY702" s="42">
        <v>0</v>
      </c>
      <c r="AZ702" s="42">
        <v>0</v>
      </c>
      <c r="BA702" s="42">
        <v>0</v>
      </c>
      <c r="BB702" s="42">
        <v>500</v>
      </c>
      <c r="BC702" s="42">
        <v>642</v>
      </c>
      <c r="BD702" s="42">
        <v>500</v>
      </c>
      <c r="BE702" s="42">
        <v>500</v>
      </c>
      <c r="BF702" s="42">
        <v>500</v>
      </c>
      <c r="BG702" s="42">
        <v>500</v>
      </c>
      <c r="BH702" s="42">
        <v>500</v>
      </c>
      <c r="BI702" s="42">
        <v>0</v>
      </c>
      <c r="BJ702" s="42">
        <v>500</v>
      </c>
      <c r="BK702" s="42">
        <v>500</v>
      </c>
      <c r="BL702" s="42">
        <v>500</v>
      </c>
      <c r="BM702" s="42">
        <v>500</v>
      </c>
      <c r="BN702" s="42">
        <v>0</v>
      </c>
      <c r="BO702" s="42">
        <v>500</v>
      </c>
      <c r="BP702" s="42">
        <v>500</v>
      </c>
      <c r="BQ702" s="42">
        <v>500</v>
      </c>
      <c r="BR702" s="42">
        <v>500</v>
      </c>
      <c r="BS702" s="42">
        <v>0</v>
      </c>
      <c r="BT702" s="42">
        <v>500</v>
      </c>
      <c r="BU702" s="42">
        <v>500</v>
      </c>
      <c r="BV702" s="42">
        <v>500</v>
      </c>
      <c r="BW702" s="42">
        <v>500</v>
      </c>
      <c r="BX702" s="42">
        <v>500</v>
      </c>
      <c r="BY702" s="42">
        <v>0</v>
      </c>
      <c r="BZ702" s="42">
        <v>500</v>
      </c>
      <c r="CA702" s="42">
        <v>500</v>
      </c>
      <c r="CB702" s="42">
        <v>500</v>
      </c>
      <c r="CC702" s="42">
        <v>500</v>
      </c>
      <c r="CD702" s="42">
        <v>0</v>
      </c>
      <c r="CE702" s="42">
        <v>500</v>
      </c>
      <c r="CF702" s="42">
        <v>500</v>
      </c>
      <c r="CG702" s="42">
        <v>500</v>
      </c>
      <c r="CH702" s="42">
        <v>500</v>
      </c>
      <c r="CI702" s="42">
        <v>500</v>
      </c>
      <c r="CJ702" s="42">
        <v>0</v>
      </c>
      <c r="CK702" s="43">
        <f t="shared" si="71"/>
        <v>14642</v>
      </c>
      <c r="CL702" s="66"/>
      <c r="CM702" s="66">
        <v>500</v>
      </c>
      <c r="CN702" s="66">
        <v>500</v>
      </c>
      <c r="CO702" s="66">
        <v>500</v>
      </c>
      <c r="CP702" s="66">
        <v>0</v>
      </c>
      <c r="CQ702" s="66">
        <v>500</v>
      </c>
      <c r="CR702" s="66">
        <v>500</v>
      </c>
      <c r="CS702" s="66">
        <v>500</v>
      </c>
      <c r="CT702" s="66">
        <v>500</v>
      </c>
      <c r="CU702" s="66">
        <v>500</v>
      </c>
      <c r="CV702" s="66">
        <v>0</v>
      </c>
      <c r="CW702" s="66">
        <v>500</v>
      </c>
      <c r="CX702" s="66">
        <v>500</v>
      </c>
      <c r="CY702" s="66">
        <v>500</v>
      </c>
      <c r="CZ702" s="66">
        <v>500</v>
      </c>
      <c r="DA702" s="66"/>
      <c r="DB702" s="66"/>
      <c r="DC702" s="66"/>
      <c r="DD702" s="66"/>
      <c r="DE702" s="66"/>
      <c r="DF702" s="66"/>
      <c r="DG702" s="66"/>
      <c r="DH702" s="66"/>
      <c r="DI702" s="66"/>
      <c r="DJ702" s="66"/>
      <c r="DK702" s="66">
        <f>SUM(Table1[[#This Row],[01-03 Apr]:[Mar-26]])</f>
        <v>6000</v>
      </c>
    </row>
    <row r="703" spans="1:115" hidden="1" x14ac:dyDescent="0.2">
      <c r="A703" s="28" t="s">
        <v>2255</v>
      </c>
      <c r="B703" s="29" t="s">
        <v>1744</v>
      </c>
      <c r="C703" s="29" t="s">
        <v>1745</v>
      </c>
      <c r="D703" s="30" t="s">
        <v>1746</v>
      </c>
      <c r="E703" s="30" t="s">
        <v>85</v>
      </c>
      <c r="F703" s="30"/>
      <c r="G703" s="31"/>
      <c r="H703" s="30">
        <v>391082</v>
      </c>
      <c r="I703" s="30" t="str">
        <f>IF(Table1[[#This Row],[Centre Status]]="Returned","NA",IF(Table1[[#This Row],[SD]]&gt;19000,"Full Payment",IF(Table1[[#This Row],[SD]]&lt;1,"No Payment","Partial Payment")))</f>
        <v>Full Payment</v>
      </c>
      <c r="J703" s="30" t="s">
        <v>58</v>
      </c>
      <c r="K703" s="32">
        <v>110000</v>
      </c>
      <c r="L703" s="33">
        <f>Q703+R703+U703+Table1[[#This Row],[Farmer Payment]]</f>
        <v>58986.407581274158</v>
      </c>
      <c r="M703" s="30"/>
      <c r="N703" s="34"/>
      <c r="O703" s="34"/>
      <c r="P703" s="35">
        <f t="shared" si="72"/>
        <v>51013.592418725842</v>
      </c>
      <c r="Q703" s="33">
        <f>AI703+AV703+CK703+Table1[[#This Row],[FY 25-26]]</f>
        <v>38986.407581274158</v>
      </c>
      <c r="R703" s="36">
        <v>20000</v>
      </c>
      <c r="S703" s="37" t="s">
        <v>2563</v>
      </c>
      <c r="T703" s="38">
        <v>45177</v>
      </c>
      <c r="U703" s="39"/>
      <c r="V703" s="39"/>
      <c r="W703" s="40">
        <v>0</v>
      </c>
      <c r="X703" s="40">
        <v>0</v>
      </c>
      <c r="Y703" s="40">
        <v>0</v>
      </c>
      <c r="Z703" s="40">
        <v>0</v>
      </c>
      <c r="AA703" s="40">
        <v>0</v>
      </c>
      <c r="AB703" s="40">
        <v>0</v>
      </c>
      <c r="AC703" s="40">
        <v>0</v>
      </c>
      <c r="AD703" s="40">
        <v>0</v>
      </c>
      <c r="AE703" s="40">
        <v>0</v>
      </c>
      <c r="AF703" s="40">
        <v>0</v>
      </c>
      <c r="AG703" s="40">
        <v>0</v>
      </c>
      <c r="AH703" s="40">
        <v>0</v>
      </c>
      <c r="AI703" s="41">
        <f t="shared" si="73"/>
        <v>0</v>
      </c>
      <c r="AJ703" s="42">
        <v>0</v>
      </c>
      <c r="AK703" s="42">
        <v>0</v>
      </c>
      <c r="AL703" s="42">
        <v>0</v>
      </c>
      <c r="AM703" s="42">
        <v>0</v>
      </c>
      <c r="AN703" s="42">
        <v>0</v>
      </c>
      <c r="AO703" s="42">
        <v>0</v>
      </c>
      <c r="AP703" s="42">
        <v>0</v>
      </c>
      <c r="AQ703" s="42">
        <v>0</v>
      </c>
      <c r="AR703" s="42">
        <v>1861</v>
      </c>
      <c r="AS703" s="42">
        <v>1861</v>
      </c>
      <c r="AT703" s="42">
        <v>2772.3474000000001</v>
      </c>
      <c r="AU703" s="42">
        <v>3369.6785999999993</v>
      </c>
      <c r="AV703" s="42">
        <f t="shared" si="74"/>
        <v>9864.0259999999998</v>
      </c>
      <c r="AW703" s="42">
        <v>1927.8114645504004</v>
      </c>
      <c r="AX703" s="42">
        <v>1861</v>
      </c>
      <c r="AY703" s="42">
        <v>1861</v>
      </c>
      <c r="AZ703" s="42">
        <v>1861</v>
      </c>
      <c r="BA703" s="42">
        <v>2235.6450433763998</v>
      </c>
      <c r="BB703" s="42">
        <v>0</v>
      </c>
      <c r="BC703" s="42">
        <v>3144.4775334882679</v>
      </c>
      <c r="BD703" s="42">
        <v>0</v>
      </c>
      <c r="BE703" s="42">
        <v>0</v>
      </c>
      <c r="BF703" s="42">
        <v>0</v>
      </c>
      <c r="BG703" s="42">
        <v>0</v>
      </c>
      <c r="BH703" s="42">
        <v>0</v>
      </c>
      <c r="BI703" s="42">
        <v>1861</v>
      </c>
      <c r="BJ703" s="42">
        <v>0</v>
      </c>
      <c r="BK703" s="42">
        <v>0</v>
      </c>
      <c r="BL703" s="42">
        <v>0</v>
      </c>
      <c r="BM703" s="42">
        <v>0</v>
      </c>
      <c r="BN703" s="42">
        <v>1861</v>
      </c>
      <c r="BO703" s="42">
        <v>0</v>
      </c>
      <c r="BP703" s="42">
        <v>0</v>
      </c>
      <c r="BQ703" s="42">
        <v>0</v>
      </c>
      <c r="BR703" s="42">
        <v>0</v>
      </c>
      <c r="BS703" s="42">
        <v>2351.9604229761321</v>
      </c>
      <c r="BT703" s="42">
        <v>0</v>
      </c>
      <c r="BU703" s="42">
        <v>0</v>
      </c>
      <c r="BV703" s="42">
        <v>0</v>
      </c>
      <c r="BW703" s="42">
        <v>0</v>
      </c>
      <c r="BX703" s="42">
        <v>0</v>
      </c>
      <c r="BY703" s="42">
        <v>2395.5407721842821</v>
      </c>
      <c r="BZ703" s="42">
        <v>0</v>
      </c>
      <c r="CA703" s="42">
        <v>0</v>
      </c>
      <c r="CB703" s="42">
        <v>0</v>
      </c>
      <c r="CC703" s="42">
        <v>0</v>
      </c>
      <c r="CD703" s="42">
        <v>2278.77977478912</v>
      </c>
      <c r="CE703" s="42">
        <v>0</v>
      </c>
      <c r="CF703" s="42">
        <v>0</v>
      </c>
      <c r="CG703" s="42">
        <v>0</v>
      </c>
      <c r="CH703" s="42">
        <v>0</v>
      </c>
      <c r="CI703" s="42">
        <v>0</v>
      </c>
      <c r="CJ703" s="42">
        <v>2769.1665699095524</v>
      </c>
      <c r="CK703" s="43">
        <f t="shared" si="71"/>
        <v>26408.381581274156</v>
      </c>
      <c r="CL703" s="66"/>
      <c r="CM703" s="66">
        <v>0</v>
      </c>
      <c r="CN703" s="66">
        <v>0</v>
      </c>
      <c r="CO703" s="66">
        <v>0</v>
      </c>
      <c r="CP703" s="66">
        <v>1861</v>
      </c>
      <c r="CQ703" s="66">
        <v>0</v>
      </c>
      <c r="CR703" s="66">
        <v>0</v>
      </c>
      <c r="CS703" s="66">
        <v>0</v>
      </c>
      <c r="CT703" s="66">
        <v>0</v>
      </c>
      <c r="CU703" s="66">
        <v>0</v>
      </c>
      <c r="CV703" s="66">
        <v>853</v>
      </c>
      <c r="CW703" s="66">
        <v>0</v>
      </c>
      <c r="CX703" s="66">
        <v>0</v>
      </c>
      <c r="CY703" s="66">
        <v>0</v>
      </c>
      <c r="CZ703" s="66">
        <v>0</v>
      </c>
      <c r="DA703" s="66"/>
      <c r="DB703" s="66"/>
      <c r="DC703" s="66"/>
      <c r="DD703" s="66"/>
      <c r="DE703" s="66"/>
      <c r="DF703" s="66"/>
      <c r="DG703" s="66"/>
      <c r="DH703" s="66"/>
      <c r="DI703" s="66"/>
      <c r="DJ703" s="66"/>
      <c r="DK703" s="66">
        <f>SUM(Table1[[#This Row],[01-03 Apr]:[Mar-26]])</f>
        <v>2714</v>
      </c>
    </row>
    <row r="704" spans="1:115" x14ac:dyDescent="0.2">
      <c r="A704" s="28" t="s">
        <v>2367</v>
      </c>
      <c r="B704" s="29" t="s">
        <v>1749</v>
      </c>
      <c r="C704" s="29" t="s">
        <v>1750</v>
      </c>
      <c r="D704" s="30" t="s">
        <v>1751</v>
      </c>
      <c r="E704" s="30" t="s">
        <v>85</v>
      </c>
      <c r="F704" s="30"/>
      <c r="G704" s="31"/>
      <c r="H704" s="30">
        <v>378114</v>
      </c>
      <c r="I704" s="30" t="str">
        <f>IF(Table1[[#This Row],[Centre Status]]="Returned","NA",IF(Table1[[#This Row],[SD]]&gt;19000,"Full Payment",IF(Table1[[#This Row],[SD]]&lt;1,"No Payment","Partial Payment")))</f>
        <v>Partial Payment</v>
      </c>
      <c r="J704" s="30" t="s">
        <v>58</v>
      </c>
      <c r="K704" s="32">
        <v>110000</v>
      </c>
      <c r="L704" s="33">
        <f>Q704+R704+U704+Table1[[#This Row],[Farmer Payment]]</f>
        <v>69157.396690402413</v>
      </c>
      <c r="M704" s="30"/>
      <c r="N704" s="34"/>
      <c r="O704" s="34"/>
      <c r="P704" s="35">
        <f t="shared" si="72"/>
        <v>40842.603309597587</v>
      </c>
      <c r="Q704" s="33">
        <f>AI704+AV704+CK704+Table1[[#This Row],[FY 25-26]]</f>
        <v>59157.396690402413</v>
      </c>
      <c r="R704" s="36">
        <f>5000+5000</f>
        <v>10000</v>
      </c>
      <c r="S704" s="37" t="s">
        <v>2565</v>
      </c>
      <c r="T704" s="38">
        <v>45162</v>
      </c>
      <c r="U704" s="39"/>
      <c r="V704" s="39"/>
      <c r="W704" s="40">
        <v>0</v>
      </c>
      <c r="X704" s="40">
        <v>0</v>
      </c>
      <c r="Y704" s="40">
        <v>0</v>
      </c>
      <c r="Z704" s="40">
        <v>0</v>
      </c>
      <c r="AA704" s="40">
        <v>0</v>
      </c>
      <c r="AB704" s="40">
        <v>0</v>
      </c>
      <c r="AC704" s="40">
        <v>0</v>
      </c>
      <c r="AD704" s="40">
        <v>0</v>
      </c>
      <c r="AE704" s="40">
        <v>0</v>
      </c>
      <c r="AF704" s="40">
        <v>0</v>
      </c>
      <c r="AG704" s="40">
        <v>0</v>
      </c>
      <c r="AH704" s="40">
        <v>0</v>
      </c>
      <c r="AI704" s="41">
        <f t="shared" si="73"/>
        <v>0</v>
      </c>
      <c r="AJ704" s="42">
        <v>0</v>
      </c>
      <c r="AK704" s="42">
        <v>0</v>
      </c>
      <c r="AL704" s="42">
        <v>0</v>
      </c>
      <c r="AM704" s="42">
        <v>0</v>
      </c>
      <c r="AN704" s="42">
        <v>0</v>
      </c>
      <c r="AO704" s="42">
        <v>0</v>
      </c>
      <c r="AP704" s="42">
        <v>0</v>
      </c>
      <c r="AQ704" s="42">
        <v>0</v>
      </c>
      <c r="AR704" s="42">
        <v>4810.8253999999997</v>
      </c>
      <c r="AS704" s="42">
        <v>7166.1342000000004</v>
      </c>
      <c r="AT704" s="42">
        <v>6807.8038000000006</v>
      </c>
      <c r="AU704" s="42">
        <v>5705.7720000000008</v>
      </c>
      <c r="AV704" s="42">
        <f t="shared" si="74"/>
        <v>24490.535400000001</v>
      </c>
      <c r="AW704" s="42">
        <v>3854.0399745162363</v>
      </c>
      <c r="AX704" s="42">
        <v>2109.2751779121863</v>
      </c>
      <c r="AY704" s="42">
        <v>1861</v>
      </c>
      <c r="AZ704" s="42">
        <v>2285.2198681873706</v>
      </c>
      <c r="BA704" s="42">
        <v>1861</v>
      </c>
      <c r="BB704" s="42">
        <v>0</v>
      </c>
      <c r="BC704" s="42">
        <v>2823.0199064353064</v>
      </c>
      <c r="BD704" s="42">
        <v>0</v>
      </c>
      <c r="BE704" s="42">
        <v>0</v>
      </c>
      <c r="BF704" s="42">
        <v>0</v>
      </c>
      <c r="BG704" s="42">
        <v>0</v>
      </c>
      <c r="BH704" s="42">
        <v>0</v>
      </c>
      <c r="BI704" s="42">
        <v>2262.7697070058862</v>
      </c>
      <c r="BJ704" s="42">
        <v>0</v>
      </c>
      <c r="BK704" s="42">
        <v>0</v>
      </c>
      <c r="BL704" s="42">
        <v>0</v>
      </c>
      <c r="BM704" s="42">
        <v>0</v>
      </c>
      <c r="BN704" s="42">
        <v>1901.6232054611423</v>
      </c>
      <c r="BO704" s="42">
        <v>0</v>
      </c>
      <c r="BP704" s="42">
        <v>0</v>
      </c>
      <c r="BQ704" s="42">
        <v>0</v>
      </c>
      <c r="BR704" s="42">
        <v>0</v>
      </c>
      <c r="BS704" s="42">
        <v>2683.7839747781022</v>
      </c>
      <c r="BT704" s="42">
        <v>0</v>
      </c>
      <c r="BU704" s="42">
        <v>0</v>
      </c>
      <c r="BV704" s="42">
        <v>0</v>
      </c>
      <c r="BW704" s="42">
        <v>0</v>
      </c>
      <c r="BX704" s="42">
        <v>0</v>
      </c>
      <c r="BY704" s="42">
        <v>3042.231075634676</v>
      </c>
      <c r="BZ704" s="42">
        <v>0</v>
      </c>
      <c r="CA704" s="42">
        <v>0</v>
      </c>
      <c r="CB704" s="42">
        <v>0</v>
      </c>
      <c r="CC704" s="42">
        <v>0</v>
      </c>
      <c r="CD704" s="42">
        <v>2965.6666548977059</v>
      </c>
      <c r="CE704" s="42">
        <v>0</v>
      </c>
      <c r="CF704" s="42">
        <v>0</v>
      </c>
      <c r="CG704" s="42">
        <v>0</v>
      </c>
      <c r="CH704" s="42">
        <v>0</v>
      </c>
      <c r="CI704" s="42">
        <v>0</v>
      </c>
      <c r="CJ704" s="42">
        <v>2912.5987041382259</v>
      </c>
      <c r="CK704" s="43">
        <f t="shared" si="71"/>
        <v>30562.22824896684</v>
      </c>
      <c r="CL704" s="66"/>
      <c r="CM704" s="66">
        <v>0</v>
      </c>
      <c r="CN704" s="66">
        <v>0</v>
      </c>
      <c r="CO704" s="66">
        <v>0</v>
      </c>
      <c r="CP704" s="66">
        <v>2243.6330414355748</v>
      </c>
      <c r="CQ704" s="66">
        <v>0</v>
      </c>
      <c r="CR704" s="66">
        <v>0</v>
      </c>
      <c r="CS704" s="66">
        <v>0</v>
      </c>
      <c r="CT704" s="66">
        <v>0</v>
      </c>
      <c r="CU704" s="66">
        <v>0</v>
      </c>
      <c r="CV704" s="66">
        <v>1861</v>
      </c>
      <c r="CW704" s="66">
        <v>0</v>
      </c>
      <c r="CX704" s="66">
        <v>0</v>
      </c>
      <c r="CY704" s="66">
        <v>0</v>
      </c>
      <c r="CZ704" s="66">
        <v>0</v>
      </c>
      <c r="DA704" s="66"/>
      <c r="DB704" s="66"/>
      <c r="DC704" s="66"/>
      <c r="DD704" s="66"/>
      <c r="DE704" s="66"/>
      <c r="DF704" s="66"/>
      <c r="DG704" s="66"/>
      <c r="DH704" s="66"/>
      <c r="DI704" s="66"/>
      <c r="DJ704" s="66"/>
      <c r="DK704" s="66">
        <f>SUM(Table1[[#This Row],[01-03 Apr]:[Mar-26]])</f>
        <v>4104.6330414355743</v>
      </c>
    </row>
    <row r="705" spans="1:115" hidden="1" x14ac:dyDescent="0.2">
      <c r="A705" s="28" t="s">
        <v>2367</v>
      </c>
      <c r="B705" s="29" t="s">
        <v>1752</v>
      </c>
      <c r="C705" s="29" t="s">
        <v>1753</v>
      </c>
      <c r="D705" s="30" t="s">
        <v>1235</v>
      </c>
      <c r="E705" s="30" t="s">
        <v>85</v>
      </c>
      <c r="F705" s="30"/>
      <c r="G705" s="31"/>
      <c r="H705" s="30">
        <v>385640</v>
      </c>
      <c r="I705" s="30" t="str">
        <f>IF(Table1[[#This Row],[Centre Status]]="Returned","NA",IF(Table1[[#This Row],[SD]]&gt;19000,"Full Payment",IF(Table1[[#This Row],[SD]]&lt;1,"No Payment","Partial Payment")))</f>
        <v>NA</v>
      </c>
      <c r="J705" s="30" t="s">
        <v>1903</v>
      </c>
      <c r="K705" s="32">
        <v>110000</v>
      </c>
      <c r="L705" s="33">
        <f>Q705+R705+U705+Table1[[#This Row],[Farmer Payment]]</f>
        <v>28264.021199999999</v>
      </c>
      <c r="M705" s="30">
        <v>20000</v>
      </c>
      <c r="N705" s="34">
        <v>45639</v>
      </c>
      <c r="O705" s="34" t="s">
        <v>2457</v>
      </c>
      <c r="P705" s="35">
        <f t="shared" si="72"/>
        <v>101735.9788</v>
      </c>
      <c r="Q705" s="33">
        <f>AI705+AV705+CK705+Table1[[#This Row],[FY 25-26]]</f>
        <v>8264.0211999999992</v>
      </c>
      <c r="R705" s="36">
        <v>20000</v>
      </c>
      <c r="S705" s="37" t="s">
        <v>2566</v>
      </c>
      <c r="T705" s="38">
        <v>45208</v>
      </c>
      <c r="U705" s="39"/>
      <c r="V705" s="39"/>
      <c r="W705" s="40">
        <v>0</v>
      </c>
      <c r="X705" s="40">
        <v>0</v>
      </c>
      <c r="Y705" s="40">
        <v>0</v>
      </c>
      <c r="Z705" s="40">
        <v>0</v>
      </c>
      <c r="AA705" s="40">
        <v>0</v>
      </c>
      <c r="AB705" s="40">
        <v>0</v>
      </c>
      <c r="AC705" s="40">
        <v>0</v>
      </c>
      <c r="AD705" s="40">
        <v>0</v>
      </c>
      <c r="AE705" s="40">
        <v>0</v>
      </c>
      <c r="AF705" s="40">
        <v>0</v>
      </c>
      <c r="AG705" s="40">
        <v>0</v>
      </c>
      <c r="AH705" s="40">
        <v>0</v>
      </c>
      <c r="AI705" s="41">
        <f t="shared" si="73"/>
        <v>0</v>
      </c>
      <c r="AJ705" s="42">
        <v>0</v>
      </c>
      <c r="AK705" s="42">
        <v>0</v>
      </c>
      <c r="AL705" s="42">
        <v>0</v>
      </c>
      <c r="AM705" s="42">
        <v>0</v>
      </c>
      <c r="AN705" s="42">
        <v>0</v>
      </c>
      <c r="AO705" s="42">
        <v>0</v>
      </c>
      <c r="AP705" s="42">
        <v>0</v>
      </c>
      <c r="AQ705" s="42">
        <v>0</v>
      </c>
      <c r="AR705" s="42">
        <v>1861</v>
      </c>
      <c r="AS705" s="42">
        <v>1861</v>
      </c>
      <c r="AT705" s="42">
        <v>2549.0212000000001</v>
      </c>
      <c r="AU705" s="42">
        <v>1861</v>
      </c>
      <c r="AV705" s="42">
        <f t="shared" si="74"/>
        <v>8132.0212000000001</v>
      </c>
      <c r="AW705" s="42">
        <v>132</v>
      </c>
      <c r="AX705" s="42">
        <v>0</v>
      </c>
      <c r="AY705" s="42">
        <v>0</v>
      </c>
      <c r="AZ705" s="42">
        <v>0</v>
      </c>
      <c r="BA705" s="42">
        <v>0</v>
      </c>
      <c r="BB705" s="42">
        <v>0</v>
      </c>
      <c r="BC705" s="42">
        <v>0</v>
      </c>
      <c r="BD705" s="42">
        <v>0</v>
      </c>
      <c r="BE705" s="42">
        <v>0</v>
      </c>
      <c r="BF705" s="42">
        <v>0</v>
      </c>
      <c r="BG705" s="42">
        <v>0</v>
      </c>
      <c r="BH705" s="42">
        <v>0</v>
      </c>
      <c r="BI705" s="42">
        <v>0</v>
      </c>
      <c r="BJ705" s="42">
        <v>0</v>
      </c>
      <c r="BK705" s="42">
        <v>0</v>
      </c>
      <c r="BL705" s="42">
        <v>0</v>
      </c>
      <c r="BM705" s="42">
        <v>0</v>
      </c>
      <c r="BN705" s="42">
        <v>0</v>
      </c>
      <c r="BO705" s="42">
        <v>0</v>
      </c>
      <c r="BP705" s="42">
        <v>0</v>
      </c>
      <c r="BQ705" s="42">
        <v>0</v>
      </c>
      <c r="BR705" s="42">
        <v>0</v>
      </c>
      <c r="BS705" s="42">
        <v>0</v>
      </c>
      <c r="BT705" s="42">
        <v>0</v>
      </c>
      <c r="BU705" s="42">
        <v>0</v>
      </c>
      <c r="BV705" s="42">
        <v>0</v>
      </c>
      <c r="BW705" s="42">
        <v>0</v>
      </c>
      <c r="BX705" s="42">
        <v>0</v>
      </c>
      <c r="BY705" s="42">
        <v>0</v>
      </c>
      <c r="BZ705" s="42">
        <v>0</v>
      </c>
      <c r="CA705" s="42">
        <v>0</v>
      </c>
      <c r="CB705" s="42">
        <v>0</v>
      </c>
      <c r="CC705" s="42">
        <v>0</v>
      </c>
      <c r="CD705" s="42">
        <v>0</v>
      </c>
      <c r="CE705" s="42">
        <v>0</v>
      </c>
      <c r="CF705" s="42">
        <v>0</v>
      </c>
      <c r="CG705" s="42">
        <v>0</v>
      </c>
      <c r="CH705" s="42">
        <v>0</v>
      </c>
      <c r="CI705" s="42">
        <v>0</v>
      </c>
      <c r="CJ705" s="42">
        <v>0</v>
      </c>
      <c r="CK705" s="43">
        <f t="shared" si="71"/>
        <v>132</v>
      </c>
      <c r="CL705" s="66"/>
      <c r="CM705" s="66">
        <v>0</v>
      </c>
      <c r="CN705" s="66">
        <v>0</v>
      </c>
      <c r="CO705" s="66">
        <v>0</v>
      </c>
      <c r="CP705" s="66">
        <v>0</v>
      </c>
      <c r="CQ705" s="66">
        <v>0</v>
      </c>
      <c r="CR705" s="66">
        <v>0</v>
      </c>
      <c r="CS705" s="66">
        <v>0</v>
      </c>
      <c r="CT705" s="66">
        <v>0</v>
      </c>
      <c r="CU705" s="66">
        <v>0</v>
      </c>
      <c r="CV705" s="66">
        <v>0</v>
      </c>
      <c r="CW705" s="66">
        <v>0</v>
      </c>
      <c r="CX705" s="66">
        <v>0</v>
      </c>
      <c r="CY705" s="66">
        <v>0</v>
      </c>
      <c r="CZ705" s="66">
        <v>0</v>
      </c>
      <c r="DA705" s="66"/>
      <c r="DB705" s="66"/>
      <c r="DC705" s="66"/>
      <c r="DD705" s="66"/>
      <c r="DE705" s="66"/>
      <c r="DF705" s="66"/>
      <c r="DG705" s="66"/>
      <c r="DH705" s="66"/>
      <c r="DI705" s="66"/>
      <c r="DJ705" s="66"/>
      <c r="DK705" s="66">
        <f>SUM(Table1[[#This Row],[01-03 Apr]:[Mar-26]])</f>
        <v>0</v>
      </c>
    </row>
    <row r="706" spans="1:115" hidden="1" x14ac:dyDescent="0.2">
      <c r="A706" s="28" t="s">
        <v>2255</v>
      </c>
      <c r="B706" s="29" t="s">
        <v>1754</v>
      </c>
      <c r="C706" s="29" t="s">
        <v>1755</v>
      </c>
      <c r="D706" s="30" t="s">
        <v>1756</v>
      </c>
      <c r="E706" s="30" t="s">
        <v>85</v>
      </c>
      <c r="F706" s="30"/>
      <c r="G706" s="31"/>
      <c r="H706" s="30">
        <v>378122</v>
      </c>
      <c r="I706" s="30" t="str">
        <f>IF(Table1[[#This Row],[Centre Status]]="Returned","NA",IF(Table1[[#This Row],[SD]]&gt;19000,"Full Payment",IF(Table1[[#This Row],[SD]]&lt;1,"No Payment","Partial Payment")))</f>
        <v>NA</v>
      </c>
      <c r="J706" s="30" t="s">
        <v>1903</v>
      </c>
      <c r="K706" s="32">
        <v>110000</v>
      </c>
      <c r="L706" s="33">
        <f>Q706+R706+U706+Table1[[#This Row],[Farmer Payment]]</f>
        <v>40012.668839946004</v>
      </c>
      <c r="M706" s="30">
        <v>10000</v>
      </c>
      <c r="N706" s="34">
        <v>45684</v>
      </c>
      <c r="O706" s="34" t="s">
        <v>2457</v>
      </c>
      <c r="P706" s="35">
        <f t="shared" si="72"/>
        <v>79987.331160053989</v>
      </c>
      <c r="Q706" s="33">
        <f>AI706+AV706+CK706+Table1[[#This Row],[FY 25-26]]</f>
        <v>30012.668839946004</v>
      </c>
      <c r="R706" s="36">
        <v>10000</v>
      </c>
      <c r="S706" s="37" t="s">
        <v>1272</v>
      </c>
      <c r="T706" s="38">
        <v>45126</v>
      </c>
      <c r="U706" s="39"/>
      <c r="V706" s="39"/>
      <c r="W706" s="40">
        <v>0</v>
      </c>
      <c r="X706" s="40">
        <v>0</v>
      </c>
      <c r="Y706" s="40">
        <v>0</v>
      </c>
      <c r="Z706" s="40">
        <v>0</v>
      </c>
      <c r="AA706" s="40">
        <v>0</v>
      </c>
      <c r="AB706" s="40">
        <v>0</v>
      </c>
      <c r="AC706" s="40">
        <v>0</v>
      </c>
      <c r="AD706" s="40">
        <v>0</v>
      </c>
      <c r="AE706" s="40">
        <v>0</v>
      </c>
      <c r="AF706" s="40">
        <v>0</v>
      </c>
      <c r="AG706" s="40">
        <v>0</v>
      </c>
      <c r="AH706" s="40">
        <v>0</v>
      </c>
      <c r="AI706" s="41">
        <f t="shared" si="73"/>
        <v>0</v>
      </c>
      <c r="AJ706" s="42">
        <v>0</v>
      </c>
      <c r="AK706" s="42">
        <v>0</v>
      </c>
      <c r="AL706" s="42">
        <v>0</v>
      </c>
      <c r="AM706" s="42">
        <v>0</v>
      </c>
      <c r="AN706" s="42">
        <v>0</v>
      </c>
      <c r="AO706" s="42">
        <v>0</v>
      </c>
      <c r="AP706" s="42">
        <v>0</v>
      </c>
      <c r="AQ706" s="42">
        <v>0</v>
      </c>
      <c r="AR706" s="42">
        <v>5023.7136</v>
      </c>
      <c r="AS706" s="42">
        <v>5118.2092000000002</v>
      </c>
      <c r="AT706" s="42">
        <v>5563.4624000000003</v>
      </c>
      <c r="AU706" s="42">
        <v>5280.3257999999996</v>
      </c>
      <c r="AV706" s="42">
        <f t="shared" si="74"/>
        <v>20985.710999999999</v>
      </c>
      <c r="AW706" s="42">
        <v>2736.9578399460065</v>
      </c>
      <c r="AX706" s="42">
        <v>1861</v>
      </c>
      <c r="AY706" s="42">
        <v>1185</v>
      </c>
      <c r="AZ706" s="42">
        <v>744</v>
      </c>
      <c r="BA706" s="42">
        <v>0</v>
      </c>
      <c r="BB706" s="42">
        <v>500</v>
      </c>
      <c r="BC706" s="42">
        <v>0</v>
      </c>
      <c r="BD706" s="42">
        <v>500</v>
      </c>
      <c r="BE706" s="42">
        <v>500</v>
      </c>
      <c r="BF706" s="42">
        <v>500</v>
      </c>
      <c r="BG706" s="42">
        <v>500</v>
      </c>
      <c r="BH706" s="42">
        <v>0</v>
      </c>
      <c r="BI706" s="42">
        <v>0</v>
      </c>
      <c r="BJ706" s="42">
        <v>0</v>
      </c>
      <c r="BK706" s="42">
        <v>0</v>
      </c>
      <c r="BL706" s="42">
        <v>0</v>
      </c>
      <c r="BM706" s="42">
        <v>0</v>
      </c>
      <c r="BN706" s="42">
        <v>0</v>
      </c>
      <c r="BO706" s="42">
        <v>0</v>
      </c>
      <c r="BP706" s="42">
        <v>0</v>
      </c>
      <c r="BQ706" s="42">
        <v>0</v>
      </c>
      <c r="BR706" s="42">
        <v>0</v>
      </c>
      <c r="BS706" s="42">
        <v>0</v>
      </c>
      <c r="BT706" s="42">
        <v>0</v>
      </c>
      <c r="BU706" s="42">
        <v>0</v>
      </c>
      <c r="BV706" s="42">
        <v>0</v>
      </c>
      <c r="BW706" s="42">
        <v>0</v>
      </c>
      <c r="BX706" s="42">
        <v>0</v>
      </c>
      <c r="BY706" s="42">
        <v>0</v>
      </c>
      <c r="BZ706" s="42">
        <v>0</v>
      </c>
      <c r="CA706" s="42">
        <v>0</v>
      </c>
      <c r="CB706" s="42">
        <v>0</v>
      </c>
      <c r="CC706" s="42">
        <v>0</v>
      </c>
      <c r="CD706" s="42">
        <v>0</v>
      </c>
      <c r="CE706" s="42">
        <v>0</v>
      </c>
      <c r="CF706" s="42">
        <v>0</v>
      </c>
      <c r="CG706" s="42">
        <v>0</v>
      </c>
      <c r="CH706" s="42">
        <v>0</v>
      </c>
      <c r="CI706" s="42">
        <v>0</v>
      </c>
      <c r="CJ706" s="42">
        <v>0</v>
      </c>
      <c r="CK706" s="43">
        <f t="shared" si="71"/>
        <v>9026.9578399460061</v>
      </c>
      <c r="CL706" s="66"/>
      <c r="CM706" s="66">
        <v>0</v>
      </c>
      <c r="CN706" s="66">
        <v>0</v>
      </c>
      <c r="CO706" s="66">
        <v>0</v>
      </c>
      <c r="CP706" s="66">
        <v>0</v>
      </c>
      <c r="CQ706" s="66">
        <v>0</v>
      </c>
      <c r="CR706" s="66">
        <v>0</v>
      </c>
      <c r="CS706" s="66">
        <v>0</v>
      </c>
      <c r="CT706" s="66">
        <v>0</v>
      </c>
      <c r="CU706" s="66">
        <v>0</v>
      </c>
      <c r="CV706" s="66">
        <v>0</v>
      </c>
      <c r="CW706" s="66">
        <v>0</v>
      </c>
      <c r="CX706" s="66">
        <v>0</v>
      </c>
      <c r="CY706" s="66">
        <v>0</v>
      </c>
      <c r="CZ706" s="66">
        <v>0</v>
      </c>
      <c r="DA706" s="66"/>
      <c r="DB706" s="66"/>
      <c r="DC706" s="66"/>
      <c r="DD706" s="66"/>
      <c r="DE706" s="66"/>
      <c r="DF706" s="66"/>
      <c r="DG706" s="66"/>
      <c r="DH706" s="66"/>
      <c r="DI706" s="66"/>
      <c r="DJ706" s="66"/>
      <c r="DK706" s="66">
        <f>SUM(Table1[[#This Row],[01-03 Apr]:[Mar-26]])</f>
        <v>0</v>
      </c>
    </row>
    <row r="707" spans="1:115" hidden="1" x14ac:dyDescent="0.2">
      <c r="A707" s="28" t="s">
        <v>2255</v>
      </c>
      <c r="B707" s="29" t="s">
        <v>1757</v>
      </c>
      <c r="C707" s="29" t="s">
        <v>1758</v>
      </c>
      <c r="D707" s="30" t="s">
        <v>1759</v>
      </c>
      <c r="E707" s="30" t="s">
        <v>85</v>
      </c>
      <c r="F707" s="30"/>
      <c r="G707" s="31"/>
      <c r="H707" s="30">
        <v>391100</v>
      </c>
      <c r="I707" s="30" t="str">
        <f>IF(Table1[[#This Row],[Centre Status]]="Returned","NA",IF(Table1[[#This Row],[SD]]&gt;19000,"Full Payment",IF(Table1[[#This Row],[SD]]&lt;1,"No Payment","Partial Payment")))</f>
        <v>Full Payment</v>
      </c>
      <c r="J707" s="30" t="s">
        <v>58</v>
      </c>
      <c r="K707" s="32">
        <v>110000</v>
      </c>
      <c r="L707" s="33">
        <f>Q707+R707+U707+Table1[[#This Row],[Farmer Payment]]</f>
        <v>42112.403399999996</v>
      </c>
      <c r="M707" s="30"/>
      <c r="N707" s="34"/>
      <c r="O707" s="34"/>
      <c r="P707" s="35">
        <f t="shared" si="72"/>
        <v>67887.596600000004</v>
      </c>
      <c r="Q707" s="33">
        <f>AI707+AV707+CK707+Table1[[#This Row],[FY 25-26]]</f>
        <v>22112.403399999999</v>
      </c>
      <c r="R707" s="36">
        <v>20000</v>
      </c>
      <c r="S707" s="37" t="s">
        <v>2560</v>
      </c>
      <c r="T707" s="38">
        <v>45132</v>
      </c>
      <c r="U707" s="39"/>
      <c r="V707" s="39"/>
      <c r="W707" s="40">
        <v>0</v>
      </c>
      <c r="X707" s="40">
        <v>0</v>
      </c>
      <c r="Y707" s="40">
        <v>0</v>
      </c>
      <c r="Z707" s="40">
        <v>0</v>
      </c>
      <c r="AA707" s="40">
        <v>0</v>
      </c>
      <c r="AB707" s="40">
        <v>0</v>
      </c>
      <c r="AC707" s="40">
        <v>0</v>
      </c>
      <c r="AD707" s="40">
        <v>0</v>
      </c>
      <c r="AE707" s="40">
        <v>0</v>
      </c>
      <c r="AF707" s="40">
        <v>0</v>
      </c>
      <c r="AG707" s="40">
        <v>0</v>
      </c>
      <c r="AH707" s="40">
        <v>0</v>
      </c>
      <c r="AI707" s="41">
        <f t="shared" si="73"/>
        <v>0</v>
      </c>
      <c r="AJ707" s="42">
        <v>0</v>
      </c>
      <c r="AK707" s="42">
        <v>0</v>
      </c>
      <c r="AL707" s="42">
        <v>0</v>
      </c>
      <c r="AM707" s="42">
        <v>0</v>
      </c>
      <c r="AN707" s="42">
        <v>0</v>
      </c>
      <c r="AO707" s="42">
        <v>0</v>
      </c>
      <c r="AP707" s="42">
        <v>0</v>
      </c>
      <c r="AQ707" s="42">
        <v>0</v>
      </c>
      <c r="AR707" s="42">
        <v>1466</v>
      </c>
      <c r="AS707" s="42">
        <v>2929.9334000000003</v>
      </c>
      <c r="AT707" s="42">
        <v>2728.4038</v>
      </c>
      <c r="AU707" s="42">
        <v>3423.0662000000002</v>
      </c>
      <c r="AV707" s="42">
        <f t="shared" si="74"/>
        <v>10547.403399999999</v>
      </c>
      <c r="AW707" s="42">
        <v>1861</v>
      </c>
      <c r="AX707" s="42">
        <v>992</v>
      </c>
      <c r="AY707" s="42">
        <v>212</v>
      </c>
      <c r="AZ707" s="42">
        <v>0</v>
      </c>
      <c r="BA707" s="42">
        <v>0</v>
      </c>
      <c r="BB707" s="42">
        <v>500</v>
      </c>
      <c r="BC707" s="42">
        <v>0</v>
      </c>
      <c r="BD707" s="42">
        <v>500</v>
      </c>
      <c r="BE707" s="42">
        <v>500</v>
      </c>
      <c r="BF707" s="42">
        <v>500</v>
      </c>
      <c r="BG707" s="42">
        <v>500</v>
      </c>
      <c r="BH707" s="42">
        <v>500</v>
      </c>
      <c r="BI707" s="42">
        <v>0</v>
      </c>
      <c r="BJ707" s="42">
        <v>500</v>
      </c>
      <c r="BK707" s="42">
        <v>500</v>
      </c>
      <c r="BL707" s="42">
        <v>500</v>
      </c>
      <c r="BM707" s="42">
        <v>500</v>
      </c>
      <c r="BN707" s="42">
        <v>0</v>
      </c>
      <c r="BO707" s="42">
        <v>500</v>
      </c>
      <c r="BP707" s="42">
        <v>500</v>
      </c>
      <c r="BQ707" s="42">
        <v>500</v>
      </c>
      <c r="BR707" s="42">
        <v>500</v>
      </c>
      <c r="BS707" s="42">
        <v>0</v>
      </c>
      <c r="BT707" s="42">
        <v>0</v>
      </c>
      <c r="BU707" s="42">
        <v>500</v>
      </c>
      <c r="BV707" s="42">
        <v>500</v>
      </c>
      <c r="BW707" s="42">
        <v>500</v>
      </c>
      <c r="BX707" s="42">
        <v>0</v>
      </c>
      <c r="BY707" s="42">
        <v>0</v>
      </c>
      <c r="BZ707" s="42">
        <v>0</v>
      </c>
      <c r="CA707" s="42">
        <v>0</v>
      </c>
      <c r="CB707" s="42">
        <v>0</v>
      </c>
      <c r="CC707" s="42">
        <v>0</v>
      </c>
      <c r="CD707" s="42">
        <v>0</v>
      </c>
      <c r="CE707" s="42">
        <v>0</v>
      </c>
      <c r="CF707" s="42">
        <v>0</v>
      </c>
      <c r="CG707" s="42">
        <v>0</v>
      </c>
      <c r="CH707" s="42">
        <v>0</v>
      </c>
      <c r="CI707" s="42">
        <v>0</v>
      </c>
      <c r="CJ707" s="42">
        <v>0</v>
      </c>
      <c r="CK707" s="43">
        <f t="shared" si="71"/>
        <v>11565</v>
      </c>
      <c r="CL707" s="66"/>
      <c r="CM707" s="66">
        <v>0</v>
      </c>
      <c r="CN707" s="66">
        <v>0</v>
      </c>
      <c r="CO707" s="66">
        <v>0</v>
      </c>
      <c r="CP707" s="66">
        <v>0</v>
      </c>
      <c r="CQ707" s="66">
        <v>0</v>
      </c>
      <c r="CR707" s="66">
        <v>0</v>
      </c>
      <c r="CS707" s="66">
        <v>0</v>
      </c>
      <c r="CT707" s="66">
        <v>0</v>
      </c>
      <c r="CU707" s="66">
        <v>0</v>
      </c>
      <c r="CV707" s="66">
        <v>0</v>
      </c>
      <c r="CW707" s="66">
        <v>0</v>
      </c>
      <c r="CX707" s="66">
        <v>0</v>
      </c>
      <c r="CY707" s="66">
        <v>0</v>
      </c>
      <c r="CZ707" s="66">
        <v>0</v>
      </c>
      <c r="DA707" s="66"/>
      <c r="DB707" s="66"/>
      <c r="DC707" s="66"/>
      <c r="DD707" s="66"/>
      <c r="DE707" s="66"/>
      <c r="DF707" s="66"/>
      <c r="DG707" s="66"/>
      <c r="DH707" s="66"/>
      <c r="DI707" s="66"/>
      <c r="DJ707" s="66"/>
      <c r="DK707" s="66">
        <f>SUM(Table1[[#This Row],[01-03 Apr]:[Mar-26]])</f>
        <v>0</v>
      </c>
    </row>
    <row r="708" spans="1:115" x14ac:dyDescent="0.2">
      <c r="A708" s="28">
        <v>0</v>
      </c>
      <c r="B708" s="29" t="s">
        <v>1760</v>
      </c>
      <c r="C708" s="29" t="s">
        <v>1761</v>
      </c>
      <c r="D708" s="30" t="s">
        <v>164</v>
      </c>
      <c r="E708" s="30" t="s">
        <v>177</v>
      </c>
      <c r="F708" s="30"/>
      <c r="G708" s="31"/>
      <c r="H708" s="30">
        <v>2349717</v>
      </c>
      <c r="I708" s="30" t="str">
        <f>IF(Table1[[#This Row],[Centre Status]]="Returned","NA",IF(Table1[[#This Row],[SD]]&gt;19000,"Full Payment",IF(Table1[[#This Row],[SD]]&lt;1,"No Payment","Partial Payment")))</f>
        <v>Partial Payment</v>
      </c>
      <c r="J708" s="30" t="s">
        <v>58</v>
      </c>
      <c r="K708" s="32">
        <v>110000</v>
      </c>
      <c r="L708" s="33">
        <f>Q708+R708+U708+Table1[[#This Row],[Farmer Payment]]</f>
        <v>61155.717492364121</v>
      </c>
      <c r="M708" s="30"/>
      <c r="N708" s="34"/>
      <c r="O708" s="34"/>
      <c r="P708" s="35">
        <f t="shared" si="72"/>
        <v>48844.282507635879</v>
      </c>
      <c r="Q708" s="33">
        <f>AI708+AV708+CK708+Table1[[#This Row],[FY 25-26]]</f>
        <v>51155.717492364121</v>
      </c>
      <c r="R708" s="36">
        <v>10000</v>
      </c>
      <c r="S708" s="37" t="s">
        <v>1762</v>
      </c>
      <c r="T708" s="38">
        <v>45275</v>
      </c>
      <c r="U708" s="39"/>
      <c r="V708" s="39"/>
      <c r="W708" s="40">
        <v>0</v>
      </c>
      <c r="X708" s="40">
        <v>0</v>
      </c>
      <c r="Y708" s="40">
        <v>0</v>
      </c>
      <c r="Z708" s="40">
        <v>0</v>
      </c>
      <c r="AA708" s="40">
        <v>0</v>
      </c>
      <c r="AB708" s="40">
        <v>0</v>
      </c>
      <c r="AC708" s="40">
        <v>0</v>
      </c>
      <c r="AD708" s="40">
        <v>0</v>
      </c>
      <c r="AE708" s="40">
        <v>0</v>
      </c>
      <c r="AF708" s="40">
        <v>0</v>
      </c>
      <c r="AG708" s="40">
        <v>0</v>
      </c>
      <c r="AH708" s="40">
        <v>0</v>
      </c>
      <c r="AI708" s="41">
        <f t="shared" si="73"/>
        <v>0</v>
      </c>
      <c r="AJ708" s="42">
        <v>0</v>
      </c>
      <c r="AK708" s="42">
        <v>0</v>
      </c>
      <c r="AL708" s="42">
        <v>0</v>
      </c>
      <c r="AM708" s="42">
        <v>0</v>
      </c>
      <c r="AN708" s="42">
        <v>0</v>
      </c>
      <c r="AO708" s="42">
        <v>0</v>
      </c>
      <c r="AP708" s="42">
        <v>0</v>
      </c>
      <c r="AQ708" s="42">
        <v>0</v>
      </c>
      <c r="AR708" s="42">
        <v>0</v>
      </c>
      <c r="AS708" s="42">
        <v>0</v>
      </c>
      <c r="AT708" s="42">
        <v>2839.5190000000002</v>
      </c>
      <c r="AU708" s="42">
        <v>4111.9898000000003</v>
      </c>
      <c r="AV708" s="42">
        <f t="shared" si="74"/>
        <v>6951.5088000000005</v>
      </c>
      <c r="AW708" s="42">
        <v>4287.4677580800007</v>
      </c>
      <c r="AX708" s="42">
        <v>3810.3943476480003</v>
      </c>
      <c r="AY708" s="42">
        <v>3762.2270795519999</v>
      </c>
      <c r="AZ708" s="42">
        <v>4381.3400495531041</v>
      </c>
      <c r="BA708" s="42">
        <v>2878.4444461120006</v>
      </c>
      <c r="BB708" s="42">
        <v>0</v>
      </c>
      <c r="BC708" s="42">
        <v>4399.835534332281</v>
      </c>
      <c r="BD708" s="42">
        <v>0</v>
      </c>
      <c r="BE708" s="42">
        <v>0</v>
      </c>
      <c r="BF708" s="42">
        <v>0</v>
      </c>
      <c r="BG708" s="42">
        <v>0</v>
      </c>
      <c r="BH708" s="42">
        <v>0</v>
      </c>
      <c r="BI708" s="42">
        <v>3147.7484129280006</v>
      </c>
      <c r="BJ708" s="42">
        <v>0</v>
      </c>
      <c r="BK708" s="42">
        <v>0</v>
      </c>
      <c r="BL708" s="42">
        <v>0</v>
      </c>
      <c r="BM708" s="42">
        <v>0</v>
      </c>
      <c r="BN708" s="42">
        <v>2846.9613971711997</v>
      </c>
      <c r="BO708" s="42">
        <v>0</v>
      </c>
      <c r="BP708" s="42">
        <v>0</v>
      </c>
      <c r="BQ708" s="42">
        <v>0</v>
      </c>
      <c r="BR708" s="42">
        <v>0</v>
      </c>
      <c r="BS708" s="42">
        <v>3241.4015555328006</v>
      </c>
      <c r="BT708" s="42">
        <v>0</v>
      </c>
      <c r="BU708" s="42">
        <v>0</v>
      </c>
      <c r="BV708" s="42">
        <v>0</v>
      </c>
      <c r="BW708" s="42">
        <v>0</v>
      </c>
      <c r="BX708" s="42">
        <v>0</v>
      </c>
      <c r="BY708" s="42">
        <v>2538.0878211456002</v>
      </c>
      <c r="BZ708" s="42">
        <v>0</v>
      </c>
      <c r="CA708" s="42">
        <v>0</v>
      </c>
      <c r="CB708" s="42">
        <v>0</v>
      </c>
      <c r="CC708" s="42">
        <v>0</v>
      </c>
      <c r="CD708" s="42">
        <v>2677.6473785087996</v>
      </c>
      <c r="CE708" s="42">
        <v>0</v>
      </c>
      <c r="CF708" s="42">
        <v>0</v>
      </c>
      <c r="CG708" s="42">
        <v>0</v>
      </c>
      <c r="CH708" s="42">
        <v>0</v>
      </c>
      <c r="CI708" s="42">
        <v>0</v>
      </c>
      <c r="CJ708" s="42">
        <v>2510.65291180032</v>
      </c>
      <c r="CK708" s="43">
        <f t="shared" si="71"/>
        <v>40482.208692364118</v>
      </c>
      <c r="CL708" s="66"/>
      <c r="CM708" s="66">
        <v>0</v>
      </c>
      <c r="CN708" s="66">
        <v>0</v>
      </c>
      <c r="CO708" s="66">
        <v>0</v>
      </c>
      <c r="CP708" s="66">
        <v>1861</v>
      </c>
      <c r="CQ708" s="66">
        <v>0</v>
      </c>
      <c r="CR708" s="66">
        <v>0</v>
      </c>
      <c r="CS708" s="66">
        <v>0</v>
      </c>
      <c r="CT708" s="66">
        <v>0</v>
      </c>
      <c r="CU708" s="66">
        <v>0</v>
      </c>
      <c r="CV708" s="66">
        <v>1861</v>
      </c>
      <c r="CW708" s="66">
        <v>0</v>
      </c>
      <c r="CX708" s="66">
        <v>0</v>
      </c>
      <c r="CY708" s="66">
        <v>0</v>
      </c>
      <c r="CZ708" s="66">
        <v>0</v>
      </c>
      <c r="DA708" s="66"/>
      <c r="DB708" s="66"/>
      <c r="DC708" s="66"/>
      <c r="DD708" s="66"/>
      <c r="DE708" s="66"/>
      <c r="DF708" s="66"/>
      <c r="DG708" s="66"/>
      <c r="DH708" s="66"/>
      <c r="DI708" s="66"/>
      <c r="DJ708" s="66"/>
      <c r="DK708" s="66">
        <f>SUM(Table1[[#This Row],[01-03 Apr]:[Mar-26]])</f>
        <v>3722</v>
      </c>
    </row>
    <row r="709" spans="1:115" hidden="1" x14ac:dyDescent="0.2">
      <c r="A709" s="28" t="s">
        <v>2255</v>
      </c>
      <c r="B709" s="29" t="s">
        <v>1763</v>
      </c>
      <c r="C709" s="29" t="s">
        <v>1764</v>
      </c>
      <c r="D709" s="30" t="s">
        <v>1765</v>
      </c>
      <c r="E709" s="30" t="s">
        <v>85</v>
      </c>
      <c r="F709" s="30"/>
      <c r="G709" s="31"/>
      <c r="H709" s="30">
        <v>378105</v>
      </c>
      <c r="I709" s="30" t="str">
        <f>IF(Table1[[#This Row],[Centre Status]]="Returned","NA",IF(Table1[[#This Row],[SD]]&gt;19000,"Full Payment",IF(Table1[[#This Row],[SD]]&lt;1,"No Payment","Partial Payment")))</f>
        <v>NA</v>
      </c>
      <c r="J709" s="30" t="s">
        <v>1903</v>
      </c>
      <c r="K709" s="32">
        <v>110000</v>
      </c>
      <c r="L709" s="33">
        <f>Q709+R709+U709+Table1[[#This Row],[Farmer Payment]]</f>
        <v>38121.538447578743</v>
      </c>
      <c r="M709" s="30">
        <v>10000</v>
      </c>
      <c r="N709" s="34">
        <v>45684</v>
      </c>
      <c r="O709" s="34" t="s">
        <v>2457</v>
      </c>
      <c r="P709" s="35">
        <f t="shared" si="72"/>
        <v>81878.461552421257</v>
      </c>
      <c r="Q709" s="33">
        <f>AI709+AV709+CK709+Table1[[#This Row],[FY 25-26]]</f>
        <v>28121.538447578743</v>
      </c>
      <c r="R709" s="36">
        <v>10000</v>
      </c>
      <c r="S709" s="37" t="s">
        <v>1264</v>
      </c>
      <c r="T709" s="38">
        <v>45121</v>
      </c>
      <c r="U709" s="39"/>
      <c r="V709" s="39"/>
      <c r="W709" s="40">
        <v>0</v>
      </c>
      <c r="X709" s="40">
        <v>0</v>
      </c>
      <c r="Y709" s="40">
        <v>0</v>
      </c>
      <c r="Z709" s="40">
        <v>0</v>
      </c>
      <c r="AA709" s="40">
        <v>0</v>
      </c>
      <c r="AB709" s="40">
        <v>0</v>
      </c>
      <c r="AC709" s="40">
        <v>0</v>
      </c>
      <c r="AD709" s="40">
        <v>0</v>
      </c>
      <c r="AE709" s="40">
        <v>0</v>
      </c>
      <c r="AF709" s="40">
        <v>0</v>
      </c>
      <c r="AG709" s="40">
        <v>0</v>
      </c>
      <c r="AH709" s="40">
        <v>0</v>
      </c>
      <c r="AI709" s="41">
        <f t="shared" si="73"/>
        <v>0</v>
      </c>
      <c r="AJ709" s="42">
        <v>0</v>
      </c>
      <c r="AK709" s="42">
        <v>0</v>
      </c>
      <c r="AL709" s="42">
        <v>0</v>
      </c>
      <c r="AM709" s="42">
        <v>0</v>
      </c>
      <c r="AN709" s="42">
        <v>0</v>
      </c>
      <c r="AO709" s="42">
        <v>0</v>
      </c>
      <c r="AP709" s="42">
        <v>0</v>
      </c>
      <c r="AQ709" s="42">
        <v>0</v>
      </c>
      <c r="AR709" s="42">
        <v>1663</v>
      </c>
      <c r="AS709" s="42">
        <v>3108.8040000000001</v>
      </c>
      <c r="AT709" s="42">
        <v>3049.8997999999997</v>
      </c>
      <c r="AU709" s="42">
        <v>3341.8148000000006</v>
      </c>
      <c r="AV709" s="42">
        <f t="shared" si="74"/>
        <v>11163.518599999999</v>
      </c>
      <c r="AW709" s="42">
        <v>2724.0198475787429</v>
      </c>
      <c r="AX709" s="42">
        <v>1861</v>
      </c>
      <c r="AY709" s="42">
        <v>1861</v>
      </c>
      <c r="AZ709" s="42">
        <v>1861</v>
      </c>
      <c r="BA709" s="42">
        <v>943</v>
      </c>
      <c r="BB709" s="42">
        <v>500</v>
      </c>
      <c r="BC709" s="42">
        <v>847</v>
      </c>
      <c r="BD709" s="42">
        <v>500</v>
      </c>
      <c r="BE709" s="42">
        <v>500</v>
      </c>
      <c r="BF709" s="42">
        <v>500</v>
      </c>
      <c r="BG709" s="42">
        <v>500</v>
      </c>
      <c r="BH709" s="42">
        <v>500</v>
      </c>
      <c r="BI709" s="42">
        <v>0</v>
      </c>
      <c r="BJ709" s="42">
        <v>500</v>
      </c>
      <c r="BK709" s="42">
        <v>500</v>
      </c>
      <c r="BL709" s="42">
        <v>500</v>
      </c>
      <c r="BM709" s="42">
        <v>500</v>
      </c>
      <c r="BN709" s="42">
        <v>0</v>
      </c>
      <c r="BO709" s="42">
        <v>0</v>
      </c>
      <c r="BP709" s="42">
        <v>0</v>
      </c>
      <c r="BQ709" s="42">
        <v>0</v>
      </c>
      <c r="BR709" s="42">
        <v>0</v>
      </c>
      <c r="BS709" s="42">
        <v>1861</v>
      </c>
      <c r="BT709" s="42">
        <v>0</v>
      </c>
      <c r="BU709" s="42">
        <v>0</v>
      </c>
      <c r="BV709" s="42">
        <v>0</v>
      </c>
      <c r="BW709" s="42">
        <v>0</v>
      </c>
      <c r="BX709" s="42">
        <v>0</v>
      </c>
      <c r="BY709" s="42">
        <v>0</v>
      </c>
      <c r="BZ709" s="42">
        <v>0</v>
      </c>
      <c r="CA709" s="42">
        <v>0</v>
      </c>
      <c r="CB709" s="42">
        <v>0</v>
      </c>
      <c r="CC709" s="42">
        <v>0</v>
      </c>
      <c r="CD709" s="42">
        <v>0</v>
      </c>
      <c r="CE709" s="42">
        <v>0</v>
      </c>
      <c r="CF709" s="42">
        <v>0</v>
      </c>
      <c r="CG709" s="42">
        <v>0</v>
      </c>
      <c r="CH709" s="42">
        <v>0</v>
      </c>
      <c r="CI709" s="42">
        <v>0</v>
      </c>
      <c r="CJ709" s="42">
        <v>0</v>
      </c>
      <c r="CK709" s="43">
        <f t="shared" si="71"/>
        <v>16958.019847578744</v>
      </c>
      <c r="CL709" s="66"/>
      <c r="CM709" s="66">
        <v>0</v>
      </c>
      <c r="CN709" s="66">
        <v>0</v>
      </c>
      <c r="CO709" s="66">
        <v>0</v>
      </c>
      <c r="CP709" s="66">
        <v>0</v>
      </c>
      <c r="CQ709" s="66">
        <v>0</v>
      </c>
      <c r="CR709" s="66">
        <v>0</v>
      </c>
      <c r="CS709" s="66">
        <v>0</v>
      </c>
      <c r="CT709" s="66">
        <v>0</v>
      </c>
      <c r="CU709" s="66">
        <v>0</v>
      </c>
      <c r="CV709" s="66">
        <v>0</v>
      </c>
      <c r="CW709" s="66">
        <v>0</v>
      </c>
      <c r="CX709" s="66">
        <v>0</v>
      </c>
      <c r="CY709" s="66">
        <v>0</v>
      </c>
      <c r="CZ709" s="66">
        <v>0</v>
      </c>
      <c r="DA709" s="66"/>
      <c r="DB709" s="66"/>
      <c r="DC709" s="66"/>
      <c r="DD709" s="66"/>
      <c r="DE709" s="66"/>
      <c r="DF709" s="66"/>
      <c r="DG709" s="66"/>
      <c r="DH709" s="66"/>
      <c r="DI709" s="66"/>
      <c r="DJ709" s="66"/>
      <c r="DK709" s="66">
        <f>SUM(Table1[[#This Row],[01-03 Apr]:[Mar-26]])</f>
        <v>0</v>
      </c>
    </row>
    <row r="710" spans="1:115" x14ac:dyDescent="0.2">
      <c r="A710" s="28" t="s">
        <v>2255</v>
      </c>
      <c r="B710" s="29" t="s">
        <v>1766</v>
      </c>
      <c r="C710" s="29" t="s">
        <v>1767</v>
      </c>
      <c r="D710" s="30" t="s">
        <v>1768</v>
      </c>
      <c r="E710" s="30" t="s">
        <v>85</v>
      </c>
      <c r="F710" s="30"/>
      <c r="G710" s="31"/>
      <c r="H710" s="30">
        <v>273836</v>
      </c>
      <c r="I710" s="30" t="str">
        <f>IF(Table1[[#This Row],[Centre Status]]="Returned","NA",IF(Table1[[#This Row],[SD]]&gt;19000,"Full Payment",IF(Table1[[#This Row],[SD]]&lt;1,"No Payment","Partial Payment")))</f>
        <v>Partial Payment</v>
      </c>
      <c r="J710" s="30" t="s">
        <v>58</v>
      </c>
      <c r="K710" s="32">
        <v>110000</v>
      </c>
      <c r="L710" s="33">
        <f>Q710+R710+U710+Table1[[#This Row],[Farmer Payment]]</f>
        <v>16346.2456</v>
      </c>
      <c r="M710" s="30"/>
      <c r="N710" s="34"/>
      <c r="O710" s="34"/>
      <c r="P710" s="35">
        <f t="shared" si="72"/>
        <v>93653.754400000005</v>
      </c>
      <c r="Q710" s="33">
        <f>AI710+AV710+CK710+Table1[[#This Row],[FY 25-26]]</f>
        <v>8346.2456000000002</v>
      </c>
      <c r="R710" s="36">
        <f>7000+1000</f>
        <v>8000</v>
      </c>
      <c r="S710" s="37" t="s">
        <v>2575</v>
      </c>
      <c r="T710" s="38">
        <v>45241</v>
      </c>
      <c r="U710" s="39"/>
      <c r="V710" s="39"/>
      <c r="W710" s="40">
        <v>0</v>
      </c>
      <c r="X710" s="40">
        <v>0</v>
      </c>
      <c r="Y710" s="40">
        <v>0</v>
      </c>
      <c r="Z710" s="40">
        <v>0</v>
      </c>
      <c r="AA710" s="40">
        <v>0</v>
      </c>
      <c r="AB710" s="40">
        <v>0</v>
      </c>
      <c r="AC710" s="40">
        <v>0</v>
      </c>
      <c r="AD710" s="40">
        <v>0</v>
      </c>
      <c r="AE710" s="40">
        <v>0</v>
      </c>
      <c r="AF710" s="40">
        <v>0</v>
      </c>
      <c r="AG710" s="40">
        <v>0</v>
      </c>
      <c r="AH710" s="40">
        <v>0</v>
      </c>
      <c r="AI710" s="41">
        <f t="shared" si="73"/>
        <v>0</v>
      </c>
      <c r="AJ710" s="42">
        <v>0</v>
      </c>
      <c r="AK710" s="42">
        <v>0</v>
      </c>
      <c r="AL710" s="42">
        <v>0</v>
      </c>
      <c r="AM710" s="42">
        <v>0</v>
      </c>
      <c r="AN710" s="42">
        <v>0</v>
      </c>
      <c r="AO710" s="42">
        <v>0</v>
      </c>
      <c r="AP710" s="42">
        <v>0</v>
      </c>
      <c r="AQ710" s="42">
        <v>0</v>
      </c>
      <c r="AR710" s="42">
        <v>1071</v>
      </c>
      <c r="AS710" s="42">
        <v>1861</v>
      </c>
      <c r="AT710" s="42">
        <v>1861</v>
      </c>
      <c r="AU710" s="42">
        <v>2753.2456000000002</v>
      </c>
      <c r="AV710" s="42">
        <f t="shared" si="74"/>
        <v>7546.2456000000002</v>
      </c>
      <c r="AW710" s="42">
        <v>800</v>
      </c>
      <c r="AX710" s="42">
        <v>0</v>
      </c>
      <c r="AY710" s="42">
        <v>0</v>
      </c>
      <c r="AZ710" s="42">
        <v>0</v>
      </c>
      <c r="BA710" s="42">
        <v>0</v>
      </c>
      <c r="BB710" s="42">
        <v>0</v>
      </c>
      <c r="BC710" s="42">
        <v>0</v>
      </c>
      <c r="BD710" s="42">
        <v>0</v>
      </c>
      <c r="BE710" s="42">
        <v>0</v>
      </c>
      <c r="BF710" s="42">
        <v>0</v>
      </c>
      <c r="BG710" s="42">
        <v>0</v>
      </c>
      <c r="BH710" s="42">
        <v>0</v>
      </c>
      <c r="BI710" s="42">
        <v>0</v>
      </c>
      <c r="BJ710" s="42">
        <v>0</v>
      </c>
      <c r="BK710" s="42">
        <v>0</v>
      </c>
      <c r="BL710" s="42">
        <v>0</v>
      </c>
      <c r="BM710" s="42">
        <v>0</v>
      </c>
      <c r="BN710" s="42">
        <v>0</v>
      </c>
      <c r="BO710" s="42">
        <v>0</v>
      </c>
      <c r="BP710" s="42">
        <v>0</v>
      </c>
      <c r="BQ710" s="42">
        <v>0</v>
      </c>
      <c r="BR710" s="42">
        <v>0</v>
      </c>
      <c r="BS710" s="42">
        <v>0</v>
      </c>
      <c r="BT710" s="42">
        <v>0</v>
      </c>
      <c r="BU710" s="42">
        <v>0</v>
      </c>
      <c r="BV710" s="42">
        <v>0</v>
      </c>
      <c r="BW710" s="42">
        <v>0</v>
      </c>
      <c r="BX710" s="42">
        <v>0</v>
      </c>
      <c r="BY710" s="42">
        <v>0</v>
      </c>
      <c r="BZ710" s="42">
        <v>0</v>
      </c>
      <c r="CA710" s="42">
        <v>0</v>
      </c>
      <c r="CB710" s="42">
        <v>0</v>
      </c>
      <c r="CC710" s="42">
        <v>0</v>
      </c>
      <c r="CD710" s="42">
        <v>0</v>
      </c>
      <c r="CE710" s="42">
        <v>0</v>
      </c>
      <c r="CF710" s="42">
        <v>0</v>
      </c>
      <c r="CG710" s="42">
        <v>0</v>
      </c>
      <c r="CH710" s="42">
        <v>0</v>
      </c>
      <c r="CI710" s="42">
        <v>0</v>
      </c>
      <c r="CJ710" s="42">
        <v>0</v>
      </c>
      <c r="CK710" s="43">
        <f t="shared" si="71"/>
        <v>800</v>
      </c>
      <c r="CL710" s="66"/>
      <c r="CM710" s="66">
        <v>0</v>
      </c>
      <c r="CN710" s="66">
        <v>0</v>
      </c>
      <c r="CO710" s="66">
        <v>0</v>
      </c>
      <c r="CP710" s="66">
        <v>0</v>
      </c>
      <c r="CQ710" s="66">
        <v>0</v>
      </c>
      <c r="CR710" s="66">
        <v>0</v>
      </c>
      <c r="CS710" s="66">
        <v>0</v>
      </c>
      <c r="CT710" s="66">
        <v>0</v>
      </c>
      <c r="CU710" s="66">
        <v>0</v>
      </c>
      <c r="CV710" s="66">
        <v>0</v>
      </c>
      <c r="CW710" s="66">
        <v>0</v>
      </c>
      <c r="CX710" s="66">
        <v>0</v>
      </c>
      <c r="CY710" s="66">
        <v>0</v>
      </c>
      <c r="CZ710" s="66">
        <v>0</v>
      </c>
      <c r="DA710" s="66"/>
      <c r="DB710" s="66"/>
      <c r="DC710" s="66"/>
      <c r="DD710" s="66"/>
      <c r="DE710" s="66"/>
      <c r="DF710" s="66"/>
      <c r="DG710" s="66"/>
      <c r="DH710" s="66"/>
      <c r="DI710" s="66"/>
      <c r="DJ710" s="66"/>
      <c r="DK710" s="66">
        <f>SUM(Table1[[#This Row],[01-03 Apr]:[Mar-26]])</f>
        <v>0</v>
      </c>
    </row>
    <row r="711" spans="1:115" hidden="1" x14ac:dyDescent="0.2">
      <c r="A711" s="28" t="s">
        <v>2255</v>
      </c>
      <c r="B711" s="29" t="s">
        <v>1772</v>
      </c>
      <c r="C711" s="29" t="s">
        <v>1773</v>
      </c>
      <c r="D711" s="30" t="s">
        <v>1774</v>
      </c>
      <c r="E711" s="30" t="s">
        <v>85</v>
      </c>
      <c r="F711" s="30"/>
      <c r="G711" s="31"/>
      <c r="H711" s="30">
        <v>385646</v>
      </c>
      <c r="I711" s="30" t="str">
        <f>IF(Table1[[#This Row],[Centre Status]]="Returned","NA",IF(Table1[[#This Row],[SD]]&gt;19000,"Full Payment",IF(Table1[[#This Row],[SD]]&lt;1,"No Payment","Partial Payment")))</f>
        <v>NA</v>
      </c>
      <c r="J711" s="30" t="s">
        <v>1903</v>
      </c>
      <c r="K711" s="32">
        <v>110000</v>
      </c>
      <c r="L711" s="33">
        <f>Q711+R711+U711+Table1[[#This Row],[Farmer Payment]]</f>
        <v>11766</v>
      </c>
      <c r="M711" s="30">
        <v>10000</v>
      </c>
      <c r="N711" s="34">
        <v>45675</v>
      </c>
      <c r="O711" s="34" t="s">
        <v>2457</v>
      </c>
      <c r="P711" s="35">
        <f t="shared" si="72"/>
        <v>108234</v>
      </c>
      <c r="Q711" s="33">
        <f>AI711+AV711+CK711+Table1[[#This Row],[FY 25-26]]</f>
        <v>1766</v>
      </c>
      <c r="R711" s="36">
        <v>10000</v>
      </c>
      <c r="S711" s="37" t="s">
        <v>2561</v>
      </c>
      <c r="T711" s="38">
        <v>45155</v>
      </c>
      <c r="U711" s="39"/>
      <c r="V711" s="39"/>
      <c r="W711" s="40">
        <v>0</v>
      </c>
      <c r="X711" s="40">
        <v>0</v>
      </c>
      <c r="Y711" s="40">
        <v>0</v>
      </c>
      <c r="Z711" s="40">
        <v>0</v>
      </c>
      <c r="AA711" s="40">
        <v>0</v>
      </c>
      <c r="AB711" s="40">
        <v>0</v>
      </c>
      <c r="AC711" s="40">
        <v>0</v>
      </c>
      <c r="AD711" s="40">
        <v>0</v>
      </c>
      <c r="AE711" s="40">
        <v>0</v>
      </c>
      <c r="AF711" s="40">
        <v>0</v>
      </c>
      <c r="AG711" s="40">
        <v>0</v>
      </c>
      <c r="AH711" s="40">
        <v>0</v>
      </c>
      <c r="AI711" s="41">
        <f t="shared" si="73"/>
        <v>0</v>
      </c>
      <c r="AJ711" s="42">
        <v>0</v>
      </c>
      <c r="AK711" s="42">
        <v>0</v>
      </c>
      <c r="AL711" s="42">
        <v>0</v>
      </c>
      <c r="AM711" s="42">
        <v>0</v>
      </c>
      <c r="AN711" s="42">
        <v>0</v>
      </c>
      <c r="AO711" s="42">
        <v>0</v>
      </c>
      <c r="AP711" s="42">
        <v>0</v>
      </c>
      <c r="AQ711" s="42">
        <v>0</v>
      </c>
      <c r="AR711" s="42">
        <v>469</v>
      </c>
      <c r="AS711" s="42">
        <v>0</v>
      </c>
      <c r="AT711" s="42">
        <v>1095</v>
      </c>
      <c r="AU711" s="42">
        <v>202</v>
      </c>
      <c r="AV711" s="42">
        <f t="shared" si="74"/>
        <v>1766</v>
      </c>
      <c r="AW711" s="42">
        <v>0</v>
      </c>
      <c r="AX711" s="42">
        <v>0</v>
      </c>
      <c r="AY711" s="42">
        <v>0</v>
      </c>
      <c r="AZ711" s="42">
        <v>0</v>
      </c>
      <c r="BA711" s="42">
        <v>0</v>
      </c>
      <c r="BB711" s="42">
        <v>0</v>
      </c>
      <c r="BC711" s="42">
        <v>0</v>
      </c>
      <c r="BD711" s="42">
        <v>0</v>
      </c>
      <c r="BE711" s="42">
        <v>0</v>
      </c>
      <c r="BF711" s="42">
        <v>0</v>
      </c>
      <c r="BG711" s="42">
        <v>0</v>
      </c>
      <c r="BH711" s="42">
        <v>0</v>
      </c>
      <c r="BI711" s="42">
        <v>0</v>
      </c>
      <c r="BJ711" s="42">
        <v>0</v>
      </c>
      <c r="BK711" s="42">
        <v>0</v>
      </c>
      <c r="BL711" s="42">
        <v>0</v>
      </c>
      <c r="BM711" s="42">
        <v>0</v>
      </c>
      <c r="BN711" s="42">
        <v>0</v>
      </c>
      <c r="BO711" s="42">
        <v>0</v>
      </c>
      <c r="BP711" s="42">
        <v>0</v>
      </c>
      <c r="BQ711" s="42">
        <v>0</v>
      </c>
      <c r="BR711" s="42">
        <v>0</v>
      </c>
      <c r="BS711" s="42">
        <v>0</v>
      </c>
      <c r="BT711" s="42">
        <v>0</v>
      </c>
      <c r="BU711" s="42">
        <v>0</v>
      </c>
      <c r="BV711" s="42">
        <v>0</v>
      </c>
      <c r="BW711" s="42">
        <v>0</v>
      </c>
      <c r="BX711" s="42">
        <v>0</v>
      </c>
      <c r="BY711" s="42">
        <v>0</v>
      </c>
      <c r="BZ711" s="42">
        <v>0</v>
      </c>
      <c r="CA711" s="42">
        <v>0</v>
      </c>
      <c r="CB711" s="42">
        <v>0</v>
      </c>
      <c r="CC711" s="42">
        <v>0</v>
      </c>
      <c r="CD711" s="42">
        <v>0</v>
      </c>
      <c r="CE711" s="42">
        <v>0</v>
      </c>
      <c r="CF711" s="42">
        <v>0</v>
      </c>
      <c r="CG711" s="42">
        <v>0</v>
      </c>
      <c r="CH711" s="42">
        <v>0</v>
      </c>
      <c r="CI711" s="42">
        <v>0</v>
      </c>
      <c r="CJ711" s="42">
        <v>0</v>
      </c>
      <c r="CK711" s="43">
        <f t="shared" si="71"/>
        <v>0</v>
      </c>
      <c r="CL711" s="66"/>
      <c r="CM711" s="66">
        <v>0</v>
      </c>
      <c r="CN711" s="66">
        <v>0</v>
      </c>
      <c r="CO711" s="66">
        <v>0</v>
      </c>
      <c r="CP711" s="66">
        <v>0</v>
      </c>
      <c r="CQ711" s="66">
        <v>0</v>
      </c>
      <c r="CR711" s="66">
        <v>0</v>
      </c>
      <c r="CS711" s="66">
        <v>0</v>
      </c>
      <c r="CT711" s="66">
        <v>0</v>
      </c>
      <c r="CU711" s="66">
        <v>0</v>
      </c>
      <c r="CV711" s="66">
        <v>0</v>
      </c>
      <c r="CW711" s="66">
        <v>0</v>
      </c>
      <c r="CX711" s="66">
        <v>0</v>
      </c>
      <c r="CY711" s="66">
        <v>0</v>
      </c>
      <c r="CZ711" s="66">
        <v>0</v>
      </c>
      <c r="DA711" s="66"/>
      <c r="DB711" s="66"/>
      <c r="DC711" s="66"/>
      <c r="DD711" s="66"/>
      <c r="DE711" s="66"/>
      <c r="DF711" s="66"/>
      <c r="DG711" s="66"/>
      <c r="DH711" s="66"/>
      <c r="DI711" s="66"/>
      <c r="DJ711" s="66"/>
      <c r="DK711" s="66">
        <f>SUM(Table1[[#This Row],[01-03 Apr]:[Mar-26]])</f>
        <v>0</v>
      </c>
    </row>
    <row r="712" spans="1:115" x14ac:dyDescent="0.2">
      <c r="A712" s="28" t="s">
        <v>2255</v>
      </c>
      <c r="B712" s="29" t="s">
        <v>1778</v>
      </c>
      <c r="C712" s="29" t="s">
        <v>1779</v>
      </c>
      <c r="D712" s="30" t="s">
        <v>1780</v>
      </c>
      <c r="E712" s="30" t="s">
        <v>85</v>
      </c>
      <c r="F712" s="30"/>
      <c r="G712" s="31"/>
      <c r="H712" s="30">
        <v>385638</v>
      </c>
      <c r="I712" s="30" t="str">
        <f>IF(Table1[[#This Row],[Centre Status]]="Returned","NA",IF(Table1[[#This Row],[SD]]&gt;19000,"Full Payment",IF(Table1[[#This Row],[SD]]&lt;1,"No Payment","Partial Payment")))</f>
        <v>Partial Payment</v>
      </c>
      <c r="J712" s="30" t="s">
        <v>58</v>
      </c>
      <c r="K712" s="32">
        <v>110000</v>
      </c>
      <c r="L712" s="33">
        <f>Q712+R712+U712+Table1[[#This Row],[Farmer Payment]]</f>
        <v>56909.002210568244</v>
      </c>
      <c r="M712" s="30"/>
      <c r="N712" s="34"/>
      <c r="O712" s="34"/>
      <c r="P712" s="35">
        <f t="shared" si="72"/>
        <v>53090.997789431756</v>
      </c>
      <c r="Q712" s="33">
        <f>AI712+AV712+CK712+Table1[[#This Row],[FY 25-26]]</f>
        <v>46909.002210568244</v>
      </c>
      <c r="R712" s="36">
        <v>10000</v>
      </c>
      <c r="S712" s="37" t="s">
        <v>2562</v>
      </c>
      <c r="T712" s="38">
        <v>45166</v>
      </c>
      <c r="U712" s="39"/>
      <c r="V712" s="39"/>
      <c r="W712" s="40">
        <v>0</v>
      </c>
      <c r="X712" s="40">
        <v>0</v>
      </c>
      <c r="Y712" s="40">
        <v>0</v>
      </c>
      <c r="Z712" s="40">
        <v>0</v>
      </c>
      <c r="AA712" s="40">
        <v>0</v>
      </c>
      <c r="AB712" s="40">
        <v>0</v>
      </c>
      <c r="AC712" s="40">
        <v>0</v>
      </c>
      <c r="AD712" s="40">
        <v>0</v>
      </c>
      <c r="AE712" s="40">
        <v>0</v>
      </c>
      <c r="AF712" s="40">
        <v>0</v>
      </c>
      <c r="AG712" s="40">
        <v>0</v>
      </c>
      <c r="AH712" s="40">
        <v>0</v>
      </c>
      <c r="AI712" s="41">
        <f t="shared" si="73"/>
        <v>0</v>
      </c>
      <c r="AJ712" s="42">
        <v>0</v>
      </c>
      <c r="AK712" s="42">
        <v>0</v>
      </c>
      <c r="AL712" s="42">
        <v>0</v>
      </c>
      <c r="AM712" s="42">
        <v>0</v>
      </c>
      <c r="AN712" s="42">
        <v>0</v>
      </c>
      <c r="AO712" s="42">
        <v>0</v>
      </c>
      <c r="AP712" s="42">
        <v>0</v>
      </c>
      <c r="AQ712" s="42">
        <v>0</v>
      </c>
      <c r="AR712" s="42">
        <v>3196.2053999999998</v>
      </c>
      <c r="AS712" s="42">
        <v>4010.0964000000008</v>
      </c>
      <c r="AT712" s="42">
        <v>3421.6292000000003</v>
      </c>
      <c r="AU712" s="42">
        <v>3541.8438000000006</v>
      </c>
      <c r="AV712" s="42">
        <f t="shared" si="74"/>
        <v>14169.774800000001</v>
      </c>
      <c r="AW712" s="42">
        <v>2561.5240025759999</v>
      </c>
      <c r="AX712" s="42">
        <v>1861</v>
      </c>
      <c r="AY712" s="42">
        <v>1861</v>
      </c>
      <c r="AZ712" s="42">
        <v>3219.0122488337847</v>
      </c>
      <c r="BA712" s="42">
        <v>2963.1752073920006</v>
      </c>
      <c r="BB712" s="42">
        <v>0</v>
      </c>
      <c r="BC712" s="42">
        <v>3033.3521491512006</v>
      </c>
      <c r="BD712" s="42">
        <v>0</v>
      </c>
      <c r="BE712" s="42">
        <v>0</v>
      </c>
      <c r="BF712" s="42">
        <v>0</v>
      </c>
      <c r="BG712" s="42">
        <v>0</v>
      </c>
      <c r="BH712" s="42">
        <v>0</v>
      </c>
      <c r="BI712" s="42">
        <v>1861</v>
      </c>
      <c r="BJ712" s="42">
        <v>0</v>
      </c>
      <c r="BK712" s="42">
        <v>0</v>
      </c>
      <c r="BL712" s="42">
        <v>0</v>
      </c>
      <c r="BM712" s="42">
        <v>0</v>
      </c>
      <c r="BN712" s="42">
        <v>959</v>
      </c>
      <c r="BO712" s="42">
        <v>500</v>
      </c>
      <c r="BP712" s="42">
        <v>500</v>
      </c>
      <c r="BQ712" s="42">
        <v>500</v>
      </c>
      <c r="BR712" s="42">
        <v>500</v>
      </c>
      <c r="BS712" s="42">
        <v>0</v>
      </c>
      <c r="BT712" s="42">
        <v>500</v>
      </c>
      <c r="BU712" s="42">
        <v>500</v>
      </c>
      <c r="BV712" s="42">
        <v>0</v>
      </c>
      <c r="BW712" s="42">
        <v>0</v>
      </c>
      <c r="BX712" s="42">
        <v>0</v>
      </c>
      <c r="BY712" s="42">
        <v>1830.0416965946183</v>
      </c>
      <c r="BZ712" s="42">
        <v>0</v>
      </c>
      <c r="CA712" s="42">
        <v>0</v>
      </c>
      <c r="CB712" s="42">
        <v>0</v>
      </c>
      <c r="CC712" s="42">
        <v>0</v>
      </c>
      <c r="CD712" s="42">
        <v>2115.2632312941346</v>
      </c>
      <c r="CE712" s="42">
        <v>0</v>
      </c>
      <c r="CF712" s="42">
        <v>0</v>
      </c>
      <c r="CG712" s="42">
        <v>0</v>
      </c>
      <c r="CH712" s="42">
        <v>0</v>
      </c>
      <c r="CI712" s="42">
        <v>0</v>
      </c>
      <c r="CJ712" s="42">
        <v>2805.5440362051195</v>
      </c>
      <c r="CK712" s="43">
        <f t="shared" si="71"/>
        <v>28069.912572046855</v>
      </c>
      <c r="CL712" s="66"/>
      <c r="CM712" s="66">
        <v>0</v>
      </c>
      <c r="CN712" s="66">
        <v>0</v>
      </c>
      <c r="CO712" s="66">
        <v>0</v>
      </c>
      <c r="CP712" s="66">
        <v>2808.3148385213876</v>
      </c>
      <c r="CQ712" s="66">
        <v>0</v>
      </c>
      <c r="CR712" s="66">
        <v>0</v>
      </c>
      <c r="CS712" s="66">
        <v>0</v>
      </c>
      <c r="CT712" s="66">
        <v>0</v>
      </c>
      <c r="CU712" s="66">
        <v>0</v>
      </c>
      <c r="CV712" s="66">
        <v>1861</v>
      </c>
      <c r="CW712" s="66">
        <v>0</v>
      </c>
      <c r="CX712" s="66">
        <v>0</v>
      </c>
      <c r="CY712" s="66">
        <v>0</v>
      </c>
      <c r="CZ712" s="66">
        <v>0</v>
      </c>
      <c r="DA712" s="66"/>
      <c r="DB712" s="66"/>
      <c r="DC712" s="66"/>
      <c r="DD712" s="66"/>
      <c r="DE712" s="66"/>
      <c r="DF712" s="66"/>
      <c r="DG712" s="66"/>
      <c r="DH712" s="66"/>
      <c r="DI712" s="66"/>
      <c r="DJ712" s="66"/>
      <c r="DK712" s="66">
        <f>SUM(Table1[[#This Row],[01-03 Apr]:[Mar-26]])</f>
        <v>4669.3148385213881</v>
      </c>
    </row>
    <row r="713" spans="1:115" hidden="1" x14ac:dyDescent="0.2">
      <c r="A713" s="28"/>
      <c r="B713" s="29"/>
      <c r="C713" s="29" t="s">
        <v>2494</v>
      </c>
      <c r="D713" s="30" t="s">
        <v>2496</v>
      </c>
      <c r="E713" s="30" t="s">
        <v>203</v>
      </c>
      <c r="F713" s="30"/>
      <c r="G713" s="31"/>
      <c r="H713" s="30">
        <v>386968</v>
      </c>
      <c r="I713" s="30" t="str">
        <f>IF(Table1[[#This Row],[Centre Status]]="Returned","NA",IF(Table1[[#This Row],[SD]]&gt;19000,"Full Payment",IF(Table1[[#This Row],[SD]]&lt;1,"No Payment","Partial Payment")))</f>
        <v>NA</v>
      </c>
      <c r="J713" s="30" t="s">
        <v>1903</v>
      </c>
      <c r="K713" s="32">
        <v>110000</v>
      </c>
      <c r="L713" s="33">
        <f>Q713+R713+U713+Table1[[#This Row],[Farmer Payment]]</f>
        <v>31992</v>
      </c>
      <c r="M713" s="30">
        <v>20000</v>
      </c>
      <c r="N713" s="34">
        <v>45706</v>
      </c>
      <c r="O713" s="34" t="s">
        <v>2861</v>
      </c>
      <c r="P713" s="35">
        <f t="shared" si="72"/>
        <v>98008</v>
      </c>
      <c r="Q713" s="33">
        <f>AI713+AV713+CK713+Table1[[#This Row],[FY 25-26]]</f>
        <v>11992</v>
      </c>
      <c r="R713" s="36">
        <v>20000</v>
      </c>
      <c r="S713" s="37" t="s">
        <v>2319</v>
      </c>
      <c r="T713" s="38">
        <v>45336</v>
      </c>
      <c r="U713" s="39"/>
      <c r="V713" s="39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1">
        <f t="shared" si="73"/>
        <v>0</v>
      </c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  <c r="AT713" s="42"/>
      <c r="AU713" s="42"/>
      <c r="AV713" s="42">
        <f t="shared" si="74"/>
        <v>0</v>
      </c>
      <c r="AW713" s="42"/>
      <c r="AX713" s="42"/>
      <c r="AY713" s="42">
        <v>0</v>
      </c>
      <c r="AZ713" s="42">
        <v>0</v>
      </c>
      <c r="BA713" s="42">
        <v>956</v>
      </c>
      <c r="BB713" s="42">
        <v>500</v>
      </c>
      <c r="BC713" s="42">
        <v>861</v>
      </c>
      <c r="BD713" s="42">
        <v>500</v>
      </c>
      <c r="BE713" s="42">
        <v>0</v>
      </c>
      <c r="BF713" s="42">
        <v>0</v>
      </c>
      <c r="BG713" s="42">
        <v>0</v>
      </c>
      <c r="BH713" s="42">
        <v>0</v>
      </c>
      <c r="BI713" s="42">
        <v>1861</v>
      </c>
      <c r="BJ713" s="42">
        <v>0</v>
      </c>
      <c r="BK713" s="42">
        <v>0</v>
      </c>
      <c r="BL713" s="42">
        <v>0</v>
      </c>
      <c r="BM713" s="42">
        <v>0</v>
      </c>
      <c r="BN713" s="42">
        <v>314</v>
      </c>
      <c r="BO713" s="42">
        <v>500</v>
      </c>
      <c r="BP713" s="42">
        <v>500</v>
      </c>
      <c r="BQ713" s="42">
        <v>500</v>
      </c>
      <c r="BR713" s="42">
        <v>500</v>
      </c>
      <c r="BS713" s="42">
        <v>0</v>
      </c>
      <c r="BT713" s="42">
        <v>500</v>
      </c>
      <c r="BU713" s="42">
        <v>500</v>
      </c>
      <c r="BV713" s="42">
        <v>500</v>
      </c>
      <c r="BW713" s="42">
        <v>500</v>
      </c>
      <c r="BX713" s="42">
        <v>500</v>
      </c>
      <c r="BY713" s="42">
        <v>0</v>
      </c>
      <c r="BZ713" s="42">
        <v>500</v>
      </c>
      <c r="CA713" s="42">
        <v>500</v>
      </c>
      <c r="CB713" s="42">
        <v>500</v>
      </c>
      <c r="CC713" s="42">
        <v>500</v>
      </c>
      <c r="CD713" s="42">
        <v>0</v>
      </c>
      <c r="CE713" s="42">
        <v>0</v>
      </c>
      <c r="CF713" s="42">
        <v>0</v>
      </c>
      <c r="CG713" s="42">
        <v>0</v>
      </c>
      <c r="CH713" s="42">
        <v>500</v>
      </c>
      <c r="CI713" s="42">
        <v>0</v>
      </c>
      <c r="CJ713" s="42">
        <v>0</v>
      </c>
      <c r="CK713" s="43">
        <f t="shared" si="71"/>
        <v>11992</v>
      </c>
      <c r="CL713" s="66"/>
      <c r="CM713" s="66">
        <v>0</v>
      </c>
      <c r="CN713" s="66">
        <v>0</v>
      </c>
      <c r="CO713" s="66">
        <v>0</v>
      </c>
      <c r="CP713" s="66">
        <v>0</v>
      </c>
      <c r="CQ713" s="66">
        <v>0</v>
      </c>
      <c r="CR713" s="66">
        <v>0</v>
      </c>
      <c r="CS713" s="66">
        <v>0</v>
      </c>
      <c r="CT713" s="66">
        <v>0</v>
      </c>
      <c r="CU713" s="66">
        <v>0</v>
      </c>
      <c r="CV713" s="66">
        <v>0</v>
      </c>
      <c r="CW713" s="66">
        <v>0</v>
      </c>
      <c r="CX713" s="66">
        <v>0</v>
      </c>
      <c r="CY713" s="66">
        <v>0</v>
      </c>
      <c r="CZ713" s="66">
        <v>0</v>
      </c>
      <c r="DA713" s="66"/>
      <c r="DB713" s="66"/>
      <c r="DC713" s="66"/>
      <c r="DD713" s="66"/>
      <c r="DE713" s="66"/>
      <c r="DF713" s="66"/>
      <c r="DG713" s="66"/>
      <c r="DH713" s="66"/>
      <c r="DI713" s="66"/>
      <c r="DJ713" s="66"/>
      <c r="DK713" s="66">
        <f>SUM(Table1[[#This Row],[01-03 Apr]:[Mar-26]])</f>
        <v>0</v>
      </c>
    </row>
    <row r="714" spans="1:115" hidden="1" x14ac:dyDescent="0.2">
      <c r="A714" s="28"/>
      <c r="B714" s="29"/>
      <c r="C714" s="29" t="s">
        <v>2495</v>
      </c>
      <c r="D714" s="30" t="s">
        <v>2497</v>
      </c>
      <c r="E714" s="30" t="s">
        <v>203</v>
      </c>
      <c r="F714" s="30"/>
      <c r="G714" s="31"/>
      <c r="H714" s="30">
        <v>387852</v>
      </c>
      <c r="I714" s="30" t="str">
        <f>IF(Table1[[#This Row],[Centre Status]]="Returned","NA",IF(Table1[[#This Row],[SD]]&gt;19000,"Full Payment",IF(Table1[[#This Row],[SD]]&lt;1,"No Payment","Partial Payment")))</f>
        <v>Full Payment</v>
      </c>
      <c r="J714" s="30" t="s">
        <v>58</v>
      </c>
      <c r="K714" s="32">
        <v>110000</v>
      </c>
      <c r="L714" s="33">
        <f>Q714+R714+U714+Table1[[#This Row],[Farmer Payment]]</f>
        <v>39246</v>
      </c>
      <c r="M714" s="30"/>
      <c r="N714" s="34"/>
      <c r="O714" s="34"/>
      <c r="P714" s="35">
        <f t="shared" si="72"/>
        <v>70754</v>
      </c>
      <c r="Q714" s="33">
        <f>AI714+AV714+CK714+Table1[[#This Row],[FY 25-26]]</f>
        <v>19246</v>
      </c>
      <c r="R714" s="36">
        <v>20000</v>
      </c>
      <c r="S714" s="37" t="s">
        <v>2498</v>
      </c>
      <c r="T714" s="38">
        <v>45474</v>
      </c>
      <c r="U714" s="39"/>
      <c r="V714" s="39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1">
        <f t="shared" si="73"/>
        <v>0</v>
      </c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>
        <f t="shared" si="74"/>
        <v>0</v>
      </c>
      <c r="AW714" s="42"/>
      <c r="AX714" s="42"/>
      <c r="AY714" s="42">
        <v>0</v>
      </c>
      <c r="AZ714" s="42">
        <v>294</v>
      </c>
      <c r="BA714" s="42">
        <v>1861</v>
      </c>
      <c r="BB714" s="42">
        <v>0</v>
      </c>
      <c r="BC714" s="42">
        <v>1861</v>
      </c>
      <c r="BD714" s="42">
        <v>0</v>
      </c>
      <c r="BE714" s="42">
        <v>0</v>
      </c>
      <c r="BF714" s="42">
        <v>0</v>
      </c>
      <c r="BG714" s="42">
        <v>0</v>
      </c>
      <c r="BH714" s="42">
        <v>0</v>
      </c>
      <c r="BI714" s="42">
        <v>1592</v>
      </c>
      <c r="BJ714" s="42">
        <v>0</v>
      </c>
      <c r="BK714" s="42">
        <v>0</v>
      </c>
      <c r="BL714" s="42">
        <v>500</v>
      </c>
      <c r="BM714" s="42">
        <v>500</v>
      </c>
      <c r="BN714" s="42">
        <v>112</v>
      </c>
      <c r="BO714" s="42">
        <v>500</v>
      </c>
      <c r="BP714" s="42">
        <v>500</v>
      </c>
      <c r="BQ714" s="42">
        <v>500</v>
      </c>
      <c r="BR714" s="42">
        <v>500</v>
      </c>
      <c r="BS714" s="42">
        <v>0</v>
      </c>
      <c r="BT714" s="42">
        <v>500</v>
      </c>
      <c r="BU714" s="42">
        <v>500</v>
      </c>
      <c r="BV714" s="42">
        <v>500</v>
      </c>
      <c r="BW714" s="42">
        <v>500</v>
      </c>
      <c r="BX714" s="42">
        <v>500</v>
      </c>
      <c r="BY714" s="42">
        <v>0</v>
      </c>
      <c r="BZ714" s="42">
        <v>500</v>
      </c>
      <c r="CA714" s="42">
        <v>500</v>
      </c>
      <c r="CB714" s="42">
        <v>500</v>
      </c>
      <c r="CC714" s="42">
        <v>500</v>
      </c>
      <c r="CD714" s="42">
        <v>0</v>
      </c>
      <c r="CE714" s="42">
        <v>500</v>
      </c>
      <c r="CF714" s="42">
        <v>500</v>
      </c>
      <c r="CG714" s="42">
        <v>500</v>
      </c>
      <c r="CH714" s="42">
        <v>500</v>
      </c>
      <c r="CI714" s="42">
        <v>500</v>
      </c>
      <c r="CJ714" s="42">
        <v>0</v>
      </c>
      <c r="CK714" s="43">
        <f t="shared" si="71"/>
        <v>15720</v>
      </c>
      <c r="CL714" s="66"/>
      <c r="CM714" s="66">
        <v>526</v>
      </c>
      <c r="CN714" s="66">
        <v>500</v>
      </c>
      <c r="CO714" s="66">
        <v>500</v>
      </c>
      <c r="CP714" s="66">
        <v>0</v>
      </c>
      <c r="CQ714" s="66">
        <v>500</v>
      </c>
      <c r="CR714" s="66">
        <v>500</v>
      </c>
      <c r="CS714" s="66">
        <v>500</v>
      </c>
      <c r="CT714" s="66">
        <v>500</v>
      </c>
      <c r="CU714" s="66">
        <v>0</v>
      </c>
      <c r="CV714" s="66">
        <v>0</v>
      </c>
      <c r="CW714" s="66">
        <v>0</v>
      </c>
      <c r="CX714" s="66">
        <v>0</v>
      </c>
      <c r="CY714" s="66">
        <v>0</v>
      </c>
      <c r="CZ714" s="66">
        <v>0</v>
      </c>
      <c r="DA714" s="66"/>
      <c r="DB714" s="66"/>
      <c r="DC714" s="66"/>
      <c r="DD714" s="66"/>
      <c r="DE714" s="66"/>
      <c r="DF714" s="66"/>
      <c r="DG714" s="66"/>
      <c r="DH714" s="66"/>
      <c r="DI714" s="66"/>
      <c r="DJ714" s="66"/>
      <c r="DK714" s="66">
        <f>SUM(Table1[[#This Row],[01-03 Apr]:[Mar-26]])</f>
        <v>3526</v>
      </c>
    </row>
    <row r="715" spans="1:115" x14ac:dyDescent="0.2">
      <c r="A715" s="28" t="s">
        <v>2367</v>
      </c>
      <c r="B715" s="29" t="s">
        <v>1781</v>
      </c>
      <c r="C715" s="29" t="s">
        <v>1782</v>
      </c>
      <c r="D715" s="30" t="s">
        <v>268</v>
      </c>
      <c r="E715" s="30" t="s">
        <v>85</v>
      </c>
      <c r="F715" s="30"/>
      <c r="G715" s="31"/>
      <c r="H715" s="30">
        <v>388079</v>
      </c>
      <c r="I715" s="30" t="str">
        <f>IF(Table1[[#This Row],[Centre Status]]="Returned","NA",IF(Table1[[#This Row],[SD]]&gt;19000,"Full Payment",IF(Table1[[#This Row],[SD]]&lt;1,"No Payment","Partial Payment")))</f>
        <v>No Payment</v>
      </c>
      <c r="J715" s="30" t="s">
        <v>58</v>
      </c>
      <c r="K715" s="32">
        <v>110000</v>
      </c>
      <c r="L715" s="33">
        <f>Q715+R715+U715+Table1[[#This Row],[Farmer Payment]]</f>
        <v>66134.967615210451</v>
      </c>
      <c r="M715" s="30"/>
      <c r="N715" s="34"/>
      <c r="O715" s="34"/>
      <c r="P715" s="35">
        <f t="shared" si="72"/>
        <v>43865.032384789549</v>
      </c>
      <c r="Q715" s="33">
        <f>AI715+AV715+CK715+Table1[[#This Row],[FY 25-26]]</f>
        <v>66134.967615210451</v>
      </c>
      <c r="R715" s="36"/>
      <c r="S715" s="37"/>
      <c r="T715" s="38"/>
      <c r="U715" s="39"/>
      <c r="V715" s="39"/>
      <c r="W715" s="40">
        <v>0</v>
      </c>
      <c r="X715" s="40">
        <v>0</v>
      </c>
      <c r="Y715" s="40">
        <v>0</v>
      </c>
      <c r="Z715" s="40">
        <v>0</v>
      </c>
      <c r="AA715" s="40">
        <v>0</v>
      </c>
      <c r="AB715" s="40">
        <v>0</v>
      </c>
      <c r="AC715" s="40">
        <v>0</v>
      </c>
      <c r="AD715" s="40">
        <v>0</v>
      </c>
      <c r="AE715" s="40">
        <v>0</v>
      </c>
      <c r="AF715" s="40">
        <v>0</v>
      </c>
      <c r="AG715" s="40">
        <v>0</v>
      </c>
      <c r="AH715" s="40">
        <v>0</v>
      </c>
      <c r="AI715" s="41">
        <f t="shared" si="73"/>
        <v>0</v>
      </c>
      <c r="AJ715" s="42">
        <v>0</v>
      </c>
      <c r="AK715" s="42">
        <v>0</v>
      </c>
      <c r="AL715" s="42">
        <v>0</v>
      </c>
      <c r="AM715" s="42">
        <v>0</v>
      </c>
      <c r="AN715" s="42">
        <v>0</v>
      </c>
      <c r="AO715" s="42">
        <v>0</v>
      </c>
      <c r="AP715" s="42">
        <v>0</v>
      </c>
      <c r="AQ715" s="42">
        <v>0</v>
      </c>
      <c r="AR715" s="42">
        <v>3679.2606000000005</v>
      </c>
      <c r="AS715" s="42">
        <v>5405.9268000000002</v>
      </c>
      <c r="AT715" s="42">
        <v>6234.4667999999992</v>
      </c>
      <c r="AU715" s="42">
        <v>5906.5752000000002</v>
      </c>
      <c r="AV715" s="42">
        <f t="shared" si="74"/>
        <v>21226.2294</v>
      </c>
      <c r="AW715" s="42">
        <v>4399.149550058949</v>
      </c>
      <c r="AX715" s="42">
        <v>2494.30737367148</v>
      </c>
      <c r="AY715" s="42">
        <v>2196.7563363835902</v>
      </c>
      <c r="AZ715" s="42">
        <v>2257.7639307919908</v>
      </c>
      <c r="BA715" s="42">
        <v>1668</v>
      </c>
      <c r="BB715" s="42">
        <v>500</v>
      </c>
      <c r="BC715" s="42">
        <v>2155.9383734996459</v>
      </c>
      <c r="BD715" s="42">
        <v>0</v>
      </c>
      <c r="BE715" s="42">
        <v>0</v>
      </c>
      <c r="BF715" s="42">
        <v>0</v>
      </c>
      <c r="BG715" s="42">
        <v>0</v>
      </c>
      <c r="BH715" s="42">
        <v>0</v>
      </c>
      <c r="BI715" s="42">
        <v>2830.7297389835339</v>
      </c>
      <c r="BJ715" s="42">
        <v>0</v>
      </c>
      <c r="BK715" s="42">
        <v>0</v>
      </c>
      <c r="BL715" s="42">
        <v>0</v>
      </c>
      <c r="BM715" s="42">
        <v>0</v>
      </c>
      <c r="BN715" s="42">
        <v>2689.3911961924318</v>
      </c>
      <c r="BO715" s="42">
        <v>0</v>
      </c>
      <c r="BP715" s="42">
        <v>0</v>
      </c>
      <c r="BQ715" s="42">
        <v>0</v>
      </c>
      <c r="BR715" s="42">
        <v>0</v>
      </c>
      <c r="BS715" s="42">
        <v>4700.110440792937</v>
      </c>
      <c r="BT715" s="42">
        <v>0</v>
      </c>
      <c r="BU715" s="42">
        <v>0</v>
      </c>
      <c r="BV715" s="42">
        <v>0</v>
      </c>
      <c r="BW715" s="42">
        <v>0</v>
      </c>
      <c r="BX715" s="42">
        <v>0</v>
      </c>
      <c r="BY715" s="42">
        <v>4680.8782380051607</v>
      </c>
      <c r="BZ715" s="42">
        <v>0</v>
      </c>
      <c r="CA715" s="42">
        <v>0</v>
      </c>
      <c r="CB715" s="42">
        <v>0</v>
      </c>
      <c r="CC715" s="42">
        <v>0</v>
      </c>
      <c r="CD715" s="42">
        <v>4380.0313731877923</v>
      </c>
      <c r="CE715" s="42">
        <v>0</v>
      </c>
      <c r="CF715" s="42">
        <v>0</v>
      </c>
      <c r="CG715" s="42">
        <v>0</v>
      </c>
      <c r="CH715" s="42">
        <v>0</v>
      </c>
      <c r="CI715" s="42">
        <v>0</v>
      </c>
      <c r="CJ715" s="42">
        <v>4595.9319501288983</v>
      </c>
      <c r="CK715" s="43">
        <f t="shared" si="71"/>
        <v>39548.988501696411</v>
      </c>
      <c r="CL715" s="66"/>
      <c r="CM715" s="66">
        <v>0</v>
      </c>
      <c r="CN715" s="66">
        <v>0</v>
      </c>
      <c r="CO715" s="66">
        <v>0</v>
      </c>
      <c r="CP715" s="66">
        <v>3290.4876722726117</v>
      </c>
      <c r="CQ715" s="66">
        <v>0</v>
      </c>
      <c r="CR715" s="66">
        <v>0</v>
      </c>
      <c r="CS715" s="66">
        <v>0</v>
      </c>
      <c r="CT715" s="66">
        <v>0</v>
      </c>
      <c r="CU715" s="66">
        <v>0</v>
      </c>
      <c r="CV715" s="66">
        <v>2069.2620412414376</v>
      </c>
      <c r="CW715" s="66">
        <v>0</v>
      </c>
      <c r="CX715" s="66">
        <v>0</v>
      </c>
      <c r="CY715" s="66">
        <v>0</v>
      </c>
      <c r="CZ715" s="66">
        <v>0</v>
      </c>
      <c r="DA715" s="66"/>
      <c r="DB715" s="66"/>
      <c r="DC715" s="66"/>
      <c r="DD715" s="66"/>
      <c r="DE715" s="66"/>
      <c r="DF715" s="66"/>
      <c r="DG715" s="66"/>
      <c r="DH715" s="66"/>
      <c r="DI715" s="66"/>
      <c r="DJ715" s="66"/>
      <c r="DK715" s="66">
        <f>SUM(Table1[[#This Row],[01-03 Apr]:[Mar-26]])</f>
        <v>5359.7497135140493</v>
      </c>
    </row>
    <row r="716" spans="1:115" x14ac:dyDescent="0.2">
      <c r="A716" s="28" t="s">
        <v>2367</v>
      </c>
      <c r="B716" s="29" t="s">
        <v>1783</v>
      </c>
      <c r="C716" s="29" t="s">
        <v>1784</v>
      </c>
      <c r="D716" s="30" t="s">
        <v>1785</v>
      </c>
      <c r="E716" s="30" t="s">
        <v>1630</v>
      </c>
      <c r="F716" s="30"/>
      <c r="G716" s="31"/>
      <c r="H716" s="30">
        <v>2346393</v>
      </c>
      <c r="I716" s="30" t="str">
        <f>IF(Table1[[#This Row],[Centre Status]]="Returned","NA",IF(Table1[[#This Row],[SD]]&gt;19000,"Full Payment",IF(Table1[[#This Row],[SD]]&lt;1,"No Payment","Partial Payment")))</f>
        <v>Partial Payment</v>
      </c>
      <c r="J716" s="30" t="s">
        <v>58</v>
      </c>
      <c r="K716" s="32">
        <v>110000</v>
      </c>
      <c r="L716" s="33">
        <f>Q716+R716+U716+Table1[[#This Row],[Farmer Payment]]</f>
        <v>40638.448799999998</v>
      </c>
      <c r="M716" s="30"/>
      <c r="N716" s="34"/>
      <c r="O716" s="34"/>
      <c r="P716" s="35">
        <f t="shared" si="72"/>
        <v>69361.551200000002</v>
      </c>
      <c r="Q716" s="33">
        <f>AI716+AV716+CK716+Table1[[#This Row],[FY 25-26]]</f>
        <v>30638.448799999998</v>
      </c>
      <c r="R716" s="36">
        <v>10000</v>
      </c>
      <c r="S716" s="37" t="s">
        <v>1786</v>
      </c>
      <c r="T716" s="38">
        <v>45220</v>
      </c>
      <c r="U716" s="39"/>
      <c r="V716" s="39"/>
      <c r="W716" s="40">
        <v>0</v>
      </c>
      <c r="X716" s="40">
        <v>0</v>
      </c>
      <c r="Y716" s="40">
        <v>0</v>
      </c>
      <c r="Z716" s="40">
        <v>0</v>
      </c>
      <c r="AA716" s="40">
        <v>0</v>
      </c>
      <c r="AB716" s="40">
        <v>0</v>
      </c>
      <c r="AC716" s="40">
        <v>0</v>
      </c>
      <c r="AD716" s="40">
        <v>0</v>
      </c>
      <c r="AE716" s="40">
        <v>0</v>
      </c>
      <c r="AF716" s="40">
        <v>0</v>
      </c>
      <c r="AG716" s="40">
        <v>0</v>
      </c>
      <c r="AH716" s="40">
        <v>0</v>
      </c>
      <c r="AI716" s="41">
        <f t="shared" si="73"/>
        <v>0</v>
      </c>
      <c r="AJ716" s="42">
        <v>0</v>
      </c>
      <c r="AK716" s="42">
        <v>0</v>
      </c>
      <c r="AL716" s="42">
        <v>0</v>
      </c>
      <c r="AM716" s="42">
        <v>0</v>
      </c>
      <c r="AN716" s="42">
        <v>0</v>
      </c>
      <c r="AO716" s="42">
        <v>0</v>
      </c>
      <c r="AP716" s="42">
        <v>0</v>
      </c>
      <c r="AQ716" s="42">
        <v>0</v>
      </c>
      <c r="AR716" s="42">
        <v>1861</v>
      </c>
      <c r="AS716" s="42">
        <v>2008.6232000000002</v>
      </c>
      <c r="AT716" s="42">
        <v>1871.6478</v>
      </c>
      <c r="AU716" s="42">
        <v>1894.1777999999999</v>
      </c>
      <c r="AV716" s="42">
        <f t="shared" si="74"/>
        <v>7635.4488000000001</v>
      </c>
      <c r="AW716" s="42">
        <v>1861</v>
      </c>
      <c r="AX716" s="42">
        <v>1861</v>
      </c>
      <c r="AY716" s="42">
        <v>1861</v>
      </c>
      <c r="AZ716" s="42">
        <v>1861</v>
      </c>
      <c r="BA716" s="42">
        <v>1842</v>
      </c>
      <c r="BB716" s="42">
        <v>500</v>
      </c>
      <c r="BC716" s="42">
        <v>861</v>
      </c>
      <c r="BD716" s="42">
        <v>500</v>
      </c>
      <c r="BE716" s="42">
        <v>0</v>
      </c>
      <c r="BF716" s="42">
        <v>0</v>
      </c>
      <c r="BG716" s="42">
        <v>0</v>
      </c>
      <c r="BH716" s="42">
        <v>0</v>
      </c>
      <c r="BI716" s="42">
        <v>1861</v>
      </c>
      <c r="BJ716" s="42">
        <v>0</v>
      </c>
      <c r="BK716" s="42">
        <v>0</v>
      </c>
      <c r="BL716" s="42">
        <v>0</v>
      </c>
      <c r="BM716" s="42">
        <v>0</v>
      </c>
      <c r="BN716" s="42">
        <v>1557</v>
      </c>
      <c r="BO716" s="42">
        <v>0</v>
      </c>
      <c r="BP716" s="42">
        <v>0</v>
      </c>
      <c r="BQ716" s="42">
        <v>0</v>
      </c>
      <c r="BR716" s="42">
        <v>0</v>
      </c>
      <c r="BS716" s="42">
        <v>1861</v>
      </c>
      <c r="BT716" s="42">
        <v>0</v>
      </c>
      <c r="BU716" s="42">
        <v>0</v>
      </c>
      <c r="BV716" s="42">
        <v>0</v>
      </c>
      <c r="BW716" s="42">
        <v>0</v>
      </c>
      <c r="BX716" s="42">
        <v>0</v>
      </c>
      <c r="BY716" s="42">
        <v>0</v>
      </c>
      <c r="BZ716" s="42">
        <v>0</v>
      </c>
      <c r="CA716" s="42">
        <v>500</v>
      </c>
      <c r="CB716" s="42">
        <v>0</v>
      </c>
      <c r="CC716" s="42">
        <v>0</v>
      </c>
      <c r="CD716" s="42">
        <v>1361</v>
      </c>
      <c r="CE716" s="42">
        <v>0</v>
      </c>
      <c r="CF716" s="42">
        <v>0</v>
      </c>
      <c r="CG716" s="42">
        <v>0</v>
      </c>
      <c r="CH716" s="42">
        <v>0</v>
      </c>
      <c r="CI716" s="42">
        <v>0</v>
      </c>
      <c r="CJ716" s="42">
        <v>1663</v>
      </c>
      <c r="CK716" s="43">
        <f t="shared" si="71"/>
        <v>19950</v>
      </c>
      <c r="CL716" s="66"/>
      <c r="CM716" s="66">
        <v>0</v>
      </c>
      <c r="CN716" s="66">
        <v>0</v>
      </c>
      <c r="CO716" s="66">
        <v>0</v>
      </c>
      <c r="CP716" s="66">
        <v>1597</v>
      </c>
      <c r="CQ716" s="66">
        <v>0</v>
      </c>
      <c r="CR716" s="66">
        <v>0</v>
      </c>
      <c r="CS716" s="66">
        <v>0</v>
      </c>
      <c r="CT716" s="66">
        <v>0</v>
      </c>
      <c r="CU716" s="66">
        <v>0</v>
      </c>
      <c r="CV716" s="66">
        <v>1456</v>
      </c>
      <c r="CW716" s="66">
        <v>0</v>
      </c>
      <c r="CX716" s="66">
        <v>0</v>
      </c>
      <c r="CY716" s="66">
        <v>0</v>
      </c>
      <c r="CZ716" s="66">
        <v>0</v>
      </c>
      <c r="DA716" s="66"/>
      <c r="DB716" s="66"/>
      <c r="DC716" s="66"/>
      <c r="DD716" s="66"/>
      <c r="DE716" s="66"/>
      <c r="DF716" s="66"/>
      <c r="DG716" s="66"/>
      <c r="DH716" s="66"/>
      <c r="DI716" s="66"/>
      <c r="DJ716" s="66"/>
      <c r="DK716" s="66">
        <f>SUM(Table1[[#This Row],[01-03 Apr]:[Mar-26]])</f>
        <v>3053</v>
      </c>
    </row>
    <row r="717" spans="1:115" x14ac:dyDescent="0.2">
      <c r="A717" s="28">
        <v>0</v>
      </c>
      <c r="B717" s="29" t="s">
        <v>1787</v>
      </c>
      <c r="C717" s="29" t="s">
        <v>1788</v>
      </c>
      <c r="D717" s="30" t="s">
        <v>1789</v>
      </c>
      <c r="E717" s="30" t="s">
        <v>203</v>
      </c>
      <c r="F717" s="30"/>
      <c r="G717" s="31"/>
      <c r="H717" s="30">
        <v>358579</v>
      </c>
      <c r="I717" s="30" t="str">
        <f>IF(Table1[[#This Row],[Centre Status]]="Returned","NA",IF(Table1[[#This Row],[SD]]&gt;19000,"Full Payment",IF(Table1[[#This Row],[SD]]&lt;1,"No Payment","Partial Payment")))</f>
        <v>Partial Payment</v>
      </c>
      <c r="J717" s="30" t="s">
        <v>58</v>
      </c>
      <c r="K717" s="32">
        <v>110000</v>
      </c>
      <c r="L717" s="33">
        <f>Q717+R717+U717+Table1[[#This Row],[Farmer Payment]]</f>
        <v>51622.839520753187</v>
      </c>
      <c r="M717" s="30"/>
      <c r="N717" s="34"/>
      <c r="O717" s="34"/>
      <c r="P717" s="35">
        <f t="shared" si="72"/>
        <v>58377.160479246813</v>
      </c>
      <c r="Q717" s="33">
        <f>AI717+AV717+CK717+Table1[[#This Row],[FY 25-26]]</f>
        <v>41622.839520753187</v>
      </c>
      <c r="R717" s="36">
        <v>10000</v>
      </c>
      <c r="S717" s="37" t="s">
        <v>1790</v>
      </c>
      <c r="T717" s="38">
        <v>45198</v>
      </c>
      <c r="U717" s="39"/>
      <c r="V717" s="39"/>
      <c r="W717" s="40">
        <v>0</v>
      </c>
      <c r="X717" s="40">
        <v>0</v>
      </c>
      <c r="Y717" s="40">
        <v>0</v>
      </c>
      <c r="Z717" s="40">
        <v>0</v>
      </c>
      <c r="AA717" s="40">
        <v>0</v>
      </c>
      <c r="AB717" s="40">
        <v>0</v>
      </c>
      <c r="AC717" s="40">
        <v>0</v>
      </c>
      <c r="AD717" s="40">
        <v>0</v>
      </c>
      <c r="AE717" s="40">
        <v>0</v>
      </c>
      <c r="AF717" s="40">
        <v>0</v>
      </c>
      <c r="AG717" s="40">
        <v>0</v>
      </c>
      <c r="AH717" s="40">
        <v>0</v>
      </c>
      <c r="AI717" s="41">
        <f t="shared" si="73"/>
        <v>0</v>
      </c>
      <c r="AJ717" s="42">
        <v>0</v>
      </c>
      <c r="AK717" s="42">
        <v>0</v>
      </c>
      <c r="AL717" s="42">
        <v>0</v>
      </c>
      <c r="AM717" s="42">
        <v>0</v>
      </c>
      <c r="AN717" s="42">
        <v>0</v>
      </c>
      <c r="AO717" s="42">
        <v>0</v>
      </c>
      <c r="AP717" s="42">
        <v>0</v>
      </c>
      <c r="AQ717" s="42">
        <v>0</v>
      </c>
      <c r="AR717" s="42">
        <v>1861</v>
      </c>
      <c r="AS717" s="42">
        <v>2305.3486000000003</v>
      </c>
      <c r="AT717" s="42">
        <v>2978.355</v>
      </c>
      <c r="AU717" s="42">
        <v>3225.1242000000007</v>
      </c>
      <c r="AV717" s="42">
        <f t="shared" si="74"/>
        <v>10369.827800000001</v>
      </c>
      <c r="AW717" s="42">
        <v>1993.3871236400082</v>
      </c>
      <c r="AX717" s="42">
        <v>1861</v>
      </c>
      <c r="AY717" s="42">
        <v>2074.1214230811361</v>
      </c>
      <c r="AZ717" s="42">
        <v>2450.7723686822401</v>
      </c>
      <c r="BA717" s="42">
        <v>2437.9790976537602</v>
      </c>
      <c r="BB717" s="42">
        <v>0</v>
      </c>
      <c r="BC717" s="42">
        <v>3174.3345833252242</v>
      </c>
      <c r="BD717" s="42">
        <v>0</v>
      </c>
      <c r="BE717" s="42">
        <v>0</v>
      </c>
      <c r="BF717" s="42">
        <v>0</v>
      </c>
      <c r="BG717" s="42">
        <v>0</v>
      </c>
      <c r="BH717" s="42">
        <v>0</v>
      </c>
      <c r="BI717" s="42">
        <v>2551.7340430593104</v>
      </c>
      <c r="BJ717" s="42">
        <v>0</v>
      </c>
      <c r="BK717" s="42">
        <v>0</v>
      </c>
      <c r="BL717" s="42">
        <v>0</v>
      </c>
      <c r="BM717" s="42">
        <v>0</v>
      </c>
      <c r="BN717" s="42">
        <v>1861</v>
      </c>
      <c r="BO717" s="42">
        <v>0</v>
      </c>
      <c r="BP717" s="42">
        <v>0</v>
      </c>
      <c r="BQ717" s="42">
        <v>0</v>
      </c>
      <c r="BR717" s="42">
        <v>0</v>
      </c>
      <c r="BS717" s="42">
        <v>2523.822744528592</v>
      </c>
      <c r="BT717" s="42">
        <v>0</v>
      </c>
      <c r="BU717" s="42">
        <v>0</v>
      </c>
      <c r="BV717" s="42">
        <v>0</v>
      </c>
      <c r="BW717" s="42">
        <v>0</v>
      </c>
      <c r="BX717" s="42">
        <v>0</v>
      </c>
      <c r="BY717" s="42">
        <v>1957.6661864755201</v>
      </c>
      <c r="BZ717" s="42">
        <v>0</v>
      </c>
      <c r="CA717" s="42">
        <v>0</v>
      </c>
      <c r="CB717" s="42">
        <v>0</v>
      </c>
      <c r="CC717" s="42">
        <v>0</v>
      </c>
      <c r="CD717" s="42">
        <v>2339.84441787896</v>
      </c>
      <c r="CE717" s="42">
        <v>0</v>
      </c>
      <c r="CF717" s="42">
        <v>0</v>
      </c>
      <c r="CG717" s="42">
        <v>0</v>
      </c>
      <c r="CH717" s="42">
        <v>0</v>
      </c>
      <c r="CI717" s="42">
        <v>0</v>
      </c>
      <c r="CJ717" s="42">
        <v>2305.3497324284322</v>
      </c>
      <c r="CK717" s="43">
        <f t="shared" si="71"/>
        <v>27531.011720753184</v>
      </c>
      <c r="CL717" s="66"/>
      <c r="CM717" s="66">
        <v>0</v>
      </c>
      <c r="CN717" s="66">
        <v>0</v>
      </c>
      <c r="CO717" s="66">
        <v>0</v>
      </c>
      <c r="CP717" s="66">
        <v>1861</v>
      </c>
      <c r="CQ717" s="66">
        <v>0</v>
      </c>
      <c r="CR717" s="66">
        <v>0</v>
      </c>
      <c r="CS717" s="66">
        <v>0</v>
      </c>
      <c r="CT717" s="66">
        <v>0</v>
      </c>
      <c r="CU717" s="66">
        <v>0</v>
      </c>
      <c r="CV717" s="66">
        <v>1861</v>
      </c>
      <c r="CW717" s="66">
        <v>0</v>
      </c>
      <c r="CX717" s="66">
        <v>0</v>
      </c>
      <c r="CY717" s="66">
        <v>0</v>
      </c>
      <c r="CZ717" s="66">
        <v>0</v>
      </c>
      <c r="DA717" s="66"/>
      <c r="DB717" s="66"/>
      <c r="DC717" s="66"/>
      <c r="DD717" s="66"/>
      <c r="DE717" s="66"/>
      <c r="DF717" s="66"/>
      <c r="DG717" s="66"/>
      <c r="DH717" s="66"/>
      <c r="DI717" s="66"/>
      <c r="DJ717" s="66"/>
      <c r="DK717" s="66">
        <f>SUM(Table1[[#This Row],[01-03 Apr]:[Mar-26]])</f>
        <v>3722</v>
      </c>
    </row>
    <row r="718" spans="1:115" x14ac:dyDescent="0.2">
      <c r="A718" s="28">
        <v>0</v>
      </c>
      <c r="B718" s="29" t="s">
        <v>1808</v>
      </c>
      <c r="C718" s="29" t="s">
        <v>3336</v>
      </c>
      <c r="D718" s="30" t="s">
        <v>1809</v>
      </c>
      <c r="E718" s="30" t="s">
        <v>203</v>
      </c>
      <c r="F718" s="30"/>
      <c r="G718" s="31"/>
      <c r="H718" s="30"/>
      <c r="I718" s="30" t="str">
        <f>IF(Table1[[#This Row],[Centre Status]]="Returned","NA",IF(Table1[[#This Row],[SD]]&gt;19000,"Full Payment",IF(Table1[[#This Row],[SD]]&lt;1,"No Payment","Partial Payment")))</f>
        <v>No Payment</v>
      </c>
      <c r="J718" s="30" t="s">
        <v>58</v>
      </c>
      <c r="K718" s="32">
        <v>110000</v>
      </c>
      <c r="L718" s="33">
        <f>Q718+R718+U718+Table1[[#This Row],[Farmer Payment]]</f>
        <v>0</v>
      </c>
      <c r="M718" s="30"/>
      <c r="N718" s="34"/>
      <c r="O718" s="34"/>
      <c r="P718" s="35">
        <f t="shared" si="72"/>
        <v>110000</v>
      </c>
      <c r="Q718" s="33">
        <f>AI718+AV718+CK718+Table1[[#This Row],[FY 25-26]]</f>
        <v>0</v>
      </c>
      <c r="R718" s="36"/>
      <c r="S718" s="37"/>
      <c r="T718" s="38"/>
      <c r="U718" s="39"/>
      <c r="V718" s="39"/>
      <c r="W718" s="40">
        <v>0</v>
      </c>
      <c r="X718" s="40">
        <v>0</v>
      </c>
      <c r="Y718" s="40">
        <v>0</v>
      </c>
      <c r="Z718" s="40">
        <v>0</v>
      </c>
      <c r="AA718" s="40">
        <v>0</v>
      </c>
      <c r="AB718" s="40">
        <v>0</v>
      </c>
      <c r="AC718" s="40">
        <v>0</v>
      </c>
      <c r="AD718" s="40">
        <v>0</v>
      </c>
      <c r="AE718" s="40">
        <v>0</v>
      </c>
      <c r="AF718" s="40">
        <v>0</v>
      </c>
      <c r="AG718" s="40">
        <v>0</v>
      </c>
      <c r="AH718" s="40">
        <v>0</v>
      </c>
      <c r="AI718" s="41">
        <f t="shared" si="73"/>
        <v>0</v>
      </c>
      <c r="AJ718" s="42">
        <v>0</v>
      </c>
      <c r="AK718" s="42">
        <v>0</v>
      </c>
      <c r="AL718" s="42">
        <v>0</v>
      </c>
      <c r="AM718" s="42">
        <v>0</v>
      </c>
      <c r="AN718" s="42">
        <v>0</v>
      </c>
      <c r="AO718" s="42">
        <v>0</v>
      </c>
      <c r="AP718" s="42">
        <v>0</v>
      </c>
      <c r="AQ718" s="42">
        <v>0</v>
      </c>
      <c r="AR718" s="42">
        <v>0</v>
      </c>
      <c r="AS718" s="42">
        <v>0</v>
      </c>
      <c r="AT718" s="42">
        <v>0</v>
      </c>
      <c r="AU718" s="42">
        <v>0</v>
      </c>
      <c r="AV718" s="42">
        <f t="shared" si="74"/>
        <v>0</v>
      </c>
      <c r="AW718" s="42">
        <v>0</v>
      </c>
      <c r="AX718" s="42">
        <v>0</v>
      </c>
      <c r="AY718" s="42">
        <v>0</v>
      </c>
      <c r="AZ718" s="42">
        <v>0</v>
      </c>
      <c r="BA718" s="42">
        <v>0</v>
      </c>
      <c r="BB718" s="42">
        <v>0</v>
      </c>
      <c r="BC718" s="42">
        <v>0</v>
      </c>
      <c r="BD718" s="42">
        <v>0</v>
      </c>
      <c r="BE718" s="42">
        <v>0</v>
      </c>
      <c r="BF718" s="42">
        <v>0</v>
      </c>
      <c r="BG718" s="42">
        <v>0</v>
      </c>
      <c r="BH718" s="42">
        <v>0</v>
      </c>
      <c r="BI718" s="42">
        <v>0</v>
      </c>
      <c r="BJ718" s="42">
        <v>0</v>
      </c>
      <c r="BK718" s="42">
        <v>0</v>
      </c>
      <c r="BL718" s="42">
        <v>0</v>
      </c>
      <c r="BM718" s="42">
        <v>0</v>
      </c>
      <c r="BN718" s="42">
        <v>0</v>
      </c>
      <c r="BO718" s="42">
        <v>0</v>
      </c>
      <c r="BP718" s="42">
        <v>0</v>
      </c>
      <c r="BQ718" s="42">
        <v>0</v>
      </c>
      <c r="BR718" s="42">
        <v>0</v>
      </c>
      <c r="BS718" s="42">
        <v>0</v>
      </c>
      <c r="BT718" s="42">
        <v>0</v>
      </c>
      <c r="BU718" s="42">
        <v>0</v>
      </c>
      <c r="BV718" s="42">
        <v>0</v>
      </c>
      <c r="BW718" s="42">
        <v>0</v>
      </c>
      <c r="BX718" s="42">
        <v>0</v>
      </c>
      <c r="BY718" s="42">
        <v>0</v>
      </c>
      <c r="BZ718" s="42">
        <v>0</v>
      </c>
      <c r="CA718" s="42">
        <v>0</v>
      </c>
      <c r="CB718" s="42">
        <v>0</v>
      </c>
      <c r="CC718" s="42">
        <v>0</v>
      </c>
      <c r="CD718" s="42">
        <v>0</v>
      </c>
      <c r="CE718" s="42">
        <v>0</v>
      </c>
      <c r="CF718" s="42">
        <v>0</v>
      </c>
      <c r="CG718" s="42">
        <v>0</v>
      </c>
      <c r="CH718" s="42">
        <v>0</v>
      </c>
      <c r="CI718" s="42">
        <v>0</v>
      </c>
      <c r="CJ718" s="42">
        <v>0</v>
      </c>
      <c r="CK718" s="43">
        <f t="shared" si="71"/>
        <v>0</v>
      </c>
      <c r="CL718" s="66"/>
      <c r="CM718" s="66">
        <v>0</v>
      </c>
      <c r="CN718" s="66">
        <v>0</v>
      </c>
      <c r="CO718" s="66">
        <v>0</v>
      </c>
      <c r="CP718" s="66">
        <v>0</v>
      </c>
      <c r="CQ718" s="66">
        <v>0</v>
      </c>
      <c r="CR718" s="66">
        <v>0</v>
      </c>
      <c r="CS718" s="66">
        <v>0</v>
      </c>
      <c r="CT718" s="66">
        <v>0</v>
      </c>
      <c r="CU718" s="66">
        <v>0</v>
      </c>
      <c r="CV718" s="66">
        <v>0</v>
      </c>
      <c r="CW718" s="66">
        <v>0</v>
      </c>
      <c r="CX718" s="66">
        <v>0</v>
      </c>
      <c r="CY718" s="66">
        <v>0</v>
      </c>
      <c r="CZ718" s="66">
        <v>0</v>
      </c>
      <c r="DA718" s="66"/>
      <c r="DB718" s="66"/>
      <c r="DC718" s="66"/>
      <c r="DD718" s="66"/>
      <c r="DE718" s="66"/>
      <c r="DF718" s="66"/>
      <c r="DG718" s="66"/>
      <c r="DH718" s="66"/>
      <c r="DI718" s="66"/>
      <c r="DJ718" s="66"/>
      <c r="DK718" s="66">
        <f>SUM(Table1[[#This Row],[01-03 Apr]:[Mar-26]])</f>
        <v>0</v>
      </c>
    </row>
    <row r="719" spans="1:115" hidden="1" x14ac:dyDescent="0.2">
      <c r="A719" s="28" t="s">
        <v>2255</v>
      </c>
      <c r="B719" s="29" t="s">
        <v>1821</v>
      </c>
      <c r="C719" s="29" t="s">
        <v>1822</v>
      </c>
      <c r="D719" s="30" t="s">
        <v>1823</v>
      </c>
      <c r="E719" s="30" t="s">
        <v>2257</v>
      </c>
      <c r="F719" s="30"/>
      <c r="G719" s="31"/>
      <c r="H719" s="30">
        <v>2349701</v>
      </c>
      <c r="I719" s="30" t="str">
        <f>IF(Table1[[#This Row],[Centre Status]]="Returned","NA",IF(Table1[[#This Row],[SD]]&gt;19000,"Full Payment",IF(Table1[[#This Row],[SD]]&lt;1,"No Payment","Partial Payment")))</f>
        <v>Full Payment</v>
      </c>
      <c r="J719" s="30" t="s">
        <v>58</v>
      </c>
      <c r="K719" s="32">
        <v>110000</v>
      </c>
      <c r="L719" s="33">
        <f>Q719+R719+U719+Table1[[#This Row],[Farmer Payment]]</f>
        <v>101995.94169792035</v>
      </c>
      <c r="M719" s="30"/>
      <c r="N719" s="34"/>
      <c r="O719" s="34"/>
      <c r="P719" s="35">
        <f t="shared" si="72"/>
        <v>8004.0583020796475</v>
      </c>
      <c r="Q719" s="33">
        <f>AI719+AV719+CK719+Table1[[#This Row],[FY 25-26]]</f>
        <v>81995.941697920352</v>
      </c>
      <c r="R719" s="36">
        <v>20000</v>
      </c>
      <c r="S719" s="37" t="s">
        <v>1824</v>
      </c>
      <c r="T719" s="38">
        <v>45189</v>
      </c>
      <c r="U719" s="39"/>
      <c r="V719" s="39"/>
      <c r="W719" s="40">
        <v>0</v>
      </c>
      <c r="X719" s="40">
        <v>0</v>
      </c>
      <c r="Y719" s="40">
        <v>0</v>
      </c>
      <c r="Z719" s="40">
        <v>0</v>
      </c>
      <c r="AA719" s="40">
        <v>0</v>
      </c>
      <c r="AB719" s="40">
        <v>0</v>
      </c>
      <c r="AC719" s="40">
        <v>0</v>
      </c>
      <c r="AD719" s="40">
        <v>0</v>
      </c>
      <c r="AE719" s="40">
        <v>0</v>
      </c>
      <c r="AF719" s="40">
        <v>0</v>
      </c>
      <c r="AG719" s="40">
        <v>0</v>
      </c>
      <c r="AH719" s="40">
        <v>0</v>
      </c>
      <c r="AI719" s="41">
        <f t="shared" si="73"/>
        <v>0</v>
      </c>
      <c r="AJ719" s="42">
        <v>0</v>
      </c>
      <c r="AK719" s="42">
        <v>0</v>
      </c>
      <c r="AL719" s="42">
        <v>0</v>
      </c>
      <c r="AM719" s="42">
        <v>0</v>
      </c>
      <c r="AN719" s="42">
        <v>0</v>
      </c>
      <c r="AO719" s="42">
        <v>0</v>
      </c>
      <c r="AP719" s="42">
        <v>0</v>
      </c>
      <c r="AQ719" s="42">
        <v>6580.0871999999999</v>
      </c>
      <c r="AR719" s="42">
        <v>5462.8864000000003</v>
      </c>
      <c r="AS719" s="42">
        <v>6232.8152</v>
      </c>
      <c r="AT719" s="42">
        <v>8943.0221999999994</v>
      </c>
      <c r="AU719" s="42">
        <v>10263.124399999999</v>
      </c>
      <c r="AV719" s="42">
        <f t="shared" si="74"/>
        <v>37481.935400000002</v>
      </c>
      <c r="AW719" s="42">
        <v>6389.4518889851779</v>
      </c>
      <c r="AX719" s="42">
        <v>3363.8017040884642</v>
      </c>
      <c r="AY719" s="42">
        <v>3207.8974847442005</v>
      </c>
      <c r="AZ719" s="42">
        <v>3634.1715327799338</v>
      </c>
      <c r="BA719" s="42">
        <v>4118.7107648899073</v>
      </c>
      <c r="BB719" s="42">
        <v>0</v>
      </c>
      <c r="BC719" s="42">
        <v>5317.1890633038829</v>
      </c>
      <c r="BD719" s="42">
        <v>0</v>
      </c>
      <c r="BE719" s="42">
        <v>0</v>
      </c>
      <c r="BF719" s="42">
        <v>0</v>
      </c>
      <c r="BG719" s="42">
        <v>0</v>
      </c>
      <c r="BH719" s="42">
        <v>0</v>
      </c>
      <c r="BI719" s="42">
        <v>4041.3362337096014</v>
      </c>
      <c r="BJ719" s="42">
        <v>0</v>
      </c>
      <c r="BK719" s="42">
        <v>0</v>
      </c>
      <c r="BL719" s="42">
        <v>0</v>
      </c>
      <c r="BM719" s="42">
        <v>0</v>
      </c>
      <c r="BN719" s="42">
        <v>2884.5545012090683</v>
      </c>
      <c r="BO719" s="42">
        <v>0</v>
      </c>
      <c r="BP719" s="42">
        <v>0</v>
      </c>
      <c r="BQ719" s="42">
        <v>0</v>
      </c>
      <c r="BR719" s="42">
        <v>0</v>
      </c>
      <c r="BS719" s="42">
        <v>4067.2879782401692</v>
      </c>
      <c r="BT719" s="42">
        <v>0</v>
      </c>
      <c r="BU719" s="42">
        <v>0</v>
      </c>
      <c r="BV719" s="42">
        <v>0</v>
      </c>
      <c r="BW719" s="42">
        <v>0</v>
      </c>
      <c r="BX719" s="42">
        <v>0</v>
      </c>
      <c r="BY719" s="42">
        <v>3491.0779880676046</v>
      </c>
      <c r="BZ719" s="42">
        <v>0</v>
      </c>
      <c r="CA719" s="42">
        <v>0</v>
      </c>
      <c r="CB719" s="42">
        <v>0</v>
      </c>
      <c r="CC719" s="42">
        <v>0</v>
      </c>
      <c r="CD719" s="42">
        <v>3998.5271579023306</v>
      </c>
      <c r="CE719" s="42">
        <v>0</v>
      </c>
      <c r="CF719" s="42">
        <v>0</v>
      </c>
      <c r="CG719" s="42">
        <v>0</v>
      </c>
      <c r="CH719" s="42">
        <v>0</v>
      </c>
      <c r="CI719" s="42">
        <v>0</v>
      </c>
      <c r="CJ719" s="42">
        <v>0</v>
      </c>
      <c r="CK719" s="43">
        <f t="shared" si="71"/>
        <v>44514.006297920343</v>
      </c>
      <c r="CL719" s="66"/>
      <c r="CM719" s="66">
        <v>0</v>
      </c>
      <c r="CN719" s="66">
        <v>0</v>
      </c>
      <c r="CO719" s="66">
        <v>0</v>
      </c>
      <c r="CP719" s="66">
        <v>0</v>
      </c>
      <c r="CQ719" s="66">
        <v>0</v>
      </c>
      <c r="CR719" s="66">
        <v>0</v>
      </c>
      <c r="CS719" s="66">
        <v>0</v>
      </c>
      <c r="CT719" s="66">
        <v>0</v>
      </c>
      <c r="CU719" s="66">
        <v>0</v>
      </c>
      <c r="CV719" s="66">
        <v>0</v>
      </c>
      <c r="CW719" s="66">
        <v>0</v>
      </c>
      <c r="CX719" s="66">
        <v>0</v>
      </c>
      <c r="CY719" s="66">
        <v>0</v>
      </c>
      <c r="CZ719" s="66">
        <v>0</v>
      </c>
      <c r="DA719" s="66"/>
      <c r="DB719" s="66"/>
      <c r="DC719" s="66"/>
      <c r="DD719" s="66"/>
      <c r="DE719" s="66"/>
      <c r="DF719" s="66"/>
      <c r="DG719" s="66"/>
      <c r="DH719" s="66"/>
      <c r="DI719" s="66"/>
      <c r="DJ719" s="66"/>
      <c r="DK719" s="66">
        <f>SUM(Table1[[#This Row],[01-03 Apr]:[Mar-26]])</f>
        <v>0</v>
      </c>
    </row>
    <row r="720" spans="1:115" x14ac:dyDescent="0.2">
      <c r="A720" s="28" t="s">
        <v>2255</v>
      </c>
      <c r="B720" s="29" t="s">
        <v>1825</v>
      </c>
      <c r="C720" s="29" t="s">
        <v>1826</v>
      </c>
      <c r="D720" s="30" t="s">
        <v>1827</v>
      </c>
      <c r="E720" s="30" t="s">
        <v>2257</v>
      </c>
      <c r="F720" s="30"/>
      <c r="G720" s="31"/>
      <c r="H720" s="30">
        <v>2349697</v>
      </c>
      <c r="I720" s="30" t="str">
        <f>IF(Table1[[#This Row],[Centre Status]]="Returned","NA",IF(Table1[[#This Row],[SD]]&gt;19000,"Full Payment",IF(Table1[[#This Row],[SD]]&lt;1,"No Payment","Partial Payment")))</f>
        <v>Partial Payment</v>
      </c>
      <c r="J720" s="30" t="s">
        <v>58</v>
      </c>
      <c r="K720" s="32">
        <v>110000</v>
      </c>
      <c r="L720" s="33">
        <f>Q720+R720+U720+Table1[[#This Row],[Farmer Payment]]</f>
        <v>59394.097561004892</v>
      </c>
      <c r="M720" s="30"/>
      <c r="N720" s="34"/>
      <c r="O720" s="34"/>
      <c r="P720" s="35">
        <f t="shared" si="72"/>
        <v>50605.902438995108</v>
      </c>
      <c r="Q720" s="33">
        <f>AI720+AV720+CK720+Table1[[#This Row],[FY 25-26]]</f>
        <v>49394.097561004892</v>
      </c>
      <c r="R720" s="36">
        <v>10000</v>
      </c>
      <c r="S720" s="37" t="s">
        <v>1828</v>
      </c>
      <c r="T720" s="38">
        <v>45183</v>
      </c>
      <c r="U720" s="39"/>
      <c r="V720" s="39"/>
      <c r="W720" s="40">
        <v>0</v>
      </c>
      <c r="X720" s="40">
        <v>0</v>
      </c>
      <c r="Y720" s="40">
        <v>0</v>
      </c>
      <c r="Z720" s="40">
        <v>0</v>
      </c>
      <c r="AA720" s="40">
        <v>0</v>
      </c>
      <c r="AB720" s="40">
        <v>0</v>
      </c>
      <c r="AC720" s="40">
        <v>0</v>
      </c>
      <c r="AD720" s="40">
        <v>0</v>
      </c>
      <c r="AE720" s="40">
        <v>0</v>
      </c>
      <c r="AF720" s="40">
        <v>0</v>
      </c>
      <c r="AG720" s="40">
        <v>0</v>
      </c>
      <c r="AH720" s="40">
        <v>0</v>
      </c>
      <c r="AI720" s="41">
        <f t="shared" si="73"/>
        <v>0</v>
      </c>
      <c r="AJ720" s="42">
        <v>0</v>
      </c>
      <c r="AK720" s="42">
        <v>0</v>
      </c>
      <c r="AL720" s="42">
        <v>0</v>
      </c>
      <c r="AM720" s="42">
        <v>0</v>
      </c>
      <c r="AN720" s="42">
        <v>0</v>
      </c>
      <c r="AO720" s="42">
        <v>0</v>
      </c>
      <c r="AP720" s="42">
        <v>0</v>
      </c>
      <c r="AQ720" s="42">
        <v>2533.2416000000003</v>
      </c>
      <c r="AR720" s="42">
        <v>2562.5112000000004</v>
      </c>
      <c r="AS720" s="42">
        <v>3393.9101999999998</v>
      </c>
      <c r="AT720" s="42">
        <v>3149.1352000000002</v>
      </c>
      <c r="AU720" s="42">
        <v>3436.6683999999996</v>
      </c>
      <c r="AV720" s="42">
        <f t="shared" si="74"/>
        <v>15075.4666</v>
      </c>
      <c r="AW720" s="42">
        <v>2547.0609016572203</v>
      </c>
      <c r="AX720" s="42">
        <v>1895.2444408951701</v>
      </c>
      <c r="AY720" s="42">
        <v>1956.5626306738402</v>
      </c>
      <c r="AZ720" s="42">
        <v>2371.4384394150738</v>
      </c>
      <c r="BA720" s="42">
        <v>2304.6648172666678</v>
      </c>
      <c r="BB720" s="42">
        <v>0</v>
      </c>
      <c r="BC720" s="42">
        <v>2965.9067106216303</v>
      </c>
      <c r="BD720" s="42">
        <v>0</v>
      </c>
      <c r="BE720" s="42">
        <v>0</v>
      </c>
      <c r="BF720" s="42">
        <v>0</v>
      </c>
      <c r="BG720" s="42">
        <v>0</v>
      </c>
      <c r="BH720" s="42">
        <v>0</v>
      </c>
      <c r="BI720" s="42">
        <v>1861</v>
      </c>
      <c r="BJ720" s="42">
        <v>0</v>
      </c>
      <c r="BK720" s="42">
        <v>0</v>
      </c>
      <c r="BL720" s="42">
        <v>0</v>
      </c>
      <c r="BM720" s="42">
        <v>0</v>
      </c>
      <c r="BN720" s="42">
        <v>1861</v>
      </c>
      <c r="BO720" s="42">
        <v>0</v>
      </c>
      <c r="BP720" s="42">
        <v>0</v>
      </c>
      <c r="BQ720" s="42">
        <v>0</v>
      </c>
      <c r="BR720" s="42">
        <v>0</v>
      </c>
      <c r="BS720" s="42">
        <v>3056.4853620676963</v>
      </c>
      <c r="BT720" s="42">
        <v>0</v>
      </c>
      <c r="BU720" s="42">
        <v>0</v>
      </c>
      <c r="BV720" s="42">
        <v>0</v>
      </c>
      <c r="BW720" s="42">
        <v>0</v>
      </c>
      <c r="BX720" s="42">
        <v>0</v>
      </c>
      <c r="BY720" s="42">
        <v>2990.2912697122824</v>
      </c>
      <c r="BZ720" s="42">
        <v>0</v>
      </c>
      <c r="CA720" s="42">
        <v>0</v>
      </c>
      <c r="CB720" s="42">
        <v>0</v>
      </c>
      <c r="CC720" s="42">
        <v>0</v>
      </c>
      <c r="CD720" s="42">
        <v>3444.5678112498008</v>
      </c>
      <c r="CE720" s="42">
        <v>0</v>
      </c>
      <c r="CF720" s="42">
        <v>0</v>
      </c>
      <c r="CG720" s="42">
        <v>0</v>
      </c>
      <c r="CH720" s="42">
        <v>0</v>
      </c>
      <c r="CI720" s="42">
        <v>0</v>
      </c>
      <c r="CJ720" s="42">
        <v>3391.7086714122765</v>
      </c>
      <c r="CK720" s="43">
        <f t="shared" si="71"/>
        <v>30645.931054971654</v>
      </c>
      <c r="CL720" s="66"/>
      <c r="CM720" s="66">
        <v>0</v>
      </c>
      <c r="CN720" s="66">
        <v>0</v>
      </c>
      <c r="CO720" s="66">
        <v>0</v>
      </c>
      <c r="CP720" s="66">
        <v>2021.6999060332382</v>
      </c>
      <c r="CQ720" s="66">
        <v>0</v>
      </c>
      <c r="CR720" s="66">
        <v>0</v>
      </c>
      <c r="CS720" s="66">
        <v>0</v>
      </c>
      <c r="CT720" s="66">
        <v>0</v>
      </c>
      <c r="CU720" s="66">
        <v>0</v>
      </c>
      <c r="CV720" s="66">
        <v>1651</v>
      </c>
      <c r="CW720" s="66">
        <v>0</v>
      </c>
      <c r="CX720" s="66">
        <v>0</v>
      </c>
      <c r="CY720" s="66">
        <v>0</v>
      </c>
      <c r="CZ720" s="66">
        <v>0</v>
      </c>
      <c r="DA720" s="66"/>
      <c r="DB720" s="66"/>
      <c r="DC720" s="66"/>
      <c r="DD720" s="66"/>
      <c r="DE720" s="66"/>
      <c r="DF720" s="66"/>
      <c r="DG720" s="66"/>
      <c r="DH720" s="66"/>
      <c r="DI720" s="66"/>
      <c r="DJ720" s="66"/>
      <c r="DK720" s="66">
        <f>SUM(Table1[[#This Row],[01-03 Apr]:[Mar-26]])</f>
        <v>3672.6999060332382</v>
      </c>
    </row>
    <row r="721" spans="1:115" x14ac:dyDescent="0.2">
      <c r="A721" s="28" t="s">
        <v>2255</v>
      </c>
      <c r="B721" s="29" t="s">
        <v>1829</v>
      </c>
      <c r="C721" s="29" t="s">
        <v>1830</v>
      </c>
      <c r="D721" s="30" t="s">
        <v>1831</v>
      </c>
      <c r="E721" s="30" t="s">
        <v>2257</v>
      </c>
      <c r="F721" s="30"/>
      <c r="G721" s="31"/>
      <c r="H721" s="30">
        <v>2349696</v>
      </c>
      <c r="I721" s="30" t="str">
        <f>IF(Table1[[#This Row],[Centre Status]]="Returned","NA",IF(Table1[[#This Row],[SD]]&gt;19000,"Full Payment",IF(Table1[[#This Row],[SD]]&lt;1,"No Payment","Partial Payment")))</f>
        <v>Partial Payment</v>
      </c>
      <c r="J721" s="30" t="s">
        <v>58</v>
      </c>
      <c r="K721" s="32">
        <v>110000</v>
      </c>
      <c r="L721" s="33">
        <f>Q721+R721+U721+Table1[[#This Row],[Farmer Payment]]</f>
        <v>16579</v>
      </c>
      <c r="M721" s="30"/>
      <c r="N721" s="34"/>
      <c r="O721" s="34"/>
      <c r="P721" s="35">
        <f t="shared" si="72"/>
        <v>93421</v>
      </c>
      <c r="Q721" s="33">
        <f>AI721+AV721+CK721+Table1[[#This Row],[FY 25-26]]</f>
        <v>6579</v>
      </c>
      <c r="R721" s="36">
        <v>10000</v>
      </c>
      <c r="S721" s="37" t="s">
        <v>1832</v>
      </c>
      <c r="T721" s="38">
        <v>45184</v>
      </c>
      <c r="U721" s="39"/>
      <c r="V721" s="39"/>
      <c r="W721" s="40">
        <v>0</v>
      </c>
      <c r="X721" s="40">
        <v>0</v>
      </c>
      <c r="Y721" s="40">
        <v>0</v>
      </c>
      <c r="Z721" s="40">
        <v>0</v>
      </c>
      <c r="AA721" s="40">
        <v>0</v>
      </c>
      <c r="AB721" s="40">
        <v>0</v>
      </c>
      <c r="AC721" s="40">
        <v>0</v>
      </c>
      <c r="AD721" s="40">
        <v>0</v>
      </c>
      <c r="AE721" s="40">
        <v>0</v>
      </c>
      <c r="AF721" s="40">
        <v>0</v>
      </c>
      <c r="AG721" s="40">
        <v>0</v>
      </c>
      <c r="AH721" s="40">
        <v>0</v>
      </c>
      <c r="AI721" s="41">
        <f t="shared" si="73"/>
        <v>0</v>
      </c>
      <c r="AJ721" s="42">
        <v>0</v>
      </c>
      <c r="AK721" s="42">
        <v>0</v>
      </c>
      <c r="AL721" s="42">
        <v>0</v>
      </c>
      <c r="AM721" s="42">
        <v>0</v>
      </c>
      <c r="AN721" s="42">
        <v>0</v>
      </c>
      <c r="AO721" s="42">
        <v>0</v>
      </c>
      <c r="AP721" s="42">
        <v>0</v>
      </c>
      <c r="AQ721" s="42">
        <v>1666</v>
      </c>
      <c r="AR721" s="42">
        <v>1861</v>
      </c>
      <c r="AS721" s="42">
        <v>1861</v>
      </c>
      <c r="AT721" s="42">
        <v>1191</v>
      </c>
      <c r="AU721" s="42">
        <v>0</v>
      </c>
      <c r="AV721" s="42">
        <f t="shared" si="74"/>
        <v>6579</v>
      </c>
      <c r="AW721" s="42">
        <v>0</v>
      </c>
      <c r="AX721" s="42">
        <v>0</v>
      </c>
      <c r="AY721" s="42">
        <v>0</v>
      </c>
      <c r="AZ721" s="42">
        <v>0</v>
      </c>
      <c r="BA721" s="42">
        <v>0</v>
      </c>
      <c r="BB721" s="42">
        <v>0</v>
      </c>
      <c r="BC721" s="42">
        <v>0</v>
      </c>
      <c r="BD721" s="42">
        <v>0</v>
      </c>
      <c r="BE721" s="42">
        <v>0</v>
      </c>
      <c r="BF721" s="42">
        <v>0</v>
      </c>
      <c r="BG721" s="42">
        <v>0</v>
      </c>
      <c r="BH721" s="42">
        <v>0</v>
      </c>
      <c r="BI721" s="42">
        <v>0</v>
      </c>
      <c r="BJ721" s="42">
        <v>0</v>
      </c>
      <c r="BK721" s="42">
        <v>0</v>
      </c>
      <c r="BL721" s="42">
        <v>0</v>
      </c>
      <c r="BM721" s="42">
        <v>0</v>
      </c>
      <c r="BN721" s="42">
        <v>0</v>
      </c>
      <c r="BO721" s="42">
        <v>0</v>
      </c>
      <c r="BP721" s="42">
        <v>0</v>
      </c>
      <c r="BQ721" s="42">
        <v>0</v>
      </c>
      <c r="BR721" s="42">
        <v>0</v>
      </c>
      <c r="BS721" s="42">
        <v>0</v>
      </c>
      <c r="BT721" s="42">
        <v>0</v>
      </c>
      <c r="BU721" s="42">
        <v>0</v>
      </c>
      <c r="BV721" s="42">
        <v>0</v>
      </c>
      <c r="BW721" s="42">
        <v>0</v>
      </c>
      <c r="BX721" s="42">
        <v>0</v>
      </c>
      <c r="BY721" s="42">
        <v>0</v>
      </c>
      <c r="BZ721" s="42">
        <v>0</v>
      </c>
      <c r="CA721" s="42">
        <v>0</v>
      </c>
      <c r="CB721" s="42">
        <v>0</v>
      </c>
      <c r="CC721" s="42">
        <v>0</v>
      </c>
      <c r="CD721" s="42">
        <v>0</v>
      </c>
      <c r="CE721" s="42">
        <v>0</v>
      </c>
      <c r="CF721" s="42">
        <v>0</v>
      </c>
      <c r="CG721" s="42">
        <v>0</v>
      </c>
      <c r="CH721" s="42">
        <v>0</v>
      </c>
      <c r="CI721" s="42">
        <v>0</v>
      </c>
      <c r="CJ721" s="42">
        <v>0</v>
      </c>
      <c r="CK721" s="43">
        <f t="shared" si="71"/>
        <v>0</v>
      </c>
      <c r="CL721" s="66"/>
      <c r="CM721" s="66">
        <v>0</v>
      </c>
      <c r="CN721" s="66">
        <v>0</v>
      </c>
      <c r="CO721" s="66">
        <v>0</v>
      </c>
      <c r="CP721" s="66">
        <v>0</v>
      </c>
      <c r="CQ721" s="66">
        <v>0</v>
      </c>
      <c r="CR721" s="66">
        <v>0</v>
      </c>
      <c r="CS721" s="66">
        <v>0</v>
      </c>
      <c r="CT721" s="66">
        <v>0</v>
      </c>
      <c r="CU721" s="66">
        <v>0</v>
      </c>
      <c r="CV721" s="66">
        <v>0</v>
      </c>
      <c r="CW721" s="66">
        <v>0</v>
      </c>
      <c r="CX721" s="66">
        <v>0</v>
      </c>
      <c r="CY721" s="66">
        <v>0</v>
      </c>
      <c r="CZ721" s="66">
        <v>0</v>
      </c>
      <c r="DA721" s="66"/>
      <c r="DB721" s="66"/>
      <c r="DC721" s="66"/>
      <c r="DD721" s="66"/>
      <c r="DE721" s="66"/>
      <c r="DF721" s="66"/>
      <c r="DG721" s="66"/>
      <c r="DH721" s="66"/>
      <c r="DI721" s="66"/>
      <c r="DJ721" s="66"/>
      <c r="DK721" s="66">
        <f>SUM(Table1[[#This Row],[01-03 Apr]:[Mar-26]])</f>
        <v>0</v>
      </c>
    </row>
    <row r="722" spans="1:115" hidden="1" x14ac:dyDescent="0.2">
      <c r="A722" s="28" t="s">
        <v>2255</v>
      </c>
      <c r="B722" s="29" t="s">
        <v>1836</v>
      </c>
      <c r="C722" s="29" t="s">
        <v>1837</v>
      </c>
      <c r="D722" s="30" t="s">
        <v>1838</v>
      </c>
      <c r="E722" s="30" t="s">
        <v>2257</v>
      </c>
      <c r="F722" s="30"/>
      <c r="G722" s="31"/>
      <c r="H722" s="30">
        <v>2351725</v>
      </c>
      <c r="I722" s="30" t="str">
        <f>IF(Table1[[#This Row],[Centre Status]]="Returned","NA",IF(Table1[[#This Row],[SD]]&gt;19000,"Full Payment",IF(Table1[[#This Row],[SD]]&lt;1,"No Payment","Partial Payment")))</f>
        <v>NA</v>
      </c>
      <c r="J722" s="30" t="s">
        <v>1903</v>
      </c>
      <c r="K722" s="32">
        <v>110000</v>
      </c>
      <c r="L722" s="33">
        <f>Q722+R722+U722+Table1[[#This Row],[Farmer Payment]]</f>
        <v>46300.411235412874</v>
      </c>
      <c r="M722" s="30"/>
      <c r="N722" s="34"/>
      <c r="O722" s="34"/>
      <c r="P722" s="35">
        <f t="shared" si="72"/>
        <v>63699.588764587126</v>
      </c>
      <c r="Q722" s="33">
        <f>AI722+AV722+CK722+Table1[[#This Row],[FY 25-26]]</f>
        <v>26300.411235412874</v>
      </c>
      <c r="R722" s="36">
        <v>20000</v>
      </c>
      <c r="S722" s="37" t="s">
        <v>1839</v>
      </c>
      <c r="T722" s="38">
        <v>45182</v>
      </c>
      <c r="U722" s="39"/>
      <c r="V722" s="39"/>
      <c r="W722" s="40">
        <v>0</v>
      </c>
      <c r="X722" s="40">
        <v>0</v>
      </c>
      <c r="Y722" s="40">
        <v>0</v>
      </c>
      <c r="Z722" s="40">
        <v>0</v>
      </c>
      <c r="AA722" s="40">
        <v>0</v>
      </c>
      <c r="AB722" s="40">
        <v>0</v>
      </c>
      <c r="AC722" s="40">
        <v>0</v>
      </c>
      <c r="AD722" s="40">
        <v>0</v>
      </c>
      <c r="AE722" s="40">
        <v>0</v>
      </c>
      <c r="AF722" s="40">
        <v>0</v>
      </c>
      <c r="AG722" s="40">
        <v>0</v>
      </c>
      <c r="AH722" s="40">
        <v>0</v>
      </c>
      <c r="AI722" s="41">
        <f t="shared" si="73"/>
        <v>0</v>
      </c>
      <c r="AJ722" s="42">
        <v>0</v>
      </c>
      <c r="AK722" s="42">
        <v>0</v>
      </c>
      <c r="AL722" s="42">
        <v>0</v>
      </c>
      <c r="AM722" s="42">
        <v>0</v>
      </c>
      <c r="AN722" s="42">
        <v>0</v>
      </c>
      <c r="AO722" s="42">
        <v>0</v>
      </c>
      <c r="AP722" s="42">
        <v>0</v>
      </c>
      <c r="AQ722" s="42">
        <v>421</v>
      </c>
      <c r="AR722" s="42">
        <v>894</v>
      </c>
      <c r="AS722" s="42">
        <v>1861</v>
      </c>
      <c r="AT722" s="42">
        <v>2495.7058000000002</v>
      </c>
      <c r="AU722" s="42">
        <v>3304.5798</v>
      </c>
      <c r="AV722" s="42">
        <f t="shared" si="74"/>
        <v>8976.2855999999992</v>
      </c>
      <c r="AW722" s="42">
        <v>2578.8493823162262</v>
      </c>
      <c r="AX722" s="42">
        <v>1893.2762530966481</v>
      </c>
      <c r="AY722" s="42">
        <v>1861</v>
      </c>
      <c r="AZ722" s="42">
        <v>1861</v>
      </c>
      <c r="BA722" s="42">
        <v>1164</v>
      </c>
      <c r="BB722" s="42">
        <v>500</v>
      </c>
      <c r="BC722" s="42">
        <v>861</v>
      </c>
      <c r="BD722" s="42">
        <v>500</v>
      </c>
      <c r="BE722" s="42">
        <v>0</v>
      </c>
      <c r="BF722" s="42">
        <v>0</v>
      </c>
      <c r="BG722" s="42">
        <v>0</v>
      </c>
      <c r="BH722" s="42">
        <v>0</v>
      </c>
      <c r="BI722" s="42">
        <v>1605</v>
      </c>
      <c r="BJ722" s="42">
        <v>0</v>
      </c>
      <c r="BK722" s="42">
        <v>0</v>
      </c>
      <c r="BL722" s="42">
        <v>500</v>
      </c>
      <c r="BM722" s="42">
        <v>500</v>
      </c>
      <c r="BN722" s="42">
        <v>0</v>
      </c>
      <c r="BO722" s="42">
        <v>500</v>
      </c>
      <c r="BP722" s="42">
        <v>500</v>
      </c>
      <c r="BQ722" s="42">
        <v>500</v>
      </c>
      <c r="BR722" s="42">
        <v>500</v>
      </c>
      <c r="BS722" s="42">
        <v>0</v>
      </c>
      <c r="BT722" s="42">
        <v>0</v>
      </c>
      <c r="BU722" s="42">
        <v>0</v>
      </c>
      <c r="BV722" s="42">
        <v>500</v>
      </c>
      <c r="BW722" s="42">
        <v>500</v>
      </c>
      <c r="BX722" s="42">
        <v>500</v>
      </c>
      <c r="BY722" s="42">
        <v>0</v>
      </c>
      <c r="BZ722" s="42">
        <v>0</v>
      </c>
      <c r="CA722" s="42">
        <v>0</v>
      </c>
      <c r="CB722" s="42">
        <v>0</v>
      </c>
      <c r="CC722" s="42">
        <v>0</v>
      </c>
      <c r="CD722" s="42">
        <v>0</v>
      </c>
      <c r="CE722" s="42">
        <v>0</v>
      </c>
      <c r="CF722" s="42">
        <v>0</v>
      </c>
      <c r="CG722" s="42">
        <v>0</v>
      </c>
      <c r="CH722" s="42">
        <v>0</v>
      </c>
      <c r="CI722" s="42">
        <v>0</v>
      </c>
      <c r="CJ722" s="42">
        <v>0</v>
      </c>
      <c r="CK722" s="43">
        <f t="shared" si="71"/>
        <v>17324.125635412875</v>
      </c>
      <c r="CL722" s="66"/>
      <c r="CM722" s="66">
        <v>0</v>
      </c>
      <c r="CN722" s="66">
        <v>0</v>
      </c>
      <c r="CO722" s="66">
        <v>0</v>
      </c>
      <c r="CP722" s="66">
        <v>0</v>
      </c>
      <c r="CQ722" s="66">
        <v>0</v>
      </c>
      <c r="CR722" s="66">
        <v>0</v>
      </c>
      <c r="CS722" s="66">
        <v>0</v>
      </c>
      <c r="CT722" s="66">
        <v>0</v>
      </c>
      <c r="CU722" s="66">
        <v>0</v>
      </c>
      <c r="CV722" s="66">
        <v>0</v>
      </c>
      <c r="CW722" s="66">
        <v>0</v>
      </c>
      <c r="CX722" s="66">
        <v>0</v>
      </c>
      <c r="CY722" s="66">
        <v>0</v>
      </c>
      <c r="CZ722" s="66">
        <v>0</v>
      </c>
      <c r="DA722" s="66"/>
      <c r="DB722" s="66"/>
      <c r="DC722" s="66"/>
      <c r="DD722" s="66"/>
      <c r="DE722" s="66"/>
      <c r="DF722" s="66"/>
      <c r="DG722" s="66"/>
      <c r="DH722" s="66"/>
      <c r="DI722" s="66"/>
      <c r="DJ722" s="66"/>
      <c r="DK722" s="66">
        <f>SUM(Table1[[#This Row],[01-03 Apr]:[Mar-26]])</f>
        <v>0</v>
      </c>
    </row>
    <row r="723" spans="1:115" hidden="1" x14ac:dyDescent="0.2">
      <c r="A723" s="28" t="s">
        <v>2255</v>
      </c>
      <c r="B723" s="29" t="s">
        <v>1840</v>
      </c>
      <c r="C723" s="29" t="s">
        <v>2633</v>
      </c>
      <c r="D723" s="30" t="s">
        <v>1841</v>
      </c>
      <c r="E723" s="30" t="s">
        <v>2257</v>
      </c>
      <c r="F723" s="30"/>
      <c r="G723" s="31"/>
      <c r="H723" s="30">
        <v>2351732</v>
      </c>
      <c r="I723" s="30" t="str">
        <f>IF(Table1[[#This Row],[Centre Status]]="Returned","NA",IF(Table1[[#This Row],[SD]]&gt;19000,"Full Payment",IF(Table1[[#This Row],[SD]]&lt;1,"No Payment","Partial Payment")))</f>
        <v>Full Payment</v>
      </c>
      <c r="J723" s="30" t="s">
        <v>58</v>
      </c>
      <c r="K723" s="32">
        <v>110000</v>
      </c>
      <c r="L723" s="33">
        <f>Q723+R723+U723+Table1[[#This Row],[Farmer Payment]]</f>
        <v>56593.569389991317</v>
      </c>
      <c r="M723" s="30"/>
      <c r="N723" s="34"/>
      <c r="O723" s="34"/>
      <c r="P723" s="35">
        <f t="shared" si="72"/>
        <v>53406.430610008683</v>
      </c>
      <c r="Q723" s="33">
        <f>AI723+AV723+CK723+Table1[[#This Row],[FY 25-26]]</f>
        <v>36593.569389991317</v>
      </c>
      <c r="R723" s="36">
        <v>20000</v>
      </c>
      <c r="S723" s="37" t="s">
        <v>1842</v>
      </c>
      <c r="T723" s="38">
        <v>45185</v>
      </c>
      <c r="U723" s="39"/>
      <c r="V723" s="39"/>
      <c r="W723" s="40">
        <v>0</v>
      </c>
      <c r="X723" s="40">
        <v>0</v>
      </c>
      <c r="Y723" s="40">
        <v>0</v>
      </c>
      <c r="Z723" s="40">
        <v>0</v>
      </c>
      <c r="AA723" s="40">
        <v>0</v>
      </c>
      <c r="AB723" s="40">
        <v>0</v>
      </c>
      <c r="AC723" s="40">
        <v>0</v>
      </c>
      <c r="AD723" s="40">
        <v>0</v>
      </c>
      <c r="AE723" s="40">
        <v>0</v>
      </c>
      <c r="AF723" s="40">
        <v>0</v>
      </c>
      <c r="AG723" s="40">
        <v>0</v>
      </c>
      <c r="AH723" s="40">
        <v>0</v>
      </c>
      <c r="AI723" s="41">
        <f t="shared" si="73"/>
        <v>0</v>
      </c>
      <c r="AJ723" s="42">
        <v>0</v>
      </c>
      <c r="AK723" s="42">
        <v>0</v>
      </c>
      <c r="AL723" s="42">
        <v>0</v>
      </c>
      <c r="AM723" s="42">
        <v>0</v>
      </c>
      <c r="AN723" s="42">
        <v>0</v>
      </c>
      <c r="AO723" s="42">
        <v>0</v>
      </c>
      <c r="AP723" s="42">
        <v>0</v>
      </c>
      <c r="AQ723" s="42">
        <v>304</v>
      </c>
      <c r="AR723" s="42">
        <v>0</v>
      </c>
      <c r="AS723" s="42">
        <v>1861</v>
      </c>
      <c r="AT723" s="42">
        <v>1983.461</v>
      </c>
      <c r="AU723" s="42">
        <v>431</v>
      </c>
      <c r="AV723" s="42">
        <f t="shared" si="74"/>
        <v>4579.4610000000002</v>
      </c>
      <c r="AW723" s="42">
        <v>1052</v>
      </c>
      <c r="AX723" s="42">
        <v>0</v>
      </c>
      <c r="AY723" s="42">
        <v>0</v>
      </c>
      <c r="AZ723" s="42">
        <v>0</v>
      </c>
      <c r="BA723" s="42">
        <v>0</v>
      </c>
      <c r="BB723" s="42">
        <v>0</v>
      </c>
      <c r="BC723" s="42">
        <v>7862.227006725152</v>
      </c>
      <c r="BD723" s="42">
        <v>0</v>
      </c>
      <c r="BE723" s="42">
        <v>0</v>
      </c>
      <c r="BF723" s="42">
        <v>0</v>
      </c>
      <c r="BG723" s="42">
        <v>0</v>
      </c>
      <c r="BH723" s="42">
        <v>0</v>
      </c>
      <c r="BI723" s="42">
        <v>4904.6160705498087</v>
      </c>
      <c r="BJ723" s="42">
        <v>0</v>
      </c>
      <c r="BK723" s="42">
        <v>0</v>
      </c>
      <c r="BL723" s="42">
        <v>0</v>
      </c>
      <c r="BM723" s="42">
        <v>0</v>
      </c>
      <c r="BN723" s="42">
        <v>1861</v>
      </c>
      <c r="BO723" s="42">
        <v>0</v>
      </c>
      <c r="BP723" s="42">
        <v>0</v>
      </c>
      <c r="BQ723" s="42">
        <v>0</v>
      </c>
      <c r="BR723" s="42">
        <v>0</v>
      </c>
      <c r="BS723" s="42">
        <v>1974.3020495906978</v>
      </c>
      <c r="BT723" s="42">
        <v>0</v>
      </c>
      <c r="BU723" s="42">
        <v>0</v>
      </c>
      <c r="BV723" s="42">
        <v>0</v>
      </c>
      <c r="BW723" s="42">
        <v>0</v>
      </c>
      <c r="BX723" s="42">
        <v>0</v>
      </c>
      <c r="BY723" s="42">
        <v>3269.835266452546</v>
      </c>
      <c r="BZ723" s="42">
        <v>0</v>
      </c>
      <c r="CA723" s="42">
        <v>0</v>
      </c>
      <c r="CB723" s="42">
        <v>0</v>
      </c>
      <c r="CC723" s="42">
        <v>0</v>
      </c>
      <c r="CD723" s="42">
        <v>3912.4832262223886</v>
      </c>
      <c r="CE723" s="42">
        <v>0</v>
      </c>
      <c r="CF723" s="42">
        <v>0</v>
      </c>
      <c r="CG723" s="42">
        <v>0</v>
      </c>
      <c r="CH723" s="42">
        <v>0</v>
      </c>
      <c r="CI723" s="42">
        <v>0</v>
      </c>
      <c r="CJ723" s="42">
        <v>4645.182658035088</v>
      </c>
      <c r="CK723" s="43">
        <f t="shared" si="71"/>
        <v>29481.646277575681</v>
      </c>
      <c r="CL723" s="66"/>
      <c r="CM723" s="66">
        <v>0</v>
      </c>
      <c r="CN723" s="66">
        <v>0</v>
      </c>
      <c r="CO723" s="66">
        <v>0</v>
      </c>
      <c r="CP723" s="66">
        <v>2093.462112415632</v>
      </c>
      <c r="CQ723" s="66">
        <v>0</v>
      </c>
      <c r="CR723" s="66">
        <v>0</v>
      </c>
      <c r="CS723" s="66">
        <v>0</v>
      </c>
      <c r="CT723" s="66">
        <v>0</v>
      </c>
      <c r="CU723" s="66">
        <v>0</v>
      </c>
      <c r="CV723" s="66">
        <v>439</v>
      </c>
      <c r="CW723" s="66">
        <v>0</v>
      </c>
      <c r="CX723" s="66">
        <v>0</v>
      </c>
      <c r="CY723" s="66">
        <v>0</v>
      </c>
      <c r="CZ723" s="66">
        <v>0</v>
      </c>
      <c r="DA723" s="66"/>
      <c r="DB723" s="66"/>
      <c r="DC723" s="66"/>
      <c r="DD723" s="66"/>
      <c r="DE723" s="66"/>
      <c r="DF723" s="66"/>
      <c r="DG723" s="66"/>
      <c r="DH723" s="66"/>
      <c r="DI723" s="66"/>
      <c r="DJ723" s="66"/>
      <c r="DK723" s="66">
        <f>SUM(Table1[[#This Row],[01-03 Apr]:[Mar-26]])</f>
        <v>2532.462112415632</v>
      </c>
    </row>
    <row r="724" spans="1:115" x14ac:dyDescent="0.2">
      <c r="A724" s="28" t="s">
        <v>2367</v>
      </c>
      <c r="B724" s="29" t="s">
        <v>1850</v>
      </c>
      <c r="C724" s="29" t="s">
        <v>1851</v>
      </c>
      <c r="D724" s="30" t="s">
        <v>1852</v>
      </c>
      <c r="E724" s="30" t="s">
        <v>906</v>
      </c>
      <c r="F724" s="30"/>
      <c r="G724" s="31"/>
      <c r="H724" s="30">
        <v>2351795</v>
      </c>
      <c r="I724" s="30" t="str">
        <f>IF(Table1[[#This Row],[Centre Status]]="Returned","NA",IF(Table1[[#This Row],[SD]]&gt;19000,"Full Payment",IF(Table1[[#This Row],[SD]]&lt;1,"No Payment","Partial Payment")))</f>
        <v>Partial Payment</v>
      </c>
      <c r="J724" s="30" t="s">
        <v>58</v>
      </c>
      <c r="K724" s="32">
        <v>110000</v>
      </c>
      <c r="L724" s="33">
        <f>Q724+R724+U724+Table1[[#This Row],[Farmer Payment]]</f>
        <v>31647.258166456319</v>
      </c>
      <c r="M724" s="30"/>
      <c r="N724" s="34"/>
      <c r="O724" s="34"/>
      <c r="P724" s="35">
        <f t="shared" si="72"/>
        <v>78352.741833543681</v>
      </c>
      <c r="Q724" s="33">
        <f>AI724+AV724+CK724+Table1[[#This Row],[FY 25-26]]</f>
        <v>21647.258166456319</v>
      </c>
      <c r="R724" s="36">
        <v>10000</v>
      </c>
      <c r="S724" s="37" t="s">
        <v>1853</v>
      </c>
      <c r="T724" s="38">
        <v>45213</v>
      </c>
      <c r="U724" s="39"/>
      <c r="V724" s="39"/>
      <c r="W724" s="40">
        <v>0</v>
      </c>
      <c r="X724" s="40">
        <v>0</v>
      </c>
      <c r="Y724" s="40">
        <v>0</v>
      </c>
      <c r="Z724" s="40">
        <v>0</v>
      </c>
      <c r="AA724" s="40">
        <v>0</v>
      </c>
      <c r="AB724" s="40">
        <v>0</v>
      </c>
      <c r="AC724" s="40">
        <v>0</v>
      </c>
      <c r="AD724" s="40">
        <v>0</v>
      </c>
      <c r="AE724" s="40">
        <v>0</v>
      </c>
      <c r="AF724" s="40">
        <v>0</v>
      </c>
      <c r="AG724" s="40">
        <v>0</v>
      </c>
      <c r="AH724" s="40">
        <v>0</v>
      </c>
      <c r="AI724" s="41">
        <f t="shared" si="73"/>
        <v>0</v>
      </c>
      <c r="AJ724" s="42">
        <v>0</v>
      </c>
      <c r="AK724" s="42">
        <v>0</v>
      </c>
      <c r="AL724" s="42">
        <v>0</v>
      </c>
      <c r="AM724" s="42">
        <v>0</v>
      </c>
      <c r="AN724" s="42">
        <v>0</v>
      </c>
      <c r="AO724" s="42">
        <v>0</v>
      </c>
      <c r="AP724" s="42">
        <v>0</v>
      </c>
      <c r="AQ724" s="42">
        <v>147</v>
      </c>
      <c r="AR724" s="42">
        <v>1861</v>
      </c>
      <c r="AS724" s="42">
        <v>1861</v>
      </c>
      <c r="AT724" s="42">
        <v>1861</v>
      </c>
      <c r="AU724" s="42">
        <v>2598.8519999999999</v>
      </c>
      <c r="AV724" s="42">
        <f t="shared" si="74"/>
        <v>8328.851999999999</v>
      </c>
      <c r="AW724" s="42">
        <v>1952.1026814412801</v>
      </c>
      <c r="AX724" s="42">
        <v>2047.0179665548803</v>
      </c>
      <c r="AY724" s="42">
        <v>2714.3439091622399</v>
      </c>
      <c r="AZ724" s="42">
        <v>2882.9416092979204</v>
      </c>
      <c r="BA724" s="42">
        <v>1861</v>
      </c>
      <c r="BB724" s="42">
        <v>0</v>
      </c>
      <c r="BC724" s="42">
        <v>1861</v>
      </c>
      <c r="BD724" s="42">
        <v>0</v>
      </c>
      <c r="BE724" s="42">
        <v>0</v>
      </c>
      <c r="BF724" s="42">
        <v>0</v>
      </c>
      <c r="BG724" s="42">
        <v>0</v>
      </c>
      <c r="BH724" s="42">
        <v>0</v>
      </c>
      <c r="BI724" s="42">
        <v>0</v>
      </c>
      <c r="BJ724" s="42">
        <v>0</v>
      </c>
      <c r="BK724" s="42">
        <v>0</v>
      </c>
      <c r="BL724" s="42">
        <v>0</v>
      </c>
      <c r="BM724" s="42">
        <v>0</v>
      </c>
      <c r="BN724" s="42">
        <v>0</v>
      </c>
      <c r="BO724" s="42">
        <v>0</v>
      </c>
      <c r="BP724" s="42">
        <v>0</v>
      </c>
      <c r="BQ724" s="42">
        <v>0</v>
      </c>
      <c r="BR724" s="42">
        <v>0</v>
      </c>
      <c r="BS724" s="42">
        <v>0</v>
      </c>
      <c r="BT724" s="42">
        <v>0</v>
      </c>
      <c r="BU724" s="42">
        <v>0</v>
      </c>
      <c r="BV724" s="42">
        <v>0</v>
      </c>
      <c r="BW724" s="42">
        <v>0</v>
      </c>
      <c r="BX724" s="42">
        <v>0</v>
      </c>
      <c r="BY724" s="42">
        <v>0</v>
      </c>
      <c r="BZ724" s="42">
        <v>0</v>
      </c>
      <c r="CA724" s="42">
        <v>0</v>
      </c>
      <c r="CB724" s="42">
        <v>0</v>
      </c>
      <c r="CC724" s="42">
        <v>0</v>
      </c>
      <c r="CD724" s="42">
        <v>0</v>
      </c>
      <c r="CE724" s="42">
        <v>0</v>
      </c>
      <c r="CF724" s="42">
        <v>0</v>
      </c>
      <c r="CG724" s="42">
        <v>0</v>
      </c>
      <c r="CH724" s="42">
        <v>0</v>
      </c>
      <c r="CI724" s="42">
        <v>0</v>
      </c>
      <c r="CJ724" s="42">
        <v>0</v>
      </c>
      <c r="CK724" s="43">
        <f t="shared" si="71"/>
        <v>13318.406166456321</v>
      </c>
      <c r="CL724" s="66"/>
      <c r="CM724" s="66">
        <v>0</v>
      </c>
      <c r="CN724" s="66">
        <v>0</v>
      </c>
      <c r="CO724" s="66">
        <v>0</v>
      </c>
      <c r="CP724" s="66">
        <v>0</v>
      </c>
      <c r="CQ724" s="66">
        <v>0</v>
      </c>
      <c r="CR724" s="66">
        <v>0</v>
      </c>
      <c r="CS724" s="66">
        <v>0</v>
      </c>
      <c r="CT724" s="66">
        <v>0</v>
      </c>
      <c r="CU724" s="66">
        <v>0</v>
      </c>
      <c r="CV724" s="66">
        <v>0</v>
      </c>
      <c r="CW724" s="66">
        <v>0</v>
      </c>
      <c r="CX724" s="66">
        <v>0</v>
      </c>
      <c r="CY724" s="66">
        <v>0</v>
      </c>
      <c r="CZ724" s="66">
        <v>0</v>
      </c>
      <c r="DA724" s="66"/>
      <c r="DB724" s="66"/>
      <c r="DC724" s="66"/>
      <c r="DD724" s="66"/>
      <c r="DE724" s="66"/>
      <c r="DF724" s="66"/>
      <c r="DG724" s="66"/>
      <c r="DH724" s="66"/>
      <c r="DI724" s="66"/>
      <c r="DJ724" s="66"/>
      <c r="DK724" s="66">
        <f>SUM(Table1[[#This Row],[01-03 Apr]:[Mar-26]])</f>
        <v>0</v>
      </c>
    </row>
    <row r="725" spans="1:115" x14ac:dyDescent="0.2">
      <c r="A725" s="28" t="s">
        <v>2255</v>
      </c>
      <c r="B725" s="29" t="s">
        <v>1867</v>
      </c>
      <c r="C725" s="29" t="s">
        <v>1868</v>
      </c>
      <c r="D725" s="30" t="s">
        <v>1869</v>
      </c>
      <c r="E725" s="30" t="s">
        <v>217</v>
      </c>
      <c r="F725" s="30"/>
      <c r="G725" s="31"/>
      <c r="H725" s="30">
        <v>2345659</v>
      </c>
      <c r="I725" s="30" t="str">
        <f>IF(Table1[[#This Row],[Centre Status]]="Returned","NA",IF(Table1[[#This Row],[SD]]&gt;19000,"Full Payment",IF(Table1[[#This Row],[SD]]&lt;1,"No Payment","Partial Payment")))</f>
        <v>Partial Payment</v>
      </c>
      <c r="J725" s="30" t="s">
        <v>58</v>
      </c>
      <c r="K725" s="32">
        <v>110000</v>
      </c>
      <c r="L725" s="33">
        <f>Q725+R725+U725+Table1[[#This Row],[Farmer Payment]]</f>
        <v>28550.611400000002</v>
      </c>
      <c r="M725" s="30"/>
      <c r="N725" s="34"/>
      <c r="O725" s="34"/>
      <c r="P725" s="35">
        <f t="shared" si="72"/>
        <v>81449.388600000006</v>
      </c>
      <c r="Q725" s="33">
        <f>AI725+AV725+CK725+Table1[[#This Row],[FY 25-26]]</f>
        <v>18550.611400000002</v>
      </c>
      <c r="R725" s="36">
        <v>10000</v>
      </c>
      <c r="S725" s="37" t="s">
        <v>3565</v>
      </c>
      <c r="T725" s="38">
        <v>45287</v>
      </c>
      <c r="U725" s="39"/>
      <c r="V725" s="39"/>
      <c r="W725" s="40">
        <v>0</v>
      </c>
      <c r="X725" s="40">
        <v>0</v>
      </c>
      <c r="Y725" s="40">
        <v>0</v>
      </c>
      <c r="Z725" s="40">
        <v>0</v>
      </c>
      <c r="AA725" s="40">
        <v>0</v>
      </c>
      <c r="AB725" s="40">
        <v>0</v>
      </c>
      <c r="AC725" s="40">
        <v>0</v>
      </c>
      <c r="AD725" s="40">
        <v>0</v>
      </c>
      <c r="AE725" s="40">
        <v>0</v>
      </c>
      <c r="AF725" s="40">
        <v>0</v>
      </c>
      <c r="AG725" s="40">
        <v>0</v>
      </c>
      <c r="AH725" s="40">
        <v>0</v>
      </c>
      <c r="AI725" s="41">
        <f t="shared" si="73"/>
        <v>0</v>
      </c>
      <c r="AJ725" s="42">
        <v>0</v>
      </c>
      <c r="AK725" s="42">
        <v>0</v>
      </c>
      <c r="AL725" s="42">
        <v>0</v>
      </c>
      <c r="AM725" s="42">
        <v>0</v>
      </c>
      <c r="AN725" s="42">
        <v>0</v>
      </c>
      <c r="AO725" s="42">
        <v>0</v>
      </c>
      <c r="AP725" s="42">
        <v>0</v>
      </c>
      <c r="AQ725" s="42">
        <v>0</v>
      </c>
      <c r="AR725" s="42">
        <v>0</v>
      </c>
      <c r="AS725" s="42">
        <v>1861</v>
      </c>
      <c r="AT725" s="42">
        <v>2897.5304000000006</v>
      </c>
      <c r="AU725" s="42">
        <v>2085.0809999999997</v>
      </c>
      <c r="AV725" s="42">
        <f t="shared" si="74"/>
        <v>6843.6113999999998</v>
      </c>
      <c r="AW725" s="42">
        <v>274</v>
      </c>
      <c r="AX725" s="42">
        <v>878</v>
      </c>
      <c r="AY725" s="42">
        <v>55</v>
      </c>
      <c r="AZ725" s="42">
        <v>0</v>
      </c>
      <c r="BA725" s="42">
        <v>0</v>
      </c>
      <c r="BB725" s="42">
        <v>500</v>
      </c>
      <c r="BC725" s="42">
        <v>0</v>
      </c>
      <c r="BD725" s="42">
        <v>500</v>
      </c>
      <c r="BE725" s="42">
        <v>500</v>
      </c>
      <c r="BF725" s="42">
        <v>500</v>
      </c>
      <c r="BG725" s="42">
        <v>500</v>
      </c>
      <c r="BH725" s="42">
        <v>500</v>
      </c>
      <c r="BI725" s="42">
        <v>0</v>
      </c>
      <c r="BJ725" s="42">
        <v>0</v>
      </c>
      <c r="BK725" s="42">
        <v>500</v>
      </c>
      <c r="BL725" s="42">
        <v>500</v>
      </c>
      <c r="BM725" s="42">
        <v>500</v>
      </c>
      <c r="BN725" s="42">
        <v>0</v>
      </c>
      <c r="BO725" s="42">
        <v>500</v>
      </c>
      <c r="BP725" s="42">
        <v>0</v>
      </c>
      <c r="BQ725" s="42">
        <v>500</v>
      </c>
      <c r="BR725" s="42">
        <v>500</v>
      </c>
      <c r="BS725" s="42">
        <v>0</v>
      </c>
      <c r="BT725" s="42">
        <v>500</v>
      </c>
      <c r="BU725" s="42">
        <v>500</v>
      </c>
      <c r="BV725" s="42">
        <v>500</v>
      </c>
      <c r="BW725" s="42">
        <v>500</v>
      </c>
      <c r="BX725" s="42">
        <v>500</v>
      </c>
      <c r="BY725" s="42">
        <v>0</v>
      </c>
      <c r="BZ725" s="42">
        <v>500</v>
      </c>
      <c r="CA725" s="42">
        <v>500</v>
      </c>
      <c r="CB725" s="42">
        <v>500</v>
      </c>
      <c r="CC725" s="42">
        <v>500</v>
      </c>
      <c r="CD725" s="42">
        <v>0</v>
      </c>
      <c r="CE725" s="42">
        <v>0</v>
      </c>
      <c r="CF725" s="42">
        <v>0</v>
      </c>
      <c r="CG725" s="42">
        <v>0</v>
      </c>
      <c r="CH725" s="42">
        <v>0</v>
      </c>
      <c r="CI725" s="42">
        <v>0</v>
      </c>
      <c r="CJ725" s="42">
        <v>0</v>
      </c>
      <c r="CK725" s="43">
        <f t="shared" si="71"/>
        <v>11707</v>
      </c>
      <c r="CL725" s="66"/>
      <c r="CM725" s="66">
        <v>0</v>
      </c>
      <c r="CN725" s="66">
        <v>0</v>
      </c>
      <c r="CO725" s="66">
        <v>0</v>
      </c>
      <c r="CP725" s="66">
        <v>0</v>
      </c>
      <c r="CQ725" s="66">
        <v>0</v>
      </c>
      <c r="CR725" s="66">
        <v>0</v>
      </c>
      <c r="CS725" s="66">
        <v>0</v>
      </c>
      <c r="CT725" s="66">
        <v>0</v>
      </c>
      <c r="CU725" s="66">
        <v>0</v>
      </c>
      <c r="CV725" s="66">
        <v>0</v>
      </c>
      <c r="CW725" s="66">
        <v>0</v>
      </c>
      <c r="CX725" s="66">
        <v>0</v>
      </c>
      <c r="CY725" s="66">
        <v>0</v>
      </c>
      <c r="CZ725" s="66">
        <v>0</v>
      </c>
      <c r="DA725" s="66"/>
      <c r="DB725" s="66"/>
      <c r="DC725" s="66"/>
      <c r="DD725" s="66"/>
      <c r="DE725" s="66"/>
      <c r="DF725" s="66"/>
      <c r="DG725" s="66"/>
      <c r="DH725" s="66"/>
      <c r="DI725" s="66"/>
      <c r="DJ725" s="66"/>
      <c r="DK725" s="66">
        <f>SUM(Table1[[#This Row],[01-03 Apr]:[Mar-26]])</f>
        <v>0</v>
      </c>
    </row>
    <row r="726" spans="1:115" hidden="1" x14ac:dyDescent="0.2">
      <c r="A726" s="28" t="s">
        <v>2255</v>
      </c>
      <c r="B726" s="29" t="s">
        <v>1870</v>
      </c>
      <c r="C726" s="29" t="s">
        <v>1871</v>
      </c>
      <c r="D726" s="30" t="s">
        <v>1872</v>
      </c>
      <c r="E726" s="30" t="s">
        <v>217</v>
      </c>
      <c r="F726" s="30"/>
      <c r="G726" s="31"/>
      <c r="H726" s="30">
        <v>2345653</v>
      </c>
      <c r="I726" s="30" t="str">
        <f>IF(Table1[[#This Row],[Centre Status]]="Returned","NA",IF(Table1[[#This Row],[SD]]&gt;19000,"Full Payment",IF(Table1[[#This Row],[SD]]&lt;1,"No Payment","Partial Payment")))</f>
        <v>Full Payment</v>
      </c>
      <c r="J726" s="30" t="s">
        <v>58</v>
      </c>
      <c r="K726" s="32">
        <v>110000</v>
      </c>
      <c r="L726" s="33">
        <f>Q726+R726+U726+Table1[[#This Row],[Farmer Payment]]</f>
        <v>88731.535836329102</v>
      </c>
      <c r="M726" s="30"/>
      <c r="N726" s="34"/>
      <c r="O726" s="34"/>
      <c r="P726" s="35">
        <f t="shared" si="72"/>
        <v>21268.464163670898</v>
      </c>
      <c r="Q726" s="33">
        <f>AI726+AV726+CK726+Table1[[#This Row],[FY 25-26]]</f>
        <v>68731.535836329102</v>
      </c>
      <c r="R726" s="36">
        <v>20000</v>
      </c>
      <c r="S726" s="37" t="s">
        <v>1873</v>
      </c>
      <c r="T726" s="38">
        <v>45227</v>
      </c>
      <c r="U726" s="39"/>
      <c r="V726" s="39"/>
      <c r="W726" s="40">
        <v>0</v>
      </c>
      <c r="X726" s="40">
        <v>0</v>
      </c>
      <c r="Y726" s="40">
        <v>0</v>
      </c>
      <c r="Z726" s="40">
        <v>0</v>
      </c>
      <c r="AA726" s="40">
        <v>0</v>
      </c>
      <c r="AB726" s="40">
        <v>0</v>
      </c>
      <c r="AC726" s="40">
        <v>0</v>
      </c>
      <c r="AD726" s="40">
        <v>0</v>
      </c>
      <c r="AE726" s="40">
        <v>0</v>
      </c>
      <c r="AF726" s="40">
        <v>0</v>
      </c>
      <c r="AG726" s="40">
        <v>0</v>
      </c>
      <c r="AH726" s="40">
        <v>0</v>
      </c>
      <c r="AI726" s="41">
        <f t="shared" si="73"/>
        <v>0</v>
      </c>
      <c r="AJ726" s="42">
        <v>0</v>
      </c>
      <c r="AK726" s="42">
        <v>0</v>
      </c>
      <c r="AL726" s="42">
        <v>0</v>
      </c>
      <c r="AM726" s="42">
        <v>0</v>
      </c>
      <c r="AN726" s="42">
        <v>0</v>
      </c>
      <c r="AO726" s="42">
        <v>0</v>
      </c>
      <c r="AP726" s="42">
        <v>0</v>
      </c>
      <c r="AQ726" s="42">
        <v>0</v>
      </c>
      <c r="AR726" s="42">
        <v>3279.1707999999999</v>
      </c>
      <c r="AS726" s="42">
        <v>6274.71</v>
      </c>
      <c r="AT726" s="42">
        <v>11078.140800000001</v>
      </c>
      <c r="AU726" s="42">
        <v>9212.2915999999987</v>
      </c>
      <c r="AV726" s="42">
        <f t="shared" si="74"/>
        <v>29844.313199999997</v>
      </c>
      <c r="AW726" s="42">
        <v>3423.1499156189607</v>
      </c>
      <c r="AX726" s="42">
        <v>1715</v>
      </c>
      <c r="AY726" s="42">
        <v>1752</v>
      </c>
      <c r="AZ726" s="42">
        <v>1166</v>
      </c>
      <c r="BA726" s="42">
        <v>1861</v>
      </c>
      <c r="BB726" s="42">
        <v>0</v>
      </c>
      <c r="BC726" s="42">
        <v>2855.5121506958599</v>
      </c>
      <c r="BD726" s="42">
        <v>0</v>
      </c>
      <c r="BE726" s="42">
        <v>0</v>
      </c>
      <c r="BF726" s="42">
        <v>0</v>
      </c>
      <c r="BG726" s="42">
        <v>0</v>
      </c>
      <c r="BH726" s="42">
        <v>0</v>
      </c>
      <c r="BI726" s="42">
        <v>0</v>
      </c>
      <c r="BJ726" s="42">
        <v>0</v>
      </c>
      <c r="BK726" s="42">
        <v>0</v>
      </c>
      <c r="BL726" s="42">
        <v>500</v>
      </c>
      <c r="BM726" s="42">
        <v>500</v>
      </c>
      <c r="BN726" s="42">
        <v>0</v>
      </c>
      <c r="BO726" s="42">
        <v>500</v>
      </c>
      <c r="BP726" s="42">
        <v>500</v>
      </c>
      <c r="BQ726" s="42">
        <v>500</v>
      </c>
      <c r="BR726" s="42">
        <v>500</v>
      </c>
      <c r="BS726" s="42">
        <v>1732.3873445428371</v>
      </c>
      <c r="BT726" s="42">
        <v>500</v>
      </c>
      <c r="BU726" s="42">
        <v>500</v>
      </c>
      <c r="BV726" s="42">
        <v>0</v>
      </c>
      <c r="BW726" s="42">
        <v>0</v>
      </c>
      <c r="BX726" s="42">
        <v>0</v>
      </c>
      <c r="BY726" s="42">
        <v>9152.1791029263823</v>
      </c>
      <c r="BZ726" s="42">
        <v>0</v>
      </c>
      <c r="CA726" s="42">
        <v>0</v>
      </c>
      <c r="CB726" s="42">
        <v>0</v>
      </c>
      <c r="CC726" s="42">
        <v>0</v>
      </c>
      <c r="CD726" s="42">
        <v>8267.4708756686105</v>
      </c>
      <c r="CE726" s="42">
        <v>0</v>
      </c>
      <c r="CF726" s="42">
        <v>0</v>
      </c>
      <c r="CG726" s="42">
        <v>0</v>
      </c>
      <c r="CH726" s="42">
        <v>0</v>
      </c>
      <c r="CI726" s="42">
        <v>0</v>
      </c>
      <c r="CJ726" s="42">
        <v>2711.5232468764511</v>
      </c>
      <c r="CK726" s="43">
        <f t="shared" si="71"/>
        <v>38636.222636329097</v>
      </c>
      <c r="CL726" s="66"/>
      <c r="CM726" s="66">
        <v>0</v>
      </c>
      <c r="CN726" s="66">
        <v>0</v>
      </c>
      <c r="CO726" s="66">
        <v>0</v>
      </c>
      <c r="CP726" s="66">
        <v>251</v>
      </c>
      <c r="CQ726" s="66">
        <v>0</v>
      </c>
      <c r="CR726" s="66">
        <v>0</v>
      </c>
      <c r="CS726" s="66">
        <v>0</v>
      </c>
      <c r="CT726" s="66">
        <v>0</v>
      </c>
      <c r="CU726" s="66">
        <v>0</v>
      </c>
      <c r="CV726" s="66">
        <v>0</v>
      </c>
      <c r="CW726" s="66">
        <v>0</v>
      </c>
      <c r="CX726" s="66">
        <v>0</v>
      </c>
      <c r="CY726" s="66">
        <v>0</v>
      </c>
      <c r="CZ726" s="66">
        <v>0</v>
      </c>
      <c r="DA726" s="66"/>
      <c r="DB726" s="66"/>
      <c r="DC726" s="66"/>
      <c r="DD726" s="66"/>
      <c r="DE726" s="66"/>
      <c r="DF726" s="66"/>
      <c r="DG726" s="66"/>
      <c r="DH726" s="66"/>
      <c r="DI726" s="66"/>
      <c r="DJ726" s="66"/>
      <c r="DK726" s="66">
        <f>SUM(Table1[[#This Row],[01-03 Apr]:[Mar-26]])</f>
        <v>251</v>
      </c>
    </row>
    <row r="727" spans="1:115" x14ac:dyDescent="0.2">
      <c r="A727" s="28" t="s">
        <v>2367</v>
      </c>
      <c r="B727" s="29" t="s">
        <v>1874</v>
      </c>
      <c r="C727" s="29" t="s">
        <v>1875</v>
      </c>
      <c r="D727" s="30" t="s">
        <v>1876</v>
      </c>
      <c r="E727" s="30" t="s">
        <v>217</v>
      </c>
      <c r="F727" s="30"/>
      <c r="G727" s="31"/>
      <c r="H727" s="30">
        <v>382404</v>
      </c>
      <c r="I727" s="30" t="str">
        <f>IF(Table1[[#This Row],[Centre Status]]="Returned","NA",IF(Table1[[#This Row],[SD]]&gt;19000,"Full Payment",IF(Table1[[#This Row],[SD]]&lt;1,"No Payment","Partial Payment")))</f>
        <v>Partial Payment</v>
      </c>
      <c r="J727" s="30" t="s">
        <v>58</v>
      </c>
      <c r="K727" s="32">
        <v>110000</v>
      </c>
      <c r="L727" s="33">
        <f>Q727+R727+U727+Table1[[#This Row],[Farmer Payment]]</f>
        <v>47834.095087134854</v>
      </c>
      <c r="M727" s="30"/>
      <c r="N727" s="34"/>
      <c r="O727" s="34"/>
      <c r="P727" s="35">
        <f t="shared" si="72"/>
        <v>62165.904912865146</v>
      </c>
      <c r="Q727" s="33">
        <f>AI727+AV727+CK727+Table1[[#This Row],[FY 25-26]]</f>
        <v>37834.095087134854</v>
      </c>
      <c r="R727" s="36">
        <v>10000</v>
      </c>
      <c r="S727" s="37" t="s">
        <v>1877</v>
      </c>
      <c r="T727" s="38">
        <v>45227</v>
      </c>
      <c r="U727" s="39"/>
      <c r="V727" s="39"/>
      <c r="W727" s="40">
        <v>0</v>
      </c>
      <c r="X727" s="40">
        <v>0</v>
      </c>
      <c r="Y727" s="40">
        <v>0</v>
      </c>
      <c r="Z727" s="40">
        <v>0</v>
      </c>
      <c r="AA727" s="40">
        <v>0</v>
      </c>
      <c r="AB727" s="40">
        <v>0</v>
      </c>
      <c r="AC727" s="40">
        <v>0</v>
      </c>
      <c r="AD727" s="40">
        <v>0</v>
      </c>
      <c r="AE727" s="40">
        <v>0</v>
      </c>
      <c r="AF727" s="40">
        <v>0</v>
      </c>
      <c r="AG727" s="40">
        <v>0</v>
      </c>
      <c r="AH727" s="40">
        <v>0</v>
      </c>
      <c r="AI727" s="41">
        <f t="shared" si="73"/>
        <v>0</v>
      </c>
      <c r="AJ727" s="42">
        <v>0</v>
      </c>
      <c r="AK727" s="42">
        <v>0</v>
      </c>
      <c r="AL727" s="42">
        <v>0</v>
      </c>
      <c r="AM727" s="42">
        <v>0</v>
      </c>
      <c r="AN727" s="42">
        <v>0</v>
      </c>
      <c r="AO727" s="42">
        <v>0</v>
      </c>
      <c r="AP727" s="42">
        <v>0</v>
      </c>
      <c r="AQ727" s="42">
        <v>1248</v>
      </c>
      <c r="AR727" s="42">
        <v>1861</v>
      </c>
      <c r="AS727" s="42">
        <v>2990.6609999999996</v>
      </c>
      <c r="AT727" s="42">
        <v>6604.9682000000012</v>
      </c>
      <c r="AU727" s="42">
        <v>5555.384</v>
      </c>
      <c r="AV727" s="42">
        <f t="shared" si="74"/>
        <v>18260.013200000001</v>
      </c>
      <c r="AW727" s="42">
        <v>3907.0818871348515</v>
      </c>
      <c r="AX727" s="42">
        <v>1861</v>
      </c>
      <c r="AY727" s="42">
        <v>1861</v>
      </c>
      <c r="AZ727" s="42">
        <v>1861</v>
      </c>
      <c r="BA727" s="42">
        <v>1861</v>
      </c>
      <c r="BB727" s="42">
        <v>0</v>
      </c>
      <c r="BC727" s="42">
        <v>1575</v>
      </c>
      <c r="BD727" s="42">
        <v>0</v>
      </c>
      <c r="BE727" s="42">
        <v>0</v>
      </c>
      <c r="BF727" s="42">
        <v>0</v>
      </c>
      <c r="BG727" s="42">
        <v>0</v>
      </c>
      <c r="BH727" s="42">
        <v>0</v>
      </c>
      <c r="BI727" s="42">
        <v>0</v>
      </c>
      <c r="BJ727" s="42">
        <v>0</v>
      </c>
      <c r="BK727" s="42">
        <v>0</v>
      </c>
      <c r="BL727" s="42">
        <v>500</v>
      </c>
      <c r="BM727" s="42">
        <v>500</v>
      </c>
      <c r="BN727" s="42">
        <v>0</v>
      </c>
      <c r="BO727" s="42">
        <v>500</v>
      </c>
      <c r="BP727" s="42">
        <v>500</v>
      </c>
      <c r="BQ727" s="42">
        <v>500</v>
      </c>
      <c r="BR727" s="42">
        <v>500</v>
      </c>
      <c r="BS727" s="42">
        <v>0</v>
      </c>
      <c r="BT727" s="42">
        <v>148</v>
      </c>
      <c r="BU727" s="42">
        <v>500</v>
      </c>
      <c r="BV727" s="42">
        <v>500</v>
      </c>
      <c r="BW727" s="42">
        <v>500</v>
      </c>
      <c r="BX727" s="42">
        <v>500</v>
      </c>
      <c r="BY727" s="42">
        <v>0</v>
      </c>
      <c r="BZ727" s="42">
        <v>500</v>
      </c>
      <c r="CA727" s="42">
        <v>500</v>
      </c>
      <c r="CB727" s="42">
        <v>500</v>
      </c>
      <c r="CC727" s="42">
        <v>0</v>
      </c>
      <c r="CD727" s="42">
        <v>0</v>
      </c>
      <c r="CE727" s="42">
        <v>0</v>
      </c>
      <c r="CF727" s="42">
        <v>0</v>
      </c>
      <c r="CG727" s="42">
        <v>0</v>
      </c>
      <c r="CH727" s="42">
        <v>0</v>
      </c>
      <c r="CI727" s="42">
        <v>0</v>
      </c>
      <c r="CJ727" s="42">
        <v>0</v>
      </c>
      <c r="CK727" s="43">
        <f t="shared" si="71"/>
        <v>19574.081887134853</v>
      </c>
      <c r="CL727" s="66"/>
      <c r="CM727" s="66">
        <v>0</v>
      </c>
      <c r="CN727" s="66">
        <v>0</v>
      </c>
      <c r="CO727" s="66">
        <v>0</v>
      </c>
      <c r="CP727" s="66">
        <v>0</v>
      </c>
      <c r="CQ727" s="66">
        <v>0</v>
      </c>
      <c r="CR727" s="66">
        <v>0</v>
      </c>
      <c r="CS727" s="66">
        <v>0</v>
      </c>
      <c r="CT727" s="66">
        <v>0</v>
      </c>
      <c r="CU727" s="66">
        <v>0</v>
      </c>
      <c r="CV727" s="66">
        <v>0</v>
      </c>
      <c r="CW727" s="66">
        <v>0</v>
      </c>
      <c r="CX727" s="66">
        <v>0</v>
      </c>
      <c r="CY727" s="66">
        <v>0</v>
      </c>
      <c r="CZ727" s="66">
        <v>0</v>
      </c>
      <c r="DA727" s="66"/>
      <c r="DB727" s="66"/>
      <c r="DC727" s="66"/>
      <c r="DD727" s="66"/>
      <c r="DE727" s="66"/>
      <c r="DF727" s="66"/>
      <c r="DG727" s="66"/>
      <c r="DH727" s="66"/>
      <c r="DI727" s="66"/>
      <c r="DJ727" s="66"/>
      <c r="DK727" s="66">
        <f>SUM(Table1[[#This Row],[01-03 Apr]:[Mar-26]])</f>
        <v>0</v>
      </c>
    </row>
    <row r="728" spans="1:115" hidden="1" x14ac:dyDescent="0.2">
      <c r="A728" s="28" t="s">
        <v>2255</v>
      </c>
      <c r="B728" s="29" t="s">
        <v>1878</v>
      </c>
      <c r="C728" s="29" t="s">
        <v>1879</v>
      </c>
      <c r="D728" s="30" t="s">
        <v>1880</v>
      </c>
      <c r="E728" s="30" t="s">
        <v>1321</v>
      </c>
      <c r="F728" s="30"/>
      <c r="G728" s="31"/>
      <c r="H728" s="30">
        <v>387877</v>
      </c>
      <c r="I728" s="30" t="str">
        <f>IF(Table1[[#This Row],[Centre Status]]="Returned","NA",IF(Table1[[#This Row],[SD]]&gt;19000,"Full Payment",IF(Table1[[#This Row],[SD]]&lt;1,"No Payment","Partial Payment")))</f>
        <v>Full Payment</v>
      </c>
      <c r="J728" s="30" t="s">
        <v>58</v>
      </c>
      <c r="K728" s="32">
        <v>110000</v>
      </c>
      <c r="L728" s="33">
        <f>Q728+R728+U728+Table1[[#This Row],[Farmer Payment]]</f>
        <v>80052.560247680696</v>
      </c>
      <c r="M728" s="30"/>
      <c r="N728" s="34"/>
      <c r="O728" s="34"/>
      <c r="P728" s="35">
        <f t="shared" si="72"/>
        <v>29947.439752319304</v>
      </c>
      <c r="Q728" s="33">
        <f>AI728+AV728+CK728+Table1[[#This Row],[FY 25-26]]</f>
        <v>60052.560247680703</v>
      </c>
      <c r="R728" s="36">
        <v>20000</v>
      </c>
      <c r="S728" s="37" t="s">
        <v>1881</v>
      </c>
      <c r="T728" s="38">
        <v>45132</v>
      </c>
      <c r="U728" s="39"/>
      <c r="V728" s="39"/>
      <c r="W728" s="40">
        <v>0</v>
      </c>
      <c r="X728" s="40">
        <v>0</v>
      </c>
      <c r="Y728" s="40">
        <v>0</v>
      </c>
      <c r="Z728" s="40">
        <v>0</v>
      </c>
      <c r="AA728" s="40">
        <v>0</v>
      </c>
      <c r="AB728" s="40">
        <v>0</v>
      </c>
      <c r="AC728" s="40">
        <v>0</v>
      </c>
      <c r="AD728" s="40">
        <v>0</v>
      </c>
      <c r="AE728" s="40">
        <v>0</v>
      </c>
      <c r="AF728" s="40">
        <v>0</v>
      </c>
      <c r="AG728" s="40">
        <v>0</v>
      </c>
      <c r="AH728" s="40">
        <v>0</v>
      </c>
      <c r="AI728" s="41">
        <f t="shared" si="73"/>
        <v>0</v>
      </c>
      <c r="AJ728" s="42">
        <v>0</v>
      </c>
      <c r="AK728" s="42">
        <v>0</v>
      </c>
      <c r="AL728" s="42">
        <v>0</v>
      </c>
      <c r="AM728" s="42">
        <v>0</v>
      </c>
      <c r="AN728" s="42">
        <v>0</v>
      </c>
      <c r="AO728" s="42">
        <v>2238.8703999999998</v>
      </c>
      <c r="AP728" s="42">
        <v>4766.8188000000009</v>
      </c>
      <c r="AQ728" s="42">
        <v>3455.1670000000004</v>
      </c>
      <c r="AR728" s="42">
        <v>3282.4897999999998</v>
      </c>
      <c r="AS728" s="42">
        <v>3799.9186</v>
      </c>
      <c r="AT728" s="42">
        <v>3293.0533999999998</v>
      </c>
      <c r="AU728" s="42">
        <v>3573.9594000000002</v>
      </c>
      <c r="AV728" s="42">
        <f t="shared" si="74"/>
        <v>24410.277400000003</v>
      </c>
      <c r="AW728" s="42">
        <v>3012.8250727923842</v>
      </c>
      <c r="AX728" s="42">
        <v>2233.8356317130883</v>
      </c>
      <c r="AY728" s="42">
        <v>2178.7842790046288</v>
      </c>
      <c r="AZ728" s="42">
        <v>2979.0893494548777</v>
      </c>
      <c r="BA728" s="42">
        <v>2185.7773331600761</v>
      </c>
      <c r="BB728" s="42">
        <v>0</v>
      </c>
      <c r="BC728" s="42">
        <v>2842.7994071473017</v>
      </c>
      <c r="BD728" s="42">
        <v>0</v>
      </c>
      <c r="BE728" s="42">
        <v>0</v>
      </c>
      <c r="BF728" s="42">
        <v>0</v>
      </c>
      <c r="BG728" s="42">
        <v>0</v>
      </c>
      <c r="BH728" s="42">
        <v>0</v>
      </c>
      <c r="BI728" s="42">
        <v>2089.5239119900821</v>
      </c>
      <c r="BJ728" s="42">
        <v>0</v>
      </c>
      <c r="BK728" s="42">
        <v>0</v>
      </c>
      <c r="BL728" s="42">
        <v>0</v>
      </c>
      <c r="BM728" s="42">
        <v>0</v>
      </c>
      <c r="BN728" s="42">
        <v>2150.087052284598</v>
      </c>
      <c r="BO728" s="42">
        <v>0</v>
      </c>
      <c r="BP728" s="42">
        <v>0</v>
      </c>
      <c r="BQ728" s="42">
        <v>0</v>
      </c>
      <c r="BR728" s="42">
        <v>0</v>
      </c>
      <c r="BS728" s="42">
        <v>3272.8201600249599</v>
      </c>
      <c r="BT728" s="42">
        <v>0</v>
      </c>
      <c r="BU728" s="42">
        <v>0</v>
      </c>
      <c r="BV728" s="42">
        <v>0</v>
      </c>
      <c r="BW728" s="42">
        <v>0</v>
      </c>
      <c r="BX728" s="42">
        <v>0</v>
      </c>
      <c r="BY728" s="42">
        <v>2511.9552293511879</v>
      </c>
      <c r="BZ728" s="42">
        <v>0</v>
      </c>
      <c r="CA728" s="42">
        <v>0</v>
      </c>
      <c r="CB728" s="42">
        <v>0</v>
      </c>
      <c r="CC728" s="42">
        <v>0</v>
      </c>
      <c r="CD728" s="42">
        <v>2805.4439551742771</v>
      </c>
      <c r="CE728" s="42">
        <v>0</v>
      </c>
      <c r="CF728" s="42">
        <v>0</v>
      </c>
      <c r="CG728" s="42">
        <v>0</v>
      </c>
      <c r="CH728" s="42">
        <v>0</v>
      </c>
      <c r="CI728" s="42">
        <v>0</v>
      </c>
      <c r="CJ728" s="42">
        <v>3063.4509515389359</v>
      </c>
      <c r="CK728" s="43">
        <f t="shared" si="71"/>
        <v>31326.392333636399</v>
      </c>
      <c r="CL728" s="66"/>
      <c r="CM728" s="66">
        <v>0</v>
      </c>
      <c r="CN728" s="66">
        <v>0</v>
      </c>
      <c r="CO728" s="66">
        <v>0</v>
      </c>
      <c r="CP728" s="66">
        <v>2454.8905140443026</v>
      </c>
      <c r="CQ728" s="66">
        <v>0</v>
      </c>
      <c r="CR728" s="66">
        <v>0</v>
      </c>
      <c r="CS728" s="66">
        <v>0</v>
      </c>
      <c r="CT728" s="66">
        <v>0</v>
      </c>
      <c r="CU728" s="66">
        <v>0</v>
      </c>
      <c r="CV728" s="66">
        <v>1861</v>
      </c>
      <c r="CW728" s="66">
        <v>0</v>
      </c>
      <c r="CX728" s="66">
        <v>0</v>
      </c>
      <c r="CY728" s="66">
        <v>0</v>
      </c>
      <c r="CZ728" s="66">
        <v>0</v>
      </c>
      <c r="DA728" s="66"/>
      <c r="DB728" s="66"/>
      <c r="DC728" s="66"/>
      <c r="DD728" s="66"/>
      <c r="DE728" s="66"/>
      <c r="DF728" s="66"/>
      <c r="DG728" s="66"/>
      <c r="DH728" s="66"/>
      <c r="DI728" s="66"/>
      <c r="DJ728" s="66"/>
      <c r="DK728" s="66">
        <f>SUM(Table1[[#This Row],[01-03 Apr]:[Mar-26]])</f>
        <v>4315.8905140443021</v>
      </c>
    </row>
    <row r="729" spans="1:115" hidden="1" x14ac:dyDescent="0.2">
      <c r="A729" s="28" t="s">
        <v>2255</v>
      </c>
      <c r="B729" s="29" t="s">
        <v>1882</v>
      </c>
      <c r="C729" s="29" t="s">
        <v>1883</v>
      </c>
      <c r="D729" s="30" t="s">
        <v>1884</v>
      </c>
      <c r="E729" s="30" t="s">
        <v>1321</v>
      </c>
      <c r="F729" s="30"/>
      <c r="G729" s="31"/>
      <c r="H729" s="30">
        <v>382421</v>
      </c>
      <c r="I729" s="30" t="str">
        <f>IF(Table1[[#This Row],[Centre Status]]="Returned","NA",IF(Table1[[#This Row],[SD]]&gt;19000,"Full Payment",IF(Table1[[#This Row],[SD]]&lt;1,"No Payment","Partial Payment")))</f>
        <v>NA</v>
      </c>
      <c r="J729" s="30" t="s">
        <v>1903</v>
      </c>
      <c r="K729" s="32">
        <v>110000</v>
      </c>
      <c r="L729" s="33">
        <f>Q729+R729+U729+Table1[[#This Row],[Farmer Payment]]</f>
        <v>34616.449200000003</v>
      </c>
      <c r="M729" s="30">
        <v>15000</v>
      </c>
      <c r="N729" s="34">
        <v>45652</v>
      </c>
      <c r="O729" s="34" t="s">
        <v>2862</v>
      </c>
      <c r="P729" s="35">
        <f t="shared" si="72"/>
        <v>90383.550799999997</v>
      </c>
      <c r="Q729" s="33">
        <f>AI729+AV729+CK729+Table1[[#This Row],[FY 25-26]]</f>
        <v>19616.449199999999</v>
      </c>
      <c r="R729" s="36">
        <v>15000</v>
      </c>
      <c r="S729" s="37" t="s">
        <v>1885</v>
      </c>
      <c r="T729" s="38">
        <v>45139</v>
      </c>
      <c r="U729" s="39"/>
      <c r="V729" s="39"/>
      <c r="W729" s="40">
        <v>0</v>
      </c>
      <c r="X729" s="40">
        <v>0</v>
      </c>
      <c r="Y729" s="40">
        <v>0</v>
      </c>
      <c r="Z729" s="40">
        <v>0</v>
      </c>
      <c r="AA729" s="40">
        <v>0</v>
      </c>
      <c r="AB729" s="40">
        <v>0</v>
      </c>
      <c r="AC729" s="40">
        <v>0</v>
      </c>
      <c r="AD729" s="40">
        <v>0</v>
      </c>
      <c r="AE729" s="40">
        <v>0</v>
      </c>
      <c r="AF729" s="40">
        <v>0</v>
      </c>
      <c r="AG729" s="40">
        <v>0</v>
      </c>
      <c r="AH729" s="40">
        <v>0</v>
      </c>
      <c r="AI729" s="41">
        <f t="shared" si="73"/>
        <v>0</v>
      </c>
      <c r="AJ729" s="42">
        <v>0</v>
      </c>
      <c r="AK729" s="42">
        <v>0</v>
      </c>
      <c r="AL729" s="42">
        <v>0</v>
      </c>
      <c r="AM729" s="42">
        <v>0</v>
      </c>
      <c r="AN729" s="42">
        <v>0</v>
      </c>
      <c r="AO729" s="42">
        <v>1138</v>
      </c>
      <c r="AP729" s="42">
        <v>1861</v>
      </c>
      <c r="AQ729" s="42">
        <v>1861</v>
      </c>
      <c r="AR729" s="42">
        <v>1861</v>
      </c>
      <c r="AS729" s="42">
        <v>2140.4492</v>
      </c>
      <c r="AT729" s="42">
        <v>1861</v>
      </c>
      <c r="AU729" s="42">
        <v>1666</v>
      </c>
      <c r="AV729" s="42">
        <f t="shared" si="74"/>
        <v>12388.449199999999</v>
      </c>
      <c r="AW729" s="42">
        <v>478</v>
      </c>
      <c r="AX729" s="42">
        <v>395</v>
      </c>
      <c r="AY729" s="42">
        <v>531</v>
      </c>
      <c r="AZ729" s="42">
        <v>701</v>
      </c>
      <c r="BA729" s="42">
        <v>0</v>
      </c>
      <c r="BB729" s="42">
        <v>500</v>
      </c>
      <c r="BC729" s="42">
        <v>0</v>
      </c>
      <c r="BD729" s="42">
        <v>500</v>
      </c>
      <c r="BE729" s="42">
        <v>500</v>
      </c>
      <c r="BF729" s="42">
        <v>500</v>
      </c>
      <c r="BG729" s="42">
        <v>500</v>
      </c>
      <c r="BH729" s="42">
        <v>500</v>
      </c>
      <c r="BI729" s="42">
        <v>0</v>
      </c>
      <c r="BJ729" s="42">
        <v>500</v>
      </c>
      <c r="BK729" s="42">
        <v>500</v>
      </c>
      <c r="BL729" s="42">
        <v>500</v>
      </c>
      <c r="BM729" s="42">
        <v>0</v>
      </c>
      <c r="BN729" s="42">
        <v>123</v>
      </c>
      <c r="BO729" s="42">
        <v>500</v>
      </c>
      <c r="BP729" s="42">
        <v>0</v>
      </c>
      <c r="BQ729" s="42">
        <v>0</v>
      </c>
      <c r="BR729" s="42">
        <v>0</v>
      </c>
      <c r="BS729" s="42">
        <v>0</v>
      </c>
      <c r="BT729" s="42">
        <v>0</v>
      </c>
      <c r="BU729" s="42">
        <v>0</v>
      </c>
      <c r="BV729" s="42">
        <v>0</v>
      </c>
      <c r="BW729" s="42">
        <v>0</v>
      </c>
      <c r="BX729" s="42">
        <v>0</v>
      </c>
      <c r="BY729" s="42">
        <v>0</v>
      </c>
      <c r="BZ729" s="42">
        <v>0</v>
      </c>
      <c r="CA729" s="42">
        <v>0</v>
      </c>
      <c r="CB729" s="42">
        <v>0</v>
      </c>
      <c r="CC729" s="42">
        <v>0</v>
      </c>
      <c r="CD729" s="42">
        <v>0</v>
      </c>
      <c r="CE729" s="42">
        <v>0</v>
      </c>
      <c r="CF729" s="42">
        <v>0</v>
      </c>
      <c r="CG729" s="42">
        <v>0</v>
      </c>
      <c r="CH729" s="42">
        <v>0</v>
      </c>
      <c r="CI729" s="42">
        <v>0</v>
      </c>
      <c r="CJ729" s="42">
        <v>0</v>
      </c>
      <c r="CK729" s="43">
        <f t="shared" si="71"/>
        <v>7228</v>
      </c>
      <c r="CL729" s="66"/>
      <c r="CM729" s="66">
        <v>0</v>
      </c>
      <c r="CN729" s="66">
        <v>0</v>
      </c>
      <c r="CO729" s="66">
        <v>0</v>
      </c>
      <c r="CP729" s="66">
        <v>0</v>
      </c>
      <c r="CQ729" s="66">
        <v>0</v>
      </c>
      <c r="CR729" s="66">
        <v>0</v>
      </c>
      <c r="CS729" s="66">
        <v>0</v>
      </c>
      <c r="CT729" s="66">
        <v>0</v>
      </c>
      <c r="CU729" s="66">
        <v>0</v>
      </c>
      <c r="CV729" s="66">
        <v>0</v>
      </c>
      <c r="CW729" s="66">
        <v>0</v>
      </c>
      <c r="CX729" s="66">
        <v>0</v>
      </c>
      <c r="CY729" s="66">
        <v>0</v>
      </c>
      <c r="CZ729" s="66">
        <v>0</v>
      </c>
      <c r="DA729" s="66"/>
      <c r="DB729" s="66"/>
      <c r="DC729" s="66"/>
      <c r="DD729" s="66"/>
      <c r="DE729" s="66"/>
      <c r="DF729" s="66"/>
      <c r="DG729" s="66"/>
      <c r="DH729" s="66"/>
      <c r="DI729" s="66"/>
      <c r="DJ729" s="66"/>
      <c r="DK729" s="66">
        <f>SUM(Table1[[#This Row],[01-03 Apr]:[Mar-26]])</f>
        <v>0</v>
      </c>
    </row>
    <row r="730" spans="1:115" x14ac:dyDescent="0.2">
      <c r="A730" s="28"/>
      <c r="B730" s="29"/>
      <c r="C730" s="29" t="s">
        <v>3536</v>
      </c>
      <c r="D730" s="30" t="s">
        <v>3533</v>
      </c>
      <c r="E730" s="30" t="s">
        <v>3093</v>
      </c>
      <c r="F730" s="30"/>
      <c r="G730" s="31">
        <v>45842</v>
      </c>
      <c r="H730" s="30"/>
      <c r="I730" s="30" t="str">
        <f>IF(Table1[[#This Row],[Centre Status]]="Returned","NA",IF(Table1[[#This Row],[SD]]&gt;19000,"Full Payment",IF(Table1[[#This Row],[SD]]&lt;1,"No Payment","Partial Payment")))</f>
        <v>Partial Payment</v>
      </c>
      <c r="J730" s="30" t="s">
        <v>58</v>
      </c>
      <c r="K730" s="32">
        <v>110000</v>
      </c>
      <c r="L730" s="33">
        <f>Q730+R730+U730+Table1[[#This Row],[Farmer Payment]]</f>
        <v>14000</v>
      </c>
      <c r="M730" s="30"/>
      <c r="N730" s="34"/>
      <c r="O730" s="34"/>
      <c r="P730" s="35">
        <f>K730-L730+M730</f>
        <v>96000</v>
      </c>
      <c r="Q730" s="33">
        <f>AI730+AV730+CK730+Table1[[#This Row],[FY 25-26]]</f>
        <v>0</v>
      </c>
      <c r="R730" s="36">
        <v>14000</v>
      </c>
      <c r="S730" s="37" t="s">
        <v>3539</v>
      </c>
      <c r="T730" s="38">
        <v>45800</v>
      </c>
      <c r="U730" s="39"/>
      <c r="V730" s="39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1">
        <f>SUM(W730:AH730)</f>
        <v>0</v>
      </c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  <c r="AT730" s="42"/>
      <c r="AU730" s="42"/>
      <c r="AV730" s="42">
        <f>SUM(AJ730:AU730)</f>
        <v>0</v>
      </c>
      <c r="AW730" s="42"/>
      <c r="AX730" s="42"/>
      <c r="AY730" s="42"/>
      <c r="AZ730" s="42"/>
      <c r="BA730" s="42"/>
      <c r="BB730" s="42"/>
      <c r="BC730" s="42"/>
      <c r="BD730" s="42"/>
      <c r="BE730" s="42"/>
      <c r="BF730" s="42"/>
      <c r="BG730" s="42"/>
      <c r="BH730" s="42"/>
      <c r="BI730" s="42"/>
      <c r="BJ730" s="42"/>
      <c r="BK730" s="42"/>
      <c r="BL730" s="42"/>
      <c r="BM730" s="42"/>
      <c r="BN730" s="42"/>
      <c r="BO730" s="42"/>
      <c r="BP730" s="42"/>
      <c r="BQ730" s="42"/>
      <c r="BR730" s="42"/>
      <c r="BS730" s="42"/>
      <c r="BT730" s="42"/>
      <c r="BU730" s="42"/>
      <c r="BV730" s="42"/>
      <c r="BW730" s="42"/>
      <c r="BX730" s="42"/>
      <c r="BY730" s="42"/>
      <c r="BZ730" s="42"/>
      <c r="CA730" s="42"/>
      <c r="CB730" s="42"/>
      <c r="CC730" s="42"/>
      <c r="CD730" s="42"/>
      <c r="CE730" s="42"/>
      <c r="CF730" s="42"/>
      <c r="CG730" s="42"/>
      <c r="CH730" s="42"/>
      <c r="CI730" s="42"/>
      <c r="CJ730" s="42"/>
      <c r="CK730" s="43">
        <f>SUM(AW730:CJ730)</f>
        <v>0</v>
      </c>
      <c r="CL730" s="66"/>
      <c r="CM730" s="66"/>
      <c r="CN730" s="66"/>
      <c r="CO730" s="66"/>
      <c r="CP730" s="66"/>
      <c r="CQ730" s="66"/>
      <c r="CR730" s="66"/>
      <c r="CS730" s="66"/>
      <c r="CT730" s="66"/>
      <c r="CU730" s="66"/>
      <c r="CV730" s="66"/>
      <c r="CW730" s="66">
        <v>0</v>
      </c>
      <c r="CX730" s="66">
        <v>0</v>
      </c>
      <c r="CY730" s="66">
        <v>0</v>
      </c>
      <c r="CZ730" s="66">
        <v>0</v>
      </c>
      <c r="DA730" s="66"/>
      <c r="DB730" s="66"/>
      <c r="DC730" s="66"/>
      <c r="DD730" s="66"/>
      <c r="DE730" s="66"/>
      <c r="DF730" s="66"/>
      <c r="DG730" s="66"/>
      <c r="DH730" s="66"/>
      <c r="DI730" s="66"/>
      <c r="DJ730" s="66"/>
      <c r="DK730" s="66">
        <f>SUM(Table1[[#This Row],[01-03 Apr]:[Mar-26]])</f>
        <v>0</v>
      </c>
    </row>
    <row r="731" spans="1:115" x14ac:dyDescent="0.2">
      <c r="A731" s="28"/>
      <c r="B731" s="29"/>
      <c r="C731" s="29" t="s">
        <v>3537</v>
      </c>
      <c r="D731" s="30" t="s">
        <v>3534</v>
      </c>
      <c r="E731" s="30" t="s">
        <v>57</v>
      </c>
      <c r="F731" s="30"/>
      <c r="G731" s="31">
        <v>45842</v>
      </c>
      <c r="H731" s="30"/>
      <c r="I731" s="30" t="str">
        <f>IF(Table1[[#This Row],[Centre Status]]="Returned","NA",IF(Table1[[#This Row],[SD]]&gt;19000,"Full Payment",IF(Table1[[#This Row],[SD]]&lt;1,"No Payment","Partial Payment")))</f>
        <v>Partial Payment</v>
      </c>
      <c r="J731" s="30" t="s">
        <v>58</v>
      </c>
      <c r="K731" s="32">
        <v>110000</v>
      </c>
      <c r="L731" s="33">
        <f>Q731+R731+U731+Table1[[#This Row],[Farmer Payment]]</f>
        <v>10000</v>
      </c>
      <c r="M731" s="30"/>
      <c r="N731" s="34"/>
      <c r="O731" s="34"/>
      <c r="P731" s="35">
        <f>K731-L731+M731</f>
        <v>100000</v>
      </c>
      <c r="Q731" s="33">
        <f>AI731+AV731+CK731+Table1[[#This Row],[FY 25-26]]</f>
        <v>0</v>
      </c>
      <c r="R731" s="36">
        <v>10000</v>
      </c>
      <c r="S731" s="37" t="s">
        <v>3540</v>
      </c>
      <c r="T731" s="38">
        <v>45791</v>
      </c>
      <c r="U731" s="39"/>
      <c r="V731" s="39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1">
        <f>SUM(W731:AH731)</f>
        <v>0</v>
      </c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  <c r="AT731" s="42"/>
      <c r="AU731" s="42"/>
      <c r="AV731" s="42">
        <f>SUM(AJ731:AU731)</f>
        <v>0</v>
      </c>
      <c r="AW731" s="42"/>
      <c r="AX731" s="42"/>
      <c r="AY731" s="42"/>
      <c r="AZ731" s="42"/>
      <c r="BA731" s="42"/>
      <c r="BB731" s="42"/>
      <c r="BC731" s="42"/>
      <c r="BD731" s="42"/>
      <c r="BE731" s="42"/>
      <c r="BF731" s="42"/>
      <c r="BG731" s="42"/>
      <c r="BH731" s="42"/>
      <c r="BI731" s="42"/>
      <c r="BJ731" s="42"/>
      <c r="BK731" s="42"/>
      <c r="BL731" s="42"/>
      <c r="BM731" s="42"/>
      <c r="BN731" s="42"/>
      <c r="BO731" s="42"/>
      <c r="BP731" s="42"/>
      <c r="BQ731" s="42"/>
      <c r="BR731" s="42"/>
      <c r="BS731" s="42"/>
      <c r="BT731" s="42"/>
      <c r="BU731" s="42"/>
      <c r="BV731" s="42"/>
      <c r="BW731" s="42"/>
      <c r="BX731" s="42"/>
      <c r="BY731" s="42"/>
      <c r="BZ731" s="42"/>
      <c r="CA731" s="42"/>
      <c r="CB731" s="42"/>
      <c r="CC731" s="42"/>
      <c r="CD731" s="42"/>
      <c r="CE731" s="42"/>
      <c r="CF731" s="42"/>
      <c r="CG731" s="42"/>
      <c r="CH731" s="42"/>
      <c r="CI731" s="42"/>
      <c r="CJ731" s="42"/>
      <c r="CK731" s="43">
        <f>SUM(AW731:CJ731)</f>
        <v>0</v>
      </c>
      <c r="CL731" s="66"/>
      <c r="CM731" s="66"/>
      <c r="CN731" s="66"/>
      <c r="CO731" s="66"/>
      <c r="CP731" s="66"/>
      <c r="CQ731" s="66"/>
      <c r="CR731" s="66"/>
      <c r="CS731" s="66"/>
      <c r="CT731" s="66"/>
      <c r="CU731" s="66"/>
      <c r="CV731" s="66"/>
      <c r="CW731" s="66">
        <v>0</v>
      </c>
      <c r="CX731" s="66">
        <v>0</v>
      </c>
      <c r="CY731" s="66">
        <v>0</v>
      </c>
      <c r="CZ731" s="66">
        <v>0</v>
      </c>
      <c r="DA731" s="66"/>
      <c r="DB731" s="66"/>
      <c r="DC731" s="66"/>
      <c r="DD731" s="66"/>
      <c r="DE731" s="66"/>
      <c r="DF731" s="66"/>
      <c r="DG731" s="66"/>
      <c r="DH731" s="66"/>
      <c r="DI731" s="66"/>
      <c r="DJ731" s="66"/>
      <c r="DK731" s="66">
        <f>SUM(Table1[[#This Row],[01-03 Apr]:[Mar-26]])</f>
        <v>0</v>
      </c>
    </row>
    <row r="732" spans="1:115" x14ac:dyDescent="0.2">
      <c r="A732" s="28"/>
      <c r="B732" s="29"/>
      <c r="C732" s="29" t="s">
        <v>3538</v>
      </c>
      <c r="D732" s="30" t="s">
        <v>3535</v>
      </c>
      <c r="E732" s="30" t="s">
        <v>57</v>
      </c>
      <c r="F732" s="30"/>
      <c r="G732" s="31">
        <v>45842</v>
      </c>
      <c r="H732" s="30"/>
      <c r="I732" s="30" t="str">
        <f>IF(Table1[[#This Row],[Centre Status]]="Returned","NA",IF(Table1[[#This Row],[SD]]&gt;19000,"Full Payment",IF(Table1[[#This Row],[SD]]&lt;1,"No Payment","Partial Payment")))</f>
        <v>No Payment</v>
      </c>
      <c r="J732" s="30" t="s">
        <v>58</v>
      </c>
      <c r="K732" s="32">
        <v>110000</v>
      </c>
      <c r="L732" s="33">
        <f>Q732+R732+U732+Table1[[#This Row],[Farmer Payment]]</f>
        <v>0</v>
      </c>
      <c r="M732" s="30"/>
      <c r="N732" s="34"/>
      <c r="O732" s="34"/>
      <c r="P732" s="35">
        <f>K732-L732+M732</f>
        <v>110000</v>
      </c>
      <c r="Q732" s="33">
        <f>AI732+AV732+CK732+Table1[[#This Row],[FY 25-26]]</f>
        <v>0</v>
      </c>
      <c r="R732" s="36"/>
      <c r="S732" s="37"/>
      <c r="T732" s="38"/>
      <c r="U732" s="39"/>
      <c r="V732" s="39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1">
        <f>SUM(W732:AH732)</f>
        <v>0</v>
      </c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  <c r="AT732" s="42"/>
      <c r="AU732" s="42"/>
      <c r="AV732" s="42">
        <f>SUM(AJ732:AU732)</f>
        <v>0</v>
      </c>
      <c r="AW732" s="42"/>
      <c r="AX732" s="42"/>
      <c r="AY732" s="42"/>
      <c r="AZ732" s="42"/>
      <c r="BA732" s="42"/>
      <c r="BB732" s="42"/>
      <c r="BC732" s="42"/>
      <c r="BD732" s="42"/>
      <c r="BE732" s="42"/>
      <c r="BF732" s="42"/>
      <c r="BG732" s="42"/>
      <c r="BH732" s="42"/>
      <c r="BI732" s="42"/>
      <c r="BJ732" s="42"/>
      <c r="BK732" s="42"/>
      <c r="BL732" s="42"/>
      <c r="BM732" s="42"/>
      <c r="BN732" s="42"/>
      <c r="BO732" s="42"/>
      <c r="BP732" s="42"/>
      <c r="BQ732" s="42"/>
      <c r="BR732" s="42"/>
      <c r="BS732" s="42"/>
      <c r="BT732" s="42"/>
      <c r="BU732" s="42"/>
      <c r="BV732" s="42"/>
      <c r="BW732" s="42"/>
      <c r="BX732" s="42"/>
      <c r="BY732" s="42"/>
      <c r="BZ732" s="42"/>
      <c r="CA732" s="42"/>
      <c r="CB732" s="42"/>
      <c r="CC732" s="42"/>
      <c r="CD732" s="42"/>
      <c r="CE732" s="42"/>
      <c r="CF732" s="42"/>
      <c r="CG732" s="42"/>
      <c r="CH732" s="42"/>
      <c r="CI732" s="42"/>
      <c r="CJ732" s="42"/>
      <c r="CK732" s="43">
        <f>SUM(AW732:CJ732)</f>
        <v>0</v>
      </c>
      <c r="CL732" s="66"/>
      <c r="CM732" s="66"/>
      <c r="CN732" s="66"/>
      <c r="CO732" s="66"/>
      <c r="CP732" s="66"/>
      <c r="CQ732" s="66"/>
      <c r="CR732" s="66"/>
      <c r="CS732" s="66"/>
      <c r="CT732" s="66"/>
      <c r="CU732" s="66"/>
      <c r="CV732" s="66"/>
      <c r="CW732" s="66">
        <v>0</v>
      </c>
      <c r="CX732" s="66">
        <v>0</v>
      </c>
      <c r="CY732" s="66">
        <v>0</v>
      </c>
      <c r="CZ732" s="66">
        <v>0</v>
      </c>
      <c r="DA732" s="66"/>
      <c r="DB732" s="66"/>
      <c r="DC732" s="66"/>
      <c r="DD732" s="66"/>
      <c r="DE732" s="66"/>
      <c r="DF732" s="66"/>
      <c r="DG732" s="66"/>
      <c r="DH732" s="66"/>
      <c r="DI732" s="66"/>
      <c r="DJ732" s="66"/>
      <c r="DK732" s="66">
        <f>SUM(Table1[[#This Row],[01-03 Apr]:[Mar-26]])</f>
        <v>0</v>
      </c>
    </row>
    <row r="733" spans="1:115" hidden="1" x14ac:dyDescent="0.2">
      <c r="A733" s="28" t="s">
        <v>2255</v>
      </c>
      <c r="B733" s="29" t="s">
        <v>1886</v>
      </c>
      <c r="C733" s="29" t="s">
        <v>1887</v>
      </c>
      <c r="D733" s="30" t="s">
        <v>1888</v>
      </c>
      <c r="E733" s="30" t="s">
        <v>203</v>
      </c>
      <c r="F733" s="30"/>
      <c r="G733" s="31"/>
      <c r="H733" s="30">
        <v>378190</v>
      </c>
      <c r="I733" s="30" t="str">
        <f>IF(Table1[[#This Row],[Centre Status]]="Returned","NA",IF(Table1[[#This Row],[SD]]&gt;19000,"Full Payment",IF(Table1[[#This Row],[SD]]&lt;1,"No Payment","Partial Payment")))</f>
        <v>NA</v>
      </c>
      <c r="J733" s="30" t="s">
        <v>1903</v>
      </c>
      <c r="K733" s="32">
        <v>110000</v>
      </c>
      <c r="L733" s="33">
        <f>Q733+R733+U733+Table1[[#This Row],[Farmer Payment]]</f>
        <v>73403.321017520619</v>
      </c>
      <c r="M733" s="30">
        <f>20000+16000</f>
        <v>36000</v>
      </c>
      <c r="N733" s="34">
        <v>45706</v>
      </c>
      <c r="O733" s="34" t="s">
        <v>3152</v>
      </c>
      <c r="P733" s="35">
        <f t="shared" si="72"/>
        <v>72596.678982479381</v>
      </c>
      <c r="Q733" s="33">
        <f>AI733+AV733+CK733+Table1[[#This Row],[FY 25-26]]</f>
        <v>53403.321017520611</v>
      </c>
      <c r="R733" s="36">
        <v>20000</v>
      </c>
      <c r="S733" s="37" t="s">
        <v>1889</v>
      </c>
      <c r="T733" s="38">
        <v>45147</v>
      </c>
      <c r="U733" s="39"/>
      <c r="V733" s="39"/>
      <c r="W733" s="40">
        <v>0</v>
      </c>
      <c r="X733" s="40">
        <v>0</v>
      </c>
      <c r="Y733" s="40">
        <v>0</v>
      </c>
      <c r="Z733" s="40">
        <v>0</v>
      </c>
      <c r="AA733" s="40">
        <v>0</v>
      </c>
      <c r="AB733" s="40">
        <v>0</v>
      </c>
      <c r="AC733" s="40">
        <v>0</v>
      </c>
      <c r="AD733" s="40">
        <v>0</v>
      </c>
      <c r="AE733" s="40">
        <v>0</v>
      </c>
      <c r="AF733" s="40">
        <v>0</v>
      </c>
      <c r="AG733" s="40">
        <v>0</v>
      </c>
      <c r="AH733" s="40">
        <v>0</v>
      </c>
      <c r="AI733" s="41">
        <f t="shared" si="73"/>
        <v>0</v>
      </c>
      <c r="AJ733" s="42">
        <v>0</v>
      </c>
      <c r="AK733" s="42">
        <v>0</v>
      </c>
      <c r="AL733" s="42">
        <v>0</v>
      </c>
      <c r="AM733" s="42">
        <v>0</v>
      </c>
      <c r="AN733" s="42">
        <v>698</v>
      </c>
      <c r="AO733" s="42">
        <v>1965.269</v>
      </c>
      <c r="AP733" s="42">
        <v>2646.4647999999997</v>
      </c>
      <c r="AQ733" s="42">
        <v>2321.855</v>
      </c>
      <c r="AR733" s="42">
        <v>2650.1890000000003</v>
      </c>
      <c r="AS733" s="42">
        <v>5003.9800000000005</v>
      </c>
      <c r="AT733" s="42">
        <v>3998.2334000000005</v>
      </c>
      <c r="AU733" s="42">
        <v>4449.4340000000002</v>
      </c>
      <c r="AV733" s="42">
        <f t="shared" si="74"/>
        <v>23733.425200000001</v>
      </c>
      <c r="AW733" s="42">
        <v>3364.7406343381799</v>
      </c>
      <c r="AX733" s="42">
        <v>4277.7240686013001</v>
      </c>
      <c r="AY733" s="42">
        <v>5248.9661104550478</v>
      </c>
      <c r="AZ733" s="42">
        <v>3688.2205330912002</v>
      </c>
      <c r="BA733" s="42">
        <v>3547.3898041036809</v>
      </c>
      <c r="BB733" s="42">
        <v>0</v>
      </c>
      <c r="BC733" s="42">
        <v>5124.923144140801</v>
      </c>
      <c r="BD733" s="42">
        <v>0</v>
      </c>
      <c r="BE733" s="42">
        <v>0</v>
      </c>
      <c r="BF733" s="42">
        <v>0</v>
      </c>
      <c r="BG733" s="42">
        <v>0</v>
      </c>
      <c r="BH733" s="42">
        <v>0</v>
      </c>
      <c r="BI733" s="42">
        <v>2556.9315227904003</v>
      </c>
      <c r="BJ733" s="42">
        <v>0</v>
      </c>
      <c r="BK733" s="42">
        <v>0</v>
      </c>
      <c r="BL733" s="42">
        <v>0</v>
      </c>
      <c r="BM733" s="42">
        <v>0</v>
      </c>
      <c r="BN733" s="42">
        <v>1861</v>
      </c>
      <c r="BO733" s="42">
        <v>0</v>
      </c>
      <c r="BP733" s="42">
        <v>0</v>
      </c>
      <c r="BQ733" s="42">
        <v>0</v>
      </c>
      <c r="BR733" s="42">
        <v>0</v>
      </c>
      <c r="BS733" s="42">
        <v>0</v>
      </c>
      <c r="BT733" s="42">
        <v>0</v>
      </c>
      <c r="BU733" s="42">
        <v>0</v>
      </c>
      <c r="BV733" s="42">
        <v>0</v>
      </c>
      <c r="BW733" s="42">
        <v>0</v>
      </c>
      <c r="BX733" s="42">
        <v>0</v>
      </c>
      <c r="BY733" s="42">
        <v>0</v>
      </c>
      <c r="BZ733" s="42">
        <v>0</v>
      </c>
      <c r="CA733" s="42">
        <v>0</v>
      </c>
      <c r="CB733" s="42">
        <v>0</v>
      </c>
      <c r="CC733" s="42">
        <v>0</v>
      </c>
      <c r="CD733" s="42">
        <v>0</v>
      </c>
      <c r="CE733" s="42">
        <v>0</v>
      </c>
      <c r="CF733" s="42">
        <v>0</v>
      </c>
      <c r="CG733" s="42">
        <v>0</v>
      </c>
      <c r="CH733" s="42">
        <v>0</v>
      </c>
      <c r="CI733" s="42">
        <v>0</v>
      </c>
      <c r="CJ733" s="42">
        <v>0</v>
      </c>
      <c r="CK733" s="43">
        <f t="shared" si="71"/>
        <v>29669.89581752061</v>
      </c>
      <c r="CL733" s="66"/>
      <c r="CM733" s="66">
        <v>0</v>
      </c>
      <c r="CN733" s="66">
        <v>0</v>
      </c>
      <c r="CO733" s="66">
        <v>0</v>
      </c>
      <c r="CP733" s="66">
        <v>0</v>
      </c>
      <c r="CQ733" s="66">
        <v>0</v>
      </c>
      <c r="CR733" s="66">
        <v>0</v>
      </c>
      <c r="CS733" s="66">
        <v>0</v>
      </c>
      <c r="CT733" s="66">
        <v>0</v>
      </c>
      <c r="CU733" s="66">
        <v>0</v>
      </c>
      <c r="CV733" s="66">
        <v>0</v>
      </c>
      <c r="CW733" s="66">
        <v>0</v>
      </c>
      <c r="CX733" s="66">
        <v>0</v>
      </c>
      <c r="CY733" s="66">
        <v>0</v>
      </c>
      <c r="CZ733" s="66">
        <v>0</v>
      </c>
      <c r="DA733" s="66"/>
      <c r="DB733" s="66"/>
      <c r="DC733" s="66"/>
      <c r="DD733" s="66"/>
      <c r="DE733" s="66"/>
      <c r="DF733" s="66"/>
      <c r="DG733" s="66"/>
      <c r="DH733" s="66"/>
      <c r="DI733" s="66"/>
      <c r="DJ733" s="66"/>
      <c r="DK733" s="66">
        <f>SUM(Table1[[#This Row],[01-03 Apr]:[Mar-26]])</f>
        <v>0</v>
      </c>
    </row>
    <row r="734" spans="1:115" hidden="1" x14ac:dyDescent="0.2">
      <c r="A734" s="28" t="s">
        <v>2367</v>
      </c>
      <c r="B734" s="29" t="s">
        <v>1890</v>
      </c>
      <c r="C734" s="29" t="s">
        <v>1891</v>
      </c>
      <c r="D734" s="30" t="s">
        <v>1892</v>
      </c>
      <c r="E734" s="30" t="s">
        <v>203</v>
      </c>
      <c r="F734" s="30"/>
      <c r="G734" s="31"/>
      <c r="H734" s="30">
        <v>382431</v>
      </c>
      <c r="I734" s="30" t="str">
        <f>IF(Table1[[#This Row],[Centre Status]]="Returned","NA",IF(Table1[[#This Row],[SD]]&gt;19000,"Full Payment",IF(Table1[[#This Row],[SD]]&lt;1,"No Payment","Partial Payment")))</f>
        <v>Full Payment</v>
      </c>
      <c r="J734" s="30" t="s">
        <v>58</v>
      </c>
      <c r="K734" s="32">
        <v>110000</v>
      </c>
      <c r="L734" s="33">
        <f>Q734+R734+U734+Table1[[#This Row],[Farmer Payment]]</f>
        <v>65316.50722591352</v>
      </c>
      <c r="M734" s="30"/>
      <c r="N734" s="34"/>
      <c r="O734" s="34"/>
      <c r="P734" s="35">
        <f t="shared" si="72"/>
        <v>44683.49277408648</v>
      </c>
      <c r="Q734" s="33">
        <f>AI734+AV734+CK734+Table1[[#This Row],[FY 25-26]]</f>
        <v>45316.50722591352</v>
      </c>
      <c r="R734" s="36">
        <v>20000</v>
      </c>
      <c r="S734" s="37" t="s">
        <v>1893</v>
      </c>
      <c r="T734" s="38">
        <v>45148</v>
      </c>
      <c r="U734" s="39"/>
      <c r="V734" s="39"/>
      <c r="W734" s="40">
        <v>0</v>
      </c>
      <c r="X734" s="40">
        <v>0</v>
      </c>
      <c r="Y734" s="40">
        <v>0</v>
      </c>
      <c r="Z734" s="40">
        <v>0</v>
      </c>
      <c r="AA734" s="40">
        <v>0</v>
      </c>
      <c r="AB734" s="40">
        <v>0</v>
      </c>
      <c r="AC734" s="40">
        <v>0</v>
      </c>
      <c r="AD734" s="40">
        <v>0</v>
      </c>
      <c r="AE734" s="40">
        <v>0</v>
      </c>
      <c r="AF734" s="40">
        <v>0</v>
      </c>
      <c r="AG734" s="40">
        <v>0</v>
      </c>
      <c r="AH734" s="40">
        <v>0</v>
      </c>
      <c r="AI734" s="41">
        <f t="shared" si="73"/>
        <v>0</v>
      </c>
      <c r="AJ734" s="42">
        <v>0</v>
      </c>
      <c r="AK734" s="42">
        <v>0</v>
      </c>
      <c r="AL734" s="42">
        <v>0</v>
      </c>
      <c r="AM734" s="42">
        <v>0</v>
      </c>
      <c r="AN734" s="42">
        <v>971</v>
      </c>
      <c r="AO734" s="42">
        <v>1861</v>
      </c>
      <c r="AP734" s="42">
        <v>1861</v>
      </c>
      <c r="AQ734" s="42">
        <v>1848</v>
      </c>
      <c r="AR734" s="42">
        <v>1861</v>
      </c>
      <c r="AS734" s="42">
        <v>1861</v>
      </c>
      <c r="AT734" s="42">
        <v>1861</v>
      </c>
      <c r="AU734" s="42">
        <v>2812.5356000000002</v>
      </c>
      <c r="AV734" s="42">
        <f t="shared" si="74"/>
        <v>14936.535599999999</v>
      </c>
      <c r="AW734" s="42">
        <v>3321.5458776806399</v>
      </c>
      <c r="AX734" s="42">
        <v>2389.2871332326399</v>
      </c>
      <c r="AY734" s="42">
        <v>2217.2876877849603</v>
      </c>
      <c r="AZ734" s="42">
        <v>1861</v>
      </c>
      <c r="BA734" s="42">
        <v>1861</v>
      </c>
      <c r="BB734" s="42">
        <v>0</v>
      </c>
      <c r="BC734" s="42">
        <v>1861</v>
      </c>
      <c r="BD734" s="42">
        <v>0</v>
      </c>
      <c r="BE734" s="42">
        <v>0</v>
      </c>
      <c r="BF734" s="42">
        <v>0</v>
      </c>
      <c r="BG734" s="42">
        <v>0</v>
      </c>
      <c r="BH734" s="42">
        <v>0</v>
      </c>
      <c r="BI734" s="42">
        <v>1861</v>
      </c>
      <c r="BJ734" s="42">
        <v>0</v>
      </c>
      <c r="BK734" s="42">
        <v>0</v>
      </c>
      <c r="BL734" s="42">
        <v>0</v>
      </c>
      <c r="BM734" s="42">
        <v>0</v>
      </c>
      <c r="BN734" s="42">
        <v>1182</v>
      </c>
      <c r="BO734" s="42">
        <v>500</v>
      </c>
      <c r="BP734" s="42">
        <v>500</v>
      </c>
      <c r="BQ734" s="42">
        <v>500</v>
      </c>
      <c r="BR734" s="42">
        <v>500</v>
      </c>
      <c r="BS734" s="42">
        <v>0</v>
      </c>
      <c r="BT734" s="42">
        <v>500</v>
      </c>
      <c r="BU734" s="42">
        <v>500</v>
      </c>
      <c r="BV734" s="42">
        <v>500</v>
      </c>
      <c r="BW734" s="42">
        <v>500</v>
      </c>
      <c r="BX734" s="42">
        <v>500</v>
      </c>
      <c r="BY734" s="42">
        <v>0</v>
      </c>
      <c r="BZ734" s="42">
        <v>500</v>
      </c>
      <c r="CA734" s="42">
        <v>500</v>
      </c>
      <c r="CB734" s="42">
        <v>500</v>
      </c>
      <c r="CC734" s="42">
        <v>500</v>
      </c>
      <c r="CD734" s="42">
        <v>0</v>
      </c>
      <c r="CE734" s="42">
        <v>500</v>
      </c>
      <c r="CF734" s="42">
        <v>500</v>
      </c>
      <c r="CG734" s="42">
        <v>500</v>
      </c>
      <c r="CH734" s="42">
        <v>500</v>
      </c>
      <c r="CI734" s="42">
        <v>500</v>
      </c>
      <c r="CJ734" s="42">
        <v>0</v>
      </c>
      <c r="CK734" s="43">
        <f t="shared" si="71"/>
        <v>25554.12069869824</v>
      </c>
      <c r="CL734" s="66"/>
      <c r="CM734" s="66">
        <v>500</v>
      </c>
      <c r="CN734" s="66">
        <v>500</v>
      </c>
      <c r="CO734" s="66">
        <v>500</v>
      </c>
      <c r="CP734" s="66">
        <v>135.60606579447995</v>
      </c>
      <c r="CQ734" s="66">
        <v>500</v>
      </c>
      <c r="CR734" s="66">
        <v>0</v>
      </c>
      <c r="CS734" s="66">
        <v>0</v>
      </c>
      <c r="CT734" s="66">
        <v>500</v>
      </c>
      <c r="CU734" s="66">
        <v>500</v>
      </c>
      <c r="CV734" s="66">
        <v>1190.2448614208001</v>
      </c>
      <c r="CW734" s="66">
        <v>0</v>
      </c>
      <c r="CX734" s="66">
        <v>0</v>
      </c>
      <c r="CY734" s="66">
        <v>0</v>
      </c>
      <c r="CZ734" s="66">
        <v>500</v>
      </c>
      <c r="DA734" s="66"/>
      <c r="DB734" s="66"/>
      <c r="DC734" s="66"/>
      <c r="DD734" s="66"/>
      <c r="DE734" s="66"/>
      <c r="DF734" s="66"/>
      <c r="DG734" s="66"/>
      <c r="DH734" s="66"/>
      <c r="DI734" s="66"/>
      <c r="DJ734" s="66"/>
      <c r="DK734" s="66">
        <f>SUM(Table1[[#This Row],[01-03 Apr]:[Mar-26]])</f>
        <v>4825.8509272152805</v>
      </c>
    </row>
    <row r="735" spans="1:115" x14ac:dyDescent="0.2">
      <c r="A735" s="28"/>
      <c r="B735" s="29"/>
      <c r="C735" s="29" t="s">
        <v>3336</v>
      </c>
      <c r="D735" s="30" t="s">
        <v>1894</v>
      </c>
      <c r="E735" s="30" t="s">
        <v>177</v>
      </c>
      <c r="F735" s="30"/>
      <c r="G735" s="31"/>
      <c r="H735" s="30"/>
      <c r="I735" s="30" t="str">
        <f>IF(Table1[[#This Row],[Centre Status]]="Returned","NA",IF(Table1[[#This Row],[SD]]&gt;19000,"Full Payment",IF(Table1[[#This Row],[SD]]&lt;1,"No Payment","Partial Payment")))</f>
        <v>Partial Payment</v>
      </c>
      <c r="J735" s="30" t="s">
        <v>58</v>
      </c>
      <c r="K735" s="32">
        <v>0</v>
      </c>
      <c r="L735" s="33">
        <f>Q735+R735+U735+Table1[[#This Row],[Farmer Payment]]</f>
        <v>5000</v>
      </c>
      <c r="M735" s="30"/>
      <c r="N735" s="34"/>
      <c r="O735" s="34"/>
      <c r="P735" s="35">
        <f t="shared" si="72"/>
        <v>-5000</v>
      </c>
      <c r="Q735" s="33">
        <f>AI735+AV735+CK735+Table1[[#This Row],[FY 25-26]]</f>
        <v>0</v>
      </c>
      <c r="R735" s="36">
        <v>5000</v>
      </c>
      <c r="S735" s="37" t="s">
        <v>1895</v>
      </c>
      <c r="T735" s="38">
        <v>44709</v>
      </c>
      <c r="U735" s="39"/>
      <c r="V735" s="39"/>
      <c r="W735" s="40">
        <v>0</v>
      </c>
      <c r="X735" s="40">
        <v>0</v>
      </c>
      <c r="Y735" s="40">
        <v>0</v>
      </c>
      <c r="Z735" s="40">
        <v>0</v>
      </c>
      <c r="AA735" s="40">
        <v>0</v>
      </c>
      <c r="AB735" s="40">
        <v>0</v>
      </c>
      <c r="AC735" s="40">
        <v>0</v>
      </c>
      <c r="AD735" s="40">
        <v>0</v>
      </c>
      <c r="AE735" s="40">
        <v>0</v>
      </c>
      <c r="AF735" s="40">
        <v>0</v>
      </c>
      <c r="AG735" s="40">
        <v>0</v>
      </c>
      <c r="AH735" s="40">
        <v>0</v>
      </c>
      <c r="AI735" s="41">
        <f t="shared" si="73"/>
        <v>0</v>
      </c>
      <c r="AJ735" s="42">
        <v>0</v>
      </c>
      <c r="AK735" s="42">
        <v>0</v>
      </c>
      <c r="AL735" s="42">
        <v>0</v>
      </c>
      <c r="AM735" s="42">
        <v>0</v>
      </c>
      <c r="AN735" s="42">
        <v>0</v>
      </c>
      <c r="AO735" s="42">
        <v>0</v>
      </c>
      <c r="AP735" s="42">
        <v>0</v>
      </c>
      <c r="AQ735" s="42">
        <v>0</v>
      </c>
      <c r="AR735" s="42">
        <v>0</v>
      </c>
      <c r="AS735" s="42">
        <v>0</v>
      </c>
      <c r="AT735" s="42">
        <v>0</v>
      </c>
      <c r="AU735" s="42">
        <v>0</v>
      </c>
      <c r="AV735" s="42">
        <f t="shared" si="74"/>
        <v>0</v>
      </c>
      <c r="AW735" s="42">
        <v>0</v>
      </c>
      <c r="AX735" s="42">
        <v>0</v>
      </c>
      <c r="AY735" s="42">
        <v>0</v>
      </c>
      <c r="AZ735" s="42">
        <v>0</v>
      </c>
      <c r="BA735" s="42">
        <v>0</v>
      </c>
      <c r="BB735" s="42">
        <v>0</v>
      </c>
      <c r="BC735" s="42">
        <v>0</v>
      </c>
      <c r="BD735" s="42">
        <v>0</v>
      </c>
      <c r="BE735" s="42">
        <v>0</v>
      </c>
      <c r="BF735" s="42">
        <v>0</v>
      </c>
      <c r="BG735" s="42">
        <v>0</v>
      </c>
      <c r="BH735" s="42">
        <v>0</v>
      </c>
      <c r="BI735" s="42">
        <v>0</v>
      </c>
      <c r="BJ735" s="42">
        <v>0</v>
      </c>
      <c r="BK735" s="42">
        <v>0</v>
      </c>
      <c r="BL735" s="42">
        <v>0</v>
      </c>
      <c r="BM735" s="42">
        <v>0</v>
      </c>
      <c r="BN735" s="42">
        <v>0</v>
      </c>
      <c r="BO735" s="42">
        <v>0</v>
      </c>
      <c r="BP735" s="42">
        <v>0</v>
      </c>
      <c r="BQ735" s="42">
        <v>0</v>
      </c>
      <c r="BR735" s="42">
        <v>0</v>
      </c>
      <c r="BS735" s="42">
        <v>0</v>
      </c>
      <c r="BT735" s="42">
        <v>0</v>
      </c>
      <c r="BU735" s="42">
        <v>0</v>
      </c>
      <c r="BV735" s="42">
        <v>0</v>
      </c>
      <c r="BW735" s="42">
        <v>0</v>
      </c>
      <c r="BX735" s="42">
        <v>0</v>
      </c>
      <c r="BY735" s="42">
        <v>0</v>
      </c>
      <c r="BZ735" s="42">
        <v>0</v>
      </c>
      <c r="CA735" s="42">
        <v>0</v>
      </c>
      <c r="CB735" s="42">
        <v>0</v>
      </c>
      <c r="CC735" s="42">
        <v>0</v>
      </c>
      <c r="CD735" s="42">
        <v>0</v>
      </c>
      <c r="CE735" s="42">
        <v>0</v>
      </c>
      <c r="CF735" s="42">
        <v>0</v>
      </c>
      <c r="CG735" s="42">
        <v>0</v>
      </c>
      <c r="CH735" s="42">
        <v>0</v>
      </c>
      <c r="CI735" s="42">
        <v>0</v>
      </c>
      <c r="CJ735" s="42">
        <v>0</v>
      </c>
      <c r="CK735" s="43">
        <f t="shared" si="71"/>
        <v>0</v>
      </c>
      <c r="CL735" s="66"/>
      <c r="CM735" s="66">
        <v>0</v>
      </c>
      <c r="CN735" s="66">
        <v>0</v>
      </c>
      <c r="CO735" s="66">
        <v>0</v>
      </c>
      <c r="CP735" s="66">
        <v>0</v>
      </c>
      <c r="CQ735" s="66">
        <v>0</v>
      </c>
      <c r="CR735" s="66">
        <v>0</v>
      </c>
      <c r="CS735" s="66">
        <v>0</v>
      </c>
      <c r="CT735" s="66">
        <v>0</v>
      </c>
      <c r="CU735" s="66">
        <v>0</v>
      </c>
      <c r="CV735" s="66">
        <v>0</v>
      </c>
      <c r="CW735" s="66">
        <v>0</v>
      </c>
      <c r="CX735" s="66">
        <v>0</v>
      </c>
      <c r="CY735" s="66">
        <v>0</v>
      </c>
      <c r="CZ735" s="66">
        <v>0</v>
      </c>
      <c r="DA735" s="66"/>
      <c r="DB735" s="66"/>
      <c r="DC735" s="66"/>
      <c r="DD735" s="66"/>
      <c r="DE735" s="66"/>
      <c r="DF735" s="66"/>
      <c r="DG735" s="66"/>
      <c r="DH735" s="66"/>
      <c r="DI735" s="66"/>
      <c r="DJ735" s="66"/>
      <c r="DK735" s="66">
        <f>SUM(Table1[[#This Row],[01-03 Apr]:[Mar-26]])</f>
        <v>0</v>
      </c>
    </row>
    <row r="736" spans="1:115" hidden="1" x14ac:dyDescent="0.2">
      <c r="A736" s="28"/>
      <c r="B736" s="29"/>
      <c r="C736" s="29" t="s">
        <v>3336</v>
      </c>
      <c r="D736" s="30" t="s">
        <v>1896</v>
      </c>
      <c r="E736" s="30"/>
      <c r="F736" s="30"/>
      <c r="G736" s="31"/>
      <c r="H736" s="30"/>
      <c r="I736" s="30" t="str">
        <f>IF(Table1[[#This Row],[Centre Status]]="Returned","NA",IF(Table1[[#This Row],[SD]]&gt;19000,"Full Payment",IF(Table1[[#This Row],[SD]]&lt;1,"No Payment","Partial Payment")))</f>
        <v>Full Payment</v>
      </c>
      <c r="J736" s="30" t="s">
        <v>58</v>
      </c>
      <c r="K736" s="32">
        <v>0</v>
      </c>
      <c r="L736" s="33">
        <f>Q736+R736+U736+Table1[[#This Row],[Farmer Payment]]</f>
        <v>20000</v>
      </c>
      <c r="M736" s="30"/>
      <c r="N736" s="34"/>
      <c r="O736" s="34"/>
      <c r="P736" s="35">
        <f t="shared" si="72"/>
        <v>-20000</v>
      </c>
      <c r="Q736" s="33">
        <f>AI736+AV736+CK736+Table1[[#This Row],[FY 25-26]]</f>
        <v>0</v>
      </c>
      <c r="R736" s="36">
        <v>20000</v>
      </c>
      <c r="S736" s="37" t="s">
        <v>2544</v>
      </c>
      <c r="T736" s="38">
        <v>44985</v>
      </c>
      <c r="U736" s="39"/>
      <c r="V736" s="39"/>
      <c r="W736" s="40">
        <v>0</v>
      </c>
      <c r="X736" s="40">
        <v>0</v>
      </c>
      <c r="Y736" s="40">
        <v>0</v>
      </c>
      <c r="Z736" s="40">
        <v>0</v>
      </c>
      <c r="AA736" s="40">
        <v>0</v>
      </c>
      <c r="AB736" s="40">
        <v>0</v>
      </c>
      <c r="AC736" s="40">
        <v>0</v>
      </c>
      <c r="AD736" s="40">
        <v>0</v>
      </c>
      <c r="AE736" s="40">
        <v>0</v>
      </c>
      <c r="AF736" s="40">
        <v>0</v>
      </c>
      <c r="AG736" s="40">
        <v>0</v>
      </c>
      <c r="AH736" s="40">
        <v>0</v>
      </c>
      <c r="AI736" s="41">
        <f t="shared" si="73"/>
        <v>0</v>
      </c>
      <c r="AJ736" s="42">
        <v>0</v>
      </c>
      <c r="AK736" s="42">
        <v>0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>
        <v>0</v>
      </c>
      <c r="AS736" s="42">
        <v>0</v>
      </c>
      <c r="AT736" s="42">
        <v>0</v>
      </c>
      <c r="AU736" s="42">
        <v>0</v>
      </c>
      <c r="AV736" s="42">
        <f t="shared" si="74"/>
        <v>0</v>
      </c>
      <c r="AW736" s="42">
        <v>0</v>
      </c>
      <c r="AX736" s="42">
        <v>0</v>
      </c>
      <c r="AY736" s="42">
        <v>0</v>
      </c>
      <c r="AZ736" s="42">
        <v>0</v>
      </c>
      <c r="BA736" s="42">
        <v>0</v>
      </c>
      <c r="BB736" s="42">
        <v>0</v>
      </c>
      <c r="BC736" s="42">
        <v>0</v>
      </c>
      <c r="BD736" s="42">
        <v>0</v>
      </c>
      <c r="BE736" s="42">
        <v>0</v>
      </c>
      <c r="BF736" s="42">
        <v>0</v>
      </c>
      <c r="BG736" s="42">
        <v>0</v>
      </c>
      <c r="BH736" s="42">
        <v>0</v>
      </c>
      <c r="BI736" s="42">
        <v>0</v>
      </c>
      <c r="BJ736" s="42">
        <v>0</v>
      </c>
      <c r="BK736" s="42">
        <v>0</v>
      </c>
      <c r="BL736" s="42">
        <v>0</v>
      </c>
      <c r="BM736" s="42">
        <v>0</v>
      </c>
      <c r="BN736" s="42">
        <v>0</v>
      </c>
      <c r="BO736" s="42">
        <v>0</v>
      </c>
      <c r="BP736" s="42">
        <v>0</v>
      </c>
      <c r="BQ736" s="42">
        <v>0</v>
      </c>
      <c r="BR736" s="42">
        <v>0</v>
      </c>
      <c r="BS736" s="42">
        <v>0</v>
      </c>
      <c r="BT736" s="42">
        <v>0</v>
      </c>
      <c r="BU736" s="42">
        <v>0</v>
      </c>
      <c r="BV736" s="42">
        <v>0</v>
      </c>
      <c r="BW736" s="42">
        <v>0</v>
      </c>
      <c r="BX736" s="42">
        <v>0</v>
      </c>
      <c r="BY736" s="42">
        <v>0</v>
      </c>
      <c r="BZ736" s="42">
        <v>0</v>
      </c>
      <c r="CA736" s="42">
        <v>0</v>
      </c>
      <c r="CB736" s="42">
        <v>0</v>
      </c>
      <c r="CC736" s="42">
        <v>0</v>
      </c>
      <c r="CD736" s="42">
        <v>0</v>
      </c>
      <c r="CE736" s="42">
        <v>0</v>
      </c>
      <c r="CF736" s="42">
        <v>0</v>
      </c>
      <c r="CG736" s="42">
        <v>0</v>
      </c>
      <c r="CH736" s="42">
        <v>0</v>
      </c>
      <c r="CI736" s="42">
        <v>0</v>
      </c>
      <c r="CJ736" s="42">
        <v>0</v>
      </c>
      <c r="CK736" s="43">
        <f t="shared" si="71"/>
        <v>0</v>
      </c>
      <c r="CL736" s="66"/>
      <c r="CM736" s="66">
        <v>0</v>
      </c>
      <c r="CN736" s="66">
        <v>0</v>
      </c>
      <c r="CO736" s="66">
        <v>0</v>
      </c>
      <c r="CP736" s="66">
        <v>0</v>
      </c>
      <c r="CQ736" s="66">
        <v>0</v>
      </c>
      <c r="CR736" s="66">
        <v>0</v>
      </c>
      <c r="CS736" s="66">
        <v>0</v>
      </c>
      <c r="CT736" s="66">
        <v>0</v>
      </c>
      <c r="CU736" s="66">
        <v>0</v>
      </c>
      <c r="CV736" s="66">
        <v>0</v>
      </c>
      <c r="CW736" s="66">
        <v>0</v>
      </c>
      <c r="CX736" s="66">
        <v>0</v>
      </c>
      <c r="CY736" s="66">
        <v>0</v>
      </c>
      <c r="CZ736" s="66">
        <v>0</v>
      </c>
      <c r="DA736" s="66"/>
      <c r="DB736" s="66"/>
      <c r="DC736" s="66"/>
      <c r="DD736" s="66"/>
      <c r="DE736" s="66"/>
      <c r="DF736" s="66"/>
      <c r="DG736" s="66"/>
      <c r="DH736" s="66"/>
      <c r="DI736" s="66"/>
      <c r="DJ736" s="66"/>
      <c r="DK736" s="66">
        <f>SUM(Table1[[#This Row],[01-03 Apr]:[Mar-26]])</f>
        <v>0</v>
      </c>
    </row>
    <row r="737" spans="1:115" x14ac:dyDescent="0.2">
      <c r="A737" s="28"/>
      <c r="B737" s="29"/>
      <c r="C737" s="29" t="s">
        <v>3336</v>
      </c>
      <c r="D737" s="30" t="s">
        <v>1898</v>
      </c>
      <c r="E737" s="30" t="s">
        <v>943</v>
      </c>
      <c r="F737" s="30"/>
      <c r="G737" s="31"/>
      <c r="H737" s="30"/>
      <c r="I737" s="30" t="str">
        <f>IF(Table1[[#This Row],[Centre Status]]="Returned","NA",IF(Table1[[#This Row],[SD]]&gt;19000,"Full Payment",IF(Table1[[#This Row],[SD]]&lt;1,"No Payment","Partial Payment")))</f>
        <v>Partial Payment</v>
      </c>
      <c r="J737" s="30" t="s">
        <v>58</v>
      </c>
      <c r="K737" s="32">
        <v>0</v>
      </c>
      <c r="L737" s="33">
        <f>Q737+R737+U737+Table1[[#This Row],[Farmer Payment]]</f>
        <v>10000</v>
      </c>
      <c r="M737" s="30"/>
      <c r="N737" s="34"/>
      <c r="O737" s="34"/>
      <c r="P737" s="35">
        <f t="shared" si="72"/>
        <v>-10000</v>
      </c>
      <c r="Q737" s="33">
        <f>AI737+AV737+CK737+Table1[[#This Row],[FY 25-26]]</f>
        <v>0</v>
      </c>
      <c r="R737" s="36">
        <v>10000</v>
      </c>
      <c r="S737" s="37" t="s">
        <v>1294</v>
      </c>
      <c r="T737" s="38">
        <v>44972</v>
      </c>
      <c r="U737" s="39"/>
      <c r="V737" s="39"/>
      <c r="W737" s="40">
        <v>0</v>
      </c>
      <c r="X737" s="40">
        <v>0</v>
      </c>
      <c r="Y737" s="40">
        <v>0</v>
      </c>
      <c r="Z737" s="40">
        <v>0</v>
      </c>
      <c r="AA737" s="40">
        <v>0</v>
      </c>
      <c r="AB737" s="40">
        <v>0</v>
      </c>
      <c r="AC737" s="40">
        <v>0</v>
      </c>
      <c r="AD737" s="40">
        <v>0</v>
      </c>
      <c r="AE737" s="40">
        <v>0</v>
      </c>
      <c r="AF737" s="40">
        <v>0</v>
      </c>
      <c r="AG737" s="40">
        <v>0</v>
      </c>
      <c r="AH737" s="40">
        <v>0</v>
      </c>
      <c r="AI737" s="41">
        <f t="shared" si="73"/>
        <v>0</v>
      </c>
      <c r="AJ737" s="42">
        <v>0</v>
      </c>
      <c r="AK737" s="42">
        <v>0</v>
      </c>
      <c r="AL737" s="42">
        <v>0</v>
      </c>
      <c r="AM737" s="42">
        <v>0</v>
      </c>
      <c r="AN737" s="42">
        <v>0</v>
      </c>
      <c r="AO737" s="42">
        <v>0</v>
      </c>
      <c r="AP737" s="42">
        <v>0</v>
      </c>
      <c r="AQ737" s="42">
        <v>0</v>
      </c>
      <c r="AR737" s="42">
        <v>0</v>
      </c>
      <c r="AS737" s="42">
        <v>0</v>
      </c>
      <c r="AT737" s="42">
        <v>0</v>
      </c>
      <c r="AU737" s="42">
        <v>0</v>
      </c>
      <c r="AV737" s="42">
        <f t="shared" si="74"/>
        <v>0</v>
      </c>
      <c r="AW737" s="42">
        <v>0</v>
      </c>
      <c r="AX737" s="42">
        <v>0</v>
      </c>
      <c r="AY737" s="42">
        <v>0</v>
      </c>
      <c r="AZ737" s="42">
        <v>0</v>
      </c>
      <c r="BA737" s="42">
        <v>0</v>
      </c>
      <c r="BB737" s="42">
        <v>0</v>
      </c>
      <c r="BC737" s="42">
        <v>0</v>
      </c>
      <c r="BD737" s="42">
        <v>0</v>
      </c>
      <c r="BE737" s="42">
        <v>0</v>
      </c>
      <c r="BF737" s="42">
        <v>0</v>
      </c>
      <c r="BG737" s="42">
        <v>0</v>
      </c>
      <c r="BH737" s="42">
        <v>0</v>
      </c>
      <c r="BI737" s="42">
        <v>0</v>
      </c>
      <c r="BJ737" s="42">
        <v>0</v>
      </c>
      <c r="BK737" s="42">
        <v>0</v>
      </c>
      <c r="BL737" s="42">
        <v>0</v>
      </c>
      <c r="BM737" s="42">
        <v>0</v>
      </c>
      <c r="BN737" s="42">
        <v>0</v>
      </c>
      <c r="BO737" s="42">
        <v>0</v>
      </c>
      <c r="BP737" s="42">
        <v>0</v>
      </c>
      <c r="BQ737" s="42">
        <v>0</v>
      </c>
      <c r="BR737" s="42">
        <v>0</v>
      </c>
      <c r="BS737" s="42">
        <v>0</v>
      </c>
      <c r="BT737" s="42">
        <v>0</v>
      </c>
      <c r="BU737" s="42">
        <v>0</v>
      </c>
      <c r="BV737" s="42">
        <v>0</v>
      </c>
      <c r="BW737" s="42">
        <v>0</v>
      </c>
      <c r="BX737" s="42">
        <v>0</v>
      </c>
      <c r="BY737" s="42">
        <v>0</v>
      </c>
      <c r="BZ737" s="42">
        <v>0</v>
      </c>
      <c r="CA737" s="42">
        <v>0</v>
      </c>
      <c r="CB737" s="42">
        <v>0</v>
      </c>
      <c r="CC737" s="42">
        <v>0</v>
      </c>
      <c r="CD737" s="42">
        <v>0</v>
      </c>
      <c r="CE737" s="42">
        <v>0</v>
      </c>
      <c r="CF737" s="42">
        <v>0</v>
      </c>
      <c r="CG737" s="42">
        <v>0</v>
      </c>
      <c r="CH737" s="42">
        <v>0</v>
      </c>
      <c r="CI737" s="42">
        <v>0</v>
      </c>
      <c r="CJ737" s="42">
        <v>0</v>
      </c>
      <c r="CK737" s="43">
        <f t="shared" si="71"/>
        <v>0</v>
      </c>
      <c r="CL737" s="66"/>
      <c r="CM737" s="66">
        <v>0</v>
      </c>
      <c r="CN737" s="66">
        <v>0</v>
      </c>
      <c r="CO737" s="66">
        <v>0</v>
      </c>
      <c r="CP737" s="66">
        <v>0</v>
      </c>
      <c r="CQ737" s="66">
        <v>0</v>
      </c>
      <c r="CR737" s="66">
        <v>0</v>
      </c>
      <c r="CS737" s="66">
        <v>0</v>
      </c>
      <c r="CT737" s="66">
        <v>0</v>
      </c>
      <c r="CU737" s="66">
        <v>0</v>
      </c>
      <c r="CV737" s="66">
        <v>0</v>
      </c>
      <c r="CW737" s="66">
        <v>0</v>
      </c>
      <c r="CX737" s="66">
        <v>0</v>
      </c>
      <c r="CY737" s="66">
        <v>0</v>
      </c>
      <c r="CZ737" s="66">
        <v>0</v>
      </c>
      <c r="DA737" s="66"/>
      <c r="DB737" s="66"/>
      <c r="DC737" s="66"/>
      <c r="DD737" s="66"/>
      <c r="DE737" s="66"/>
      <c r="DF737" s="66"/>
      <c r="DG737" s="66"/>
      <c r="DH737" s="66"/>
      <c r="DI737" s="66"/>
      <c r="DJ737" s="66"/>
      <c r="DK737" s="66">
        <f>SUM(Table1[[#This Row],[01-03 Apr]:[Mar-26]])</f>
        <v>0</v>
      </c>
    </row>
    <row r="738" spans="1:115" x14ac:dyDescent="0.2">
      <c r="A738" s="28"/>
      <c r="B738" s="29"/>
      <c r="C738" s="29" t="s">
        <v>3336</v>
      </c>
      <c r="D738" s="30" t="s">
        <v>1899</v>
      </c>
      <c r="E738" s="30" t="s">
        <v>217</v>
      </c>
      <c r="F738" s="30"/>
      <c r="G738" s="31"/>
      <c r="H738" s="30"/>
      <c r="I738" s="30" t="str">
        <f>IF(Table1[[#This Row],[Centre Status]]="Returned","NA",IF(Table1[[#This Row],[SD]]&gt;19000,"Full Payment",IF(Table1[[#This Row],[SD]]&lt;1,"No Payment","Partial Payment")))</f>
        <v>Partial Payment</v>
      </c>
      <c r="J738" s="30" t="s">
        <v>58</v>
      </c>
      <c r="K738" s="32">
        <v>0</v>
      </c>
      <c r="L738" s="33">
        <f>Q738+R738+U738+Table1[[#This Row],[Farmer Payment]]</f>
        <v>15000</v>
      </c>
      <c r="M738" s="30"/>
      <c r="N738" s="34"/>
      <c r="O738" s="34"/>
      <c r="P738" s="35">
        <f t="shared" si="72"/>
        <v>-15000</v>
      </c>
      <c r="Q738" s="33">
        <f>AI738+AV738+CK738+Table1[[#This Row],[FY 25-26]]</f>
        <v>0</v>
      </c>
      <c r="R738" s="36">
        <v>15000</v>
      </c>
      <c r="S738" s="37" t="s">
        <v>1900</v>
      </c>
      <c r="T738" s="38">
        <v>44980</v>
      </c>
      <c r="U738" s="39"/>
      <c r="V738" s="39"/>
      <c r="W738" s="40">
        <v>0</v>
      </c>
      <c r="X738" s="40">
        <v>0</v>
      </c>
      <c r="Y738" s="40">
        <v>0</v>
      </c>
      <c r="Z738" s="40">
        <v>0</v>
      </c>
      <c r="AA738" s="40">
        <v>0</v>
      </c>
      <c r="AB738" s="40">
        <v>0</v>
      </c>
      <c r="AC738" s="40">
        <v>0</v>
      </c>
      <c r="AD738" s="40">
        <v>0</v>
      </c>
      <c r="AE738" s="40">
        <v>0</v>
      </c>
      <c r="AF738" s="40">
        <v>0</v>
      </c>
      <c r="AG738" s="40">
        <v>0</v>
      </c>
      <c r="AH738" s="40">
        <v>0</v>
      </c>
      <c r="AI738" s="41">
        <f t="shared" si="73"/>
        <v>0</v>
      </c>
      <c r="AJ738" s="42">
        <v>0</v>
      </c>
      <c r="AK738" s="42">
        <v>0</v>
      </c>
      <c r="AL738" s="42">
        <v>0</v>
      </c>
      <c r="AM738" s="42">
        <v>0</v>
      </c>
      <c r="AN738" s="42">
        <v>0</v>
      </c>
      <c r="AO738" s="42">
        <v>0</v>
      </c>
      <c r="AP738" s="42">
        <v>0</v>
      </c>
      <c r="AQ738" s="42">
        <v>0</v>
      </c>
      <c r="AR738" s="42">
        <v>0</v>
      </c>
      <c r="AS738" s="42">
        <v>0</v>
      </c>
      <c r="AT738" s="42">
        <v>0</v>
      </c>
      <c r="AU738" s="42">
        <v>0</v>
      </c>
      <c r="AV738" s="42">
        <f t="shared" si="74"/>
        <v>0</v>
      </c>
      <c r="AW738" s="42">
        <v>0</v>
      </c>
      <c r="AX738" s="42">
        <v>0</v>
      </c>
      <c r="AY738" s="42">
        <v>0</v>
      </c>
      <c r="AZ738" s="42">
        <v>0</v>
      </c>
      <c r="BA738" s="42">
        <v>0</v>
      </c>
      <c r="BB738" s="42">
        <v>0</v>
      </c>
      <c r="BC738" s="42">
        <v>0</v>
      </c>
      <c r="BD738" s="42">
        <v>0</v>
      </c>
      <c r="BE738" s="42">
        <v>0</v>
      </c>
      <c r="BF738" s="42">
        <v>0</v>
      </c>
      <c r="BG738" s="42">
        <v>0</v>
      </c>
      <c r="BH738" s="42">
        <v>0</v>
      </c>
      <c r="BI738" s="42">
        <v>0</v>
      </c>
      <c r="BJ738" s="42">
        <v>0</v>
      </c>
      <c r="BK738" s="42">
        <v>0</v>
      </c>
      <c r="BL738" s="42">
        <v>0</v>
      </c>
      <c r="BM738" s="42">
        <v>0</v>
      </c>
      <c r="BN738" s="42">
        <v>0</v>
      </c>
      <c r="BO738" s="42">
        <v>0</v>
      </c>
      <c r="BP738" s="42">
        <v>0</v>
      </c>
      <c r="BQ738" s="42">
        <v>0</v>
      </c>
      <c r="BR738" s="42">
        <v>0</v>
      </c>
      <c r="BS738" s="42">
        <v>0</v>
      </c>
      <c r="BT738" s="42">
        <v>0</v>
      </c>
      <c r="BU738" s="42">
        <v>0</v>
      </c>
      <c r="BV738" s="42">
        <v>0</v>
      </c>
      <c r="BW738" s="42">
        <v>0</v>
      </c>
      <c r="BX738" s="42">
        <v>0</v>
      </c>
      <c r="BY738" s="42">
        <v>0</v>
      </c>
      <c r="BZ738" s="42">
        <v>0</v>
      </c>
      <c r="CA738" s="42">
        <v>0</v>
      </c>
      <c r="CB738" s="42">
        <v>0</v>
      </c>
      <c r="CC738" s="42">
        <v>0</v>
      </c>
      <c r="CD738" s="42">
        <v>0</v>
      </c>
      <c r="CE738" s="42">
        <v>0</v>
      </c>
      <c r="CF738" s="42">
        <v>0</v>
      </c>
      <c r="CG738" s="42">
        <v>0</v>
      </c>
      <c r="CH738" s="42">
        <v>0</v>
      </c>
      <c r="CI738" s="42">
        <v>0</v>
      </c>
      <c r="CJ738" s="42">
        <v>0</v>
      </c>
      <c r="CK738" s="43">
        <f t="shared" si="71"/>
        <v>0</v>
      </c>
      <c r="CL738" s="66"/>
      <c r="CM738" s="66">
        <v>0</v>
      </c>
      <c r="CN738" s="66">
        <v>0</v>
      </c>
      <c r="CO738" s="66">
        <v>0</v>
      </c>
      <c r="CP738" s="66">
        <v>0</v>
      </c>
      <c r="CQ738" s="66">
        <v>0</v>
      </c>
      <c r="CR738" s="66">
        <v>0</v>
      </c>
      <c r="CS738" s="66">
        <v>0</v>
      </c>
      <c r="CT738" s="66">
        <v>0</v>
      </c>
      <c r="CU738" s="66">
        <v>0</v>
      </c>
      <c r="CV738" s="66">
        <v>0</v>
      </c>
      <c r="CW738" s="66">
        <v>0</v>
      </c>
      <c r="CX738" s="66">
        <v>0</v>
      </c>
      <c r="CY738" s="66">
        <v>0</v>
      </c>
      <c r="CZ738" s="66">
        <v>0</v>
      </c>
      <c r="DA738" s="66"/>
      <c r="DB738" s="66"/>
      <c r="DC738" s="66"/>
      <c r="DD738" s="66"/>
      <c r="DE738" s="66"/>
      <c r="DF738" s="66"/>
      <c r="DG738" s="66"/>
      <c r="DH738" s="66"/>
      <c r="DI738" s="66"/>
      <c r="DJ738" s="66"/>
      <c r="DK738" s="66">
        <f>SUM(Table1[[#This Row],[01-03 Apr]:[Mar-26]])</f>
        <v>0</v>
      </c>
    </row>
    <row r="739" spans="1:115" x14ac:dyDescent="0.2">
      <c r="A739" s="28" t="s">
        <v>371</v>
      </c>
      <c r="B739" s="29"/>
      <c r="C739" s="29" t="s">
        <v>2705</v>
      </c>
      <c r="D739" s="30" t="s">
        <v>2615</v>
      </c>
      <c r="E739" s="30" t="s">
        <v>906</v>
      </c>
      <c r="F739" s="30"/>
      <c r="G739" s="31"/>
      <c r="H739" s="30">
        <v>396149</v>
      </c>
      <c r="I739" s="30" t="str">
        <f>IF(Table1[[#This Row],[Centre Status]]="Returned","NA",IF(Table1[[#This Row],[SD]]&gt;19000,"Full Payment",IF(Table1[[#This Row],[SD]]&lt;1,"No Payment","Partial Payment")))</f>
        <v>No Payment</v>
      </c>
      <c r="J739" s="30" t="s">
        <v>58</v>
      </c>
      <c r="K739" s="32">
        <v>110000</v>
      </c>
      <c r="L739" s="33">
        <f>Q739+R739+U739+Table1[[#This Row],[Farmer Payment]]</f>
        <v>7118</v>
      </c>
      <c r="M739" s="30"/>
      <c r="N739" s="34"/>
      <c r="O739" s="34"/>
      <c r="P739" s="35">
        <f t="shared" si="72"/>
        <v>102882</v>
      </c>
      <c r="Q739" s="33">
        <f>AI739+AV739+CK739+Table1[[#This Row],[FY 25-26]]</f>
        <v>7118</v>
      </c>
      <c r="R739" s="36"/>
      <c r="S739" s="37"/>
      <c r="T739" s="38"/>
      <c r="U739" s="39"/>
      <c r="V739" s="39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1">
        <f t="shared" si="73"/>
        <v>0</v>
      </c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  <c r="AT739" s="42"/>
      <c r="AU739" s="42"/>
      <c r="AV739" s="42">
        <f t="shared" si="74"/>
        <v>0</v>
      </c>
      <c r="AW739" s="42"/>
      <c r="AX739" s="42"/>
      <c r="AY739" s="42"/>
      <c r="AZ739" s="42"/>
      <c r="BA739" s="42"/>
      <c r="BB739" s="42">
        <v>0</v>
      </c>
      <c r="BC739" s="42">
        <v>492</v>
      </c>
      <c r="BD739" s="42">
        <v>0</v>
      </c>
      <c r="BE739" s="42">
        <v>0</v>
      </c>
      <c r="BF739" s="42">
        <v>0</v>
      </c>
      <c r="BG739" s="42">
        <v>0</v>
      </c>
      <c r="BH739" s="42">
        <v>0</v>
      </c>
      <c r="BI739" s="42">
        <v>1765</v>
      </c>
      <c r="BJ739" s="42">
        <v>0</v>
      </c>
      <c r="BK739" s="42">
        <v>0</v>
      </c>
      <c r="BL739" s="42">
        <v>500</v>
      </c>
      <c r="BM739" s="42">
        <v>500</v>
      </c>
      <c r="BN739" s="42">
        <v>861</v>
      </c>
      <c r="BO739" s="42">
        <v>500</v>
      </c>
      <c r="BP739" s="42">
        <v>500</v>
      </c>
      <c r="BQ739" s="42">
        <v>500</v>
      </c>
      <c r="BR739" s="42">
        <v>500</v>
      </c>
      <c r="BS739" s="42">
        <v>0</v>
      </c>
      <c r="BT739" s="42">
        <v>500</v>
      </c>
      <c r="BU739" s="42">
        <v>500</v>
      </c>
      <c r="BV739" s="42">
        <v>0</v>
      </c>
      <c r="BW739" s="42">
        <v>0</v>
      </c>
      <c r="BX739" s="42">
        <v>0</v>
      </c>
      <c r="BY739" s="42">
        <v>0</v>
      </c>
      <c r="BZ739" s="42">
        <v>0</v>
      </c>
      <c r="CA739" s="42">
        <v>0</v>
      </c>
      <c r="CB739" s="42">
        <v>0</v>
      </c>
      <c r="CC739" s="42">
        <v>0</v>
      </c>
      <c r="CD739" s="42">
        <v>0</v>
      </c>
      <c r="CE739" s="42">
        <v>0</v>
      </c>
      <c r="CF739" s="42">
        <v>0</v>
      </c>
      <c r="CG739" s="42">
        <v>0</v>
      </c>
      <c r="CH739" s="42">
        <v>0</v>
      </c>
      <c r="CI739" s="42">
        <v>0</v>
      </c>
      <c r="CJ739" s="42">
        <v>0</v>
      </c>
      <c r="CK739" s="43">
        <f t="shared" si="71"/>
        <v>7118</v>
      </c>
      <c r="CL739" s="66"/>
      <c r="CM739" s="66">
        <v>0</v>
      </c>
      <c r="CN739" s="66">
        <v>0</v>
      </c>
      <c r="CO739" s="66">
        <v>0</v>
      </c>
      <c r="CP739" s="66">
        <v>0</v>
      </c>
      <c r="CQ739" s="66">
        <v>0</v>
      </c>
      <c r="CR739" s="66">
        <v>0</v>
      </c>
      <c r="CS739" s="66">
        <v>0</v>
      </c>
      <c r="CT739" s="66">
        <v>0</v>
      </c>
      <c r="CU739" s="66">
        <v>0</v>
      </c>
      <c r="CV739" s="66">
        <v>0</v>
      </c>
      <c r="CW739" s="66">
        <v>0</v>
      </c>
      <c r="CX739" s="66">
        <v>0</v>
      </c>
      <c r="CY739" s="66">
        <v>0</v>
      </c>
      <c r="CZ739" s="66">
        <v>0</v>
      </c>
      <c r="DA739" s="66"/>
      <c r="DB739" s="66"/>
      <c r="DC739" s="66"/>
      <c r="DD739" s="66"/>
      <c r="DE739" s="66"/>
      <c r="DF739" s="66"/>
      <c r="DG739" s="66"/>
      <c r="DH739" s="66"/>
      <c r="DI739" s="66"/>
      <c r="DJ739" s="66"/>
      <c r="DK739" s="66">
        <f>SUM(Table1[[#This Row],[01-03 Apr]:[Mar-26]])</f>
        <v>0</v>
      </c>
    </row>
    <row r="740" spans="1:115" hidden="1" x14ac:dyDescent="0.2">
      <c r="A740" s="28" t="s">
        <v>371</v>
      </c>
      <c r="B740" s="29"/>
      <c r="C740" s="29" t="s">
        <v>2707</v>
      </c>
      <c r="D740" s="30" t="s">
        <v>2616</v>
      </c>
      <c r="E740" s="30" t="s">
        <v>906</v>
      </c>
      <c r="F740" s="30"/>
      <c r="G740" s="31"/>
      <c r="H740" s="30">
        <v>384253</v>
      </c>
      <c r="I740" s="30" t="str">
        <f>IF(Table1[[#This Row],[Centre Status]]="Returned","NA",IF(Table1[[#This Row],[SD]]&gt;19000,"Full Payment",IF(Table1[[#This Row],[SD]]&lt;1,"No Payment","Partial Payment")))</f>
        <v>Full Payment</v>
      </c>
      <c r="J740" s="30" t="s">
        <v>58</v>
      </c>
      <c r="K740" s="32">
        <v>110000</v>
      </c>
      <c r="L740" s="33">
        <f>Q740+R740+U740+Table1[[#This Row],[Farmer Payment]]</f>
        <v>39620.814178295783</v>
      </c>
      <c r="M740" s="30"/>
      <c r="N740" s="34"/>
      <c r="O740" s="34"/>
      <c r="P740" s="35">
        <f t="shared" si="72"/>
        <v>70379.185821704217</v>
      </c>
      <c r="Q740" s="33">
        <f>AI740+AV740+CK740+Table1[[#This Row],[FY 25-26]]</f>
        <v>19620.814178295783</v>
      </c>
      <c r="R740" s="36">
        <v>20000</v>
      </c>
      <c r="S740" s="37" t="s">
        <v>2654</v>
      </c>
      <c r="T740" s="38">
        <v>45526</v>
      </c>
      <c r="U740" s="39"/>
      <c r="V740" s="39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1">
        <f t="shared" si="73"/>
        <v>0</v>
      </c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  <c r="AT740" s="42"/>
      <c r="AU740" s="42"/>
      <c r="AV740" s="42">
        <f t="shared" si="74"/>
        <v>0</v>
      </c>
      <c r="AW740" s="42"/>
      <c r="AX740" s="42"/>
      <c r="AY740" s="42"/>
      <c r="AZ740" s="42"/>
      <c r="BA740" s="42"/>
      <c r="BB740" s="42">
        <v>0</v>
      </c>
      <c r="BC740" s="42">
        <v>0</v>
      </c>
      <c r="BD740" s="42">
        <v>0</v>
      </c>
      <c r="BE740" s="42">
        <v>0</v>
      </c>
      <c r="BF740" s="42">
        <v>0</v>
      </c>
      <c r="BG740" s="42">
        <v>0</v>
      </c>
      <c r="BH740" s="42">
        <v>0</v>
      </c>
      <c r="BI740" s="42">
        <v>1861</v>
      </c>
      <c r="BJ740" s="42">
        <v>0</v>
      </c>
      <c r="BK740" s="42">
        <v>0</v>
      </c>
      <c r="BL740" s="42">
        <v>0</v>
      </c>
      <c r="BM740" s="42">
        <v>0</v>
      </c>
      <c r="BN740" s="42">
        <v>1861</v>
      </c>
      <c r="BO740" s="42">
        <v>0</v>
      </c>
      <c r="BP740" s="42">
        <v>0</v>
      </c>
      <c r="BQ740" s="42">
        <v>0</v>
      </c>
      <c r="BR740" s="42">
        <v>0</v>
      </c>
      <c r="BS740" s="42">
        <v>1861</v>
      </c>
      <c r="BT740" s="42">
        <v>0</v>
      </c>
      <c r="BU740" s="42">
        <v>0</v>
      </c>
      <c r="BV740" s="42">
        <v>0</v>
      </c>
      <c r="BW740" s="42">
        <v>0</v>
      </c>
      <c r="BX740" s="42">
        <v>0</v>
      </c>
      <c r="BY740" s="42">
        <v>3581.9390925348448</v>
      </c>
      <c r="BZ740" s="42">
        <v>0</v>
      </c>
      <c r="CA740" s="42">
        <v>0</v>
      </c>
      <c r="CB740" s="42">
        <v>0</v>
      </c>
      <c r="CC740" s="42">
        <v>0</v>
      </c>
      <c r="CD740" s="42">
        <v>4087.9979626865838</v>
      </c>
      <c r="CE740" s="42">
        <v>0</v>
      </c>
      <c r="CF740" s="42">
        <v>0</v>
      </c>
      <c r="CG740" s="42">
        <v>0</v>
      </c>
      <c r="CH740" s="42">
        <v>0</v>
      </c>
      <c r="CI740" s="42">
        <v>0</v>
      </c>
      <c r="CJ740" s="42">
        <v>3201.8771230743523</v>
      </c>
      <c r="CK740" s="43">
        <f t="shared" si="71"/>
        <v>16454.814178295783</v>
      </c>
      <c r="CL740" s="66"/>
      <c r="CM740" s="66">
        <v>0</v>
      </c>
      <c r="CN740" s="66">
        <v>0</v>
      </c>
      <c r="CO740" s="66">
        <v>0</v>
      </c>
      <c r="CP740" s="66">
        <v>1861</v>
      </c>
      <c r="CQ740" s="66">
        <v>0</v>
      </c>
      <c r="CR740" s="66">
        <v>0</v>
      </c>
      <c r="CS740" s="66">
        <v>0</v>
      </c>
      <c r="CT740" s="66">
        <v>0</v>
      </c>
      <c r="CU740" s="66">
        <v>0</v>
      </c>
      <c r="CV740" s="66">
        <v>1305</v>
      </c>
      <c r="CW740" s="66">
        <v>0</v>
      </c>
      <c r="CX740" s="66">
        <v>0</v>
      </c>
      <c r="CY740" s="66">
        <v>0</v>
      </c>
      <c r="CZ740" s="66">
        <v>0</v>
      </c>
      <c r="DA740" s="66"/>
      <c r="DB740" s="66"/>
      <c r="DC740" s="66"/>
      <c r="DD740" s="66"/>
      <c r="DE740" s="66"/>
      <c r="DF740" s="66"/>
      <c r="DG740" s="66"/>
      <c r="DH740" s="66"/>
      <c r="DI740" s="66"/>
      <c r="DJ740" s="66"/>
      <c r="DK740" s="66">
        <f>SUM(Table1[[#This Row],[01-03 Apr]:[Mar-26]])</f>
        <v>3166</v>
      </c>
    </row>
    <row r="741" spans="1:115" hidden="1" x14ac:dyDescent="0.2">
      <c r="A741" s="28" t="s">
        <v>371</v>
      </c>
      <c r="B741" s="29"/>
      <c r="C741" s="29" t="s">
        <v>2706</v>
      </c>
      <c r="D741" s="30" t="s">
        <v>2617</v>
      </c>
      <c r="E741" s="30" t="s">
        <v>906</v>
      </c>
      <c r="F741" s="30"/>
      <c r="G741" s="31"/>
      <c r="H741" s="30">
        <v>385565</v>
      </c>
      <c r="I741" s="30" t="str">
        <f>IF(Table1[[#This Row],[Centre Status]]="Returned","NA",IF(Table1[[#This Row],[SD]]&gt;19000,"Full Payment",IF(Table1[[#This Row],[SD]]&lt;1,"No Payment","Partial Payment")))</f>
        <v>Full Payment</v>
      </c>
      <c r="J741" s="30" t="s">
        <v>58</v>
      </c>
      <c r="K741" s="32">
        <v>110000</v>
      </c>
      <c r="L741" s="33">
        <f>Q741+R741+U741+Table1[[#This Row],[Farmer Payment]]</f>
        <v>47432.48646282361</v>
      </c>
      <c r="M741" s="30"/>
      <c r="N741" s="34"/>
      <c r="O741" s="34"/>
      <c r="P741" s="35">
        <f t="shared" si="72"/>
        <v>62567.51353717639</v>
      </c>
      <c r="Q741" s="33">
        <f>AI741+AV741+CK741+Table1[[#This Row],[FY 25-26]]</f>
        <v>27432.48646282361</v>
      </c>
      <c r="R741" s="36">
        <v>20000</v>
      </c>
      <c r="S741" s="37" t="s">
        <v>2618</v>
      </c>
      <c r="T741" s="38">
        <v>45529</v>
      </c>
      <c r="U741" s="39"/>
      <c r="V741" s="39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1">
        <f t="shared" si="73"/>
        <v>0</v>
      </c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  <c r="AT741" s="42"/>
      <c r="AU741" s="42"/>
      <c r="AV741" s="42">
        <f t="shared" si="74"/>
        <v>0</v>
      </c>
      <c r="AW741" s="42"/>
      <c r="AX741" s="42"/>
      <c r="AY741" s="42"/>
      <c r="AZ741" s="42"/>
      <c r="BA741" s="42"/>
      <c r="BB741" s="42">
        <v>0</v>
      </c>
      <c r="BC741" s="42">
        <v>1861</v>
      </c>
      <c r="BD741" s="42">
        <v>0</v>
      </c>
      <c r="BE741" s="42">
        <v>0</v>
      </c>
      <c r="BF741" s="42">
        <v>0</v>
      </c>
      <c r="BG741" s="42">
        <v>0</v>
      </c>
      <c r="BH741" s="42">
        <v>0</v>
      </c>
      <c r="BI741" s="42">
        <v>1861</v>
      </c>
      <c r="BJ741" s="42">
        <v>0</v>
      </c>
      <c r="BK741" s="42">
        <v>0</v>
      </c>
      <c r="BL741" s="42">
        <v>0</v>
      </c>
      <c r="BM741" s="42">
        <v>0</v>
      </c>
      <c r="BN741" s="42">
        <v>1861</v>
      </c>
      <c r="BO741" s="42">
        <v>0</v>
      </c>
      <c r="BP741" s="42">
        <v>0</v>
      </c>
      <c r="BQ741" s="42">
        <v>0</v>
      </c>
      <c r="BR741" s="42">
        <v>0</v>
      </c>
      <c r="BS741" s="42">
        <v>3328.752509127542</v>
      </c>
      <c r="BT741" s="42">
        <v>0</v>
      </c>
      <c r="BU741" s="42">
        <v>0</v>
      </c>
      <c r="BV741" s="42">
        <v>0</v>
      </c>
      <c r="BW741" s="42">
        <v>0</v>
      </c>
      <c r="BX741" s="42">
        <v>0</v>
      </c>
      <c r="BY741" s="42">
        <v>4167.3613843874882</v>
      </c>
      <c r="BZ741" s="42">
        <v>0</v>
      </c>
      <c r="CA741" s="42">
        <v>0</v>
      </c>
      <c r="CB741" s="42">
        <v>0</v>
      </c>
      <c r="CC741" s="42">
        <v>0</v>
      </c>
      <c r="CD741" s="42">
        <v>4690.7466338526701</v>
      </c>
      <c r="CE741" s="42">
        <v>0</v>
      </c>
      <c r="CF741" s="42">
        <v>0</v>
      </c>
      <c r="CG741" s="42">
        <v>0</v>
      </c>
      <c r="CH741" s="42">
        <v>0</v>
      </c>
      <c r="CI741" s="42">
        <v>0</v>
      </c>
      <c r="CJ741" s="42">
        <v>4164.5534981962355</v>
      </c>
      <c r="CK741" s="43">
        <f t="shared" si="71"/>
        <v>21934.414025563936</v>
      </c>
      <c r="CL741" s="66"/>
      <c r="CM741" s="66">
        <v>0</v>
      </c>
      <c r="CN741" s="66">
        <v>0</v>
      </c>
      <c r="CO741" s="66">
        <v>0</v>
      </c>
      <c r="CP741" s="66">
        <v>2719.6151975973326</v>
      </c>
      <c r="CQ741" s="66">
        <v>0</v>
      </c>
      <c r="CR741" s="66">
        <v>0</v>
      </c>
      <c r="CS741" s="66">
        <v>0</v>
      </c>
      <c r="CT741" s="66">
        <v>0</v>
      </c>
      <c r="CU741" s="66">
        <v>0</v>
      </c>
      <c r="CV741" s="66">
        <v>2778.4572396623421</v>
      </c>
      <c r="CW741" s="66">
        <v>0</v>
      </c>
      <c r="CX741" s="66">
        <v>0</v>
      </c>
      <c r="CY741" s="66">
        <v>0</v>
      </c>
      <c r="CZ741" s="66">
        <v>0</v>
      </c>
      <c r="DA741" s="66"/>
      <c r="DB741" s="66"/>
      <c r="DC741" s="66"/>
      <c r="DD741" s="66"/>
      <c r="DE741" s="66"/>
      <c r="DF741" s="66"/>
      <c r="DG741" s="66"/>
      <c r="DH741" s="66"/>
      <c r="DI741" s="66"/>
      <c r="DJ741" s="66"/>
      <c r="DK741" s="66">
        <f>SUM(Table1[[#This Row],[01-03 Apr]:[Mar-26]])</f>
        <v>5498.0724372596742</v>
      </c>
    </row>
    <row r="742" spans="1:115" hidden="1" x14ac:dyDescent="0.2">
      <c r="A742" s="28" t="s">
        <v>371</v>
      </c>
      <c r="B742" s="29"/>
      <c r="C742" s="29" t="s">
        <v>2619</v>
      </c>
      <c r="D742" s="30" t="s">
        <v>2620</v>
      </c>
      <c r="E742" s="30" t="s">
        <v>906</v>
      </c>
      <c r="F742" s="30"/>
      <c r="G742" s="31"/>
      <c r="H742" s="30">
        <v>384255</v>
      </c>
      <c r="I742" s="30" t="str">
        <f>IF(Table1[[#This Row],[Centre Status]]="Returned","NA",IF(Table1[[#This Row],[SD]]&gt;19000,"Full Payment",IF(Table1[[#This Row],[SD]]&lt;1,"No Payment","Partial Payment")))</f>
        <v>NA</v>
      </c>
      <c r="J742" s="30" t="s">
        <v>1903</v>
      </c>
      <c r="K742" s="32">
        <v>110000</v>
      </c>
      <c r="L742" s="33">
        <f>Q742+R742+U742+Table1[[#This Row],[Farmer Payment]]</f>
        <v>20000</v>
      </c>
      <c r="M742" s="30">
        <v>20000</v>
      </c>
      <c r="N742" s="34">
        <v>45638</v>
      </c>
      <c r="O742" s="34" t="s">
        <v>2463</v>
      </c>
      <c r="P742" s="35">
        <f t="shared" si="72"/>
        <v>110000</v>
      </c>
      <c r="Q742" s="33">
        <f>AI742+AV742+CK742+Table1[[#This Row],[FY 25-26]]</f>
        <v>0</v>
      </c>
      <c r="R742" s="36">
        <v>20000</v>
      </c>
      <c r="S742" s="37" t="s">
        <v>2621</v>
      </c>
      <c r="T742" s="38">
        <v>45513</v>
      </c>
      <c r="U742" s="39"/>
      <c r="V742" s="39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1">
        <f t="shared" si="73"/>
        <v>0</v>
      </c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>
        <f t="shared" si="74"/>
        <v>0</v>
      </c>
      <c r="AW742" s="42"/>
      <c r="AX742" s="42"/>
      <c r="AY742" s="42"/>
      <c r="AZ742" s="42"/>
      <c r="BA742" s="42"/>
      <c r="BB742" s="42">
        <v>0</v>
      </c>
      <c r="BC742" s="42">
        <v>0</v>
      </c>
      <c r="BD742" s="42">
        <v>0</v>
      </c>
      <c r="BE742" s="42">
        <v>0</v>
      </c>
      <c r="BF742" s="42">
        <v>0</v>
      </c>
      <c r="BG742" s="42">
        <v>0</v>
      </c>
      <c r="BH742" s="42">
        <v>0</v>
      </c>
      <c r="BI742" s="42">
        <v>0</v>
      </c>
      <c r="BJ742" s="42">
        <v>0</v>
      </c>
      <c r="BK742" s="42">
        <v>0</v>
      </c>
      <c r="BL742" s="42">
        <v>0</v>
      </c>
      <c r="BM742" s="42">
        <v>0</v>
      </c>
      <c r="BN742" s="42">
        <v>0</v>
      </c>
      <c r="BO742" s="42">
        <v>0</v>
      </c>
      <c r="BP742" s="42">
        <v>0</v>
      </c>
      <c r="BQ742" s="42">
        <v>0</v>
      </c>
      <c r="BR742" s="42">
        <v>0</v>
      </c>
      <c r="BS742" s="42">
        <v>0</v>
      </c>
      <c r="BT742" s="42">
        <v>0</v>
      </c>
      <c r="BU742" s="42">
        <v>0</v>
      </c>
      <c r="BV742" s="42">
        <v>0</v>
      </c>
      <c r="BW742" s="42">
        <v>0</v>
      </c>
      <c r="BX742" s="42">
        <v>0</v>
      </c>
      <c r="BY742" s="42">
        <v>0</v>
      </c>
      <c r="BZ742" s="42">
        <v>0</v>
      </c>
      <c r="CA742" s="42">
        <v>0</v>
      </c>
      <c r="CB742" s="42">
        <v>0</v>
      </c>
      <c r="CC742" s="42">
        <v>0</v>
      </c>
      <c r="CD742" s="42">
        <v>0</v>
      </c>
      <c r="CE742" s="42">
        <v>0</v>
      </c>
      <c r="CF742" s="42">
        <v>0</v>
      </c>
      <c r="CG742" s="42">
        <v>0</v>
      </c>
      <c r="CH742" s="42">
        <v>0</v>
      </c>
      <c r="CI742" s="42">
        <v>0</v>
      </c>
      <c r="CJ742" s="42">
        <v>0</v>
      </c>
      <c r="CK742" s="43">
        <f t="shared" si="71"/>
        <v>0</v>
      </c>
      <c r="CL742" s="66"/>
      <c r="CM742" s="66">
        <v>0</v>
      </c>
      <c r="CN742" s="66">
        <v>0</v>
      </c>
      <c r="CO742" s="66">
        <v>0</v>
      </c>
      <c r="CP742" s="66">
        <v>0</v>
      </c>
      <c r="CQ742" s="66">
        <v>0</v>
      </c>
      <c r="CR742" s="66">
        <v>0</v>
      </c>
      <c r="CS742" s="66">
        <v>0</v>
      </c>
      <c r="CT742" s="66">
        <v>0</v>
      </c>
      <c r="CU742" s="66">
        <v>0</v>
      </c>
      <c r="CV742" s="66">
        <v>0</v>
      </c>
      <c r="CW742" s="66">
        <v>0</v>
      </c>
      <c r="CX742" s="66">
        <v>0</v>
      </c>
      <c r="CY742" s="66">
        <v>0</v>
      </c>
      <c r="CZ742" s="66">
        <v>0</v>
      </c>
      <c r="DA742" s="66"/>
      <c r="DB742" s="66"/>
      <c r="DC742" s="66"/>
      <c r="DD742" s="66"/>
      <c r="DE742" s="66"/>
      <c r="DF742" s="66"/>
      <c r="DG742" s="66"/>
      <c r="DH742" s="66"/>
      <c r="DI742" s="66"/>
      <c r="DJ742" s="66"/>
      <c r="DK742" s="66">
        <f>SUM(Table1[[#This Row],[01-03 Apr]:[Mar-26]])</f>
        <v>0</v>
      </c>
    </row>
    <row r="743" spans="1:115" hidden="1" x14ac:dyDescent="0.2">
      <c r="A743" s="28" t="s">
        <v>371</v>
      </c>
      <c r="B743" s="29"/>
      <c r="C743" s="29" t="s">
        <v>2622</v>
      </c>
      <c r="D743" s="30" t="s">
        <v>2623</v>
      </c>
      <c r="E743" s="30" t="s">
        <v>1321</v>
      </c>
      <c r="F743" s="30"/>
      <c r="G743" s="31"/>
      <c r="H743" s="30">
        <v>388022</v>
      </c>
      <c r="I743" s="30" t="str">
        <f>IF(Table1[[#This Row],[Centre Status]]="Returned","NA",IF(Table1[[#This Row],[SD]]&gt;19000,"Full Payment",IF(Table1[[#This Row],[SD]]&lt;1,"No Payment","Partial Payment")))</f>
        <v>Full Payment</v>
      </c>
      <c r="J743" s="30" t="s">
        <v>58</v>
      </c>
      <c r="K743" s="32">
        <v>110000</v>
      </c>
      <c r="L743" s="33">
        <f>Q743+R743+U743+Table1[[#This Row],[Farmer Payment]]</f>
        <v>32487</v>
      </c>
      <c r="M743" s="30"/>
      <c r="N743" s="34"/>
      <c r="O743" s="34"/>
      <c r="P743" s="35">
        <f t="shared" si="72"/>
        <v>77513</v>
      </c>
      <c r="Q743" s="33">
        <f>AI743+AV743+CK743+Table1[[#This Row],[FY 25-26]]</f>
        <v>12487</v>
      </c>
      <c r="R743" s="36">
        <v>20000</v>
      </c>
      <c r="S743" s="37" t="s">
        <v>2624</v>
      </c>
      <c r="T743" s="38">
        <v>45508</v>
      </c>
      <c r="U743" s="39"/>
      <c r="V743" s="39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1">
        <f t="shared" si="73"/>
        <v>0</v>
      </c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  <c r="AT743" s="42"/>
      <c r="AU743" s="42"/>
      <c r="AV743" s="42">
        <f t="shared" si="74"/>
        <v>0</v>
      </c>
      <c r="AW743" s="42"/>
      <c r="AX743" s="42"/>
      <c r="AY743" s="42"/>
      <c r="AZ743" s="42"/>
      <c r="BA743" s="42"/>
      <c r="BB743" s="42">
        <v>0</v>
      </c>
      <c r="BC743" s="42">
        <v>1861</v>
      </c>
      <c r="BD743" s="42">
        <v>0</v>
      </c>
      <c r="BE743" s="42">
        <v>0</v>
      </c>
      <c r="BF743" s="42">
        <v>0</v>
      </c>
      <c r="BG743" s="42">
        <v>0</v>
      </c>
      <c r="BH743" s="42">
        <v>0</v>
      </c>
      <c r="BI743" s="42">
        <v>1861</v>
      </c>
      <c r="BJ743" s="42">
        <v>0</v>
      </c>
      <c r="BK743" s="42">
        <v>0</v>
      </c>
      <c r="BL743" s="42">
        <v>0</v>
      </c>
      <c r="BM743" s="42">
        <v>0</v>
      </c>
      <c r="BN743" s="42">
        <v>1861</v>
      </c>
      <c r="BO743" s="42">
        <v>0</v>
      </c>
      <c r="BP743" s="42">
        <v>0</v>
      </c>
      <c r="BQ743" s="42">
        <v>0</v>
      </c>
      <c r="BR743" s="42">
        <v>0</v>
      </c>
      <c r="BS743" s="42">
        <v>1861</v>
      </c>
      <c r="BT743" s="42">
        <v>0</v>
      </c>
      <c r="BU743" s="42">
        <v>0</v>
      </c>
      <c r="BV743" s="42">
        <v>0</v>
      </c>
      <c r="BW743" s="42">
        <v>0</v>
      </c>
      <c r="BX743" s="42">
        <v>0</v>
      </c>
      <c r="BY743" s="42">
        <v>1861</v>
      </c>
      <c r="BZ743" s="42">
        <v>0</v>
      </c>
      <c r="CA743" s="42">
        <v>0</v>
      </c>
      <c r="CB743" s="42">
        <v>0</v>
      </c>
      <c r="CC743" s="42">
        <v>0</v>
      </c>
      <c r="CD743" s="42">
        <v>1460</v>
      </c>
      <c r="CE743" s="42">
        <v>0</v>
      </c>
      <c r="CF743" s="42">
        <v>0</v>
      </c>
      <c r="CG743" s="42">
        <v>0</v>
      </c>
      <c r="CH743" s="42">
        <v>0</v>
      </c>
      <c r="CI743" s="42">
        <v>0</v>
      </c>
      <c r="CJ743" s="42">
        <v>359</v>
      </c>
      <c r="CK743" s="43">
        <f t="shared" si="71"/>
        <v>11124</v>
      </c>
      <c r="CL743" s="66"/>
      <c r="CM743" s="66">
        <v>0</v>
      </c>
      <c r="CN743" s="66">
        <v>0</v>
      </c>
      <c r="CO743" s="66">
        <v>0</v>
      </c>
      <c r="CP743" s="66">
        <v>1033</v>
      </c>
      <c r="CQ743" s="66">
        <v>0</v>
      </c>
      <c r="CR743" s="66">
        <v>0</v>
      </c>
      <c r="CS743" s="66">
        <v>0</v>
      </c>
      <c r="CT743" s="66">
        <v>0</v>
      </c>
      <c r="CU743" s="66">
        <v>0</v>
      </c>
      <c r="CV743" s="66">
        <v>330</v>
      </c>
      <c r="CW743" s="66">
        <v>0</v>
      </c>
      <c r="CX743" s="66">
        <v>0</v>
      </c>
      <c r="CY743" s="66">
        <v>0</v>
      </c>
      <c r="CZ743" s="66">
        <v>0</v>
      </c>
      <c r="DA743" s="66"/>
      <c r="DB743" s="66"/>
      <c r="DC743" s="66"/>
      <c r="DD743" s="66"/>
      <c r="DE743" s="66"/>
      <c r="DF743" s="66"/>
      <c r="DG743" s="66"/>
      <c r="DH743" s="66"/>
      <c r="DI743" s="66"/>
      <c r="DJ743" s="66"/>
      <c r="DK743" s="66">
        <f>SUM(Table1[[#This Row],[01-03 Apr]:[Mar-26]])</f>
        <v>1363</v>
      </c>
    </row>
    <row r="744" spans="1:115" hidden="1" x14ac:dyDescent="0.2">
      <c r="A744" s="28" t="s">
        <v>371</v>
      </c>
      <c r="B744" s="29"/>
      <c r="C744" s="29" t="s">
        <v>2625</v>
      </c>
      <c r="D744" s="30" t="s">
        <v>2626</v>
      </c>
      <c r="E744" s="30" t="s">
        <v>906</v>
      </c>
      <c r="F744" s="30"/>
      <c r="G744" s="31"/>
      <c r="H744" s="30">
        <v>396126</v>
      </c>
      <c r="I744" s="30" t="str">
        <f>IF(Table1[[#This Row],[Centre Status]]="Returned","NA",IF(Table1[[#This Row],[SD]]&gt;19000,"Full Payment",IF(Table1[[#This Row],[SD]]&lt;1,"No Payment","Partial Payment")))</f>
        <v>Full Payment</v>
      </c>
      <c r="J744" s="30" t="s">
        <v>58</v>
      </c>
      <c r="K744" s="32">
        <v>110000</v>
      </c>
      <c r="L744" s="33">
        <f>Q744+R744+U744+Table1[[#This Row],[Farmer Payment]]</f>
        <v>26312</v>
      </c>
      <c r="M744" s="30"/>
      <c r="N744" s="34"/>
      <c r="O744" s="34"/>
      <c r="P744" s="35">
        <f t="shared" si="72"/>
        <v>83688</v>
      </c>
      <c r="Q744" s="33">
        <f>AI744+AV744+CK744+Table1[[#This Row],[FY 25-26]]</f>
        <v>6312</v>
      </c>
      <c r="R744" s="36">
        <v>20000</v>
      </c>
      <c r="S744" s="37" t="s">
        <v>2627</v>
      </c>
      <c r="T744" s="38">
        <v>45500</v>
      </c>
      <c r="U744" s="39"/>
      <c r="V744" s="39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1">
        <f t="shared" si="73"/>
        <v>0</v>
      </c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  <c r="AT744" s="42"/>
      <c r="AU744" s="42"/>
      <c r="AV744" s="42">
        <f t="shared" si="74"/>
        <v>0</v>
      </c>
      <c r="AW744" s="42"/>
      <c r="AX744" s="42"/>
      <c r="AY744" s="42"/>
      <c r="AZ744" s="42"/>
      <c r="BA744" s="42"/>
      <c r="BB744" s="42">
        <v>0</v>
      </c>
      <c r="BC744" s="42">
        <v>0</v>
      </c>
      <c r="BD744" s="42">
        <v>0</v>
      </c>
      <c r="BE744" s="42">
        <v>0</v>
      </c>
      <c r="BF744" s="42">
        <v>0</v>
      </c>
      <c r="BG744" s="42">
        <v>0</v>
      </c>
      <c r="BH744" s="42">
        <v>0</v>
      </c>
      <c r="BI744" s="42">
        <v>234</v>
      </c>
      <c r="BJ744" s="42">
        <v>0</v>
      </c>
      <c r="BK744" s="42">
        <v>0</v>
      </c>
      <c r="BL744" s="42">
        <v>500</v>
      </c>
      <c r="BM744" s="42">
        <v>500</v>
      </c>
      <c r="BN744" s="42">
        <v>861</v>
      </c>
      <c r="BO744" s="42">
        <v>500</v>
      </c>
      <c r="BP744" s="42">
        <v>0</v>
      </c>
      <c r="BQ744" s="42">
        <v>0</v>
      </c>
      <c r="BR744" s="42">
        <v>500</v>
      </c>
      <c r="BS744" s="42">
        <v>861</v>
      </c>
      <c r="BT744" s="42">
        <v>0</v>
      </c>
      <c r="BU744" s="42">
        <v>0</v>
      </c>
      <c r="BV744" s="42">
        <v>0</v>
      </c>
      <c r="BW744" s="42">
        <v>0</v>
      </c>
      <c r="BX744" s="42">
        <v>0</v>
      </c>
      <c r="BY744" s="42">
        <v>0</v>
      </c>
      <c r="BZ744" s="42">
        <v>0</v>
      </c>
      <c r="CA744" s="42">
        <v>500</v>
      </c>
      <c r="CB744" s="42">
        <v>0</v>
      </c>
      <c r="CC744" s="42">
        <v>0</v>
      </c>
      <c r="CD744" s="42">
        <v>241</v>
      </c>
      <c r="CE744" s="42">
        <v>0</v>
      </c>
      <c r="CF744" s="42">
        <v>0</v>
      </c>
      <c r="CG744" s="42">
        <v>0</v>
      </c>
      <c r="CH744" s="42">
        <v>0</v>
      </c>
      <c r="CI744" s="42">
        <v>0</v>
      </c>
      <c r="CJ744" s="42">
        <v>699</v>
      </c>
      <c r="CK744" s="43">
        <f t="shared" si="71"/>
        <v>5396</v>
      </c>
      <c r="CL744" s="66"/>
      <c r="CM744" s="66">
        <v>0</v>
      </c>
      <c r="CN744" s="66">
        <v>0</v>
      </c>
      <c r="CO744" s="66">
        <v>0</v>
      </c>
      <c r="CP744" s="66">
        <v>758</v>
      </c>
      <c r="CQ744" s="66">
        <v>0</v>
      </c>
      <c r="CR744" s="66">
        <v>0</v>
      </c>
      <c r="CS744" s="66">
        <v>0</v>
      </c>
      <c r="CT744" s="66">
        <v>0</v>
      </c>
      <c r="CU744" s="66">
        <v>0</v>
      </c>
      <c r="CV744" s="66">
        <v>158</v>
      </c>
      <c r="CW744" s="66">
        <v>0</v>
      </c>
      <c r="CX744" s="66">
        <v>0</v>
      </c>
      <c r="CY744" s="66">
        <v>0</v>
      </c>
      <c r="CZ744" s="66">
        <v>0</v>
      </c>
      <c r="DA744" s="66"/>
      <c r="DB744" s="66"/>
      <c r="DC744" s="66"/>
      <c r="DD744" s="66"/>
      <c r="DE744" s="66"/>
      <c r="DF744" s="66"/>
      <c r="DG744" s="66"/>
      <c r="DH744" s="66"/>
      <c r="DI744" s="66"/>
      <c r="DJ744" s="66"/>
      <c r="DK744" s="66">
        <f>SUM(Table1[[#This Row],[01-03 Apr]:[Mar-26]])</f>
        <v>916</v>
      </c>
    </row>
    <row r="745" spans="1:115" hidden="1" x14ac:dyDescent="0.2">
      <c r="A745" s="28" t="s">
        <v>2689</v>
      </c>
      <c r="B745" s="29"/>
      <c r="C745" s="29" t="s">
        <v>3336</v>
      </c>
      <c r="D745" s="30" t="s">
        <v>2688</v>
      </c>
      <c r="E745" s="30"/>
      <c r="F745" s="30"/>
      <c r="G745" s="31"/>
      <c r="H745" s="30"/>
      <c r="I745" s="30" t="str">
        <f>IF(Table1[[#This Row],[Centre Status]]="Returned","NA",IF(Table1[[#This Row],[SD]]&gt;19000,"Full Payment",IF(Table1[[#This Row],[SD]]&lt;1,"No Payment","Partial Payment")))</f>
        <v>NA</v>
      </c>
      <c r="J745" s="30" t="s">
        <v>1903</v>
      </c>
      <c r="K745" s="32">
        <v>0</v>
      </c>
      <c r="L745" s="33">
        <f>Q745+R745+U745+Table1[[#This Row],[Farmer Payment]]</f>
        <v>20000</v>
      </c>
      <c r="M745" s="30">
        <v>20000</v>
      </c>
      <c r="N745" s="34">
        <v>45647</v>
      </c>
      <c r="O745" s="34" t="s">
        <v>2865</v>
      </c>
      <c r="P745" s="35">
        <f t="shared" si="72"/>
        <v>0</v>
      </c>
      <c r="Q745" s="33">
        <f>AI745+AV745+CK745+Table1[[#This Row],[FY 25-26]]</f>
        <v>0</v>
      </c>
      <c r="R745" s="36">
        <v>20000</v>
      </c>
      <c r="S745" s="37" t="s">
        <v>2690</v>
      </c>
      <c r="T745" s="38">
        <v>45362</v>
      </c>
      <c r="U745" s="39"/>
      <c r="V745" s="39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1">
        <f t="shared" si="73"/>
        <v>0</v>
      </c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  <c r="AT745" s="42"/>
      <c r="AU745" s="42"/>
      <c r="AV745" s="42">
        <f t="shared" si="74"/>
        <v>0</v>
      </c>
      <c r="AW745" s="42"/>
      <c r="AX745" s="42"/>
      <c r="AY745" s="42"/>
      <c r="AZ745" s="42"/>
      <c r="BA745" s="42"/>
      <c r="BB745" s="42"/>
      <c r="BC745" s="42">
        <v>0</v>
      </c>
      <c r="BD745" s="42">
        <v>0</v>
      </c>
      <c r="BE745" s="42">
        <v>0</v>
      </c>
      <c r="BF745" s="42">
        <v>0</v>
      </c>
      <c r="BG745" s="42">
        <v>0</v>
      </c>
      <c r="BH745" s="42">
        <v>0</v>
      </c>
      <c r="BI745" s="42">
        <v>0</v>
      </c>
      <c r="BJ745" s="42">
        <v>0</v>
      </c>
      <c r="BK745" s="42">
        <v>0</v>
      </c>
      <c r="BL745" s="42">
        <v>0</v>
      </c>
      <c r="BM745" s="42">
        <v>0</v>
      </c>
      <c r="BN745" s="42">
        <v>0</v>
      </c>
      <c r="BO745" s="42">
        <v>0</v>
      </c>
      <c r="BP745" s="42">
        <v>0</v>
      </c>
      <c r="BQ745" s="42">
        <v>0</v>
      </c>
      <c r="BR745" s="42">
        <v>0</v>
      </c>
      <c r="BS745" s="42">
        <v>0</v>
      </c>
      <c r="BT745" s="42">
        <v>0</v>
      </c>
      <c r="BU745" s="42">
        <v>0</v>
      </c>
      <c r="BV745" s="42">
        <v>0</v>
      </c>
      <c r="BW745" s="42">
        <v>0</v>
      </c>
      <c r="BX745" s="42">
        <v>0</v>
      </c>
      <c r="BY745" s="42">
        <v>0</v>
      </c>
      <c r="BZ745" s="42">
        <v>0</v>
      </c>
      <c r="CA745" s="42">
        <v>0</v>
      </c>
      <c r="CB745" s="42">
        <v>0</v>
      </c>
      <c r="CC745" s="42">
        <v>0</v>
      </c>
      <c r="CD745" s="42">
        <v>0</v>
      </c>
      <c r="CE745" s="42">
        <v>0</v>
      </c>
      <c r="CF745" s="42">
        <v>0</v>
      </c>
      <c r="CG745" s="42">
        <v>0</v>
      </c>
      <c r="CH745" s="42">
        <v>0</v>
      </c>
      <c r="CI745" s="42">
        <v>0</v>
      </c>
      <c r="CJ745" s="42">
        <v>0</v>
      </c>
      <c r="CK745" s="43">
        <f t="shared" ref="CK745:CK808" si="75">SUM(AW745:CJ745)</f>
        <v>0</v>
      </c>
      <c r="CL745" s="66"/>
      <c r="CM745" s="66">
        <v>0</v>
      </c>
      <c r="CN745" s="66">
        <v>0</v>
      </c>
      <c r="CO745" s="66">
        <v>0</v>
      </c>
      <c r="CP745" s="66">
        <v>0</v>
      </c>
      <c r="CQ745" s="66">
        <v>0</v>
      </c>
      <c r="CR745" s="66">
        <v>0</v>
      </c>
      <c r="CS745" s="66">
        <v>0</v>
      </c>
      <c r="CT745" s="66">
        <v>0</v>
      </c>
      <c r="CU745" s="66">
        <v>0</v>
      </c>
      <c r="CV745" s="66">
        <v>0</v>
      </c>
      <c r="CW745" s="66">
        <v>0</v>
      </c>
      <c r="CX745" s="66">
        <v>0</v>
      </c>
      <c r="CY745" s="66">
        <v>0</v>
      </c>
      <c r="CZ745" s="66">
        <v>0</v>
      </c>
      <c r="DA745" s="66"/>
      <c r="DB745" s="66"/>
      <c r="DC745" s="66"/>
      <c r="DD745" s="66"/>
      <c r="DE745" s="66"/>
      <c r="DF745" s="66"/>
      <c r="DG745" s="66"/>
      <c r="DH745" s="66"/>
      <c r="DI745" s="66"/>
      <c r="DJ745" s="66"/>
      <c r="DK745" s="66">
        <f>SUM(Table1[[#This Row],[01-03 Apr]:[Mar-26]])</f>
        <v>0</v>
      </c>
    </row>
    <row r="746" spans="1:115" hidden="1" x14ac:dyDescent="0.2">
      <c r="A746" s="28" t="s">
        <v>2360</v>
      </c>
      <c r="B746" s="29" t="s">
        <v>2359</v>
      </c>
      <c r="C746" s="29" t="s">
        <v>2527</v>
      </c>
      <c r="D746" s="30" t="s">
        <v>2357</v>
      </c>
      <c r="E746" s="30" t="s">
        <v>1321</v>
      </c>
      <c r="F746" s="30"/>
      <c r="G746" s="31"/>
      <c r="H746" s="30">
        <v>388022</v>
      </c>
      <c r="I746" s="30" t="str">
        <f>IF(Table1[[#This Row],[Centre Status]]="Returned","NA",IF(Table1[[#This Row],[SD]]&gt;19000,"Full Payment",IF(Table1[[#This Row],[SD]]&lt;1,"No Payment","Partial Payment")))</f>
        <v>NA</v>
      </c>
      <c r="J746" s="30" t="s">
        <v>1903</v>
      </c>
      <c r="K746" s="32">
        <v>110000</v>
      </c>
      <c r="L746" s="33">
        <f>Q746+R746+U746+Table1[[#This Row],[Farmer Payment]]</f>
        <v>22076</v>
      </c>
      <c r="M746" s="30">
        <v>20000</v>
      </c>
      <c r="N746" s="34">
        <v>45581</v>
      </c>
      <c r="O746" s="34" t="s">
        <v>2697</v>
      </c>
      <c r="P746" s="35">
        <f t="shared" si="72"/>
        <v>107924</v>
      </c>
      <c r="Q746" s="33">
        <f>AI746+AV746+CK746+Table1[[#This Row],[FY 25-26]]</f>
        <v>2076</v>
      </c>
      <c r="R746" s="36">
        <v>20000</v>
      </c>
      <c r="S746" s="37" t="s">
        <v>2372</v>
      </c>
      <c r="T746" s="38">
        <v>45462</v>
      </c>
      <c r="U746" s="39"/>
      <c r="V746" s="39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1">
        <f t="shared" si="73"/>
        <v>0</v>
      </c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>
        <f t="shared" si="74"/>
        <v>0</v>
      </c>
      <c r="AW746" s="42"/>
      <c r="AX746" s="42"/>
      <c r="AY746" s="42">
        <v>0</v>
      </c>
      <c r="AZ746" s="42">
        <v>1712</v>
      </c>
      <c r="BA746" s="42">
        <v>364</v>
      </c>
      <c r="BB746" s="42">
        <v>0</v>
      </c>
      <c r="BC746" s="42">
        <v>0</v>
      </c>
      <c r="BD746" s="42">
        <v>0</v>
      </c>
      <c r="BE746" s="42">
        <v>0</v>
      </c>
      <c r="BF746" s="42">
        <v>0</v>
      </c>
      <c r="BG746" s="42">
        <v>0</v>
      </c>
      <c r="BH746" s="42">
        <v>0</v>
      </c>
      <c r="BI746" s="42">
        <v>0</v>
      </c>
      <c r="BJ746" s="42">
        <v>0</v>
      </c>
      <c r="BK746" s="42">
        <v>0</v>
      </c>
      <c r="BL746" s="42">
        <v>0</v>
      </c>
      <c r="BM746" s="42">
        <v>0</v>
      </c>
      <c r="BN746" s="42">
        <v>0</v>
      </c>
      <c r="BO746" s="42">
        <v>0</v>
      </c>
      <c r="BP746" s="42">
        <v>0</v>
      </c>
      <c r="BQ746" s="42">
        <v>0</v>
      </c>
      <c r="BR746" s="42">
        <v>0</v>
      </c>
      <c r="BS746" s="42">
        <v>0</v>
      </c>
      <c r="BT746" s="42">
        <v>0</v>
      </c>
      <c r="BU746" s="42">
        <v>0</v>
      </c>
      <c r="BV746" s="42">
        <v>0</v>
      </c>
      <c r="BW746" s="42">
        <v>0</v>
      </c>
      <c r="BX746" s="42">
        <v>0</v>
      </c>
      <c r="BY746" s="42">
        <v>0</v>
      </c>
      <c r="BZ746" s="42">
        <v>0</v>
      </c>
      <c r="CA746" s="42">
        <v>0</v>
      </c>
      <c r="CB746" s="42">
        <v>0</v>
      </c>
      <c r="CC746" s="42">
        <v>0</v>
      </c>
      <c r="CD746" s="42">
        <v>0</v>
      </c>
      <c r="CE746" s="42">
        <v>0</v>
      </c>
      <c r="CF746" s="42">
        <v>0</v>
      </c>
      <c r="CG746" s="42">
        <v>0</v>
      </c>
      <c r="CH746" s="42">
        <v>0</v>
      </c>
      <c r="CI746" s="42">
        <v>0</v>
      </c>
      <c r="CJ746" s="42">
        <v>0</v>
      </c>
      <c r="CK746" s="43">
        <f t="shared" si="75"/>
        <v>2076</v>
      </c>
      <c r="CL746" s="66"/>
      <c r="CM746" s="66">
        <v>0</v>
      </c>
      <c r="CN746" s="66">
        <v>0</v>
      </c>
      <c r="CO746" s="66">
        <v>0</v>
      </c>
      <c r="CP746" s="66">
        <v>0</v>
      </c>
      <c r="CQ746" s="66">
        <v>0</v>
      </c>
      <c r="CR746" s="66">
        <v>0</v>
      </c>
      <c r="CS746" s="66">
        <v>0</v>
      </c>
      <c r="CT746" s="66">
        <v>0</v>
      </c>
      <c r="CU746" s="66">
        <v>0</v>
      </c>
      <c r="CV746" s="66">
        <v>0</v>
      </c>
      <c r="CW746" s="66">
        <v>0</v>
      </c>
      <c r="CX746" s="66">
        <v>0</v>
      </c>
      <c r="CY746" s="66">
        <v>0</v>
      </c>
      <c r="CZ746" s="66">
        <v>0</v>
      </c>
      <c r="DA746" s="66"/>
      <c r="DB746" s="66"/>
      <c r="DC746" s="66"/>
      <c r="DD746" s="66"/>
      <c r="DE746" s="66"/>
      <c r="DF746" s="66"/>
      <c r="DG746" s="66"/>
      <c r="DH746" s="66"/>
      <c r="DI746" s="66"/>
      <c r="DJ746" s="66"/>
      <c r="DK746" s="66">
        <f>SUM(Table1[[#This Row],[01-03 Apr]:[Mar-26]])</f>
        <v>0</v>
      </c>
    </row>
    <row r="747" spans="1:115" hidden="1" x14ac:dyDescent="0.2">
      <c r="A747" s="28" t="s">
        <v>2254</v>
      </c>
      <c r="B747" s="29" t="s">
        <v>559</v>
      </c>
      <c r="C747" s="29" t="s">
        <v>560</v>
      </c>
      <c r="D747" s="30" t="s">
        <v>561</v>
      </c>
      <c r="E747" s="30" t="s">
        <v>85</v>
      </c>
      <c r="F747" s="30"/>
      <c r="G747" s="31" t="s">
        <v>371</v>
      </c>
      <c r="H747" s="30">
        <v>386388</v>
      </c>
      <c r="I747" s="30" t="str">
        <f>IF(Table1[[#This Row],[Centre Status]]="Returned","NA",IF(Table1[[#This Row],[SD]]&gt;19000,"Full Payment",IF(Table1[[#This Row],[SD]]&lt;1,"No Payment","Partial Payment")))</f>
        <v>NA</v>
      </c>
      <c r="J747" s="30" t="s">
        <v>1903</v>
      </c>
      <c r="K747" s="32">
        <v>110000</v>
      </c>
      <c r="L747" s="33">
        <f>Q747+R747+U747+Table1[[#This Row],[Farmer Payment]]</f>
        <v>63080.999117516796</v>
      </c>
      <c r="M747" s="30">
        <v>20000</v>
      </c>
      <c r="N747" s="34">
        <v>45594</v>
      </c>
      <c r="O747" s="34" t="s">
        <v>2457</v>
      </c>
      <c r="P747" s="35">
        <f t="shared" ref="P747:P810" si="76">K747-L747+M747</f>
        <v>66919.000882483204</v>
      </c>
      <c r="Q747" s="33">
        <f>AI747+AV747+CK747+Table1[[#This Row],[FY 25-26]]</f>
        <v>43080.999117516796</v>
      </c>
      <c r="R747" s="36">
        <v>20000</v>
      </c>
      <c r="S747" s="37" t="s">
        <v>562</v>
      </c>
      <c r="T747" s="38">
        <v>44843</v>
      </c>
      <c r="U747" s="39"/>
      <c r="V747" s="39"/>
      <c r="W747" s="40">
        <v>0</v>
      </c>
      <c r="X747" s="40">
        <v>0</v>
      </c>
      <c r="Y747" s="40">
        <v>0</v>
      </c>
      <c r="Z747" s="40">
        <v>0</v>
      </c>
      <c r="AA747" s="40">
        <v>0</v>
      </c>
      <c r="AB747" s="40">
        <v>0</v>
      </c>
      <c r="AC747" s="40">
        <v>0</v>
      </c>
      <c r="AD747" s="40">
        <v>1171</v>
      </c>
      <c r="AE747" s="40">
        <v>1861</v>
      </c>
      <c r="AF747" s="40">
        <v>2000</v>
      </c>
      <c r="AG747" s="40">
        <v>2000</v>
      </c>
      <c r="AH747" s="40">
        <v>2000</v>
      </c>
      <c r="AI747" s="41">
        <f t="shared" ref="AI747:AI810" si="77">SUM(W747:AH747)</f>
        <v>9032</v>
      </c>
      <c r="AJ747" s="42">
        <v>1861</v>
      </c>
      <c r="AK747" s="42">
        <v>1861</v>
      </c>
      <c r="AL747" s="42">
        <v>1861</v>
      </c>
      <c r="AM747" s="42">
        <v>1861</v>
      </c>
      <c r="AN747" s="42">
        <v>1535</v>
      </c>
      <c r="AO747" s="42">
        <v>1861</v>
      </c>
      <c r="AP747" s="42">
        <v>2000</v>
      </c>
      <c r="AQ747" s="42">
        <v>2000</v>
      </c>
      <c r="AR747" s="42">
        <v>2000</v>
      </c>
      <c r="AS747" s="42">
        <v>2000</v>
      </c>
      <c r="AT747" s="42">
        <v>2000</v>
      </c>
      <c r="AU747" s="42">
        <v>2000</v>
      </c>
      <c r="AV747" s="42">
        <f t="shared" ref="AV747:AV810" si="78">SUM(AJ747:AU747)</f>
        <v>22840</v>
      </c>
      <c r="AW747" s="42">
        <v>2000</v>
      </c>
      <c r="AX747" s="42">
        <v>1861</v>
      </c>
      <c r="AY747" s="42">
        <v>1901.8572515328005</v>
      </c>
      <c r="AZ747" s="42">
        <v>1886.1418659840001</v>
      </c>
      <c r="BA747" s="42">
        <v>1861</v>
      </c>
      <c r="BB747" s="42">
        <v>0</v>
      </c>
      <c r="BC747" s="42">
        <v>1699</v>
      </c>
      <c r="BD747" s="42">
        <v>0</v>
      </c>
      <c r="BE747" s="42">
        <v>0</v>
      </c>
      <c r="BF747" s="42">
        <v>0</v>
      </c>
      <c r="BG747" s="42">
        <v>0</v>
      </c>
      <c r="BH747" s="42">
        <v>0</v>
      </c>
      <c r="BI747" s="42">
        <v>0</v>
      </c>
      <c r="BJ747" s="42">
        <v>0</v>
      </c>
      <c r="BK747" s="42">
        <v>0</v>
      </c>
      <c r="BL747" s="42">
        <v>0</v>
      </c>
      <c r="BM747" s="42">
        <v>0</v>
      </c>
      <c r="BN747" s="42">
        <v>0</v>
      </c>
      <c r="BO747" s="42">
        <v>0</v>
      </c>
      <c r="BP747" s="42">
        <v>0</v>
      </c>
      <c r="BQ747" s="42">
        <v>0</v>
      </c>
      <c r="BR747" s="42">
        <v>0</v>
      </c>
      <c r="BS747" s="42">
        <v>0</v>
      </c>
      <c r="BT747" s="42">
        <v>0</v>
      </c>
      <c r="BU747" s="42">
        <v>0</v>
      </c>
      <c r="BV747" s="42">
        <v>0</v>
      </c>
      <c r="BW747" s="42">
        <v>0</v>
      </c>
      <c r="BX747" s="42">
        <v>0</v>
      </c>
      <c r="BY747" s="42">
        <v>0</v>
      </c>
      <c r="BZ747" s="42">
        <v>0</v>
      </c>
      <c r="CA747" s="42">
        <v>0</v>
      </c>
      <c r="CB747" s="42">
        <v>0</v>
      </c>
      <c r="CC747" s="42">
        <v>0</v>
      </c>
      <c r="CD747" s="42">
        <v>0</v>
      </c>
      <c r="CE747" s="42">
        <v>0</v>
      </c>
      <c r="CF747" s="42">
        <v>0</v>
      </c>
      <c r="CG747" s="42">
        <v>0</v>
      </c>
      <c r="CH747" s="42">
        <v>0</v>
      </c>
      <c r="CI747" s="42">
        <v>0</v>
      </c>
      <c r="CJ747" s="42">
        <v>0</v>
      </c>
      <c r="CK747" s="43">
        <f t="shared" si="75"/>
        <v>11208.9991175168</v>
      </c>
      <c r="CL747" s="66"/>
      <c r="CM747" s="66">
        <v>0</v>
      </c>
      <c r="CN747" s="66">
        <v>0</v>
      </c>
      <c r="CO747" s="66">
        <v>0</v>
      </c>
      <c r="CP747" s="66">
        <v>0</v>
      </c>
      <c r="CQ747" s="66">
        <v>0</v>
      </c>
      <c r="CR747" s="66">
        <v>0</v>
      </c>
      <c r="CS747" s="66">
        <v>0</v>
      </c>
      <c r="CT747" s="66">
        <v>0</v>
      </c>
      <c r="CU747" s="66">
        <v>0</v>
      </c>
      <c r="CV747" s="66">
        <v>0</v>
      </c>
      <c r="CW747" s="66">
        <v>0</v>
      </c>
      <c r="CX747" s="66">
        <v>0</v>
      </c>
      <c r="CY747" s="66">
        <v>0</v>
      </c>
      <c r="CZ747" s="66">
        <v>0</v>
      </c>
      <c r="DA747" s="66"/>
      <c r="DB747" s="66"/>
      <c r="DC747" s="66"/>
      <c r="DD747" s="66"/>
      <c r="DE747" s="66"/>
      <c r="DF747" s="66"/>
      <c r="DG747" s="66"/>
      <c r="DH747" s="66"/>
      <c r="DI747" s="66"/>
      <c r="DJ747" s="66"/>
      <c r="DK747" s="66">
        <f>SUM(Table1[[#This Row],[01-03 Apr]:[Mar-26]])</f>
        <v>0</v>
      </c>
    </row>
    <row r="748" spans="1:115" hidden="1" x14ac:dyDescent="0.2">
      <c r="A748" s="28"/>
      <c r="B748" s="29"/>
      <c r="C748" s="29" t="s">
        <v>2637</v>
      </c>
      <c r="D748" s="30" t="s">
        <v>2643</v>
      </c>
      <c r="E748" s="30" t="s">
        <v>217</v>
      </c>
      <c r="F748" s="30"/>
      <c r="G748" s="31"/>
      <c r="H748" s="30">
        <v>383999</v>
      </c>
      <c r="I748" s="30" t="str">
        <f>IF(Table1[[#This Row],[Centre Status]]="Returned","NA",IF(Table1[[#This Row],[SD]]&gt;19000,"Full Payment",IF(Table1[[#This Row],[SD]]&lt;1,"No Payment","Partial Payment")))</f>
        <v>NA</v>
      </c>
      <c r="J748" s="30" t="s">
        <v>1903</v>
      </c>
      <c r="K748" s="32">
        <v>110000</v>
      </c>
      <c r="L748" s="33">
        <f>Q748+R748+U748+Table1[[#This Row],[Farmer Payment]]</f>
        <v>20000</v>
      </c>
      <c r="M748" s="30">
        <v>20000</v>
      </c>
      <c r="N748" s="34">
        <v>45582</v>
      </c>
      <c r="O748" s="34" t="s">
        <v>2696</v>
      </c>
      <c r="P748" s="35">
        <f t="shared" si="76"/>
        <v>110000</v>
      </c>
      <c r="Q748" s="33">
        <f>AI748+AV748+CK748+Table1[[#This Row],[FY 25-26]]</f>
        <v>0</v>
      </c>
      <c r="R748" s="36">
        <v>20000</v>
      </c>
      <c r="S748" s="37" t="s">
        <v>2691</v>
      </c>
      <c r="T748" s="38">
        <v>45444</v>
      </c>
      <c r="U748" s="39"/>
      <c r="V748" s="39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1">
        <f t="shared" si="77"/>
        <v>0</v>
      </c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  <c r="AT748" s="42"/>
      <c r="AU748" s="42"/>
      <c r="AV748" s="42">
        <f t="shared" si="78"/>
        <v>0</v>
      </c>
      <c r="AW748" s="42"/>
      <c r="AX748" s="42"/>
      <c r="AY748" s="42"/>
      <c r="AZ748" s="42"/>
      <c r="BA748" s="42"/>
      <c r="BB748" s="42">
        <v>0</v>
      </c>
      <c r="BC748" s="42">
        <v>0</v>
      </c>
      <c r="BD748" s="42">
        <v>0</v>
      </c>
      <c r="BE748" s="42">
        <v>0</v>
      </c>
      <c r="BF748" s="42">
        <v>0</v>
      </c>
      <c r="BG748" s="42">
        <v>0</v>
      </c>
      <c r="BH748" s="42">
        <v>0</v>
      </c>
      <c r="BI748" s="42">
        <v>0</v>
      </c>
      <c r="BJ748" s="42">
        <v>0</v>
      </c>
      <c r="BK748" s="42">
        <v>0</v>
      </c>
      <c r="BL748" s="42">
        <v>0</v>
      </c>
      <c r="BM748" s="42">
        <v>0</v>
      </c>
      <c r="BN748" s="42">
        <v>0</v>
      </c>
      <c r="BO748" s="42">
        <v>0</v>
      </c>
      <c r="BP748" s="42">
        <v>0</v>
      </c>
      <c r="BQ748" s="42">
        <v>0</v>
      </c>
      <c r="BR748" s="42">
        <v>0</v>
      </c>
      <c r="BS748" s="42">
        <v>0</v>
      </c>
      <c r="BT748" s="42">
        <v>0</v>
      </c>
      <c r="BU748" s="42">
        <v>0</v>
      </c>
      <c r="BV748" s="42">
        <v>0</v>
      </c>
      <c r="BW748" s="42">
        <v>0</v>
      </c>
      <c r="BX748" s="42">
        <v>0</v>
      </c>
      <c r="BY748" s="42">
        <v>0</v>
      </c>
      <c r="BZ748" s="42">
        <v>0</v>
      </c>
      <c r="CA748" s="42">
        <v>0</v>
      </c>
      <c r="CB748" s="42">
        <v>0</v>
      </c>
      <c r="CC748" s="42">
        <v>0</v>
      </c>
      <c r="CD748" s="42">
        <v>0</v>
      </c>
      <c r="CE748" s="42">
        <v>0</v>
      </c>
      <c r="CF748" s="42">
        <v>0</v>
      </c>
      <c r="CG748" s="42">
        <v>0</v>
      </c>
      <c r="CH748" s="42">
        <v>0</v>
      </c>
      <c r="CI748" s="42">
        <v>0</v>
      </c>
      <c r="CJ748" s="42">
        <v>0</v>
      </c>
      <c r="CK748" s="43">
        <f t="shared" si="75"/>
        <v>0</v>
      </c>
      <c r="CL748" s="66"/>
      <c r="CM748" s="66">
        <v>0</v>
      </c>
      <c r="CN748" s="66">
        <v>0</v>
      </c>
      <c r="CO748" s="66">
        <v>0</v>
      </c>
      <c r="CP748" s="66">
        <v>0</v>
      </c>
      <c r="CQ748" s="66">
        <v>0</v>
      </c>
      <c r="CR748" s="66">
        <v>0</v>
      </c>
      <c r="CS748" s="66">
        <v>0</v>
      </c>
      <c r="CT748" s="66">
        <v>0</v>
      </c>
      <c r="CU748" s="66">
        <v>0</v>
      </c>
      <c r="CV748" s="66">
        <v>0</v>
      </c>
      <c r="CW748" s="66">
        <v>0</v>
      </c>
      <c r="CX748" s="66">
        <v>0</v>
      </c>
      <c r="CY748" s="66">
        <v>0</v>
      </c>
      <c r="CZ748" s="66">
        <v>0</v>
      </c>
      <c r="DA748" s="66"/>
      <c r="DB748" s="66"/>
      <c r="DC748" s="66"/>
      <c r="DD748" s="66"/>
      <c r="DE748" s="66"/>
      <c r="DF748" s="66"/>
      <c r="DG748" s="66"/>
      <c r="DH748" s="66"/>
      <c r="DI748" s="66"/>
      <c r="DJ748" s="66"/>
      <c r="DK748" s="66">
        <f>SUM(Table1[[#This Row],[01-03 Apr]:[Mar-26]])</f>
        <v>0</v>
      </c>
    </row>
    <row r="749" spans="1:115" hidden="1" x14ac:dyDescent="0.2">
      <c r="A749" s="28" t="s">
        <v>2255</v>
      </c>
      <c r="B749" s="29" t="s">
        <v>1042</v>
      </c>
      <c r="C749" s="29" t="s">
        <v>1043</v>
      </c>
      <c r="D749" s="30" t="s">
        <v>1044</v>
      </c>
      <c r="E749" s="30" t="s">
        <v>203</v>
      </c>
      <c r="F749" s="30"/>
      <c r="G749" s="31">
        <v>45061</v>
      </c>
      <c r="H749" s="30">
        <v>387855</v>
      </c>
      <c r="I749" s="30" t="str">
        <f>IF(Table1[[#This Row],[Centre Status]]="Returned","NA",IF(Table1[[#This Row],[SD]]&gt;19000,"Full Payment",IF(Table1[[#This Row],[SD]]&lt;1,"No Payment","Partial Payment")))</f>
        <v>NA</v>
      </c>
      <c r="J749" s="30" t="s">
        <v>1903</v>
      </c>
      <c r="K749" s="32">
        <v>110000</v>
      </c>
      <c r="L749" s="33">
        <f>Q749+R749+U749+Table1[[#This Row],[Farmer Payment]]</f>
        <v>24400.562525067442</v>
      </c>
      <c r="M749" s="30">
        <v>10000</v>
      </c>
      <c r="N749" s="34">
        <v>45560</v>
      </c>
      <c r="O749" s="34" t="s">
        <v>2634</v>
      </c>
      <c r="P749" s="35">
        <f t="shared" si="76"/>
        <v>95599.437474932551</v>
      </c>
      <c r="Q749" s="33">
        <f>AI749+AV749+CK749+Table1[[#This Row],[FY 25-26]]</f>
        <v>14400.562525067442</v>
      </c>
      <c r="R749" s="36">
        <v>10000</v>
      </c>
      <c r="S749" s="37" t="s">
        <v>1045</v>
      </c>
      <c r="T749" s="38">
        <v>45068</v>
      </c>
      <c r="U749" s="39"/>
      <c r="V749" s="39"/>
      <c r="W749" s="40">
        <v>0</v>
      </c>
      <c r="X749" s="40">
        <v>0</v>
      </c>
      <c r="Y749" s="40">
        <v>0</v>
      </c>
      <c r="Z749" s="40">
        <v>0</v>
      </c>
      <c r="AA749" s="40">
        <v>0</v>
      </c>
      <c r="AB749" s="40">
        <v>0</v>
      </c>
      <c r="AC749" s="40">
        <v>0</v>
      </c>
      <c r="AD749" s="40">
        <v>0</v>
      </c>
      <c r="AE749" s="40">
        <v>0</v>
      </c>
      <c r="AF749" s="40">
        <v>0</v>
      </c>
      <c r="AG749" s="40">
        <v>0</v>
      </c>
      <c r="AH749" s="40">
        <v>0</v>
      </c>
      <c r="AI749" s="41">
        <f t="shared" si="77"/>
        <v>0</v>
      </c>
      <c r="AJ749" s="42">
        <v>0</v>
      </c>
      <c r="AK749" s="42">
        <v>185</v>
      </c>
      <c r="AL749" s="42">
        <v>1861</v>
      </c>
      <c r="AM749" s="42">
        <v>1861</v>
      </c>
      <c r="AN749" s="42">
        <v>1533</v>
      </c>
      <c r="AO749" s="42">
        <v>1273</v>
      </c>
      <c r="AP749" s="42">
        <v>1292</v>
      </c>
      <c r="AQ749" s="42">
        <v>1861</v>
      </c>
      <c r="AR749" s="42">
        <v>954</v>
      </c>
      <c r="AS749" s="42">
        <v>760</v>
      </c>
      <c r="AT749" s="42">
        <v>881.56252506744136</v>
      </c>
      <c r="AU749" s="42">
        <v>1408</v>
      </c>
      <c r="AV749" s="42">
        <f t="shared" si="78"/>
        <v>13869.562525067442</v>
      </c>
      <c r="AW749" s="42">
        <v>531</v>
      </c>
      <c r="AX749" s="42">
        <v>0</v>
      </c>
      <c r="AY749" s="42">
        <v>0</v>
      </c>
      <c r="AZ749" s="42">
        <v>0</v>
      </c>
      <c r="BA749" s="42">
        <v>0</v>
      </c>
      <c r="BB749" s="42">
        <v>0</v>
      </c>
      <c r="BC749" s="42">
        <v>0</v>
      </c>
      <c r="BD749" s="42">
        <v>0</v>
      </c>
      <c r="BE749" s="42">
        <v>0</v>
      </c>
      <c r="BF749" s="42">
        <v>0</v>
      </c>
      <c r="BG749" s="42">
        <v>0</v>
      </c>
      <c r="BH749" s="42">
        <v>0</v>
      </c>
      <c r="BI749" s="42">
        <v>0</v>
      </c>
      <c r="BJ749" s="42">
        <v>0</v>
      </c>
      <c r="BK749" s="42">
        <v>0</v>
      </c>
      <c r="BL749" s="42">
        <v>0</v>
      </c>
      <c r="BM749" s="42">
        <v>0</v>
      </c>
      <c r="BN749" s="42">
        <v>0</v>
      </c>
      <c r="BO749" s="42">
        <v>0</v>
      </c>
      <c r="BP749" s="42">
        <v>0</v>
      </c>
      <c r="BQ749" s="42">
        <v>0</v>
      </c>
      <c r="BR749" s="42">
        <v>0</v>
      </c>
      <c r="BS749" s="42">
        <v>0</v>
      </c>
      <c r="BT749" s="42">
        <v>0</v>
      </c>
      <c r="BU749" s="42">
        <v>0</v>
      </c>
      <c r="BV749" s="42">
        <v>0</v>
      </c>
      <c r="BW749" s="42">
        <v>0</v>
      </c>
      <c r="BX749" s="42">
        <v>0</v>
      </c>
      <c r="BY749" s="42">
        <v>0</v>
      </c>
      <c r="BZ749" s="42">
        <v>0</v>
      </c>
      <c r="CA749" s="42">
        <v>0</v>
      </c>
      <c r="CB749" s="42">
        <v>0</v>
      </c>
      <c r="CC749" s="42">
        <v>0</v>
      </c>
      <c r="CD749" s="42">
        <v>0</v>
      </c>
      <c r="CE749" s="42">
        <v>0</v>
      </c>
      <c r="CF749" s="42">
        <v>0</v>
      </c>
      <c r="CG749" s="42">
        <v>0</v>
      </c>
      <c r="CH749" s="42">
        <v>0</v>
      </c>
      <c r="CI749" s="42">
        <v>0</v>
      </c>
      <c r="CJ749" s="42">
        <v>0</v>
      </c>
      <c r="CK749" s="43">
        <f t="shared" si="75"/>
        <v>531</v>
      </c>
      <c r="CL749" s="66"/>
      <c r="CM749" s="66">
        <v>0</v>
      </c>
      <c r="CN749" s="66">
        <v>0</v>
      </c>
      <c r="CO749" s="66">
        <v>0</v>
      </c>
      <c r="CP749" s="66">
        <v>0</v>
      </c>
      <c r="CQ749" s="66">
        <v>0</v>
      </c>
      <c r="CR749" s="66">
        <v>0</v>
      </c>
      <c r="CS749" s="66">
        <v>0</v>
      </c>
      <c r="CT749" s="66">
        <v>0</v>
      </c>
      <c r="CU749" s="66">
        <v>0</v>
      </c>
      <c r="CV749" s="66">
        <v>0</v>
      </c>
      <c r="CW749" s="66">
        <v>0</v>
      </c>
      <c r="CX749" s="66">
        <v>0</v>
      </c>
      <c r="CY749" s="66">
        <v>0</v>
      </c>
      <c r="CZ749" s="66">
        <v>0</v>
      </c>
      <c r="DA749" s="66"/>
      <c r="DB749" s="66"/>
      <c r="DC749" s="66"/>
      <c r="DD749" s="66"/>
      <c r="DE749" s="66"/>
      <c r="DF749" s="66"/>
      <c r="DG749" s="66"/>
      <c r="DH749" s="66"/>
      <c r="DI749" s="66"/>
      <c r="DJ749" s="66"/>
      <c r="DK749" s="66">
        <f>SUM(Table1[[#This Row],[01-03 Apr]:[Mar-26]])</f>
        <v>0</v>
      </c>
    </row>
    <row r="750" spans="1:115" hidden="1" x14ac:dyDescent="0.2">
      <c r="A750" s="28" t="s">
        <v>2367</v>
      </c>
      <c r="B750" s="29" t="s">
        <v>1700</v>
      </c>
      <c r="C750" s="29" t="s">
        <v>1701</v>
      </c>
      <c r="D750" s="30" t="s">
        <v>1702</v>
      </c>
      <c r="E750" s="30" t="s">
        <v>203</v>
      </c>
      <c r="F750" s="30"/>
      <c r="G750" s="31"/>
      <c r="H750" s="30">
        <v>388108</v>
      </c>
      <c r="I750" s="30" t="str">
        <f>IF(Table1[[#This Row],[Centre Status]]="Returned","NA",IF(Table1[[#This Row],[SD]]&gt;19000,"Full Payment",IF(Table1[[#This Row],[SD]]&lt;1,"No Payment","Partial Payment")))</f>
        <v>NA</v>
      </c>
      <c r="J750" s="30" t="s">
        <v>1903</v>
      </c>
      <c r="K750" s="32">
        <v>3852</v>
      </c>
      <c r="L750" s="33">
        <f>Q750+R750+U750+Table1[[#This Row],[Farmer Payment]]</f>
        <v>13852</v>
      </c>
      <c r="M750" s="30">
        <v>10000</v>
      </c>
      <c r="N750" s="34">
        <v>45560</v>
      </c>
      <c r="O750" s="34" t="s">
        <v>2634</v>
      </c>
      <c r="P750" s="35">
        <f t="shared" si="76"/>
        <v>0</v>
      </c>
      <c r="Q750" s="33">
        <f>AI750+AV750+CK750+Table1[[#This Row],[FY 25-26]]</f>
        <v>3852</v>
      </c>
      <c r="R750" s="36">
        <v>10000</v>
      </c>
      <c r="S750" s="37" t="s">
        <v>1703</v>
      </c>
      <c r="T750" s="38">
        <v>45141</v>
      </c>
      <c r="U750" s="39"/>
      <c r="V750" s="39"/>
      <c r="W750" s="40">
        <v>0</v>
      </c>
      <c r="X750" s="40">
        <v>0</v>
      </c>
      <c r="Y750" s="40">
        <v>0</v>
      </c>
      <c r="Z750" s="40">
        <v>0</v>
      </c>
      <c r="AA750" s="40">
        <v>0</v>
      </c>
      <c r="AB750" s="40">
        <v>0</v>
      </c>
      <c r="AC750" s="40">
        <v>0</v>
      </c>
      <c r="AD750" s="40">
        <v>0</v>
      </c>
      <c r="AE750" s="40">
        <v>0</v>
      </c>
      <c r="AF750" s="40">
        <v>0</v>
      </c>
      <c r="AG750" s="40">
        <v>0</v>
      </c>
      <c r="AH750" s="40">
        <v>0</v>
      </c>
      <c r="AI750" s="41">
        <f t="shared" si="77"/>
        <v>0</v>
      </c>
      <c r="AJ750" s="42">
        <v>0</v>
      </c>
      <c r="AK750" s="42">
        <v>0</v>
      </c>
      <c r="AL750" s="42">
        <v>0</v>
      </c>
      <c r="AM750" s="42">
        <v>0</v>
      </c>
      <c r="AN750" s="42">
        <v>0</v>
      </c>
      <c r="AO750" s="42">
        <v>0</v>
      </c>
      <c r="AP750" s="42">
        <v>0</v>
      </c>
      <c r="AQ750" s="42">
        <v>0</v>
      </c>
      <c r="AR750" s="42">
        <v>130</v>
      </c>
      <c r="AS750" s="42">
        <v>0</v>
      </c>
      <c r="AT750" s="42">
        <v>1861</v>
      </c>
      <c r="AU750" s="42">
        <v>1861</v>
      </c>
      <c r="AV750" s="42">
        <f t="shared" si="78"/>
        <v>3852</v>
      </c>
      <c r="AW750" s="42">
        <v>0</v>
      </c>
      <c r="AX750" s="42">
        <v>0</v>
      </c>
      <c r="AY750" s="42">
        <v>0</v>
      </c>
      <c r="AZ750" s="42">
        <v>0</v>
      </c>
      <c r="BA750" s="42">
        <v>0</v>
      </c>
      <c r="BB750" s="42">
        <v>0</v>
      </c>
      <c r="BC750" s="42">
        <v>0</v>
      </c>
      <c r="BD750" s="42">
        <v>0</v>
      </c>
      <c r="BE750" s="42">
        <v>0</v>
      </c>
      <c r="BF750" s="42">
        <v>0</v>
      </c>
      <c r="BG750" s="42">
        <v>0</v>
      </c>
      <c r="BH750" s="42">
        <v>0</v>
      </c>
      <c r="BI750" s="42">
        <v>0</v>
      </c>
      <c r="BJ750" s="42">
        <v>0</v>
      </c>
      <c r="BK750" s="42">
        <v>0</v>
      </c>
      <c r="BL750" s="42">
        <v>0</v>
      </c>
      <c r="BM750" s="42">
        <v>0</v>
      </c>
      <c r="BN750" s="42">
        <v>0</v>
      </c>
      <c r="BO750" s="42">
        <v>0</v>
      </c>
      <c r="BP750" s="42">
        <v>0</v>
      </c>
      <c r="BQ750" s="42">
        <v>0</v>
      </c>
      <c r="BR750" s="42">
        <v>0</v>
      </c>
      <c r="BS750" s="42">
        <v>0</v>
      </c>
      <c r="BT750" s="42">
        <v>0</v>
      </c>
      <c r="BU750" s="42">
        <v>0</v>
      </c>
      <c r="BV750" s="42">
        <v>0</v>
      </c>
      <c r="BW750" s="42">
        <v>0</v>
      </c>
      <c r="BX750" s="42">
        <v>0</v>
      </c>
      <c r="BY750" s="42">
        <v>0</v>
      </c>
      <c r="BZ750" s="42">
        <v>0</v>
      </c>
      <c r="CA750" s="42">
        <v>0</v>
      </c>
      <c r="CB750" s="42">
        <v>0</v>
      </c>
      <c r="CC750" s="42">
        <v>0</v>
      </c>
      <c r="CD750" s="42">
        <v>0</v>
      </c>
      <c r="CE750" s="42">
        <v>0</v>
      </c>
      <c r="CF750" s="42">
        <v>0</v>
      </c>
      <c r="CG750" s="42">
        <v>0</v>
      </c>
      <c r="CH750" s="42">
        <v>0</v>
      </c>
      <c r="CI750" s="42">
        <v>0</v>
      </c>
      <c r="CJ750" s="42">
        <v>0</v>
      </c>
      <c r="CK750" s="43">
        <f t="shared" si="75"/>
        <v>0</v>
      </c>
      <c r="CL750" s="66"/>
      <c r="CM750" s="66">
        <v>0</v>
      </c>
      <c r="CN750" s="66">
        <v>0</v>
      </c>
      <c r="CO750" s="66">
        <v>0</v>
      </c>
      <c r="CP750" s="66">
        <v>0</v>
      </c>
      <c r="CQ750" s="66">
        <v>0</v>
      </c>
      <c r="CR750" s="66">
        <v>0</v>
      </c>
      <c r="CS750" s="66">
        <v>0</v>
      </c>
      <c r="CT750" s="66">
        <v>0</v>
      </c>
      <c r="CU750" s="66">
        <v>0</v>
      </c>
      <c r="CV750" s="66">
        <v>0</v>
      </c>
      <c r="CW750" s="66">
        <v>0</v>
      </c>
      <c r="CX750" s="66">
        <v>0</v>
      </c>
      <c r="CY750" s="66">
        <v>0</v>
      </c>
      <c r="CZ750" s="66">
        <v>0</v>
      </c>
      <c r="DA750" s="66"/>
      <c r="DB750" s="66"/>
      <c r="DC750" s="66"/>
      <c r="DD750" s="66"/>
      <c r="DE750" s="66"/>
      <c r="DF750" s="66"/>
      <c r="DG750" s="66"/>
      <c r="DH750" s="66"/>
      <c r="DI750" s="66"/>
      <c r="DJ750" s="66"/>
      <c r="DK750" s="66">
        <f>SUM(Table1[[#This Row],[01-03 Apr]:[Mar-26]])</f>
        <v>0</v>
      </c>
    </row>
    <row r="751" spans="1:115" hidden="1" x14ac:dyDescent="0.2">
      <c r="A751" s="28"/>
      <c r="B751" s="29" t="s">
        <v>2464</v>
      </c>
      <c r="C751" s="29" t="s">
        <v>3336</v>
      </c>
      <c r="D751" s="30"/>
      <c r="E751" s="30"/>
      <c r="F751" s="30"/>
      <c r="G751" s="31"/>
      <c r="H751" s="30">
        <v>276881</v>
      </c>
      <c r="I751" s="30" t="str">
        <f>IF(Table1[[#This Row],[Centre Status]]="Returned","NA",IF(Table1[[#This Row],[SD]]&gt;19000,"Full Payment",IF(Table1[[#This Row],[SD]]&lt;1,"No Payment","Partial Payment")))</f>
        <v>NA</v>
      </c>
      <c r="J751" s="30" t="s">
        <v>1903</v>
      </c>
      <c r="K751" s="32">
        <v>0</v>
      </c>
      <c r="L751" s="33">
        <f>Q751+R751+U751+Table1[[#This Row],[Farmer Payment]]</f>
        <v>14065</v>
      </c>
      <c r="M751" s="30">
        <v>14065</v>
      </c>
      <c r="N751" s="34">
        <v>45451</v>
      </c>
      <c r="O751" s="34" t="s">
        <v>2465</v>
      </c>
      <c r="P751" s="35">
        <f t="shared" si="76"/>
        <v>0</v>
      </c>
      <c r="Q751" s="33">
        <f>AI751+AV751+CK751+Table1[[#This Row],[FY 25-26]]</f>
        <v>0</v>
      </c>
      <c r="R751" s="36">
        <v>0</v>
      </c>
      <c r="S751" s="37"/>
      <c r="T751" s="38"/>
      <c r="U751" s="39">
        <v>14065</v>
      </c>
      <c r="V751" s="39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1">
        <f t="shared" si="77"/>
        <v>0</v>
      </c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>
        <f t="shared" si="78"/>
        <v>0</v>
      </c>
      <c r="AW751" s="42"/>
      <c r="AX751" s="42"/>
      <c r="AY751" s="42">
        <v>0</v>
      </c>
      <c r="AZ751" s="42">
        <v>0</v>
      </c>
      <c r="BA751" s="42">
        <v>0</v>
      </c>
      <c r="BB751" s="42">
        <v>0</v>
      </c>
      <c r="BC751" s="42">
        <v>0</v>
      </c>
      <c r="BD751" s="42">
        <v>0</v>
      </c>
      <c r="BE751" s="42">
        <v>0</v>
      </c>
      <c r="BF751" s="42">
        <v>0</v>
      </c>
      <c r="BG751" s="42">
        <v>0</v>
      </c>
      <c r="BH751" s="42">
        <v>0</v>
      </c>
      <c r="BI751" s="42">
        <v>0</v>
      </c>
      <c r="BJ751" s="42">
        <v>0</v>
      </c>
      <c r="BK751" s="42">
        <v>0</v>
      </c>
      <c r="BL751" s="42">
        <v>0</v>
      </c>
      <c r="BM751" s="42">
        <v>0</v>
      </c>
      <c r="BN751" s="42">
        <v>0</v>
      </c>
      <c r="BO751" s="42">
        <v>0</v>
      </c>
      <c r="BP751" s="42">
        <v>0</v>
      </c>
      <c r="BQ751" s="42">
        <v>0</v>
      </c>
      <c r="BR751" s="42">
        <v>0</v>
      </c>
      <c r="BS751" s="42">
        <v>0</v>
      </c>
      <c r="BT751" s="42">
        <v>0</v>
      </c>
      <c r="BU751" s="42">
        <v>0</v>
      </c>
      <c r="BV751" s="42">
        <v>0</v>
      </c>
      <c r="BW751" s="42">
        <v>0</v>
      </c>
      <c r="BX751" s="42">
        <v>0</v>
      </c>
      <c r="BY751" s="42">
        <v>0</v>
      </c>
      <c r="BZ751" s="42">
        <v>0</v>
      </c>
      <c r="CA751" s="42">
        <v>0</v>
      </c>
      <c r="CB751" s="42">
        <v>0</v>
      </c>
      <c r="CC751" s="42">
        <v>0</v>
      </c>
      <c r="CD751" s="42">
        <v>0</v>
      </c>
      <c r="CE751" s="42">
        <v>0</v>
      </c>
      <c r="CF751" s="42">
        <v>0</v>
      </c>
      <c r="CG751" s="42">
        <v>0</v>
      </c>
      <c r="CH751" s="42">
        <v>0</v>
      </c>
      <c r="CI751" s="42">
        <v>0</v>
      </c>
      <c r="CJ751" s="42">
        <v>0</v>
      </c>
      <c r="CK751" s="43">
        <f t="shared" si="75"/>
        <v>0</v>
      </c>
      <c r="CL751" s="66"/>
      <c r="CM751" s="66">
        <v>0</v>
      </c>
      <c r="CN751" s="66">
        <v>0</v>
      </c>
      <c r="CO751" s="66">
        <v>0</v>
      </c>
      <c r="CP751" s="66">
        <v>0</v>
      </c>
      <c r="CQ751" s="66">
        <v>0</v>
      </c>
      <c r="CR751" s="66">
        <v>0</v>
      </c>
      <c r="CS751" s="66">
        <v>0</v>
      </c>
      <c r="CT751" s="66">
        <v>0</v>
      </c>
      <c r="CU751" s="66">
        <v>0</v>
      </c>
      <c r="CV751" s="66">
        <v>0</v>
      </c>
      <c r="CW751" s="66">
        <v>0</v>
      </c>
      <c r="CX751" s="66">
        <v>0</v>
      </c>
      <c r="CY751" s="66">
        <v>0</v>
      </c>
      <c r="CZ751" s="66">
        <v>0</v>
      </c>
      <c r="DA751" s="66"/>
      <c r="DB751" s="66"/>
      <c r="DC751" s="66"/>
      <c r="DD751" s="66"/>
      <c r="DE751" s="66"/>
      <c r="DF751" s="66"/>
      <c r="DG751" s="66"/>
      <c r="DH751" s="66"/>
      <c r="DI751" s="66"/>
      <c r="DJ751" s="66"/>
      <c r="DK751" s="66">
        <f>SUM(Table1[[#This Row],[01-03 Apr]:[Mar-26]])</f>
        <v>0</v>
      </c>
    </row>
    <row r="752" spans="1:115" hidden="1" x14ac:dyDescent="0.2">
      <c r="A752" s="28"/>
      <c r="B752" s="29" t="s">
        <v>2461</v>
      </c>
      <c r="C752" s="29" t="s">
        <v>3336</v>
      </c>
      <c r="D752" s="30"/>
      <c r="E752" s="30"/>
      <c r="F752" s="30"/>
      <c r="G752" s="31"/>
      <c r="H752" s="30">
        <v>274994</v>
      </c>
      <c r="I752" s="30" t="str">
        <f>IF(Table1[[#This Row],[Centre Status]]="Returned","NA",IF(Table1[[#This Row],[SD]]&gt;19000,"Full Payment",IF(Table1[[#This Row],[SD]]&lt;1,"No Payment","Partial Payment")))</f>
        <v>NA</v>
      </c>
      <c r="J752" s="30" t="s">
        <v>1903</v>
      </c>
      <c r="K752" s="32">
        <v>0</v>
      </c>
      <c r="L752" s="33">
        <f>Q752+R752+U752+Table1[[#This Row],[Farmer Payment]]</f>
        <v>14988</v>
      </c>
      <c r="M752" s="30">
        <v>14988</v>
      </c>
      <c r="N752" s="34">
        <v>45451</v>
      </c>
      <c r="O752" s="34" t="s">
        <v>2462</v>
      </c>
      <c r="P752" s="35">
        <f t="shared" si="76"/>
        <v>0</v>
      </c>
      <c r="Q752" s="33">
        <f>AI752+AV752+CK752+Table1[[#This Row],[FY 25-26]]</f>
        <v>0</v>
      </c>
      <c r="R752" s="36">
        <v>0</v>
      </c>
      <c r="S752" s="37" t="s">
        <v>2359</v>
      </c>
      <c r="T752" s="38"/>
      <c r="U752" s="39">
        <v>14988</v>
      </c>
      <c r="V752" s="39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1">
        <f t="shared" si="77"/>
        <v>0</v>
      </c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  <c r="AT752" s="42"/>
      <c r="AU752" s="42"/>
      <c r="AV752" s="42">
        <f t="shared" si="78"/>
        <v>0</v>
      </c>
      <c r="AW752" s="42"/>
      <c r="AX752" s="42"/>
      <c r="AY752" s="42">
        <v>0</v>
      </c>
      <c r="AZ752" s="42">
        <v>0</v>
      </c>
      <c r="BA752" s="42">
        <v>0</v>
      </c>
      <c r="BB752" s="42">
        <v>0</v>
      </c>
      <c r="BC752" s="42">
        <v>0</v>
      </c>
      <c r="BD752" s="42">
        <v>0</v>
      </c>
      <c r="BE752" s="42">
        <v>0</v>
      </c>
      <c r="BF752" s="42">
        <v>0</v>
      </c>
      <c r="BG752" s="42">
        <v>0</v>
      </c>
      <c r="BH752" s="42">
        <v>0</v>
      </c>
      <c r="BI752" s="42">
        <v>0</v>
      </c>
      <c r="BJ752" s="42">
        <v>0</v>
      </c>
      <c r="BK752" s="42">
        <v>0</v>
      </c>
      <c r="BL752" s="42">
        <v>0</v>
      </c>
      <c r="BM752" s="42">
        <v>0</v>
      </c>
      <c r="BN752" s="42">
        <v>0</v>
      </c>
      <c r="BO752" s="42">
        <v>0</v>
      </c>
      <c r="BP752" s="42">
        <v>0</v>
      </c>
      <c r="BQ752" s="42">
        <v>0</v>
      </c>
      <c r="BR752" s="42">
        <v>0</v>
      </c>
      <c r="BS752" s="42">
        <v>0</v>
      </c>
      <c r="BT752" s="42">
        <v>0</v>
      </c>
      <c r="BU752" s="42">
        <v>0</v>
      </c>
      <c r="BV752" s="42">
        <v>0</v>
      </c>
      <c r="BW752" s="42">
        <v>0</v>
      </c>
      <c r="BX752" s="42">
        <v>0</v>
      </c>
      <c r="BY752" s="42">
        <v>0</v>
      </c>
      <c r="BZ752" s="42">
        <v>0</v>
      </c>
      <c r="CA752" s="42">
        <v>0</v>
      </c>
      <c r="CB752" s="42">
        <v>0</v>
      </c>
      <c r="CC752" s="42">
        <v>0</v>
      </c>
      <c r="CD752" s="42">
        <v>0</v>
      </c>
      <c r="CE752" s="42">
        <v>0</v>
      </c>
      <c r="CF752" s="42">
        <v>0</v>
      </c>
      <c r="CG752" s="42">
        <v>0</v>
      </c>
      <c r="CH752" s="42">
        <v>0</v>
      </c>
      <c r="CI752" s="42">
        <v>0</v>
      </c>
      <c r="CJ752" s="42">
        <v>0</v>
      </c>
      <c r="CK752" s="43">
        <f t="shared" si="75"/>
        <v>0</v>
      </c>
      <c r="CL752" s="66"/>
      <c r="CM752" s="66">
        <v>0</v>
      </c>
      <c r="CN752" s="66">
        <v>0</v>
      </c>
      <c r="CO752" s="66">
        <v>0</v>
      </c>
      <c r="CP752" s="66">
        <v>0</v>
      </c>
      <c r="CQ752" s="66">
        <v>0</v>
      </c>
      <c r="CR752" s="66">
        <v>0</v>
      </c>
      <c r="CS752" s="66">
        <v>0</v>
      </c>
      <c r="CT752" s="66">
        <v>0</v>
      </c>
      <c r="CU752" s="66">
        <v>0</v>
      </c>
      <c r="CV752" s="66">
        <v>0</v>
      </c>
      <c r="CW752" s="66">
        <v>0</v>
      </c>
      <c r="CX752" s="66">
        <v>0</v>
      </c>
      <c r="CY752" s="66">
        <v>0</v>
      </c>
      <c r="CZ752" s="66">
        <v>0</v>
      </c>
      <c r="DA752" s="66"/>
      <c r="DB752" s="66"/>
      <c r="DC752" s="66"/>
      <c r="DD752" s="66"/>
      <c r="DE752" s="66"/>
      <c r="DF752" s="66"/>
      <c r="DG752" s="66"/>
      <c r="DH752" s="66"/>
      <c r="DI752" s="66"/>
      <c r="DJ752" s="66"/>
      <c r="DK752" s="66">
        <f>SUM(Table1[[#This Row],[01-03 Apr]:[Mar-26]])</f>
        <v>0</v>
      </c>
    </row>
    <row r="753" spans="1:115" hidden="1" x14ac:dyDescent="0.2">
      <c r="A753" s="28"/>
      <c r="B753" s="29" t="s">
        <v>2455</v>
      </c>
      <c r="C753" s="29" t="s">
        <v>3336</v>
      </c>
      <c r="D753" s="30"/>
      <c r="E753" s="30" t="s">
        <v>906</v>
      </c>
      <c r="F753" s="30"/>
      <c r="G753" s="31"/>
      <c r="H753" s="30"/>
      <c r="I753" s="30" t="str">
        <f>IF(Table1[[#This Row],[Centre Status]]="Returned","NA",IF(Table1[[#This Row],[SD]]&gt;19000,"Full Payment",IF(Table1[[#This Row],[SD]]&lt;1,"No Payment","Partial Payment")))</f>
        <v>NA</v>
      </c>
      <c r="J753" s="30" t="s">
        <v>1903</v>
      </c>
      <c r="K753" s="32">
        <v>110000</v>
      </c>
      <c r="L753" s="33">
        <f>Q753+R753+U753+Table1[[#This Row],[Farmer Payment]]</f>
        <v>0</v>
      </c>
      <c r="M753" s="30">
        <v>20000</v>
      </c>
      <c r="N753" s="34">
        <v>45435</v>
      </c>
      <c r="O753" s="34" t="s">
        <v>2456</v>
      </c>
      <c r="P753" s="35">
        <f t="shared" si="76"/>
        <v>130000</v>
      </c>
      <c r="Q753" s="33">
        <f>AI753+AV753+CK753+Table1[[#This Row],[FY 25-26]]</f>
        <v>0</v>
      </c>
      <c r="R753" s="36"/>
      <c r="S753" s="37"/>
      <c r="T753" s="38"/>
      <c r="U753" s="39"/>
      <c r="V753" s="39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1">
        <f t="shared" si="77"/>
        <v>0</v>
      </c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  <c r="AT753" s="42"/>
      <c r="AU753" s="42"/>
      <c r="AV753" s="42">
        <f t="shared" si="78"/>
        <v>0</v>
      </c>
      <c r="AW753" s="42"/>
      <c r="AX753" s="42"/>
      <c r="AY753" s="42">
        <v>0</v>
      </c>
      <c r="AZ753" s="42">
        <v>0</v>
      </c>
      <c r="BA753" s="42">
        <v>0</v>
      </c>
      <c r="BB753" s="42">
        <v>0</v>
      </c>
      <c r="BC753" s="42">
        <v>0</v>
      </c>
      <c r="BD753" s="42">
        <v>0</v>
      </c>
      <c r="BE753" s="42">
        <v>0</v>
      </c>
      <c r="BF753" s="42">
        <v>0</v>
      </c>
      <c r="BG753" s="42">
        <v>0</v>
      </c>
      <c r="BH753" s="42">
        <v>0</v>
      </c>
      <c r="BI753" s="42">
        <v>0</v>
      </c>
      <c r="BJ753" s="42">
        <v>0</v>
      </c>
      <c r="BK753" s="42">
        <v>0</v>
      </c>
      <c r="BL753" s="42">
        <v>0</v>
      </c>
      <c r="BM753" s="42">
        <v>0</v>
      </c>
      <c r="BN753" s="42">
        <v>0</v>
      </c>
      <c r="BO753" s="42">
        <v>0</v>
      </c>
      <c r="BP753" s="42">
        <v>0</v>
      </c>
      <c r="BQ753" s="42">
        <v>0</v>
      </c>
      <c r="BR753" s="42">
        <v>0</v>
      </c>
      <c r="BS753" s="42">
        <v>0</v>
      </c>
      <c r="BT753" s="42">
        <v>0</v>
      </c>
      <c r="BU753" s="42">
        <v>0</v>
      </c>
      <c r="BV753" s="42">
        <v>0</v>
      </c>
      <c r="BW753" s="42">
        <v>0</v>
      </c>
      <c r="BX753" s="42">
        <v>0</v>
      </c>
      <c r="BY753" s="42">
        <v>0</v>
      </c>
      <c r="BZ753" s="42">
        <v>0</v>
      </c>
      <c r="CA753" s="42">
        <v>0</v>
      </c>
      <c r="CB753" s="42">
        <v>0</v>
      </c>
      <c r="CC753" s="42">
        <v>0</v>
      </c>
      <c r="CD753" s="42">
        <v>0</v>
      </c>
      <c r="CE753" s="42">
        <v>0</v>
      </c>
      <c r="CF753" s="42">
        <v>0</v>
      </c>
      <c r="CG753" s="42">
        <v>0</v>
      </c>
      <c r="CH753" s="42">
        <v>0</v>
      </c>
      <c r="CI753" s="42">
        <v>0</v>
      </c>
      <c r="CJ753" s="42">
        <v>0</v>
      </c>
      <c r="CK753" s="43">
        <f t="shared" si="75"/>
        <v>0</v>
      </c>
      <c r="CL753" s="66"/>
      <c r="CM753" s="66">
        <v>0</v>
      </c>
      <c r="CN753" s="66">
        <v>0</v>
      </c>
      <c r="CO753" s="66">
        <v>0</v>
      </c>
      <c r="CP753" s="66">
        <v>0</v>
      </c>
      <c r="CQ753" s="66">
        <v>0</v>
      </c>
      <c r="CR753" s="66">
        <v>0</v>
      </c>
      <c r="CS753" s="66">
        <v>0</v>
      </c>
      <c r="CT753" s="66">
        <v>0</v>
      </c>
      <c r="CU753" s="66">
        <v>0</v>
      </c>
      <c r="CV753" s="66">
        <v>0</v>
      </c>
      <c r="CW753" s="66">
        <v>0</v>
      </c>
      <c r="CX753" s="66">
        <v>0</v>
      </c>
      <c r="CY753" s="66">
        <v>0</v>
      </c>
      <c r="CZ753" s="66">
        <v>0</v>
      </c>
      <c r="DA753" s="66"/>
      <c r="DB753" s="66"/>
      <c r="DC753" s="66"/>
      <c r="DD753" s="66"/>
      <c r="DE753" s="66"/>
      <c r="DF753" s="66"/>
      <c r="DG753" s="66"/>
      <c r="DH753" s="66"/>
      <c r="DI753" s="66"/>
      <c r="DJ753" s="66"/>
      <c r="DK753" s="66">
        <f>SUM(Table1[[#This Row],[01-03 Apr]:[Mar-26]])</f>
        <v>0</v>
      </c>
    </row>
    <row r="754" spans="1:115" hidden="1" x14ac:dyDescent="0.2">
      <c r="A754" s="28" t="s">
        <v>2254</v>
      </c>
      <c r="B754" s="29" t="s">
        <v>126</v>
      </c>
      <c r="C754" s="29" t="s">
        <v>3336</v>
      </c>
      <c r="D754" s="30" t="s">
        <v>127</v>
      </c>
      <c r="E754" s="30" t="s">
        <v>297</v>
      </c>
      <c r="F754" s="30"/>
      <c r="G754" s="31">
        <v>44777</v>
      </c>
      <c r="H754" s="30">
        <v>365103</v>
      </c>
      <c r="I754" s="30" t="str">
        <f>IF(Table1[[#This Row],[Centre Status]]="Returned","NA",IF(Table1[[#This Row],[SD]]&gt;19000,"Full Payment",IF(Table1[[#This Row],[SD]]&lt;1,"No Payment","Partial Payment")))</f>
        <v>NA</v>
      </c>
      <c r="J754" s="30" t="s">
        <v>1903</v>
      </c>
      <c r="K754" s="32">
        <v>110000</v>
      </c>
      <c r="L754" s="33">
        <f>Q754+R754+U754+Table1[[#This Row],[Farmer Payment]]</f>
        <v>0</v>
      </c>
      <c r="M754" s="30">
        <v>20000</v>
      </c>
      <c r="N754" s="34">
        <v>45384</v>
      </c>
      <c r="O754" s="34"/>
      <c r="P754" s="35">
        <f t="shared" si="76"/>
        <v>130000</v>
      </c>
      <c r="Q754" s="33">
        <f>AI754+AV754+CK754+Table1[[#This Row],[FY 25-26]]</f>
        <v>0</v>
      </c>
      <c r="R754" s="36">
        <v>0</v>
      </c>
      <c r="S754" s="37"/>
      <c r="T754" s="38"/>
      <c r="U754" s="39"/>
      <c r="V754" s="39"/>
      <c r="W754" s="40">
        <v>0</v>
      </c>
      <c r="X754" s="40">
        <v>0</v>
      </c>
      <c r="Y754" s="40">
        <v>0</v>
      </c>
      <c r="Z754" s="40">
        <v>0</v>
      </c>
      <c r="AA754" s="40">
        <v>0</v>
      </c>
      <c r="AB754" s="40">
        <v>0</v>
      </c>
      <c r="AC754" s="40">
        <v>0</v>
      </c>
      <c r="AD754" s="40">
        <v>0</v>
      </c>
      <c r="AE754" s="40">
        <v>0</v>
      </c>
      <c r="AF754" s="40">
        <v>0</v>
      </c>
      <c r="AG754" s="40">
        <v>0</v>
      </c>
      <c r="AH754" s="40">
        <v>0</v>
      </c>
      <c r="AI754" s="41">
        <f t="shared" si="77"/>
        <v>0</v>
      </c>
      <c r="AJ754" s="42">
        <v>0</v>
      </c>
      <c r="AK754" s="42">
        <v>0</v>
      </c>
      <c r="AL754" s="42">
        <v>0</v>
      </c>
      <c r="AM754" s="42">
        <v>0</v>
      </c>
      <c r="AN754" s="42">
        <v>0</v>
      </c>
      <c r="AO754" s="42">
        <v>0</v>
      </c>
      <c r="AP754" s="42">
        <v>0</v>
      </c>
      <c r="AQ754" s="42">
        <v>0</v>
      </c>
      <c r="AR754" s="42">
        <v>0</v>
      </c>
      <c r="AS754" s="42">
        <v>0</v>
      </c>
      <c r="AT754" s="42">
        <v>0</v>
      </c>
      <c r="AU754" s="42">
        <v>0</v>
      </c>
      <c r="AV754" s="42">
        <f t="shared" si="78"/>
        <v>0</v>
      </c>
      <c r="AW754" s="42">
        <v>0</v>
      </c>
      <c r="AX754" s="42">
        <v>0</v>
      </c>
      <c r="AY754" s="42">
        <v>0</v>
      </c>
      <c r="AZ754" s="42">
        <v>0</v>
      </c>
      <c r="BA754" s="42">
        <v>0</v>
      </c>
      <c r="BB754" s="42">
        <v>0</v>
      </c>
      <c r="BC754" s="42">
        <v>0</v>
      </c>
      <c r="BD754" s="42">
        <v>0</v>
      </c>
      <c r="BE754" s="42">
        <v>0</v>
      </c>
      <c r="BF754" s="42">
        <v>0</v>
      </c>
      <c r="BG754" s="42">
        <v>0</v>
      </c>
      <c r="BH754" s="42">
        <v>0</v>
      </c>
      <c r="BI754" s="42">
        <v>0</v>
      </c>
      <c r="BJ754" s="42">
        <v>0</v>
      </c>
      <c r="BK754" s="42">
        <v>0</v>
      </c>
      <c r="BL754" s="42">
        <v>0</v>
      </c>
      <c r="BM754" s="42">
        <v>0</v>
      </c>
      <c r="BN754" s="42">
        <v>0</v>
      </c>
      <c r="BO754" s="42">
        <v>0</v>
      </c>
      <c r="BP754" s="42">
        <v>0</v>
      </c>
      <c r="BQ754" s="42">
        <v>0</v>
      </c>
      <c r="BR754" s="42">
        <v>0</v>
      </c>
      <c r="BS754" s="42">
        <v>0</v>
      </c>
      <c r="BT754" s="42">
        <v>0</v>
      </c>
      <c r="BU754" s="42">
        <v>0</v>
      </c>
      <c r="BV754" s="42">
        <v>0</v>
      </c>
      <c r="BW754" s="42">
        <v>0</v>
      </c>
      <c r="BX754" s="42">
        <v>0</v>
      </c>
      <c r="BY754" s="42">
        <v>0</v>
      </c>
      <c r="BZ754" s="42">
        <v>0</v>
      </c>
      <c r="CA754" s="42">
        <v>0</v>
      </c>
      <c r="CB754" s="42">
        <v>0</v>
      </c>
      <c r="CC754" s="42">
        <v>0</v>
      </c>
      <c r="CD754" s="42">
        <v>0</v>
      </c>
      <c r="CE754" s="42">
        <v>0</v>
      </c>
      <c r="CF754" s="42">
        <v>0</v>
      </c>
      <c r="CG754" s="42">
        <v>0</v>
      </c>
      <c r="CH754" s="42">
        <v>0</v>
      </c>
      <c r="CI754" s="42">
        <v>0</v>
      </c>
      <c r="CJ754" s="42">
        <v>0</v>
      </c>
      <c r="CK754" s="43">
        <f t="shared" si="75"/>
        <v>0</v>
      </c>
      <c r="CL754" s="66"/>
      <c r="CM754" s="66">
        <v>0</v>
      </c>
      <c r="CN754" s="66">
        <v>0</v>
      </c>
      <c r="CO754" s="66">
        <v>0</v>
      </c>
      <c r="CP754" s="66">
        <v>0</v>
      </c>
      <c r="CQ754" s="66">
        <v>0</v>
      </c>
      <c r="CR754" s="66">
        <v>0</v>
      </c>
      <c r="CS754" s="66">
        <v>0</v>
      </c>
      <c r="CT754" s="66">
        <v>0</v>
      </c>
      <c r="CU754" s="66">
        <v>0</v>
      </c>
      <c r="CV754" s="66">
        <v>0</v>
      </c>
      <c r="CW754" s="66">
        <v>0</v>
      </c>
      <c r="CX754" s="66">
        <v>0</v>
      </c>
      <c r="CY754" s="66">
        <v>0</v>
      </c>
      <c r="CZ754" s="66">
        <v>0</v>
      </c>
      <c r="DA754" s="66"/>
      <c r="DB754" s="66"/>
      <c r="DC754" s="66"/>
      <c r="DD754" s="66"/>
      <c r="DE754" s="66"/>
      <c r="DF754" s="66"/>
      <c r="DG754" s="66"/>
      <c r="DH754" s="66"/>
      <c r="DI754" s="66"/>
      <c r="DJ754" s="66"/>
      <c r="DK754" s="66">
        <f>SUM(Table1[[#This Row],[01-03 Apr]:[Mar-26]])</f>
        <v>0</v>
      </c>
    </row>
    <row r="755" spans="1:115" hidden="1" x14ac:dyDescent="0.2">
      <c r="A755" s="28" t="s">
        <v>2255</v>
      </c>
      <c r="B755" s="29" t="s">
        <v>182</v>
      </c>
      <c r="C755" s="29" t="s">
        <v>183</v>
      </c>
      <c r="D755" s="30" t="s">
        <v>184</v>
      </c>
      <c r="E755" s="30" t="s">
        <v>177</v>
      </c>
      <c r="F755" s="30"/>
      <c r="G755" s="31"/>
      <c r="H755" s="30">
        <v>387344</v>
      </c>
      <c r="I755" s="30" t="str">
        <f>IF(Table1[[#This Row],[Centre Status]]="Returned","NA",IF(Table1[[#This Row],[SD]]&gt;19000,"Full Payment",IF(Table1[[#This Row],[SD]]&lt;1,"No Payment","Partial Payment")))</f>
        <v>NA</v>
      </c>
      <c r="J755" s="30" t="s">
        <v>1903</v>
      </c>
      <c r="K755" s="32">
        <v>12219</v>
      </c>
      <c r="L755" s="33">
        <f>Q755+R755+U755+Table1[[#This Row],[Farmer Payment]]</f>
        <v>13219</v>
      </c>
      <c r="M755" s="30">
        <v>10000</v>
      </c>
      <c r="N755" s="34">
        <v>45622</v>
      </c>
      <c r="O755" s="34"/>
      <c r="P755" s="35">
        <f t="shared" si="76"/>
        <v>9000</v>
      </c>
      <c r="Q755" s="33">
        <f>AI755+AV755+CK755+Table1[[#This Row],[FY 25-26]]</f>
        <v>3219</v>
      </c>
      <c r="R755" s="36">
        <v>10000</v>
      </c>
      <c r="S755" s="37" t="s">
        <v>185</v>
      </c>
      <c r="T755" s="38">
        <v>45294</v>
      </c>
      <c r="U755" s="39"/>
      <c r="V755" s="39"/>
      <c r="W755" s="40">
        <v>0</v>
      </c>
      <c r="X755" s="40">
        <v>0</v>
      </c>
      <c r="Y755" s="40">
        <v>0</v>
      </c>
      <c r="Z755" s="40">
        <v>0</v>
      </c>
      <c r="AA755" s="40">
        <v>0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>
        <v>0</v>
      </c>
      <c r="AH755" s="40">
        <v>0</v>
      </c>
      <c r="AI755" s="41">
        <f t="shared" si="77"/>
        <v>0</v>
      </c>
      <c r="AJ755" s="42">
        <v>0</v>
      </c>
      <c r="AK755" s="42">
        <v>0</v>
      </c>
      <c r="AL755" s="42">
        <v>0</v>
      </c>
      <c r="AM755" s="42">
        <v>0</v>
      </c>
      <c r="AN755" s="42">
        <v>0</v>
      </c>
      <c r="AO755" s="42">
        <v>0</v>
      </c>
      <c r="AP755" s="42">
        <v>0</v>
      </c>
      <c r="AQ755" s="42">
        <v>0</v>
      </c>
      <c r="AR755" s="42">
        <v>0</v>
      </c>
      <c r="AS755" s="42">
        <v>0</v>
      </c>
      <c r="AT755" s="42">
        <v>0</v>
      </c>
      <c r="AU755" s="42">
        <v>0</v>
      </c>
      <c r="AV755" s="42">
        <f t="shared" si="78"/>
        <v>0</v>
      </c>
      <c r="AW755" s="42">
        <v>437</v>
      </c>
      <c r="AX755" s="42">
        <v>641</v>
      </c>
      <c r="AY755" s="42">
        <v>464</v>
      </c>
      <c r="AZ755" s="42">
        <v>572</v>
      </c>
      <c r="BA755" s="42">
        <v>105</v>
      </c>
      <c r="BB755" s="42">
        <v>500</v>
      </c>
      <c r="BC755" s="42">
        <v>0</v>
      </c>
      <c r="BD755" s="42">
        <v>500</v>
      </c>
      <c r="BE755" s="42">
        <v>0</v>
      </c>
      <c r="BF755" s="42">
        <v>0</v>
      </c>
      <c r="BG755" s="42">
        <v>0</v>
      </c>
      <c r="BH755" s="42">
        <v>0</v>
      </c>
      <c r="BI755" s="42">
        <v>0</v>
      </c>
      <c r="BJ755" s="42">
        <v>0</v>
      </c>
      <c r="BK755" s="42">
        <v>0</v>
      </c>
      <c r="BL755" s="42">
        <v>0</v>
      </c>
      <c r="BM755" s="42">
        <v>0</v>
      </c>
      <c r="BN755" s="42">
        <v>0</v>
      </c>
      <c r="BO755" s="42">
        <v>0</v>
      </c>
      <c r="BP755" s="42">
        <v>0</v>
      </c>
      <c r="BQ755" s="42">
        <v>0</v>
      </c>
      <c r="BR755" s="42">
        <v>0</v>
      </c>
      <c r="BS755" s="42">
        <v>0</v>
      </c>
      <c r="BT755" s="42">
        <v>0</v>
      </c>
      <c r="BU755" s="42">
        <v>0</v>
      </c>
      <c r="BV755" s="42">
        <v>0</v>
      </c>
      <c r="BW755" s="42">
        <v>0</v>
      </c>
      <c r="BX755" s="42">
        <v>0</v>
      </c>
      <c r="BY755" s="42">
        <v>0</v>
      </c>
      <c r="BZ755" s="42">
        <v>0</v>
      </c>
      <c r="CA755" s="42">
        <v>0</v>
      </c>
      <c r="CB755" s="42">
        <v>0</v>
      </c>
      <c r="CC755" s="42">
        <v>0</v>
      </c>
      <c r="CD755" s="42">
        <v>0</v>
      </c>
      <c r="CE755" s="42">
        <v>0</v>
      </c>
      <c r="CF755" s="42">
        <v>0</v>
      </c>
      <c r="CG755" s="42">
        <v>0</v>
      </c>
      <c r="CH755" s="42">
        <v>0</v>
      </c>
      <c r="CI755" s="42">
        <v>0</v>
      </c>
      <c r="CJ755" s="42">
        <v>0</v>
      </c>
      <c r="CK755" s="43">
        <f t="shared" si="75"/>
        <v>3219</v>
      </c>
      <c r="CL755" s="66"/>
      <c r="CM755" s="66">
        <v>0</v>
      </c>
      <c r="CN755" s="66">
        <v>0</v>
      </c>
      <c r="CO755" s="66">
        <v>0</v>
      </c>
      <c r="CP755" s="66">
        <v>0</v>
      </c>
      <c r="CQ755" s="66">
        <v>0</v>
      </c>
      <c r="CR755" s="66">
        <v>0</v>
      </c>
      <c r="CS755" s="66">
        <v>0</v>
      </c>
      <c r="CT755" s="66">
        <v>0</v>
      </c>
      <c r="CU755" s="66">
        <v>0</v>
      </c>
      <c r="CV755" s="66">
        <v>0</v>
      </c>
      <c r="CW755" s="66">
        <v>0</v>
      </c>
      <c r="CX755" s="66">
        <v>0</v>
      </c>
      <c r="CY755" s="66">
        <v>0</v>
      </c>
      <c r="CZ755" s="66">
        <v>0</v>
      </c>
      <c r="DA755" s="66"/>
      <c r="DB755" s="66"/>
      <c r="DC755" s="66"/>
      <c r="DD755" s="66"/>
      <c r="DE755" s="66"/>
      <c r="DF755" s="66"/>
      <c r="DG755" s="66"/>
      <c r="DH755" s="66"/>
      <c r="DI755" s="66"/>
      <c r="DJ755" s="66"/>
      <c r="DK755" s="66">
        <f>SUM(Table1[[#This Row],[01-03 Apr]:[Mar-26]])</f>
        <v>0</v>
      </c>
    </row>
    <row r="756" spans="1:115" hidden="1" x14ac:dyDescent="0.2">
      <c r="A756" s="28" t="s">
        <v>2255</v>
      </c>
      <c r="B756" s="29" t="s">
        <v>201</v>
      </c>
      <c r="C756" s="29" t="s">
        <v>201</v>
      </c>
      <c r="D756" s="30" t="s">
        <v>202</v>
      </c>
      <c r="E756" s="30" t="s">
        <v>203</v>
      </c>
      <c r="F756" s="30"/>
      <c r="G756" s="31"/>
      <c r="H756" s="30">
        <v>381762</v>
      </c>
      <c r="I756" s="30" t="str">
        <f>IF(Table1[[#This Row],[Centre Status]]="Returned","NA",IF(Table1[[#This Row],[SD]]&gt;19000,"Full Payment",IF(Table1[[#This Row],[SD]]&lt;1,"No Payment","Partial Payment")))</f>
        <v>NA</v>
      </c>
      <c r="J756" s="30" t="s">
        <v>1903</v>
      </c>
      <c r="K756" s="32">
        <v>110000</v>
      </c>
      <c r="L756" s="33">
        <f>Q756+R756+U756+Table1[[#This Row],[Farmer Payment]]</f>
        <v>23160</v>
      </c>
      <c r="M756" s="30">
        <v>20000</v>
      </c>
      <c r="N756" s="34">
        <v>45541</v>
      </c>
      <c r="O756" s="34" t="s">
        <v>2607</v>
      </c>
      <c r="P756" s="35">
        <f t="shared" si="76"/>
        <v>106840</v>
      </c>
      <c r="Q756" s="33">
        <f>AI756+AV756+CK756+Table1[[#This Row],[FY 25-26]]</f>
        <v>3160</v>
      </c>
      <c r="R756" s="36">
        <v>20000</v>
      </c>
      <c r="S756" s="37" t="s">
        <v>2552</v>
      </c>
      <c r="T756" s="38">
        <v>45454</v>
      </c>
      <c r="U756" s="39"/>
      <c r="V756" s="39"/>
      <c r="W756" s="40">
        <v>0</v>
      </c>
      <c r="X756" s="40">
        <v>0</v>
      </c>
      <c r="Y756" s="40">
        <v>0</v>
      </c>
      <c r="Z756" s="40">
        <v>0</v>
      </c>
      <c r="AA756" s="40">
        <v>0</v>
      </c>
      <c r="AB756" s="40">
        <v>0</v>
      </c>
      <c r="AC756" s="40">
        <v>0</v>
      </c>
      <c r="AD756" s="40">
        <v>0</v>
      </c>
      <c r="AE756" s="40">
        <v>0</v>
      </c>
      <c r="AF756" s="40">
        <v>0</v>
      </c>
      <c r="AG756" s="40">
        <v>0</v>
      </c>
      <c r="AH756" s="40">
        <v>0</v>
      </c>
      <c r="AI756" s="41">
        <f t="shared" si="77"/>
        <v>0</v>
      </c>
      <c r="AJ756" s="42">
        <v>0</v>
      </c>
      <c r="AK756" s="42">
        <v>0</v>
      </c>
      <c r="AL756" s="42">
        <v>0</v>
      </c>
      <c r="AM756" s="42">
        <v>0</v>
      </c>
      <c r="AN756" s="42">
        <v>0</v>
      </c>
      <c r="AO756" s="42">
        <v>0</v>
      </c>
      <c r="AP756" s="42">
        <v>0</v>
      </c>
      <c r="AQ756" s="42">
        <v>0</v>
      </c>
      <c r="AR756" s="42">
        <v>0</v>
      </c>
      <c r="AS756" s="42">
        <v>0</v>
      </c>
      <c r="AT756" s="42">
        <v>0</v>
      </c>
      <c r="AU756" s="42">
        <v>0</v>
      </c>
      <c r="AV756" s="42">
        <f t="shared" si="78"/>
        <v>0</v>
      </c>
      <c r="AW756" s="42">
        <v>0</v>
      </c>
      <c r="AX756" s="42">
        <v>0</v>
      </c>
      <c r="AY756" s="42">
        <v>1861</v>
      </c>
      <c r="AZ756" s="42">
        <v>1299</v>
      </c>
      <c r="BA756" s="42">
        <v>0</v>
      </c>
      <c r="BB756" s="42">
        <v>0</v>
      </c>
      <c r="BC756" s="42">
        <v>0</v>
      </c>
      <c r="BD756" s="42">
        <v>0</v>
      </c>
      <c r="BE756" s="42">
        <v>0</v>
      </c>
      <c r="BF756" s="42">
        <v>0</v>
      </c>
      <c r="BG756" s="42">
        <v>0</v>
      </c>
      <c r="BH756" s="42">
        <v>0</v>
      </c>
      <c r="BI756" s="42">
        <v>0</v>
      </c>
      <c r="BJ756" s="42">
        <v>0</v>
      </c>
      <c r="BK756" s="42">
        <v>0</v>
      </c>
      <c r="BL756" s="42">
        <v>0</v>
      </c>
      <c r="BM756" s="42">
        <v>0</v>
      </c>
      <c r="BN756" s="42">
        <v>0</v>
      </c>
      <c r="BO756" s="42">
        <v>0</v>
      </c>
      <c r="BP756" s="42">
        <v>0</v>
      </c>
      <c r="BQ756" s="42">
        <v>0</v>
      </c>
      <c r="BR756" s="42">
        <v>0</v>
      </c>
      <c r="BS756" s="42">
        <v>0</v>
      </c>
      <c r="BT756" s="42">
        <v>0</v>
      </c>
      <c r="BU756" s="42">
        <v>0</v>
      </c>
      <c r="BV756" s="42">
        <v>0</v>
      </c>
      <c r="BW756" s="42">
        <v>0</v>
      </c>
      <c r="BX756" s="42">
        <v>0</v>
      </c>
      <c r="BY756" s="42">
        <v>0</v>
      </c>
      <c r="BZ756" s="42">
        <v>0</v>
      </c>
      <c r="CA756" s="42">
        <v>0</v>
      </c>
      <c r="CB756" s="42">
        <v>0</v>
      </c>
      <c r="CC756" s="42">
        <v>0</v>
      </c>
      <c r="CD756" s="42">
        <v>0</v>
      </c>
      <c r="CE756" s="42">
        <v>0</v>
      </c>
      <c r="CF756" s="42">
        <v>0</v>
      </c>
      <c r="CG756" s="42">
        <v>0</v>
      </c>
      <c r="CH756" s="42">
        <v>0</v>
      </c>
      <c r="CI756" s="42">
        <v>0</v>
      </c>
      <c r="CJ756" s="42">
        <v>0</v>
      </c>
      <c r="CK756" s="43">
        <f t="shared" si="75"/>
        <v>3160</v>
      </c>
      <c r="CL756" s="66"/>
      <c r="CM756" s="66">
        <v>0</v>
      </c>
      <c r="CN756" s="66">
        <v>0</v>
      </c>
      <c r="CO756" s="66">
        <v>0</v>
      </c>
      <c r="CP756" s="66">
        <v>0</v>
      </c>
      <c r="CQ756" s="66">
        <v>0</v>
      </c>
      <c r="CR756" s="66">
        <v>0</v>
      </c>
      <c r="CS756" s="66">
        <v>0</v>
      </c>
      <c r="CT756" s="66">
        <v>0</v>
      </c>
      <c r="CU756" s="66">
        <v>0</v>
      </c>
      <c r="CV756" s="66">
        <v>0</v>
      </c>
      <c r="CW756" s="66">
        <v>0</v>
      </c>
      <c r="CX756" s="66">
        <v>0</v>
      </c>
      <c r="CY756" s="66">
        <v>0</v>
      </c>
      <c r="CZ756" s="66">
        <v>0</v>
      </c>
      <c r="DA756" s="66"/>
      <c r="DB756" s="66"/>
      <c r="DC756" s="66"/>
      <c r="DD756" s="66"/>
      <c r="DE756" s="66"/>
      <c r="DF756" s="66"/>
      <c r="DG756" s="66"/>
      <c r="DH756" s="66"/>
      <c r="DI756" s="66"/>
      <c r="DJ756" s="66"/>
      <c r="DK756" s="66">
        <f>SUM(Table1[[#This Row],[01-03 Apr]:[Mar-26]])</f>
        <v>0</v>
      </c>
    </row>
    <row r="757" spans="1:115" hidden="1" x14ac:dyDescent="0.2">
      <c r="A757" s="28" t="s">
        <v>2255</v>
      </c>
      <c r="B757" s="29" t="s">
        <v>204</v>
      </c>
      <c r="C757" s="29" t="s">
        <v>204</v>
      </c>
      <c r="D757" s="30" t="s">
        <v>205</v>
      </c>
      <c r="E757" s="30" t="s">
        <v>85</v>
      </c>
      <c r="F757" s="30"/>
      <c r="G757" s="31"/>
      <c r="H757" s="30">
        <v>383808</v>
      </c>
      <c r="I757" s="30" t="str">
        <f>IF(Table1[[#This Row],[Centre Status]]="Returned","NA",IF(Table1[[#This Row],[SD]]&gt;19000,"Full Payment",IF(Table1[[#This Row],[SD]]&lt;1,"No Payment","Partial Payment")))</f>
        <v>NA</v>
      </c>
      <c r="J757" s="30" t="s">
        <v>1903</v>
      </c>
      <c r="K757" s="32">
        <v>110000</v>
      </c>
      <c r="L757" s="33">
        <f>Q757+R757+U757+Table1[[#This Row],[Farmer Payment]]</f>
        <v>20654</v>
      </c>
      <c r="M757" s="30">
        <v>20000</v>
      </c>
      <c r="N757" s="34">
        <v>45554</v>
      </c>
      <c r="O757" s="34" t="s">
        <v>2425</v>
      </c>
      <c r="P757" s="35">
        <f t="shared" si="76"/>
        <v>109346</v>
      </c>
      <c r="Q757" s="33">
        <f>AI757+AV757+CK757+Table1[[#This Row],[FY 25-26]]</f>
        <v>654</v>
      </c>
      <c r="R757" s="36">
        <v>20000</v>
      </c>
      <c r="S757" s="37" t="s">
        <v>2326</v>
      </c>
      <c r="T757" s="38">
        <v>45398</v>
      </c>
      <c r="U757" s="39"/>
      <c r="V757" s="39"/>
      <c r="W757" s="40">
        <v>0</v>
      </c>
      <c r="X757" s="40">
        <v>0</v>
      </c>
      <c r="Y757" s="40">
        <v>0</v>
      </c>
      <c r="Z757" s="40">
        <v>0</v>
      </c>
      <c r="AA757" s="40">
        <v>0</v>
      </c>
      <c r="AB757" s="40">
        <v>0</v>
      </c>
      <c r="AC757" s="40">
        <v>0</v>
      </c>
      <c r="AD757" s="40">
        <v>0</v>
      </c>
      <c r="AE757" s="40">
        <v>0</v>
      </c>
      <c r="AF757" s="40">
        <v>0</v>
      </c>
      <c r="AG757" s="40">
        <v>0</v>
      </c>
      <c r="AH757" s="40">
        <v>0</v>
      </c>
      <c r="AI757" s="41">
        <f t="shared" si="77"/>
        <v>0</v>
      </c>
      <c r="AJ757" s="42">
        <v>0</v>
      </c>
      <c r="AK757" s="42">
        <v>0</v>
      </c>
      <c r="AL757" s="42">
        <v>0</v>
      </c>
      <c r="AM757" s="42">
        <v>0</v>
      </c>
      <c r="AN757" s="42">
        <v>0</v>
      </c>
      <c r="AO757" s="42">
        <v>0</v>
      </c>
      <c r="AP757" s="42">
        <v>0</v>
      </c>
      <c r="AQ757" s="42">
        <v>0</v>
      </c>
      <c r="AR757" s="42">
        <v>0</v>
      </c>
      <c r="AS757" s="42">
        <v>0</v>
      </c>
      <c r="AT757" s="42">
        <v>0</v>
      </c>
      <c r="AU757" s="42">
        <v>0</v>
      </c>
      <c r="AV757" s="42">
        <f t="shared" si="78"/>
        <v>0</v>
      </c>
      <c r="AW757" s="42">
        <v>0</v>
      </c>
      <c r="AX757" s="42">
        <v>0</v>
      </c>
      <c r="AY757" s="42">
        <v>72</v>
      </c>
      <c r="AZ757" s="42">
        <v>389</v>
      </c>
      <c r="BA757" s="42">
        <v>193</v>
      </c>
      <c r="BB757" s="42">
        <v>0</v>
      </c>
      <c r="BC757" s="42">
        <v>0</v>
      </c>
      <c r="BD757" s="42">
        <v>0</v>
      </c>
      <c r="BE757" s="42">
        <v>0</v>
      </c>
      <c r="BF757" s="42">
        <v>0</v>
      </c>
      <c r="BG757" s="42">
        <v>0</v>
      </c>
      <c r="BH757" s="42">
        <v>0</v>
      </c>
      <c r="BI757" s="42">
        <v>0</v>
      </c>
      <c r="BJ757" s="42">
        <v>0</v>
      </c>
      <c r="BK757" s="42">
        <v>0</v>
      </c>
      <c r="BL757" s="42">
        <v>0</v>
      </c>
      <c r="BM757" s="42">
        <v>0</v>
      </c>
      <c r="BN757" s="42">
        <v>0</v>
      </c>
      <c r="BO757" s="42">
        <v>0</v>
      </c>
      <c r="BP757" s="42">
        <v>0</v>
      </c>
      <c r="BQ757" s="42">
        <v>0</v>
      </c>
      <c r="BR757" s="42">
        <v>0</v>
      </c>
      <c r="BS757" s="42">
        <v>0</v>
      </c>
      <c r="BT757" s="42">
        <v>0</v>
      </c>
      <c r="BU757" s="42">
        <v>0</v>
      </c>
      <c r="BV757" s="42">
        <v>0</v>
      </c>
      <c r="BW757" s="42">
        <v>0</v>
      </c>
      <c r="BX757" s="42">
        <v>0</v>
      </c>
      <c r="BY757" s="42">
        <v>0</v>
      </c>
      <c r="BZ757" s="42">
        <v>0</v>
      </c>
      <c r="CA757" s="42">
        <v>0</v>
      </c>
      <c r="CB757" s="42">
        <v>0</v>
      </c>
      <c r="CC757" s="42">
        <v>0</v>
      </c>
      <c r="CD757" s="42">
        <v>0</v>
      </c>
      <c r="CE757" s="42">
        <v>0</v>
      </c>
      <c r="CF757" s="42">
        <v>0</v>
      </c>
      <c r="CG757" s="42">
        <v>0</v>
      </c>
      <c r="CH757" s="42">
        <v>0</v>
      </c>
      <c r="CI757" s="42">
        <v>0</v>
      </c>
      <c r="CJ757" s="42">
        <v>0</v>
      </c>
      <c r="CK757" s="43">
        <f t="shared" si="75"/>
        <v>654</v>
      </c>
      <c r="CL757" s="66"/>
      <c r="CM757" s="66">
        <v>0</v>
      </c>
      <c r="CN757" s="66">
        <v>0</v>
      </c>
      <c r="CO757" s="66">
        <v>0</v>
      </c>
      <c r="CP757" s="66">
        <v>0</v>
      </c>
      <c r="CQ757" s="66">
        <v>0</v>
      </c>
      <c r="CR757" s="66">
        <v>0</v>
      </c>
      <c r="CS757" s="66">
        <v>0</v>
      </c>
      <c r="CT757" s="66">
        <v>0</v>
      </c>
      <c r="CU757" s="66">
        <v>0</v>
      </c>
      <c r="CV757" s="66">
        <v>0</v>
      </c>
      <c r="CW757" s="66">
        <v>0</v>
      </c>
      <c r="CX757" s="66">
        <v>0</v>
      </c>
      <c r="CY757" s="66">
        <v>0</v>
      </c>
      <c r="CZ757" s="66">
        <v>0</v>
      </c>
      <c r="DA757" s="66"/>
      <c r="DB757" s="66"/>
      <c r="DC757" s="66"/>
      <c r="DD757" s="66"/>
      <c r="DE757" s="66"/>
      <c r="DF757" s="66"/>
      <c r="DG757" s="66"/>
      <c r="DH757" s="66"/>
      <c r="DI757" s="66"/>
      <c r="DJ757" s="66"/>
      <c r="DK757" s="66">
        <f>SUM(Table1[[#This Row],[01-03 Apr]:[Mar-26]])</f>
        <v>0</v>
      </c>
    </row>
    <row r="758" spans="1:115" hidden="1" x14ac:dyDescent="0.2">
      <c r="A758" s="28" t="s">
        <v>2255</v>
      </c>
      <c r="B758" s="29" t="s">
        <v>206</v>
      </c>
      <c r="C758" s="29" t="s">
        <v>2292</v>
      </c>
      <c r="D758" s="30" t="s">
        <v>207</v>
      </c>
      <c r="E758" s="30" t="s">
        <v>85</v>
      </c>
      <c r="F758" s="30"/>
      <c r="G758" s="31"/>
      <c r="H758" s="30">
        <v>277016</v>
      </c>
      <c r="I758" s="30" t="str">
        <f>IF(Table1[[#This Row],[Centre Status]]="Returned","NA",IF(Table1[[#This Row],[SD]]&gt;19000,"Full Payment",IF(Table1[[#This Row],[SD]]&lt;1,"No Payment","Partial Payment")))</f>
        <v>NA</v>
      </c>
      <c r="J758" s="30" t="s">
        <v>1903</v>
      </c>
      <c r="K758" s="32">
        <v>110000</v>
      </c>
      <c r="L758" s="33">
        <f>Q758+R758+U758+Table1[[#This Row],[Farmer Payment]]</f>
        <v>20000</v>
      </c>
      <c r="M758" s="30">
        <v>20000</v>
      </c>
      <c r="N758" s="34">
        <v>45554</v>
      </c>
      <c r="O758" s="34" t="s">
        <v>2457</v>
      </c>
      <c r="P758" s="35">
        <f t="shared" si="76"/>
        <v>110000</v>
      </c>
      <c r="Q758" s="33">
        <f>AI758+AV758+CK758+Table1[[#This Row],[FY 25-26]]</f>
        <v>0</v>
      </c>
      <c r="R758" s="36">
        <f>7000+13000</f>
        <v>20000</v>
      </c>
      <c r="S758" s="37" t="s">
        <v>2576</v>
      </c>
      <c r="T758" s="38">
        <v>45261</v>
      </c>
      <c r="U758" s="39"/>
      <c r="V758" s="39"/>
      <c r="W758" s="40">
        <v>0</v>
      </c>
      <c r="X758" s="40">
        <v>0</v>
      </c>
      <c r="Y758" s="40">
        <v>0</v>
      </c>
      <c r="Z758" s="40">
        <v>0</v>
      </c>
      <c r="AA758" s="40">
        <v>0</v>
      </c>
      <c r="AB758" s="40">
        <v>0</v>
      </c>
      <c r="AC758" s="40">
        <v>0</v>
      </c>
      <c r="AD758" s="40">
        <v>0</v>
      </c>
      <c r="AE758" s="40">
        <v>0</v>
      </c>
      <c r="AF758" s="40">
        <v>0</v>
      </c>
      <c r="AG758" s="40">
        <v>0</v>
      </c>
      <c r="AH758" s="40">
        <v>0</v>
      </c>
      <c r="AI758" s="41">
        <f t="shared" si="77"/>
        <v>0</v>
      </c>
      <c r="AJ758" s="42">
        <v>0</v>
      </c>
      <c r="AK758" s="42">
        <v>0</v>
      </c>
      <c r="AL758" s="42">
        <v>0</v>
      </c>
      <c r="AM758" s="42">
        <v>0</v>
      </c>
      <c r="AN758" s="42">
        <v>0</v>
      </c>
      <c r="AO758" s="42">
        <v>0</v>
      </c>
      <c r="AP758" s="42">
        <v>0</v>
      </c>
      <c r="AQ758" s="42">
        <v>0</v>
      </c>
      <c r="AR758" s="42">
        <v>0</v>
      </c>
      <c r="AS758" s="42">
        <v>0</v>
      </c>
      <c r="AT758" s="42">
        <v>0</v>
      </c>
      <c r="AU758" s="42">
        <v>0</v>
      </c>
      <c r="AV758" s="42">
        <f t="shared" si="78"/>
        <v>0</v>
      </c>
      <c r="AW758" s="42">
        <v>0</v>
      </c>
      <c r="AX758" s="42">
        <v>0</v>
      </c>
      <c r="AY758" s="42">
        <v>0</v>
      </c>
      <c r="AZ758" s="42">
        <v>0</v>
      </c>
      <c r="BA758" s="42">
        <v>0</v>
      </c>
      <c r="BB758" s="42">
        <v>0</v>
      </c>
      <c r="BC758" s="42">
        <v>0</v>
      </c>
      <c r="BD758" s="42">
        <v>0</v>
      </c>
      <c r="BE758" s="42">
        <v>0</v>
      </c>
      <c r="BF758" s="42">
        <v>0</v>
      </c>
      <c r="BG758" s="42">
        <v>0</v>
      </c>
      <c r="BH758" s="42">
        <v>0</v>
      </c>
      <c r="BI758" s="42">
        <v>0</v>
      </c>
      <c r="BJ758" s="42">
        <v>0</v>
      </c>
      <c r="BK758" s="42">
        <v>0</v>
      </c>
      <c r="BL758" s="42">
        <v>0</v>
      </c>
      <c r="BM758" s="42">
        <v>0</v>
      </c>
      <c r="BN758" s="42">
        <v>0</v>
      </c>
      <c r="BO758" s="42">
        <v>0</v>
      </c>
      <c r="BP758" s="42">
        <v>0</v>
      </c>
      <c r="BQ758" s="42">
        <v>0</v>
      </c>
      <c r="BR758" s="42">
        <v>0</v>
      </c>
      <c r="BS758" s="42">
        <v>0</v>
      </c>
      <c r="BT758" s="42">
        <v>0</v>
      </c>
      <c r="BU758" s="42">
        <v>0</v>
      </c>
      <c r="BV758" s="42">
        <v>0</v>
      </c>
      <c r="BW758" s="42">
        <v>0</v>
      </c>
      <c r="BX758" s="42">
        <v>0</v>
      </c>
      <c r="BY758" s="42">
        <v>0</v>
      </c>
      <c r="BZ758" s="42">
        <v>0</v>
      </c>
      <c r="CA758" s="42">
        <v>0</v>
      </c>
      <c r="CB758" s="42">
        <v>0</v>
      </c>
      <c r="CC758" s="42">
        <v>0</v>
      </c>
      <c r="CD758" s="42">
        <v>0</v>
      </c>
      <c r="CE758" s="42">
        <v>0</v>
      </c>
      <c r="CF758" s="42">
        <v>0</v>
      </c>
      <c r="CG758" s="42">
        <v>0</v>
      </c>
      <c r="CH758" s="42">
        <v>0</v>
      </c>
      <c r="CI758" s="42">
        <v>0</v>
      </c>
      <c r="CJ758" s="42">
        <v>0</v>
      </c>
      <c r="CK758" s="43">
        <f t="shared" si="75"/>
        <v>0</v>
      </c>
      <c r="CL758" s="66"/>
      <c r="CM758" s="66">
        <v>0</v>
      </c>
      <c r="CN758" s="66">
        <v>0</v>
      </c>
      <c r="CO758" s="66">
        <v>0</v>
      </c>
      <c r="CP758" s="66">
        <v>0</v>
      </c>
      <c r="CQ758" s="66">
        <v>0</v>
      </c>
      <c r="CR758" s="66">
        <v>0</v>
      </c>
      <c r="CS758" s="66">
        <v>0</v>
      </c>
      <c r="CT758" s="66">
        <v>0</v>
      </c>
      <c r="CU758" s="66">
        <v>0</v>
      </c>
      <c r="CV758" s="66">
        <v>0</v>
      </c>
      <c r="CW758" s="66">
        <v>0</v>
      </c>
      <c r="CX758" s="66">
        <v>0</v>
      </c>
      <c r="CY758" s="66">
        <v>0</v>
      </c>
      <c r="CZ758" s="66">
        <v>0</v>
      </c>
      <c r="DA758" s="66"/>
      <c r="DB758" s="66"/>
      <c r="DC758" s="66"/>
      <c r="DD758" s="66"/>
      <c r="DE758" s="66"/>
      <c r="DF758" s="66"/>
      <c r="DG758" s="66"/>
      <c r="DH758" s="66"/>
      <c r="DI758" s="66"/>
      <c r="DJ758" s="66"/>
      <c r="DK758" s="66">
        <f>SUM(Table1[[#This Row],[01-03 Apr]:[Mar-26]])</f>
        <v>0</v>
      </c>
    </row>
    <row r="759" spans="1:115" hidden="1" x14ac:dyDescent="0.2">
      <c r="A759" s="28"/>
      <c r="B759" s="29" t="s">
        <v>2459</v>
      </c>
      <c r="C759" s="29" t="s">
        <v>3336</v>
      </c>
      <c r="D759" s="30"/>
      <c r="E759" s="30"/>
      <c r="F759" s="30"/>
      <c r="G759" s="31"/>
      <c r="H759" s="30"/>
      <c r="I759" s="30" t="str">
        <f>IF(Table1[[#This Row],[Centre Status]]="Returned","NA",IF(Table1[[#This Row],[SD]]&gt;19000,"Full Payment",IF(Table1[[#This Row],[SD]]&lt;1,"No Payment","Partial Payment")))</f>
        <v>NA</v>
      </c>
      <c r="J759" s="30" t="s">
        <v>1903</v>
      </c>
      <c r="K759" s="32">
        <v>110000</v>
      </c>
      <c r="L759" s="33">
        <f>Q759+R759+U759+Table1[[#This Row],[Farmer Payment]]</f>
        <v>0</v>
      </c>
      <c r="M759" s="30">
        <f>22917-22917</f>
        <v>0</v>
      </c>
      <c r="N759" s="34">
        <v>45451</v>
      </c>
      <c r="O759" s="34" t="s">
        <v>2460</v>
      </c>
      <c r="P759" s="35">
        <f t="shared" si="76"/>
        <v>110000</v>
      </c>
      <c r="Q759" s="33">
        <f>AI759+AV759+CK759+Table1[[#This Row],[FY 25-26]]</f>
        <v>0</v>
      </c>
      <c r="R759" s="36"/>
      <c r="S759" s="37"/>
      <c r="T759" s="38"/>
      <c r="U759" s="39"/>
      <c r="V759" s="39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1">
        <f t="shared" si="77"/>
        <v>0</v>
      </c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  <c r="AT759" s="42"/>
      <c r="AU759" s="42"/>
      <c r="AV759" s="42">
        <f t="shared" si="78"/>
        <v>0</v>
      </c>
      <c r="AW759" s="42"/>
      <c r="AX759" s="42"/>
      <c r="AY759" s="42">
        <v>0</v>
      </c>
      <c r="AZ759" s="42">
        <v>0</v>
      </c>
      <c r="BA759" s="42">
        <v>0</v>
      </c>
      <c r="BB759" s="42">
        <v>0</v>
      </c>
      <c r="BC759" s="42">
        <v>0</v>
      </c>
      <c r="BD759" s="42">
        <v>0</v>
      </c>
      <c r="BE759" s="42">
        <v>0</v>
      </c>
      <c r="BF759" s="42">
        <v>0</v>
      </c>
      <c r="BG759" s="42">
        <v>0</v>
      </c>
      <c r="BH759" s="42">
        <v>0</v>
      </c>
      <c r="BI759" s="42">
        <v>0</v>
      </c>
      <c r="BJ759" s="42">
        <v>0</v>
      </c>
      <c r="BK759" s="42">
        <v>0</v>
      </c>
      <c r="BL759" s="42">
        <v>0</v>
      </c>
      <c r="BM759" s="42">
        <v>0</v>
      </c>
      <c r="BN759" s="42">
        <v>0</v>
      </c>
      <c r="BO759" s="42">
        <v>0</v>
      </c>
      <c r="BP759" s="42">
        <v>0</v>
      </c>
      <c r="BQ759" s="42">
        <v>0</v>
      </c>
      <c r="BR759" s="42">
        <v>0</v>
      </c>
      <c r="BS759" s="42">
        <v>0</v>
      </c>
      <c r="BT759" s="42">
        <v>0</v>
      </c>
      <c r="BU759" s="42">
        <v>0</v>
      </c>
      <c r="BV759" s="42">
        <v>0</v>
      </c>
      <c r="BW759" s="42">
        <v>0</v>
      </c>
      <c r="BX759" s="42">
        <v>0</v>
      </c>
      <c r="BY759" s="42">
        <v>0</v>
      </c>
      <c r="BZ759" s="42">
        <v>0</v>
      </c>
      <c r="CA759" s="42">
        <v>0</v>
      </c>
      <c r="CB759" s="42">
        <v>0</v>
      </c>
      <c r="CC759" s="42">
        <v>0</v>
      </c>
      <c r="CD759" s="42">
        <v>0</v>
      </c>
      <c r="CE759" s="42">
        <v>0</v>
      </c>
      <c r="CF759" s="42">
        <v>0</v>
      </c>
      <c r="CG759" s="42">
        <v>0</v>
      </c>
      <c r="CH759" s="42">
        <v>0</v>
      </c>
      <c r="CI759" s="42">
        <v>0</v>
      </c>
      <c r="CJ759" s="42">
        <v>0</v>
      </c>
      <c r="CK759" s="43">
        <f t="shared" si="75"/>
        <v>0</v>
      </c>
      <c r="CL759" s="66"/>
      <c r="CM759" s="66">
        <v>0</v>
      </c>
      <c r="CN759" s="66">
        <v>0</v>
      </c>
      <c r="CO759" s="66">
        <v>0</v>
      </c>
      <c r="CP759" s="66">
        <v>0</v>
      </c>
      <c r="CQ759" s="66">
        <v>0</v>
      </c>
      <c r="CR759" s="66">
        <v>0</v>
      </c>
      <c r="CS759" s="66">
        <v>0</v>
      </c>
      <c r="CT759" s="66">
        <v>0</v>
      </c>
      <c r="CU759" s="66">
        <v>0</v>
      </c>
      <c r="CV759" s="66">
        <v>0</v>
      </c>
      <c r="CW759" s="66">
        <v>0</v>
      </c>
      <c r="CX759" s="66">
        <v>0</v>
      </c>
      <c r="CY759" s="66">
        <v>0</v>
      </c>
      <c r="CZ759" s="66">
        <v>0</v>
      </c>
      <c r="DA759" s="66"/>
      <c r="DB759" s="66"/>
      <c r="DC759" s="66"/>
      <c r="DD759" s="66"/>
      <c r="DE759" s="66"/>
      <c r="DF759" s="66"/>
      <c r="DG759" s="66"/>
      <c r="DH759" s="66"/>
      <c r="DI759" s="66"/>
      <c r="DJ759" s="66"/>
      <c r="DK759" s="66">
        <f>SUM(Table1[[#This Row],[01-03 Apr]:[Mar-26]])</f>
        <v>0</v>
      </c>
    </row>
    <row r="760" spans="1:115" hidden="1" x14ac:dyDescent="0.2">
      <c r="A760" s="28" t="s">
        <v>2255</v>
      </c>
      <c r="B760" s="29" t="s">
        <v>213</v>
      </c>
      <c r="C760" s="29" t="s">
        <v>213</v>
      </c>
      <c r="D760" s="30" t="s">
        <v>214</v>
      </c>
      <c r="E760" s="30" t="s">
        <v>203</v>
      </c>
      <c r="F760" s="30"/>
      <c r="G760" s="31"/>
      <c r="H760" s="30">
        <v>383994</v>
      </c>
      <c r="I760" s="30" t="str">
        <f>IF(Table1[[#This Row],[Centre Status]]="Returned","NA",IF(Table1[[#This Row],[SD]]&gt;19000,"Full Payment",IF(Table1[[#This Row],[SD]]&lt;1,"No Payment","Partial Payment")))</f>
        <v>NA</v>
      </c>
      <c r="J760" s="30" t="s">
        <v>1903</v>
      </c>
      <c r="K760" s="32">
        <v>110000</v>
      </c>
      <c r="L760" s="33">
        <f>Q760+R760+U760+Table1[[#This Row],[Farmer Payment]]</f>
        <v>20406</v>
      </c>
      <c r="M760" s="30">
        <v>20000</v>
      </c>
      <c r="N760" s="34">
        <v>45541</v>
      </c>
      <c r="O760" s="34" t="s">
        <v>2606</v>
      </c>
      <c r="P760" s="35">
        <f t="shared" si="76"/>
        <v>109594</v>
      </c>
      <c r="Q760" s="33">
        <f>AI760+AV760+CK760+Table1[[#This Row],[FY 25-26]]</f>
        <v>406</v>
      </c>
      <c r="R760" s="36">
        <v>20000</v>
      </c>
      <c r="S760" s="37" t="s">
        <v>2350</v>
      </c>
      <c r="T760" s="38">
        <v>45439</v>
      </c>
      <c r="U760" s="39">
        <v>0</v>
      </c>
      <c r="V760" s="39"/>
      <c r="W760" s="40">
        <v>0</v>
      </c>
      <c r="X760" s="40">
        <v>0</v>
      </c>
      <c r="Y760" s="40">
        <v>0</v>
      </c>
      <c r="Z760" s="40">
        <v>0</v>
      </c>
      <c r="AA760" s="40">
        <v>0</v>
      </c>
      <c r="AB760" s="40">
        <v>0</v>
      </c>
      <c r="AC760" s="40">
        <v>0</v>
      </c>
      <c r="AD760" s="40">
        <v>0</v>
      </c>
      <c r="AE760" s="40">
        <v>0</v>
      </c>
      <c r="AF760" s="40">
        <v>0</v>
      </c>
      <c r="AG760" s="40">
        <v>0</v>
      </c>
      <c r="AH760" s="40">
        <v>0</v>
      </c>
      <c r="AI760" s="41">
        <f t="shared" si="77"/>
        <v>0</v>
      </c>
      <c r="AJ760" s="42">
        <v>0</v>
      </c>
      <c r="AK760" s="42">
        <v>0</v>
      </c>
      <c r="AL760" s="42">
        <v>0</v>
      </c>
      <c r="AM760" s="42">
        <v>0</v>
      </c>
      <c r="AN760" s="42">
        <v>0</v>
      </c>
      <c r="AO760" s="42">
        <v>0</v>
      </c>
      <c r="AP760" s="42">
        <v>0</v>
      </c>
      <c r="AQ760" s="42">
        <v>0</v>
      </c>
      <c r="AR760" s="42">
        <v>0</v>
      </c>
      <c r="AS760" s="42">
        <v>0</v>
      </c>
      <c r="AT760" s="42">
        <v>0</v>
      </c>
      <c r="AU760" s="42">
        <v>0</v>
      </c>
      <c r="AV760" s="42">
        <f t="shared" si="78"/>
        <v>0</v>
      </c>
      <c r="AW760" s="42">
        <v>0</v>
      </c>
      <c r="AX760" s="42">
        <v>0</v>
      </c>
      <c r="AY760" s="42">
        <v>0</v>
      </c>
      <c r="AZ760" s="42">
        <v>339</v>
      </c>
      <c r="BA760" s="42">
        <v>67</v>
      </c>
      <c r="BB760" s="42">
        <v>0</v>
      </c>
      <c r="BC760" s="42">
        <v>0</v>
      </c>
      <c r="BD760" s="42">
        <v>0</v>
      </c>
      <c r="BE760" s="42">
        <v>0</v>
      </c>
      <c r="BF760" s="42">
        <v>0</v>
      </c>
      <c r="BG760" s="42">
        <v>0</v>
      </c>
      <c r="BH760" s="42">
        <v>0</v>
      </c>
      <c r="BI760" s="42">
        <v>0</v>
      </c>
      <c r="BJ760" s="42">
        <v>0</v>
      </c>
      <c r="BK760" s="42">
        <v>0</v>
      </c>
      <c r="BL760" s="42">
        <v>0</v>
      </c>
      <c r="BM760" s="42">
        <v>0</v>
      </c>
      <c r="BN760" s="42">
        <v>0</v>
      </c>
      <c r="BO760" s="42">
        <v>0</v>
      </c>
      <c r="BP760" s="42">
        <v>0</v>
      </c>
      <c r="BQ760" s="42">
        <v>0</v>
      </c>
      <c r="BR760" s="42">
        <v>0</v>
      </c>
      <c r="BS760" s="42">
        <v>0</v>
      </c>
      <c r="BT760" s="42">
        <v>0</v>
      </c>
      <c r="BU760" s="42">
        <v>0</v>
      </c>
      <c r="BV760" s="42">
        <v>0</v>
      </c>
      <c r="BW760" s="42">
        <v>0</v>
      </c>
      <c r="BX760" s="42">
        <v>0</v>
      </c>
      <c r="BY760" s="42">
        <v>0</v>
      </c>
      <c r="BZ760" s="42">
        <v>0</v>
      </c>
      <c r="CA760" s="42">
        <v>0</v>
      </c>
      <c r="CB760" s="42">
        <v>0</v>
      </c>
      <c r="CC760" s="42">
        <v>0</v>
      </c>
      <c r="CD760" s="42">
        <v>0</v>
      </c>
      <c r="CE760" s="42">
        <v>0</v>
      </c>
      <c r="CF760" s="42">
        <v>0</v>
      </c>
      <c r="CG760" s="42">
        <v>0</v>
      </c>
      <c r="CH760" s="42">
        <v>0</v>
      </c>
      <c r="CI760" s="42">
        <v>0</v>
      </c>
      <c r="CJ760" s="42">
        <v>0</v>
      </c>
      <c r="CK760" s="43">
        <f t="shared" si="75"/>
        <v>406</v>
      </c>
      <c r="CL760" s="66"/>
      <c r="CM760" s="66">
        <v>0</v>
      </c>
      <c r="CN760" s="66">
        <v>0</v>
      </c>
      <c r="CO760" s="66">
        <v>0</v>
      </c>
      <c r="CP760" s="66">
        <v>0</v>
      </c>
      <c r="CQ760" s="66">
        <v>0</v>
      </c>
      <c r="CR760" s="66">
        <v>0</v>
      </c>
      <c r="CS760" s="66">
        <v>0</v>
      </c>
      <c r="CT760" s="66">
        <v>0</v>
      </c>
      <c r="CU760" s="66">
        <v>0</v>
      </c>
      <c r="CV760" s="66">
        <v>0</v>
      </c>
      <c r="CW760" s="66">
        <v>0</v>
      </c>
      <c r="CX760" s="66">
        <v>0</v>
      </c>
      <c r="CY760" s="66">
        <v>0</v>
      </c>
      <c r="CZ760" s="66">
        <v>0</v>
      </c>
      <c r="DA760" s="66"/>
      <c r="DB760" s="66"/>
      <c r="DC760" s="66"/>
      <c r="DD760" s="66"/>
      <c r="DE760" s="66"/>
      <c r="DF760" s="66"/>
      <c r="DG760" s="66"/>
      <c r="DH760" s="66"/>
      <c r="DI760" s="66"/>
      <c r="DJ760" s="66"/>
      <c r="DK760" s="66">
        <f>SUM(Table1[[#This Row],[01-03 Apr]:[Mar-26]])</f>
        <v>0</v>
      </c>
    </row>
    <row r="761" spans="1:115" hidden="1" x14ac:dyDescent="0.2">
      <c r="A761" s="28" t="s">
        <v>2255</v>
      </c>
      <c r="B761" s="29" t="s">
        <v>228</v>
      </c>
      <c r="C761" s="29" t="s">
        <v>228</v>
      </c>
      <c r="D761" s="30" t="s">
        <v>229</v>
      </c>
      <c r="E761" s="30" t="s">
        <v>101</v>
      </c>
      <c r="F761" s="30"/>
      <c r="G761" s="31"/>
      <c r="H761" s="30">
        <v>275294</v>
      </c>
      <c r="I761" s="30" t="str">
        <f>IF(Table1[[#This Row],[Centre Status]]="Returned","NA",IF(Table1[[#This Row],[SD]]&gt;19000,"Full Payment",IF(Table1[[#This Row],[SD]]&lt;1,"No Payment","Partial Payment")))</f>
        <v>NA</v>
      </c>
      <c r="J761" s="30" t="s">
        <v>1903</v>
      </c>
      <c r="K761" s="32">
        <v>110000</v>
      </c>
      <c r="L761" s="33">
        <f>Q761+R761+U761+Table1[[#This Row],[Farmer Payment]]</f>
        <v>23340</v>
      </c>
      <c r="M761" s="30">
        <v>20000</v>
      </c>
      <c r="N761" s="34">
        <v>45622</v>
      </c>
      <c r="O761" s="34"/>
      <c r="P761" s="35">
        <f t="shared" si="76"/>
        <v>106660</v>
      </c>
      <c r="Q761" s="33">
        <f>AI761+AV761+CK761+Table1[[#This Row],[FY 25-26]]</f>
        <v>3340</v>
      </c>
      <c r="R761" s="36">
        <v>20000</v>
      </c>
      <c r="S761" s="37" t="s">
        <v>2726</v>
      </c>
      <c r="T761" s="38">
        <v>45386</v>
      </c>
      <c r="U761" s="39"/>
      <c r="V761" s="39"/>
      <c r="W761" s="40">
        <v>0</v>
      </c>
      <c r="X761" s="40">
        <v>0</v>
      </c>
      <c r="Y761" s="40">
        <v>0</v>
      </c>
      <c r="Z761" s="40">
        <v>0</v>
      </c>
      <c r="AA761" s="40">
        <v>0</v>
      </c>
      <c r="AB761" s="40">
        <v>0</v>
      </c>
      <c r="AC761" s="40">
        <v>0</v>
      </c>
      <c r="AD761" s="40">
        <v>0</v>
      </c>
      <c r="AE761" s="40">
        <v>0</v>
      </c>
      <c r="AF761" s="40">
        <v>0</v>
      </c>
      <c r="AG761" s="40">
        <v>0</v>
      </c>
      <c r="AH761" s="40">
        <v>0</v>
      </c>
      <c r="AI761" s="41">
        <f t="shared" si="77"/>
        <v>0</v>
      </c>
      <c r="AJ761" s="42">
        <v>0</v>
      </c>
      <c r="AK761" s="42">
        <v>0</v>
      </c>
      <c r="AL761" s="42">
        <v>0</v>
      </c>
      <c r="AM761" s="42">
        <v>0</v>
      </c>
      <c r="AN761" s="42">
        <v>0</v>
      </c>
      <c r="AO761" s="42">
        <v>0</v>
      </c>
      <c r="AP761" s="42">
        <v>0</v>
      </c>
      <c r="AQ761" s="42">
        <v>0</v>
      </c>
      <c r="AR761" s="42">
        <v>0</v>
      </c>
      <c r="AS761" s="42">
        <v>0</v>
      </c>
      <c r="AT761" s="42">
        <v>0</v>
      </c>
      <c r="AU761" s="42">
        <v>0</v>
      </c>
      <c r="AV761" s="42">
        <f t="shared" si="78"/>
        <v>0</v>
      </c>
      <c r="AW761" s="42">
        <v>0</v>
      </c>
      <c r="AX761" s="42">
        <v>0</v>
      </c>
      <c r="AY761" s="42">
        <v>1861</v>
      </c>
      <c r="AZ761" s="42">
        <v>1479</v>
      </c>
      <c r="BA761" s="42">
        <v>0</v>
      </c>
      <c r="BB761" s="42">
        <v>0</v>
      </c>
      <c r="BC761" s="42">
        <v>0</v>
      </c>
      <c r="BD761" s="42">
        <v>0</v>
      </c>
      <c r="BE761" s="42">
        <v>0</v>
      </c>
      <c r="BF761" s="42">
        <v>0</v>
      </c>
      <c r="BG761" s="42">
        <v>0</v>
      </c>
      <c r="BH761" s="42">
        <v>0</v>
      </c>
      <c r="BI761" s="42">
        <v>0</v>
      </c>
      <c r="BJ761" s="42">
        <v>0</v>
      </c>
      <c r="BK761" s="42">
        <v>0</v>
      </c>
      <c r="BL761" s="42">
        <v>0</v>
      </c>
      <c r="BM761" s="42">
        <v>0</v>
      </c>
      <c r="BN761" s="42">
        <v>0</v>
      </c>
      <c r="BO761" s="42">
        <v>0</v>
      </c>
      <c r="BP761" s="42">
        <v>0</v>
      </c>
      <c r="BQ761" s="42">
        <v>0</v>
      </c>
      <c r="BR761" s="42">
        <v>0</v>
      </c>
      <c r="BS761" s="42">
        <v>0</v>
      </c>
      <c r="BT761" s="42">
        <v>0</v>
      </c>
      <c r="BU761" s="42">
        <v>0</v>
      </c>
      <c r="BV761" s="42">
        <v>0</v>
      </c>
      <c r="BW761" s="42">
        <v>0</v>
      </c>
      <c r="BX761" s="42">
        <v>0</v>
      </c>
      <c r="BY761" s="42">
        <v>0</v>
      </c>
      <c r="BZ761" s="42">
        <v>0</v>
      </c>
      <c r="CA761" s="42">
        <v>0</v>
      </c>
      <c r="CB761" s="42">
        <v>0</v>
      </c>
      <c r="CC761" s="42">
        <v>0</v>
      </c>
      <c r="CD761" s="42">
        <v>0</v>
      </c>
      <c r="CE761" s="42">
        <v>0</v>
      </c>
      <c r="CF761" s="42">
        <v>0</v>
      </c>
      <c r="CG761" s="42">
        <v>0</v>
      </c>
      <c r="CH761" s="42">
        <v>0</v>
      </c>
      <c r="CI761" s="42">
        <v>0</v>
      </c>
      <c r="CJ761" s="42">
        <v>0</v>
      </c>
      <c r="CK761" s="43">
        <f t="shared" si="75"/>
        <v>3340</v>
      </c>
      <c r="CL761" s="66"/>
      <c r="CM761" s="66">
        <v>0</v>
      </c>
      <c r="CN761" s="66">
        <v>0</v>
      </c>
      <c r="CO761" s="66">
        <v>0</v>
      </c>
      <c r="CP761" s="66">
        <v>0</v>
      </c>
      <c r="CQ761" s="66">
        <v>0</v>
      </c>
      <c r="CR761" s="66">
        <v>0</v>
      </c>
      <c r="CS761" s="66">
        <v>0</v>
      </c>
      <c r="CT761" s="66">
        <v>0</v>
      </c>
      <c r="CU761" s="66">
        <v>0</v>
      </c>
      <c r="CV761" s="66">
        <v>0</v>
      </c>
      <c r="CW761" s="66">
        <v>0</v>
      </c>
      <c r="CX761" s="66">
        <v>0</v>
      </c>
      <c r="CY761" s="66">
        <v>0</v>
      </c>
      <c r="CZ761" s="66">
        <v>0</v>
      </c>
      <c r="DA761" s="66"/>
      <c r="DB761" s="66"/>
      <c r="DC761" s="66"/>
      <c r="DD761" s="66"/>
      <c r="DE761" s="66"/>
      <c r="DF761" s="66"/>
      <c r="DG761" s="66"/>
      <c r="DH761" s="66"/>
      <c r="DI761" s="66"/>
      <c r="DJ761" s="66"/>
      <c r="DK761" s="66">
        <f>SUM(Table1[[#This Row],[01-03 Apr]:[Mar-26]])</f>
        <v>0</v>
      </c>
    </row>
    <row r="762" spans="1:115" hidden="1" x14ac:dyDescent="0.2">
      <c r="A762" s="28" t="s">
        <v>2255</v>
      </c>
      <c r="B762" s="29"/>
      <c r="C762" s="29" t="s">
        <v>2506</v>
      </c>
      <c r="D762" s="30" t="s">
        <v>2499</v>
      </c>
      <c r="E762" s="30" t="s">
        <v>85</v>
      </c>
      <c r="F762" s="30"/>
      <c r="G762" s="31"/>
      <c r="H762" s="30">
        <v>385650</v>
      </c>
      <c r="I762" s="30" t="str">
        <f>IF(Table1[[#This Row],[Centre Status]]="Returned","NA",IF(Table1[[#This Row],[SD]]&gt;19000,"Full Payment",IF(Table1[[#This Row],[SD]]&lt;1,"No Payment","Partial Payment")))</f>
        <v>NA</v>
      </c>
      <c r="J762" s="30" t="s">
        <v>1903</v>
      </c>
      <c r="K762" s="32">
        <v>110000</v>
      </c>
      <c r="L762" s="33">
        <f>Q762+R762+U762+Table1[[#This Row],[Farmer Payment]]</f>
        <v>20285</v>
      </c>
      <c r="M762" s="30">
        <v>20000</v>
      </c>
      <c r="N762" s="34">
        <v>45551</v>
      </c>
      <c r="O762" s="34" t="s">
        <v>2425</v>
      </c>
      <c r="P762" s="35">
        <f t="shared" si="76"/>
        <v>109715</v>
      </c>
      <c r="Q762" s="33">
        <f>AI762+AV762+CK762+Table1[[#This Row],[FY 25-26]]</f>
        <v>285</v>
      </c>
      <c r="R762" s="36">
        <v>20000</v>
      </c>
      <c r="S762" s="37" t="s">
        <v>2501</v>
      </c>
      <c r="T762" s="38">
        <v>45491</v>
      </c>
      <c r="U762" s="39"/>
      <c r="V762" s="39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1">
        <f t="shared" si="77"/>
        <v>0</v>
      </c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>
        <f t="shared" si="78"/>
        <v>0</v>
      </c>
      <c r="AW762" s="42"/>
      <c r="AX762" s="42"/>
      <c r="AY762" s="42">
        <v>0</v>
      </c>
      <c r="AZ762" s="42">
        <v>0</v>
      </c>
      <c r="BA762" s="42">
        <v>285</v>
      </c>
      <c r="BB762" s="42">
        <v>0</v>
      </c>
      <c r="BC762" s="42">
        <v>0</v>
      </c>
      <c r="BD762" s="42">
        <v>0</v>
      </c>
      <c r="BE762" s="42">
        <v>0</v>
      </c>
      <c r="BF762" s="42">
        <v>0</v>
      </c>
      <c r="BG762" s="42">
        <v>0</v>
      </c>
      <c r="BH762" s="42">
        <v>0</v>
      </c>
      <c r="BI762" s="42">
        <v>0</v>
      </c>
      <c r="BJ762" s="42">
        <v>0</v>
      </c>
      <c r="BK762" s="42">
        <v>0</v>
      </c>
      <c r="BL762" s="42">
        <v>0</v>
      </c>
      <c r="BM762" s="42">
        <v>0</v>
      </c>
      <c r="BN762" s="42">
        <v>0</v>
      </c>
      <c r="BO762" s="42">
        <v>0</v>
      </c>
      <c r="BP762" s="42">
        <v>0</v>
      </c>
      <c r="BQ762" s="42">
        <v>0</v>
      </c>
      <c r="BR762" s="42">
        <v>0</v>
      </c>
      <c r="BS762" s="42">
        <v>0</v>
      </c>
      <c r="BT762" s="42">
        <v>0</v>
      </c>
      <c r="BU762" s="42">
        <v>0</v>
      </c>
      <c r="BV762" s="42">
        <v>0</v>
      </c>
      <c r="BW762" s="42">
        <v>0</v>
      </c>
      <c r="BX762" s="42">
        <v>0</v>
      </c>
      <c r="BY762" s="42">
        <v>0</v>
      </c>
      <c r="BZ762" s="42">
        <v>0</v>
      </c>
      <c r="CA762" s="42">
        <v>0</v>
      </c>
      <c r="CB762" s="42">
        <v>0</v>
      </c>
      <c r="CC762" s="42">
        <v>0</v>
      </c>
      <c r="CD762" s="42">
        <v>0</v>
      </c>
      <c r="CE762" s="42">
        <v>0</v>
      </c>
      <c r="CF762" s="42">
        <v>0</v>
      </c>
      <c r="CG762" s="42">
        <v>0</v>
      </c>
      <c r="CH762" s="42">
        <v>0</v>
      </c>
      <c r="CI762" s="42">
        <v>0</v>
      </c>
      <c r="CJ762" s="42">
        <v>0</v>
      </c>
      <c r="CK762" s="43">
        <f t="shared" si="75"/>
        <v>285</v>
      </c>
      <c r="CL762" s="66"/>
      <c r="CM762" s="66">
        <v>0</v>
      </c>
      <c r="CN762" s="66">
        <v>0</v>
      </c>
      <c r="CO762" s="66">
        <v>0</v>
      </c>
      <c r="CP762" s="66">
        <v>0</v>
      </c>
      <c r="CQ762" s="66">
        <v>0</v>
      </c>
      <c r="CR762" s="66">
        <v>0</v>
      </c>
      <c r="CS762" s="66">
        <v>0</v>
      </c>
      <c r="CT762" s="66">
        <v>0</v>
      </c>
      <c r="CU762" s="66">
        <v>0</v>
      </c>
      <c r="CV762" s="66">
        <v>0</v>
      </c>
      <c r="CW762" s="66">
        <v>0</v>
      </c>
      <c r="CX762" s="66">
        <v>0</v>
      </c>
      <c r="CY762" s="66">
        <v>0</v>
      </c>
      <c r="CZ762" s="66">
        <v>0</v>
      </c>
      <c r="DA762" s="66"/>
      <c r="DB762" s="66"/>
      <c r="DC762" s="66"/>
      <c r="DD762" s="66"/>
      <c r="DE762" s="66"/>
      <c r="DF762" s="66"/>
      <c r="DG762" s="66"/>
      <c r="DH762" s="66"/>
      <c r="DI762" s="66"/>
      <c r="DJ762" s="66"/>
      <c r="DK762" s="66">
        <f>SUM(Table1[[#This Row],[01-03 Apr]:[Mar-26]])</f>
        <v>0</v>
      </c>
    </row>
    <row r="763" spans="1:115" hidden="1" x14ac:dyDescent="0.2">
      <c r="A763" s="28" t="s">
        <v>2255</v>
      </c>
      <c r="B763" s="29"/>
      <c r="C763" s="29" t="s">
        <v>2507</v>
      </c>
      <c r="D763" s="30" t="s">
        <v>2500</v>
      </c>
      <c r="E763" s="30" t="s">
        <v>85</v>
      </c>
      <c r="F763" s="30"/>
      <c r="G763" s="31"/>
      <c r="H763" s="30">
        <v>384790</v>
      </c>
      <c r="I763" s="30" t="str">
        <f>IF(Table1[[#This Row],[Centre Status]]="Returned","NA",IF(Table1[[#This Row],[SD]]&gt;19000,"Full Payment",IF(Table1[[#This Row],[SD]]&lt;1,"No Payment","Partial Payment")))</f>
        <v>NA</v>
      </c>
      <c r="J763" s="30" t="s">
        <v>1903</v>
      </c>
      <c r="K763" s="32">
        <v>110000</v>
      </c>
      <c r="L763" s="33">
        <f>Q763+R763+U763+Table1[[#This Row],[Farmer Payment]]</f>
        <v>21744</v>
      </c>
      <c r="M763" s="30">
        <v>20000</v>
      </c>
      <c r="N763" s="34">
        <v>45554</v>
      </c>
      <c r="O763" s="34" t="s">
        <v>2425</v>
      </c>
      <c r="P763" s="35">
        <f t="shared" si="76"/>
        <v>108256</v>
      </c>
      <c r="Q763" s="33">
        <f>AI763+AV763+CK763+Table1[[#This Row],[FY 25-26]]</f>
        <v>1744</v>
      </c>
      <c r="R763" s="36">
        <v>20000</v>
      </c>
      <c r="S763" s="37" t="s">
        <v>2502</v>
      </c>
      <c r="T763" s="38">
        <v>45499</v>
      </c>
      <c r="U763" s="39"/>
      <c r="V763" s="39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1">
        <f t="shared" si="77"/>
        <v>0</v>
      </c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  <c r="AT763" s="42"/>
      <c r="AU763" s="42"/>
      <c r="AV763" s="42">
        <f t="shared" si="78"/>
        <v>0</v>
      </c>
      <c r="AW763" s="42"/>
      <c r="AX763" s="42"/>
      <c r="AY763" s="42">
        <v>0</v>
      </c>
      <c r="AZ763" s="42">
        <v>0</v>
      </c>
      <c r="BA763" s="42">
        <v>1744</v>
      </c>
      <c r="BB763" s="42">
        <v>0</v>
      </c>
      <c r="BC763" s="42">
        <v>0</v>
      </c>
      <c r="BD763" s="42">
        <v>0</v>
      </c>
      <c r="BE763" s="42">
        <v>0</v>
      </c>
      <c r="BF763" s="42">
        <v>0</v>
      </c>
      <c r="BG763" s="42">
        <v>0</v>
      </c>
      <c r="BH763" s="42">
        <v>0</v>
      </c>
      <c r="BI763" s="42">
        <v>0</v>
      </c>
      <c r="BJ763" s="42">
        <v>0</v>
      </c>
      <c r="BK763" s="42">
        <v>0</v>
      </c>
      <c r="BL763" s="42">
        <v>0</v>
      </c>
      <c r="BM763" s="42">
        <v>0</v>
      </c>
      <c r="BN763" s="42">
        <v>0</v>
      </c>
      <c r="BO763" s="42">
        <v>0</v>
      </c>
      <c r="BP763" s="42">
        <v>0</v>
      </c>
      <c r="BQ763" s="42">
        <v>0</v>
      </c>
      <c r="BR763" s="42">
        <v>0</v>
      </c>
      <c r="BS763" s="42">
        <v>0</v>
      </c>
      <c r="BT763" s="42">
        <v>0</v>
      </c>
      <c r="BU763" s="42">
        <v>0</v>
      </c>
      <c r="BV763" s="42">
        <v>0</v>
      </c>
      <c r="BW763" s="42">
        <v>0</v>
      </c>
      <c r="BX763" s="42">
        <v>0</v>
      </c>
      <c r="BY763" s="42">
        <v>0</v>
      </c>
      <c r="BZ763" s="42">
        <v>0</v>
      </c>
      <c r="CA763" s="42">
        <v>0</v>
      </c>
      <c r="CB763" s="42">
        <v>0</v>
      </c>
      <c r="CC763" s="42">
        <v>0</v>
      </c>
      <c r="CD763" s="42">
        <v>0</v>
      </c>
      <c r="CE763" s="42">
        <v>0</v>
      </c>
      <c r="CF763" s="42">
        <v>0</v>
      </c>
      <c r="CG763" s="42">
        <v>0</v>
      </c>
      <c r="CH763" s="42">
        <v>0</v>
      </c>
      <c r="CI763" s="42">
        <v>0</v>
      </c>
      <c r="CJ763" s="42">
        <v>0</v>
      </c>
      <c r="CK763" s="43">
        <f t="shared" si="75"/>
        <v>1744</v>
      </c>
      <c r="CL763" s="66"/>
      <c r="CM763" s="66">
        <v>0</v>
      </c>
      <c r="CN763" s="66">
        <v>0</v>
      </c>
      <c r="CO763" s="66">
        <v>0</v>
      </c>
      <c r="CP763" s="66">
        <v>0</v>
      </c>
      <c r="CQ763" s="66">
        <v>0</v>
      </c>
      <c r="CR763" s="66">
        <v>0</v>
      </c>
      <c r="CS763" s="66">
        <v>0</v>
      </c>
      <c r="CT763" s="66">
        <v>0</v>
      </c>
      <c r="CU763" s="66">
        <v>0</v>
      </c>
      <c r="CV763" s="66">
        <v>0</v>
      </c>
      <c r="CW763" s="66">
        <v>0</v>
      </c>
      <c r="CX763" s="66">
        <v>0</v>
      </c>
      <c r="CY763" s="66">
        <v>0</v>
      </c>
      <c r="CZ763" s="66">
        <v>0</v>
      </c>
      <c r="DA763" s="66"/>
      <c r="DB763" s="66"/>
      <c r="DC763" s="66"/>
      <c r="DD763" s="66"/>
      <c r="DE763" s="66"/>
      <c r="DF763" s="66"/>
      <c r="DG763" s="66"/>
      <c r="DH763" s="66"/>
      <c r="DI763" s="66"/>
      <c r="DJ763" s="66"/>
      <c r="DK763" s="66">
        <f>SUM(Table1[[#This Row],[01-03 Apr]:[Mar-26]])</f>
        <v>0</v>
      </c>
    </row>
    <row r="764" spans="1:115" hidden="1" x14ac:dyDescent="0.2">
      <c r="A764" s="28"/>
      <c r="B764" s="29"/>
      <c r="C764" s="29" t="s">
        <v>3336</v>
      </c>
      <c r="D764" s="30" t="s">
        <v>2580</v>
      </c>
      <c r="E764" s="30" t="s">
        <v>85</v>
      </c>
      <c r="F764" s="30"/>
      <c r="G764" s="31"/>
      <c r="H764" s="30"/>
      <c r="I764" s="30" t="str">
        <f>IF(Table1[[#This Row],[Centre Status]]="Returned","NA",IF(Table1[[#This Row],[SD]]&gt;19000,"Full Payment",IF(Table1[[#This Row],[SD]]&lt;1,"No Payment","Partial Payment")))</f>
        <v>NA</v>
      </c>
      <c r="J764" s="30" t="s">
        <v>1903</v>
      </c>
      <c r="K764" s="32">
        <v>110000</v>
      </c>
      <c r="L764" s="33">
        <f>Q764+R764+U764+Table1[[#This Row],[Farmer Payment]]</f>
        <v>5000</v>
      </c>
      <c r="M764" s="30">
        <v>5000</v>
      </c>
      <c r="N764" s="34">
        <v>45520</v>
      </c>
      <c r="O764" s="34"/>
      <c r="P764" s="35">
        <f t="shared" si="76"/>
        <v>110000</v>
      </c>
      <c r="Q764" s="33">
        <f>AI764+AV764+CK764+Table1[[#This Row],[FY 25-26]]</f>
        <v>0</v>
      </c>
      <c r="R764" s="36">
        <v>5000</v>
      </c>
      <c r="S764" s="37" t="s">
        <v>2581</v>
      </c>
      <c r="T764" s="38">
        <v>45272</v>
      </c>
      <c r="U764" s="39"/>
      <c r="V764" s="39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1">
        <f t="shared" si="77"/>
        <v>0</v>
      </c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  <c r="AT764" s="42"/>
      <c r="AU764" s="42"/>
      <c r="AV764" s="42">
        <f t="shared" si="78"/>
        <v>0</v>
      </c>
      <c r="AW764" s="42"/>
      <c r="AX764" s="42"/>
      <c r="AY764" s="42"/>
      <c r="AZ764" s="42"/>
      <c r="BA764" s="42">
        <v>0</v>
      </c>
      <c r="BB764" s="42">
        <v>0</v>
      </c>
      <c r="BC764" s="42">
        <v>0</v>
      </c>
      <c r="BD764" s="42">
        <v>0</v>
      </c>
      <c r="BE764" s="42">
        <v>0</v>
      </c>
      <c r="BF764" s="42">
        <v>0</v>
      </c>
      <c r="BG764" s="42">
        <v>0</v>
      </c>
      <c r="BH764" s="42">
        <v>0</v>
      </c>
      <c r="BI764" s="42">
        <v>0</v>
      </c>
      <c r="BJ764" s="42">
        <v>0</v>
      </c>
      <c r="BK764" s="42">
        <v>0</v>
      </c>
      <c r="BL764" s="42">
        <v>0</v>
      </c>
      <c r="BM764" s="42">
        <v>0</v>
      </c>
      <c r="BN764" s="42">
        <v>0</v>
      </c>
      <c r="BO764" s="42">
        <v>0</v>
      </c>
      <c r="BP764" s="42">
        <v>0</v>
      </c>
      <c r="BQ764" s="42">
        <v>0</v>
      </c>
      <c r="BR764" s="42">
        <v>0</v>
      </c>
      <c r="BS764" s="42">
        <v>0</v>
      </c>
      <c r="BT764" s="42">
        <v>0</v>
      </c>
      <c r="BU764" s="42">
        <v>0</v>
      </c>
      <c r="BV764" s="42">
        <v>0</v>
      </c>
      <c r="BW764" s="42">
        <v>0</v>
      </c>
      <c r="BX764" s="42">
        <v>0</v>
      </c>
      <c r="BY764" s="42">
        <v>0</v>
      </c>
      <c r="BZ764" s="42">
        <v>0</v>
      </c>
      <c r="CA764" s="42">
        <v>0</v>
      </c>
      <c r="CB764" s="42">
        <v>0</v>
      </c>
      <c r="CC764" s="42">
        <v>0</v>
      </c>
      <c r="CD764" s="42">
        <v>0</v>
      </c>
      <c r="CE764" s="42">
        <v>0</v>
      </c>
      <c r="CF764" s="42">
        <v>0</v>
      </c>
      <c r="CG764" s="42">
        <v>0</v>
      </c>
      <c r="CH764" s="42">
        <v>0</v>
      </c>
      <c r="CI764" s="42">
        <v>0</v>
      </c>
      <c r="CJ764" s="42">
        <v>0</v>
      </c>
      <c r="CK764" s="43">
        <f t="shared" si="75"/>
        <v>0</v>
      </c>
      <c r="CL764" s="66"/>
      <c r="CM764" s="66">
        <v>0</v>
      </c>
      <c r="CN764" s="66">
        <v>0</v>
      </c>
      <c r="CO764" s="66">
        <v>0</v>
      </c>
      <c r="CP764" s="66">
        <v>0</v>
      </c>
      <c r="CQ764" s="66">
        <v>0</v>
      </c>
      <c r="CR764" s="66">
        <v>0</v>
      </c>
      <c r="CS764" s="66">
        <v>0</v>
      </c>
      <c r="CT764" s="66">
        <v>0</v>
      </c>
      <c r="CU764" s="66">
        <v>0</v>
      </c>
      <c r="CV764" s="66">
        <v>0</v>
      </c>
      <c r="CW764" s="66">
        <v>0</v>
      </c>
      <c r="CX764" s="66">
        <v>0</v>
      </c>
      <c r="CY764" s="66">
        <v>0</v>
      </c>
      <c r="CZ764" s="66">
        <v>0</v>
      </c>
      <c r="DA764" s="66"/>
      <c r="DB764" s="66"/>
      <c r="DC764" s="66"/>
      <c r="DD764" s="66"/>
      <c r="DE764" s="66"/>
      <c r="DF764" s="66"/>
      <c r="DG764" s="66"/>
      <c r="DH764" s="66"/>
      <c r="DI764" s="66"/>
      <c r="DJ764" s="66"/>
      <c r="DK764" s="66">
        <f>SUM(Table1[[#This Row],[01-03 Apr]:[Mar-26]])</f>
        <v>0</v>
      </c>
    </row>
    <row r="765" spans="1:115" hidden="1" x14ac:dyDescent="0.2">
      <c r="A765" s="28"/>
      <c r="B765" s="29"/>
      <c r="C765" s="29" t="s">
        <v>2343</v>
      </c>
      <c r="D765" s="30" t="s">
        <v>2344</v>
      </c>
      <c r="E765" s="30"/>
      <c r="F765" s="30"/>
      <c r="G765" s="31"/>
      <c r="H765" s="30"/>
      <c r="I765" s="30" t="str">
        <f>IF(Table1[[#This Row],[Centre Status]]="Returned","NA",IF(Table1[[#This Row],[SD]]&gt;19000,"Full Payment",IF(Table1[[#This Row],[SD]]&lt;1,"No Payment","Partial Payment")))</f>
        <v>NA</v>
      </c>
      <c r="J765" s="30" t="s">
        <v>1903</v>
      </c>
      <c r="K765" s="32">
        <v>110000</v>
      </c>
      <c r="L765" s="33">
        <f>Q765+R765+U765+Table1[[#This Row],[Farmer Payment]]</f>
        <v>30924.447818418004</v>
      </c>
      <c r="M765" s="30">
        <f>20000+10934</f>
        <v>30934</v>
      </c>
      <c r="N765" s="34">
        <v>45535</v>
      </c>
      <c r="O765" s="34" t="s">
        <v>2588</v>
      </c>
      <c r="P765" s="35">
        <f t="shared" si="76"/>
        <v>110009.552181582</v>
      </c>
      <c r="Q765" s="33">
        <f>AI765+AV765+CK765+Table1[[#This Row],[FY 25-26]]</f>
        <v>10924.447818418006</v>
      </c>
      <c r="R765" s="36">
        <v>20000</v>
      </c>
      <c r="S765" s="37" t="s">
        <v>2345</v>
      </c>
      <c r="T765" s="38">
        <v>45441</v>
      </c>
      <c r="U765" s="39"/>
      <c r="V765" s="39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1">
        <f t="shared" si="77"/>
        <v>0</v>
      </c>
      <c r="AJ765" s="42">
        <v>0</v>
      </c>
      <c r="AK765" s="42">
        <v>0</v>
      </c>
      <c r="AL765" s="42">
        <v>0</v>
      </c>
      <c r="AM765" s="42">
        <v>0</v>
      </c>
      <c r="AN765" s="42">
        <v>0</v>
      </c>
      <c r="AO765" s="42">
        <v>0</v>
      </c>
      <c r="AP765" s="42">
        <v>0</v>
      </c>
      <c r="AQ765" s="42">
        <v>0</v>
      </c>
      <c r="AR765" s="42">
        <v>0</v>
      </c>
      <c r="AS765" s="42">
        <v>0</v>
      </c>
      <c r="AT765" s="42">
        <v>0</v>
      </c>
      <c r="AU765" s="42">
        <v>0</v>
      </c>
      <c r="AV765" s="42">
        <f t="shared" si="78"/>
        <v>0</v>
      </c>
      <c r="AW765" s="42">
        <v>0</v>
      </c>
      <c r="AX765" s="42">
        <v>0</v>
      </c>
      <c r="AY765" s="42">
        <v>1861</v>
      </c>
      <c r="AZ765" s="42">
        <v>3493.4318065700722</v>
      </c>
      <c r="BA765" s="42">
        <v>2347.1335109313</v>
      </c>
      <c r="BB765" s="42">
        <v>0</v>
      </c>
      <c r="BC765" s="42">
        <v>0</v>
      </c>
      <c r="BD765" s="42">
        <v>0</v>
      </c>
      <c r="BE765" s="42">
        <v>0</v>
      </c>
      <c r="BF765" s="42">
        <v>0</v>
      </c>
      <c r="BG765" s="42">
        <v>0</v>
      </c>
      <c r="BH765" s="42">
        <v>0</v>
      </c>
      <c r="BI765" s="42">
        <v>0</v>
      </c>
      <c r="BJ765" s="42">
        <v>0</v>
      </c>
      <c r="BK765" s="42">
        <v>0</v>
      </c>
      <c r="BL765" s="42">
        <v>0</v>
      </c>
      <c r="BM765" s="42">
        <v>0</v>
      </c>
      <c r="BN765" s="42">
        <v>0</v>
      </c>
      <c r="BO765" s="42">
        <v>0</v>
      </c>
      <c r="BP765" s="42">
        <v>0</v>
      </c>
      <c r="BQ765" s="42">
        <v>0</v>
      </c>
      <c r="BR765" s="42">
        <v>0</v>
      </c>
      <c r="BS765" s="42">
        <v>0</v>
      </c>
      <c r="BT765" s="42">
        <v>0</v>
      </c>
      <c r="BU765" s="42">
        <v>0</v>
      </c>
      <c r="BV765" s="42">
        <v>0</v>
      </c>
      <c r="BW765" s="42">
        <v>0</v>
      </c>
      <c r="BX765" s="42">
        <v>0</v>
      </c>
      <c r="BY765" s="42">
        <v>0</v>
      </c>
      <c r="BZ765" s="42">
        <v>0</v>
      </c>
      <c r="CA765" s="42">
        <v>0</v>
      </c>
      <c r="CB765" s="42">
        <v>0</v>
      </c>
      <c r="CC765" s="42">
        <v>0</v>
      </c>
      <c r="CD765" s="42">
        <v>3222.8825009166344</v>
      </c>
      <c r="CE765" s="42">
        <v>0</v>
      </c>
      <c r="CF765" s="42">
        <v>0</v>
      </c>
      <c r="CG765" s="42">
        <v>0</v>
      </c>
      <c r="CH765" s="42">
        <v>0</v>
      </c>
      <c r="CI765" s="42">
        <v>0</v>
      </c>
      <c r="CJ765" s="42">
        <v>0</v>
      </c>
      <c r="CK765" s="43">
        <f t="shared" si="75"/>
        <v>10924.447818418006</v>
      </c>
      <c r="CL765" s="66"/>
      <c r="CM765" s="66">
        <v>0</v>
      </c>
      <c r="CN765" s="66">
        <v>0</v>
      </c>
      <c r="CO765" s="66">
        <v>0</v>
      </c>
      <c r="CP765" s="66">
        <v>0</v>
      </c>
      <c r="CQ765" s="66">
        <v>0</v>
      </c>
      <c r="CR765" s="66">
        <v>0</v>
      </c>
      <c r="CS765" s="66">
        <v>0</v>
      </c>
      <c r="CT765" s="66">
        <v>0</v>
      </c>
      <c r="CU765" s="66">
        <v>0</v>
      </c>
      <c r="CV765" s="66">
        <v>0</v>
      </c>
      <c r="CW765" s="66">
        <v>0</v>
      </c>
      <c r="CX765" s="66">
        <v>0</v>
      </c>
      <c r="CY765" s="66">
        <v>0</v>
      </c>
      <c r="CZ765" s="66">
        <v>0</v>
      </c>
      <c r="DA765" s="66"/>
      <c r="DB765" s="66"/>
      <c r="DC765" s="66"/>
      <c r="DD765" s="66"/>
      <c r="DE765" s="66"/>
      <c r="DF765" s="66"/>
      <c r="DG765" s="66"/>
      <c r="DH765" s="66"/>
      <c r="DI765" s="66"/>
      <c r="DJ765" s="66"/>
      <c r="DK765" s="66">
        <f>SUM(Table1[[#This Row],[01-03 Apr]:[Mar-26]])</f>
        <v>0</v>
      </c>
    </row>
    <row r="766" spans="1:115" hidden="1" x14ac:dyDescent="0.2">
      <c r="A766" s="28" t="s">
        <v>2255</v>
      </c>
      <c r="B766" s="29" t="s">
        <v>275</v>
      </c>
      <c r="C766" s="29" t="s">
        <v>3336</v>
      </c>
      <c r="D766" s="30" t="s">
        <v>276</v>
      </c>
      <c r="E766" s="30" t="s">
        <v>217</v>
      </c>
      <c r="F766" s="30"/>
      <c r="G766" s="31" t="s">
        <v>264</v>
      </c>
      <c r="H766" s="30">
        <v>310970</v>
      </c>
      <c r="I766" s="30" t="str">
        <f>IF(Table1[[#This Row],[Centre Status]]="Returned","NA",IF(Table1[[#This Row],[SD]]&gt;19000,"Full Payment",IF(Table1[[#This Row],[SD]]&lt;1,"No Payment","Partial Payment")))</f>
        <v>NA</v>
      </c>
      <c r="J766" s="30" t="s">
        <v>1903</v>
      </c>
      <c r="K766" s="32">
        <v>64000</v>
      </c>
      <c r="L766" s="33">
        <f>Q766+R766+U766+Table1[[#This Row],[Farmer Payment]]</f>
        <v>24708</v>
      </c>
      <c r="M766" s="30">
        <v>20000</v>
      </c>
      <c r="N766" s="34">
        <v>45521</v>
      </c>
      <c r="O766" s="34" t="s">
        <v>2531</v>
      </c>
      <c r="P766" s="35">
        <f t="shared" si="76"/>
        <v>59292</v>
      </c>
      <c r="Q766" s="33">
        <f>AI766+AV766+CK766+Table1[[#This Row],[FY 25-26]]</f>
        <v>4708</v>
      </c>
      <c r="R766" s="36">
        <v>20000</v>
      </c>
      <c r="S766" s="37" t="s">
        <v>277</v>
      </c>
      <c r="T766" s="38">
        <v>44701</v>
      </c>
      <c r="U766" s="39"/>
      <c r="V766" s="39"/>
      <c r="W766" s="40">
        <v>0</v>
      </c>
      <c r="X766" s="40">
        <v>0</v>
      </c>
      <c r="Y766" s="40">
        <v>1589</v>
      </c>
      <c r="Z766" s="40">
        <v>1861</v>
      </c>
      <c r="AA766" s="40">
        <v>1237</v>
      </c>
      <c r="AB766" s="40">
        <v>21</v>
      </c>
      <c r="AC766" s="40">
        <v>0</v>
      </c>
      <c r="AD766" s="40">
        <v>0</v>
      </c>
      <c r="AE766" s="40">
        <v>0</v>
      </c>
      <c r="AF766" s="40">
        <v>0</v>
      </c>
      <c r="AG766" s="40">
        <v>0</v>
      </c>
      <c r="AH766" s="40">
        <v>0</v>
      </c>
      <c r="AI766" s="41">
        <f t="shared" si="77"/>
        <v>4708</v>
      </c>
      <c r="AJ766" s="42">
        <v>0</v>
      </c>
      <c r="AK766" s="42">
        <v>0</v>
      </c>
      <c r="AL766" s="42">
        <v>0</v>
      </c>
      <c r="AM766" s="42">
        <v>0</v>
      </c>
      <c r="AN766" s="42">
        <v>0</v>
      </c>
      <c r="AO766" s="42">
        <v>0</v>
      </c>
      <c r="AP766" s="42">
        <v>0</v>
      </c>
      <c r="AQ766" s="42">
        <v>0</v>
      </c>
      <c r="AR766" s="42">
        <v>0</v>
      </c>
      <c r="AS766" s="42">
        <v>0</v>
      </c>
      <c r="AT766" s="42">
        <v>0</v>
      </c>
      <c r="AU766" s="42">
        <v>0</v>
      </c>
      <c r="AV766" s="42">
        <f t="shared" si="78"/>
        <v>0</v>
      </c>
      <c r="AW766" s="42">
        <v>0</v>
      </c>
      <c r="AX766" s="42">
        <v>0</v>
      </c>
      <c r="AY766" s="42">
        <v>0</v>
      </c>
      <c r="AZ766" s="42">
        <v>0</v>
      </c>
      <c r="BA766" s="42">
        <v>0</v>
      </c>
      <c r="BB766" s="42">
        <v>0</v>
      </c>
      <c r="BC766" s="42">
        <v>0</v>
      </c>
      <c r="BD766" s="42">
        <v>0</v>
      </c>
      <c r="BE766" s="42">
        <v>0</v>
      </c>
      <c r="BF766" s="42">
        <v>0</v>
      </c>
      <c r="BG766" s="42">
        <v>0</v>
      </c>
      <c r="BH766" s="42">
        <v>0</v>
      </c>
      <c r="BI766" s="42">
        <v>0</v>
      </c>
      <c r="BJ766" s="42">
        <v>0</v>
      </c>
      <c r="BK766" s="42">
        <v>0</v>
      </c>
      <c r="BL766" s="42">
        <v>0</v>
      </c>
      <c r="BM766" s="42">
        <v>0</v>
      </c>
      <c r="BN766" s="42">
        <v>0</v>
      </c>
      <c r="BO766" s="42">
        <v>0</v>
      </c>
      <c r="BP766" s="42">
        <v>0</v>
      </c>
      <c r="BQ766" s="42">
        <v>0</v>
      </c>
      <c r="BR766" s="42">
        <v>0</v>
      </c>
      <c r="BS766" s="42">
        <v>0</v>
      </c>
      <c r="BT766" s="42">
        <v>0</v>
      </c>
      <c r="BU766" s="42">
        <v>0</v>
      </c>
      <c r="BV766" s="42">
        <v>0</v>
      </c>
      <c r="BW766" s="42">
        <v>0</v>
      </c>
      <c r="BX766" s="42">
        <v>0</v>
      </c>
      <c r="BY766" s="42">
        <v>0</v>
      </c>
      <c r="BZ766" s="42">
        <v>0</v>
      </c>
      <c r="CA766" s="42">
        <v>0</v>
      </c>
      <c r="CB766" s="42">
        <v>0</v>
      </c>
      <c r="CC766" s="42">
        <v>0</v>
      </c>
      <c r="CD766" s="42">
        <v>0</v>
      </c>
      <c r="CE766" s="42">
        <v>0</v>
      </c>
      <c r="CF766" s="42">
        <v>0</v>
      </c>
      <c r="CG766" s="42">
        <v>0</v>
      </c>
      <c r="CH766" s="42">
        <v>0</v>
      </c>
      <c r="CI766" s="42">
        <v>0</v>
      </c>
      <c r="CJ766" s="42">
        <v>0</v>
      </c>
      <c r="CK766" s="43">
        <f t="shared" si="75"/>
        <v>0</v>
      </c>
      <c r="CL766" s="66"/>
      <c r="CM766" s="66">
        <v>0</v>
      </c>
      <c r="CN766" s="66">
        <v>0</v>
      </c>
      <c r="CO766" s="66">
        <v>0</v>
      </c>
      <c r="CP766" s="66">
        <v>0</v>
      </c>
      <c r="CQ766" s="66">
        <v>0</v>
      </c>
      <c r="CR766" s="66">
        <v>0</v>
      </c>
      <c r="CS766" s="66">
        <v>0</v>
      </c>
      <c r="CT766" s="66">
        <v>0</v>
      </c>
      <c r="CU766" s="66">
        <v>0</v>
      </c>
      <c r="CV766" s="66">
        <v>0</v>
      </c>
      <c r="CW766" s="66">
        <v>0</v>
      </c>
      <c r="CX766" s="66">
        <v>0</v>
      </c>
      <c r="CY766" s="66">
        <v>0</v>
      </c>
      <c r="CZ766" s="66">
        <v>0</v>
      </c>
      <c r="DA766" s="66"/>
      <c r="DB766" s="66"/>
      <c r="DC766" s="66"/>
      <c r="DD766" s="66"/>
      <c r="DE766" s="66"/>
      <c r="DF766" s="66"/>
      <c r="DG766" s="66"/>
      <c r="DH766" s="66"/>
      <c r="DI766" s="66"/>
      <c r="DJ766" s="66"/>
      <c r="DK766" s="66">
        <f>SUM(Table1[[#This Row],[01-03 Apr]:[Mar-26]])</f>
        <v>0</v>
      </c>
    </row>
    <row r="767" spans="1:115" hidden="1" x14ac:dyDescent="0.2">
      <c r="A767" s="28" t="s">
        <v>2363</v>
      </c>
      <c r="B767" s="29" t="s">
        <v>295</v>
      </c>
      <c r="C767" s="29" t="s">
        <v>3336</v>
      </c>
      <c r="D767" s="30" t="s">
        <v>296</v>
      </c>
      <c r="E767" s="30" t="s">
        <v>297</v>
      </c>
      <c r="F767" s="30"/>
      <c r="G767" s="31">
        <v>44656</v>
      </c>
      <c r="H767" s="30"/>
      <c r="I767" s="30" t="str">
        <f>IF(Table1[[#This Row],[Centre Status]]="Returned","NA",IF(Table1[[#This Row],[SD]]&gt;19000,"Full Payment",IF(Table1[[#This Row],[SD]]&lt;1,"No Payment","Partial Payment")))</f>
        <v>NA</v>
      </c>
      <c r="J767" s="30" t="s">
        <v>1903</v>
      </c>
      <c r="K767" s="32">
        <v>64000</v>
      </c>
      <c r="L767" s="33">
        <f>Q767+R767+U767+Table1[[#This Row],[Farmer Payment]]</f>
        <v>29533.805400000001</v>
      </c>
      <c r="M767" s="30">
        <f>20000-20000</f>
        <v>0</v>
      </c>
      <c r="N767" s="34">
        <v>45419</v>
      </c>
      <c r="O767" s="34" t="s">
        <v>2438</v>
      </c>
      <c r="P767" s="35">
        <f t="shared" si="76"/>
        <v>34466.194600000003</v>
      </c>
      <c r="Q767" s="33">
        <f>AI767+AV767+CK767+Table1[[#This Row],[FY 25-26]]</f>
        <v>9533.8054000000011</v>
      </c>
      <c r="R767" s="36">
        <v>20000</v>
      </c>
      <c r="S767" s="37" t="s">
        <v>298</v>
      </c>
      <c r="T767" s="38">
        <v>44681</v>
      </c>
      <c r="U767" s="39"/>
      <c r="V767" s="39"/>
      <c r="W767" s="40">
        <v>0</v>
      </c>
      <c r="X767" s="40">
        <v>1861</v>
      </c>
      <c r="Y767" s="40">
        <v>2975.8054000000011</v>
      </c>
      <c r="Z767" s="40">
        <v>1861</v>
      </c>
      <c r="AA767" s="40">
        <v>1861</v>
      </c>
      <c r="AB767" s="40">
        <v>975</v>
      </c>
      <c r="AC767" s="40">
        <v>0</v>
      </c>
      <c r="AD767" s="40">
        <v>0</v>
      </c>
      <c r="AE767" s="40">
        <v>0</v>
      </c>
      <c r="AF767" s="40">
        <v>0</v>
      </c>
      <c r="AG767" s="40">
        <v>0</v>
      </c>
      <c r="AH767" s="40">
        <v>0</v>
      </c>
      <c r="AI767" s="41">
        <f t="shared" si="77"/>
        <v>9533.8054000000011</v>
      </c>
      <c r="AJ767" s="42">
        <v>0</v>
      </c>
      <c r="AK767" s="42">
        <v>0</v>
      </c>
      <c r="AL767" s="42">
        <v>0</v>
      </c>
      <c r="AM767" s="42">
        <v>0</v>
      </c>
      <c r="AN767" s="42">
        <v>0</v>
      </c>
      <c r="AO767" s="42">
        <v>0</v>
      </c>
      <c r="AP767" s="42">
        <v>0</v>
      </c>
      <c r="AQ767" s="42">
        <v>0</v>
      </c>
      <c r="AR767" s="42">
        <v>0</v>
      </c>
      <c r="AS767" s="42">
        <v>0</v>
      </c>
      <c r="AT767" s="42">
        <v>0</v>
      </c>
      <c r="AU767" s="42">
        <v>0</v>
      </c>
      <c r="AV767" s="42">
        <f t="shared" si="78"/>
        <v>0</v>
      </c>
      <c r="AW767" s="42">
        <v>0</v>
      </c>
      <c r="AX767" s="42">
        <v>0</v>
      </c>
      <c r="AY767" s="42">
        <v>0</v>
      </c>
      <c r="AZ767" s="42">
        <v>0</v>
      </c>
      <c r="BA767" s="42">
        <v>0</v>
      </c>
      <c r="BB767" s="42">
        <v>0</v>
      </c>
      <c r="BC767" s="42">
        <v>0</v>
      </c>
      <c r="BD767" s="42">
        <v>0</v>
      </c>
      <c r="BE767" s="42">
        <v>0</v>
      </c>
      <c r="BF767" s="42">
        <v>0</v>
      </c>
      <c r="BG767" s="42">
        <v>0</v>
      </c>
      <c r="BH767" s="42">
        <v>0</v>
      </c>
      <c r="BI767" s="42">
        <v>0</v>
      </c>
      <c r="BJ767" s="42">
        <v>0</v>
      </c>
      <c r="BK767" s="42">
        <v>0</v>
      </c>
      <c r="BL767" s="42">
        <v>0</v>
      </c>
      <c r="BM767" s="42">
        <v>0</v>
      </c>
      <c r="BN767" s="42">
        <v>0</v>
      </c>
      <c r="BO767" s="42">
        <v>0</v>
      </c>
      <c r="BP767" s="42">
        <v>0</v>
      </c>
      <c r="BQ767" s="42">
        <v>0</v>
      </c>
      <c r="BR767" s="42">
        <v>0</v>
      </c>
      <c r="BS767" s="42">
        <v>0</v>
      </c>
      <c r="BT767" s="42">
        <v>0</v>
      </c>
      <c r="BU767" s="42">
        <v>0</v>
      </c>
      <c r="BV767" s="42">
        <v>0</v>
      </c>
      <c r="BW767" s="42">
        <v>0</v>
      </c>
      <c r="BX767" s="42">
        <v>0</v>
      </c>
      <c r="BY767" s="42">
        <v>0</v>
      </c>
      <c r="BZ767" s="42">
        <v>0</v>
      </c>
      <c r="CA767" s="42">
        <v>0</v>
      </c>
      <c r="CB767" s="42">
        <v>0</v>
      </c>
      <c r="CC767" s="42">
        <v>0</v>
      </c>
      <c r="CD767" s="42">
        <v>0</v>
      </c>
      <c r="CE767" s="42">
        <v>0</v>
      </c>
      <c r="CF767" s="42">
        <v>0</v>
      </c>
      <c r="CG767" s="42">
        <v>0</v>
      </c>
      <c r="CH767" s="42">
        <v>0</v>
      </c>
      <c r="CI767" s="42">
        <v>0</v>
      </c>
      <c r="CJ767" s="42">
        <v>0</v>
      </c>
      <c r="CK767" s="43">
        <f t="shared" si="75"/>
        <v>0</v>
      </c>
      <c r="CL767" s="66"/>
      <c r="CM767" s="66">
        <v>0</v>
      </c>
      <c r="CN767" s="66">
        <v>0</v>
      </c>
      <c r="CO767" s="66">
        <v>0</v>
      </c>
      <c r="CP767" s="66">
        <v>0</v>
      </c>
      <c r="CQ767" s="66">
        <v>0</v>
      </c>
      <c r="CR767" s="66">
        <v>0</v>
      </c>
      <c r="CS767" s="66">
        <v>0</v>
      </c>
      <c r="CT767" s="66">
        <v>0</v>
      </c>
      <c r="CU767" s="66">
        <v>0</v>
      </c>
      <c r="CV767" s="66">
        <v>0</v>
      </c>
      <c r="CW767" s="66">
        <v>0</v>
      </c>
      <c r="CX767" s="66">
        <v>0</v>
      </c>
      <c r="CY767" s="66">
        <v>0</v>
      </c>
      <c r="CZ767" s="66">
        <v>0</v>
      </c>
      <c r="DA767" s="66"/>
      <c r="DB767" s="66"/>
      <c r="DC767" s="66"/>
      <c r="DD767" s="66"/>
      <c r="DE767" s="66"/>
      <c r="DF767" s="66"/>
      <c r="DG767" s="66"/>
      <c r="DH767" s="66"/>
      <c r="DI767" s="66"/>
      <c r="DJ767" s="66"/>
      <c r="DK767" s="66">
        <f>SUM(Table1[[#This Row],[01-03 Apr]:[Mar-26]])</f>
        <v>0</v>
      </c>
    </row>
    <row r="768" spans="1:115" hidden="1" x14ac:dyDescent="0.2">
      <c r="A768" s="28"/>
      <c r="B768" s="29" t="s">
        <v>2430</v>
      </c>
      <c r="C768" s="29" t="s">
        <v>3336</v>
      </c>
      <c r="D768" s="30" t="s">
        <v>2431</v>
      </c>
      <c r="E768" s="30" t="s">
        <v>85</v>
      </c>
      <c r="F768" s="30"/>
      <c r="G768" s="31"/>
      <c r="H768" s="30"/>
      <c r="I768" s="30" t="str">
        <f>IF(Table1[[#This Row],[Centre Status]]="Returned","NA",IF(Table1[[#This Row],[SD]]&gt;19000,"Full Payment",IF(Table1[[#This Row],[SD]]&lt;1,"No Payment","Partial Payment")))</f>
        <v>NA</v>
      </c>
      <c r="J768" s="30" t="s">
        <v>1903</v>
      </c>
      <c r="K768" s="32">
        <v>0</v>
      </c>
      <c r="L768" s="33">
        <f>Q768+R768+U768+Table1[[#This Row],[Farmer Payment]]</f>
        <v>0</v>
      </c>
      <c r="M768" s="30">
        <v>10000</v>
      </c>
      <c r="N768" s="34">
        <v>45416</v>
      </c>
      <c r="O768" s="34" t="s">
        <v>2432</v>
      </c>
      <c r="P768" s="35">
        <f t="shared" si="76"/>
        <v>10000</v>
      </c>
      <c r="Q768" s="33">
        <f>AI768+AV768+CK768+Table1[[#This Row],[FY 25-26]]</f>
        <v>0</v>
      </c>
      <c r="R768" s="36">
        <v>0</v>
      </c>
      <c r="S768" s="37"/>
      <c r="T768" s="38"/>
      <c r="U768" s="39"/>
      <c r="V768" s="39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1">
        <f t="shared" si="77"/>
        <v>0</v>
      </c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  <c r="AT768" s="42"/>
      <c r="AU768" s="42"/>
      <c r="AV768" s="42">
        <f t="shared" si="78"/>
        <v>0</v>
      </c>
      <c r="AW768" s="42"/>
      <c r="AX768" s="42"/>
      <c r="AY768" s="42">
        <v>0</v>
      </c>
      <c r="AZ768" s="42">
        <v>0</v>
      </c>
      <c r="BA768" s="42">
        <v>0</v>
      </c>
      <c r="BB768" s="42">
        <v>0</v>
      </c>
      <c r="BC768" s="42">
        <v>0</v>
      </c>
      <c r="BD768" s="42">
        <v>0</v>
      </c>
      <c r="BE768" s="42">
        <v>0</v>
      </c>
      <c r="BF768" s="42">
        <v>0</v>
      </c>
      <c r="BG768" s="42">
        <v>0</v>
      </c>
      <c r="BH768" s="42">
        <v>0</v>
      </c>
      <c r="BI768" s="42">
        <v>0</v>
      </c>
      <c r="BJ768" s="42">
        <v>0</v>
      </c>
      <c r="BK768" s="42">
        <v>0</v>
      </c>
      <c r="BL768" s="42">
        <v>0</v>
      </c>
      <c r="BM768" s="42">
        <v>0</v>
      </c>
      <c r="BN768" s="42">
        <v>0</v>
      </c>
      <c r="BO768" s="42">
        <v>0</v>
      </c>
      <c r="BP768" s="42">
        <v>0</v>
      </c>
      <c r="BQ768" s="42">
        <v>0</v>
      </c>
      <c r="BR768" s="42">
        <v>0</v>
      </c>
      <c r="BS768" s="42">
        <v>0</v>
      </c>
      <c r="BT768" s="42">
        <v>0</v>
      </c>
      <c r="BU768" s="42">
        <v>0</v>
      </c>
      <c r="BV768" s="42">
        <v>0</v>
      </c>
      <c r="BW768" s="42">
        <v>0</v>
      </c>
      <c r="BX768" s="42">
        <v>0</v>
      </c>
      <c r="BY768" s="42">
        <v>0</v>
      </c>
      <c r="BZ768" s="42">
        <v>0</v>
      </c>
      <c r="CA768" s="42">
        <v>0</v>
      </c>
      <c r="CB768" s="42">
        <v>0</v>
      </c>
      <c r="CC768" s="42">
        <v>0</v>
      </c>
      <c r="CD768" s="42">
        <v>0</v>
      </c>
      <c r="CE768" s="42">
        <v>0</v>
      </c>
      <c r="CF768" s="42">
        <v>0</v>
      </c>
      <c r="CG768" s="42">
        <v>0</v>
      </c>
      <c r="CH768" s="42">
        <v>0</v>
      </c>
      <c r="CI768" s="42">
        <v>0</v>
      </c>
      <c r="CJ768" s="42">
        <v>0</v>
      </c>
      <c r="CK768" s="43">
        <f t="shared" si="75"/>
        <v>0</v>
      </c>
      <c r="CL768" s="66"/>
      <c r="CM768" s="66">
        <v>0</v>
      </c>
      <c r="CN768" s="66">
        <v>0</v>
      </c>
      <c r="CO768" s="66">
        <v>0</v>
      </c>
      <c r="CP768" s="66">
        <v>0</v>
      </c>
      <c r="CQ768" s="66">
        <v>0</v>
      </c>
      <c r="CR768" s="66">
        <v>0</v>
      </c>
      <c r="CS768" s="66">
        <v>0</v>
      </c>
      <c r="CT768" s="66">
        <v>0</v>
      </c>
      <c r="CU768" s="66">
        <v>0</v>
      </c>
      <c r="CV768" s="66">
        <v>0</v>
      </c>
      <c r="CW768" s="66">
        <v>0</v>
      </c>
      <c r="CX768" s="66">
        <v>0</v>
      </c>
      <c r="CY768" s="66">
        <v>0</v>
      </c>
      <c r="CZ768" s="66">
        <v>0</v>
      </c>
      <c r="DA768" s="66"/>
      <c r="DB768" s="66"/>
      <c r="DC768" s="66"/>
      <c r="DD768" s="66"/>
      <c r="DE768" s="66"/>
      <c r="DF768" s="66"/>
      <c r="DG768" s="66"/>
      <c r="DH768" s="66"/>
      <c r="DI768" s="66"/>
      <c r="DJ768" s="66"/>
      <c r="DK768" s="66">
        <f>SUM(Table1[[#This Row],[01-03 Apr]:[Mar-26]])</f>
        <v>0</v>
      </c>
    </row>
    <row r="769" spans="1:115" hidden="1" x14ac:dyDescent="0.2">
      <c r="A769" s="28">
        <v>0</v>
      </c>
      <c r="B769" s="29" t="s">
        <v>335</v>
      </c>
      <c r="C769" s="29" t="s">
        <v>3336</v>
      </c>
      <c r="D769" s="30" t="s">
        <v>336</v>
      </c>
      <c r="E769" s="30" t="s">
        <v>203</v>
      </c>
      <c r="F769" s="30"/>
      <c r="G769" s="31"/>
      <c r="H769" s="30">
        <v>275687</v>
      </c>
      <c r="I769" s="30" t="str">
        <f>IF(Table1[[#This Row],[Centre Status]]="Returned","NA",IF(Table1[[#This Row],[SD]]&gt;19000,"Full Payment",IF(Table1[[#This Row],[SD]]&lt;1,"No Payment","Partial Payment")))</f>
        <v>NA</v>
      </c>
      <c r="J769" s="30" t="s">
        <v>1903</v>
      </c>
      <c r="K769" s="32">
        <v>110000</v>
      </c>
      <c r="L769" s="33">
        <f>Q769+R769+U769+Table1[[#This Row],[Farmer Payment]]</f>
        <v>20000</v>
      </c>
      <c r="M769" s="30">
        <v>20000</v>
      </c>
      <c r="N769" s="34">
        <v>45426</v>
      </c>
      <c r="O769" s="34" t="s">
        <v>2445</v>
      </c>
      <c r="P769" s="35">
        <f t="shared" si="76"/>
        <v>110000</v>
      </c>
      <c r="Q769" s="33">
        <f>AI769+AV769+CK769+Table1[[#This Row],[FY 25-26]]</f>
        <v>0</v>
      </c>
      <c r="R769" s="36">
        <v>20000</v>
      </c>
      <c r="S769" s="37" t="s">
        <v>337</v>
      </c>
      <c r="T769" s="38">
        <v>45240</v>
      </c>
      <c r="U769" s="39"/>
      <c r="V769" s="39"/>
      <c r="W769" s="40">
        <v>0</v>
      </c>
      <c r="X769" s="40">
        <v>0</v>
      </c>
      <c r="Y769" s="40">
        <v>0</v>
      </c>
      <c r="Z769" s="40">
        <v>0</v>
      </c>
      <c r="AA769" s="40">
        <v>0</v>
      </c>
      <c r="AB769" s="40">
        <v>0</v>
      </c>
      <c r="AC769" s="40">
        <v>0</v>
      </c>
      <c r="AD769" s="40">
        <v>0</v>
      </c>
      <c r="AE769" s="40">
        <v>0</v>
      </c>
      <c r="AF769" s="40">
        <v>0</v>
      </c>
      <c r="AG769" s="40">
        <v>0</v>
      </c>
      <c r="AH769" s="40">
        <v>0</v>
      </c>
      <c r="AI769" s="41">
        <f t="shared" si="77"/>
        <v>0</v>
      </c>
      <c r="AJ769" s="42">
        <v>0</v>
      </c>
      <c r="AK769" s="42">
        <v>0</v>
      </c>
      <c r="AL769" s="42">
        <v>0</v>
      </c>
      <c r="AM769" s="42">
        <v>0</v>
      </c>
      <c r="AN769" s="42">
        <v>0</v>
      </c>
      <c r="AO769" s="42">
        <v>0</v>
      </c>
      <c r="AP769" s="42">
        <v>0</v>
      </c>
      <c r="AQ769" s="42">
        <v>0</v>
      </c>
      <c r="AR769" s="42">
        <v>0</v>
      </c>
      <c r="AS769" s="42">
        <v>0</v>
      </c>
      <c r="AT769" s="42">
        <v>0</v>
      </c>
      <c r="AU769" s="42">
        <v>0</v>
      </c>
      <c r="AV769" s="42">
        <f t="shared" si="78"/>
        <v>0</v>
      </c>
      <c r="AW769" s="42">
        <v>0</v>
      </c>
      <c r="AX769" s="42">
        <v>0</v>
      </c>
      <c r="AY769" s="42">
        <v>0</v>
      </c>
      <c r="AZ769" s="42">
        <v>0</v>
      </c>
      <c r="BA769" s="42">
        <v>0</v>
      </c>
      <c r="BB769" s="42">
        <v>0</v>
      </c>
      <c r="BC769" s="42">
        <v>0</v>
      </c>
      <c r="BD769" s="42">
        <v>0</v>
      </c>
      <c r="BE769" s="42">
        <v>0</v>
      </c>
      <c r="BF769" s="42">
        <v>0</v>
      </c>
      <c r="BG769" s="42">
        <v>0</v>
      </c>
      <c r="BH769" s="42">
        <v>0</v>
      </c>
      <c r="BI769" s="42">
        <v>0</v>
      </c>
      <c r="BJ769" s="42">
        <v>0</v>
      </c>
      <c r="BK769" s="42">
        <v>0</v>
      </c>
      <c r="BL769" s="42">
        <v>0</v>
      </c>
      <c r="BM769" s="42">
        <v>0</v>
      </c>
      <c r="BN769" s="42">
        <v>0</v>
      </c>
      <c r="BO769" s="42">
        <v>0</v>
      </c>
      <c r="BP769" s="42">
        <v>0</v>
      </c>
      <c r="BQ769" s="42">
        <v>0</v>
      </c>
      <c r="BR769" s="42">
        <v>0</v>
      </c>
      <c r="BS769" s="42">
        <v>0</v>
      </c>
      <c r="BT769" s="42">
        <v>0</v>
      </c>
      <c r="BU769" s="42">
        <v>0</v>
      </c>
      <c r="BV769" s="42">
        <v>0</v>
      </c>
      <c r="BW769" s="42">
        <v>0</v>
      </c>
      <c r="BX769" s="42">
        <v>0</v>
      </c>
      <c r="BY769" s="42">
        <v>0</v>
      </c>
      <c r="BZ769" s="42">
        <v>0</v>
      </c>
      <c r="CA769" s="42">
        <v>0</v>
      </c>
      <c r="CB769" s="42">
        <v>0</v>
      </c>
      <c r="CC769" s="42">
        <v>0</v>
      </c>
      <c r="CD769" s="42">
        <v>0</v>
      </c>
      <c r="CE769" s="42">
        <v>0</v>
      </c>
      <c r="CF769" s="42">
        <v>0</v>
      </c>
      <c r="CG769" s="42">
        <v>0</v>
      </c>
      <c r="CH769" s="42">
        <v>0</v>
      </c>
      <c r="CI769" s="42">
        <v>0</v>
      </c>
      <c r="CJ769" s="42">
        <v>0</v>
      </c>
      <c r="CK769" s="43">
        <f t="shared" si="75"/>
        <v>0</v>
      </c>
      <c r="CL769" s="66"/>
      <c r="CM769" s="66">
        <v>0</v>
      </c>
      <c r="CN769" s="66">
        <v>0</v>
      </c>
      <c r="CO769" s="66">
        <v>0</v>
      </c>
      <c r="CP769" s="66">
        <v>0</v>
      </c>
      <c r="CQ769" s="66">
        <v>0</v>
      </c>
      <c r="CR769" s="66">
        <v>0</v>
      </c>
      <c r="CS769" s="66">
        <v>0</v>
      </c>
      <c r="CT769" s="66">
        <v>0</v>
      </c>
      <c r="CU769" s="66">
        <v>0</v>
      </c>
      <c r="CV769" s="66">
        <v>0</v>
      </c>
      <c r="CW769" s="66">
        <v>0</v>
      </c>
      <c r="CX769" s="66">
        <v>0</v>
      </c>
      <c r="CY769" s="66">
        <v>0</v>
      </c>
      <c r="CZ769" s="66">
        <v>0</v>
      </c>
      <c r="DA769" s="66"/>
      <c r="DB769" s="66"/>
      <c r="DC769" s="66"/>
      <c r="DD769" s="66"/>
      <c r="DE769" s="66"/>
      <c r="DF769" s="66"/>
      <c r="DG769" s="66"/>
      <c r="DH769" s="66"/>
      <c r="DI769" s="66"/>
      <c r="DJ769" s="66"/>
      <c r="DK769" s="66">
        <f>SUM(Table1[[#This Row],[01-03 Apr]:[Mar-26]])</f>
        <v>0</v>
      </c>
    </row>
    <row r="770" spans="1:115" hidden="1" x14ac:dyDescent="0.2">
      <c r="A770" s="28" t="s">
        <v>2360</v>
      </c>
      <c r="B770" s="29" t="s">
        <v>2359</v>
      </c>
      <c r="C770" s="29" t="s">
        <v>2323</v>
      </c>
      <c r="D770" s="30" t="s">
        <v>2324</v>
      </c>
      <c r="E770" s="30" t="s">
        <v>1321</v>
      </c>
      <c r="F770" s="30"/>
      <c r="G770" s="31"/>
      <c r="H770" s="30"/>
      <c r="I770" s="30" t="str">
        <f>IF(Table1[[#This Row],[Centre Status]]="Returned","NA",IF(Table1[[#This Row],[SD]]&gt;19000,"Full Payment",IF(Table1[[#This Row],[SD]]&lt;1,"No Payment","Partial Payment")))</f>
        <v>NA</v>
      </c>
      <c r="J770" s="30" t="s">
        <v>1903</v>
      </c>
      <c r="K770" s="32">
        <v>110000</v>
      </c>
      <c r="L770" s="33">
        <f>Q770+R770+U770+Table1[[#This Row],[Farmer Payment]]</f>
        <v>20000</v>
      </c>
      <c r="M770" s="30"/>
      <c r="N770" s="34"/>
      <c r="O770" s="34"/>
      <c r="P770" s="35">
        <f t="shared" si="76"/>
        <v>90000</v>
      </c>
      <c r="Q770" s="33">
        <f>AI770+AV770+CK770+Table1[[#This Row],[FY 25-26]]</f>
        <v>0</v>
      </c>
      <c r="R770" s="36">
        <v>20000</v>
      </c>
      <c r="S770" s="37" t="s">
        <v>2325</v>
      </c>
      <c r="T770" s="38">
        <v>45350</v>
      </c>
      <c r="U770" s="39"/>
      <c r="V770" s="39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1">
        <f t="shared" si="77"/>
        <v>0</v>
      </c>
      <c r="AJ770" s="42">
        <v>0</v>
      </c>
      <c r="AK770" s="42">
        <v>0</v>
      </c>
      <c r="AL770" s="42">
        <v>0</v>
      </c>
      <c r="AM770" s="42">
        <v>0</v>
      </c>
      <c r="AN770" s="42">
        <v>0</v>
      </c>
      <c r="AO770" s="42">
        <v>0</v>
      </c>
      <c r="AP770" s="42">
        <v>0</v>
      </c>
      <c r="AQ770" s="42">
        <v>0</v>
      </c>
      <c r="AR770" s="42">
        <v>0</v>
      </c>
      <c r="AS770" s="42">
        <v>0</v>
      </c>
      <c r="AT770" s="42">
        <v>0</v>
      </c>
      <c r="AU770" s="42">
        <v>0</v>
      </c>
      <c r="AV770" s="42">
        <f t="shared" si="78"/>
        <v>0</v>
      </c>
      <c r="AW770" s="42">
        <v>0</v>
      </c>
      <c r="AX770" s="42">
        <v>0</v>
      </c>
      <c r="AY770" s="42">
        <v>0</v>
      </c>
      <c r="AZ770" s="42">
        <v>0</v>
      </c>
      <c r="BA770" s="42">
        <v>0</v>
      </c>
      <c r="BB770" s="42">
        <v>0</v>
      </c>
      <c r="BC770" s="42">
        <v>0</v>
      </c>
      <c r="BD770" s="42">
        <v>0</v>
      </c>
      <c r="BE770" s="42">
        <v>0</v>
      </c>
      <c r="BF770" s="42">
        <v>0</v>
      </c>
      <c r="BG770" s="42">
        <v>0</v>
      </c>
      <c r="BH770" s="42">
        <v>0</v>
      </c>
      <c r="BI770" s="42">
        <v>0</v>
      </c>
      <c r="BJ770" s="42">
        <v>0</v>
      </c>
      <c r="BK770" s="42">
        <v>0</v>
      </c>
      <c r="BL770" s="42">
        <v>0</v>
      </c>
      <c r="BM770" s="42">
        <v>0</v>
      </c>
      <c r="BN770" s="42">
        <v>0</v>
      </c>
      <c r="BO770" s="42">
        <v>0</v>
      </c>
      <c r="BP770" s="42">
        <v>0</v>
      </c>
      <c r="BQ770" s="42">
        <v>0</v>
      </c>
      <c r="BR770" s="42">
        <v>0</v>
      </c>
      <c r="BS770" s="42">
        <v>0</v>
      </c>
      <c r="BT770" s="42">
        <v>0</v>
      </c>
      <c r="BU770" s="42">
        <v>0</v>
      </c>
      <c r="BV770" s="42">
        <v>0</v>
      </c>
      <c r="BW770" s="42">
        <v>0</v>
      </c>
      <c r="BX770" s="42">
        <v>0</v>
      </c>
      <c r="BY770" s="42">
        <v>0</v>
      </c>
      <c r="BZ770" s="42">
        <v>0</v>
      </c>
      <c r="CA770" s="42">
        <v>0</v>
      </c>
      <c r="CB770" s="42">
        <v>0</v>
      </c>
      <c r="CC770" s="42">
        <v>0</v>
      </c>
      <c r="CD770" s="42">
        <v>0</v>
      </c>
      <c r="CE770" s="42">
        <v>0</v>
      </c>
      <c r="CF770" s="42">
        <v>0</v>
      </c>
      <c r="CG770" s="42">
        <v>0</v>
      </c>
      <c r="CH770" s="42">
        <v>0</v>
      </c>
      <c r="CI770" s="42">
        <v>0</v>
      </c>
      <c r="CJ770" s="42">
        <v>0</v>
      </c>
      <c r="CK770" s="43">
        <f t="shared" si="75"/>
        <v>0</v>
      </c>
      <c r="CL770" s="66"/>
      <c r="CM770" s="66">
        <v>0</v>
      </c>
      <c r="CN770" s="66">
        <v>0</v>
      </c>
      <c r="CO770" s="66">
        <v>0</v>
      </c>
      <c r="CP770" s="66">
        <v>0</v>
      </c>
      <c r="CQ770" s="66">
        <v>0</v>
      </c>
      <c r="CR770" s="66">
        <v>0</v>
      </c>
      <c r="CS770" s="66">
        <v>0</v>
      </c>
      <c r="CT770" s="66">
        <v>0</v>
      </c>
      <c r="CU770" s="66">
        <v>0</v>
      </c>
      <c r="CV770" s="66">
        <v>0</v>
      </c>
      <c r="CW770" s="66">
        <v>0</v>
      </c>
      <c r="CX770" s="66">
        <v>0</v>
      </c>
      <c r="CY770" s="66">
        <v>0</v>
      </c>
      <c r="CZ770" s="66">
        <v>0</v>
      </c>
      <c r="DA770" s="66"/>
      <c r="DB770" s="66"/>
      <c r="DC770" s="66"/>
      <c r="DD770" s="66"/>
      <c r="DE770" s="66"/>
      <c r="DF770" s="66"/>
      <c r="DG770" s="66"/>
      <c r="DH770" s="66"/>
      <c r="DI770" s="66"/>
      <c r="DJ770" s="66"/>
      <c r="DK770" s="66">
        <f>SUM(Table1[[#This Row],[01-03 Apr]:[Mar-26]])</f>
        <v>0</v>
      </c>
    </row>
    <row r="771" spans="1:115" hidden="1" x14ac:dyDescent="0.2">
      <c r="A771" s="28" t="s">
        <v>2255</v>
      </c>
      <c r="B771" s="29" t="s">
        <v>377</v>
      </c>
      <c r="C771" s="29" t="s">
        <v>2291</v>
      </c>
      <c r="D771" s="30" t="s">
        <v>378</v>
      </c>
      <c r="E771" s="30" t="s">
        <v>1630</v>
      </c>
      <c r="F771" s="30"/>
      <c r="G771" s="31">
        <v>44569</v>
      </c>
      <c r="H771" s="30">
        <v>328959</v>
      </c>
      <c r="I771" s="30" t="str">
        <f>IF(Table1[[#This Row],[Centre Status]]="Returned","NA",IF(Table1[[#This Row],[SD]]&gt;19000,"Full Payment",IF(Table1[[#This Row],[SD]]&lt;1,"No Payment","Partial Payment")))</f>
        <v>NA</v>
      </c>
      <c r="J771" s="30" t="s">
        <v>1903</v>
      </c>
      <c r="K771" s="32">
        <v>110000</v>
      </c>
      <c r="L771" s="33">
        <f>Q771+R771+U771+Table1[[#This Row],[Farmer Payment]]</f>
        <v>30961</v>
      </c>
      <c r="M771" s="30">
        <f>30961-10000</f>
        <v>20961</v>
      </c>
      <c r="N771" s="34">
        <v>45451</v>
      </c>
      <c r="O771" s="34" t="s">
        <v>2458</v>
      </c>
      <c r="P771" s="35">
        <f t="shared" si="76"/>
        <v>100000</v>
      </c>
      <c r="Q771" s="33">
        <f>AI771+AV771+CK771+Table1[[#This Row],[FY 25-26]]</f>
        <v>20961</v>
      </c>
      <c r="R771" s="36">
        <v>10000</v>
      </c>
      <c r="S771" s="37" t="s">
        <v>379</v>
      </c>
      <c r="T771" s="38">
        <v>44716</v>
      </c>
      <c r="U771" s="39"/>
      <c r="V771" s="39"/>
      <c r="W771" s="40">
        <v>0</v>
      </c>
      <c r="X771" s="40">
        <v>0</v>
      </c>
      <c r="Y771" s="40">
        <v>0</v>
      </c>
      <c r="Z771" s="40">
        <v>0</v>
      </c>
      <c r="AA771" s="40">
        <v>1498</v>
      </c>
      <c r="AB771" s="40">
        <v>1696</v>
      </c>
      <c r="AC771" s="40">
        <v>1861</v>
      </c>
      <c r="AD771" s="40">
        <v>1861</v>
      </c>
      <c r="AE771" s="40">
        <v>1436</v>
      </c>
      <c r="AF771" s="40">
        <v>511</v>
      </c>
      <c r="AG771" s="40">
        <v>1861</v>
      </c>
      <c r="AH771" s="40">
        <v>1861</v>
      </c>
      <c r="AI771" s="41">
        <f t="shared" si="77"/>
        <v>12585</v>
      </c>
      <c r="AJ771" s="42">
        <v>214</v>
      </c>
      <c r="AK771" s="42">
        <v>1861</v>
      </c>
      <c r="AL771" s="42">
        <v>133</v>
      </c>
      <c r="AM771" s="42">
        <v>670</v>
      </c>
      <c r="AN771" s="42">
        <v>1817</v>
      </c>
      <c r="AO771" s="42">
        <v>1165</v>
      </c>
      <c r="AP771" s="42">
        <v>1861</v>
      </c>
      <c r="AQ771" s="42">
        <v>655</v>
      </c>
      <c r="AR771" s="42">
        <v>0</v>
      </c>
      <c r="AS771" s="42">
        <v>0</v>
      </c>
      <c r="AT771" s="42">
        <v>0</v>
      </c>
      <c r="AU771" s="42">
        <v>0</v>
      </c>
      <c r="AV771" s="42">
        <f t="shared" si="78"/>
        <v>8376</v>
      </c>
      <c r="AW771" s="42">
        <v>0</v>
      </c>
      <c r="AX771" s="42">
        <v>0</v>
      </c>
      <c r="AY771" s="42">
        <v>0</v>
      </c>
      <c r="AZ771" s="42">
        <v>0</v>
      </c>
      <c r="BA771" s="42">
        <v>0</v>
      </c>
      <c r="BB771" s="42">
        <v>0</v>
      </c>
      <c r="BC771" s="42">
        <v>0</v>
      </c>
      <c r="BD771" s="42">
        <v>0</v>
      </c>
      <c r="BE771" s="42">
        <v>0</v>
      </c>
      <c r="BF771" s="42">
        <v>0</v>
      </c>
      <c r="BG771" s="42">
        <v>0</v>
      </c>
      <c r="BH771" s="42">
        <v>0</v>
      </c>
      <c r="BI771" s="42">
        <v>0</v>
      </c>
      <c r="BJ771" s="42">
        <v>0</v>
      </c>
      <c r="BK771" s="42">
        <v>0</v>
      </c>
      <c r="BL771" s="42">
        <v>0</v>
      </c>
      <c r="BM771" s="42">
        <v>0</v>
      </c>
      <c r="BN771" s="42">
        <v>0</v>
      </c>
      <c r="BO771" s="42">
        <v>0</v>
      </c>
      <c r="BP771" s="42">
        <v>0</v>
      </c>
      <c r="BQ771" s="42">
        <v>0</v>
      </c>
      <c r="BR771" s="42">
        <v>0</v>
      </c>
      <c r="BS771" s="42">
        <v>0</v>
      </c>
      <c r="BT771" s="42">
        <v>0</v>
      </c>
      <c r="BU771" s="42">
        <v>0</v>
      </c>
      <c r="BV771" s="42">
        <v>0</v>
      </c>
      <c r="BW771" s="42">
        <v>0</v>
      </c>
      <c r="BX771" s="42">
        <v>0</v>
      </c>
      <c r="BY771" s="42">
        <v>0</v>
      </c>
      <c r="BZ771" s="42">
        <v>0</v>
      </c>
      <c r="CA771" s="42">
        <v>0</v>
      </c>
      <c r="CB771" s="42">
        <v>0</v>
      </c>
      <c r="CC771" s="42">
        <v>0</v>
      </c>
      <c r="CD771" s="42">
        <v>0</v>
      </c>
      <c r="CE771" s="42">
        <v>0</v>
      </c>
      <c r="CF771" s="42">
        <v>0</v>
      </c>
      <c r="CG771" s="42">
        <v>0</v>
      </c>
      <c r="CH771" s="42">
        <v>0</v>
      </c>
      <c r="CI771" s="42">
        <v>0</v>
      </c>
      <c r="CJ771" s="42">
        <v>0</v>
      </c>
      <c r="CK771" s="43">
        <f t="shared" si="75"/>
        <v>0</v>
      </c>
      <c r="CL771" s="66"/>
      <c r="CM771" s="66">
        <v>0</v>
      </c>
      <c r="CN771" s="66">
        <v>0</v>
      </c>
      <c r="CO771" s="66">
        <v>0</v>
      </c>
      <c r="CP771" s="66">
        <v>0</v>
      </c>
      <c r="CQ771" s="66">
        <v>0</v>
      </c>
      <c r="CR771" s="66">
        <v>0</v>
      </c>
      <c r="CS771" s="66">
        <v>0</v>
      </c>
      <c r="CT771" s="66">
        <v>0</v>
      </c>
      <c r="CU771" s="66">
        <v>0</v>
      </c>
      <c r="CV771" s="66">
        <v>0</v>
      </c>
      <c r="CW771" s="66">
        <v>0</v>
      </c>
      <c r="CX771" s="66">
        <v>0</v>
      </c>
      <c r="CY771" s="66">
        <v>0</v>
      </c>
      <c r="CZ771" s="66">
        <v>0</v>
      </c>
      <c r="DA771" s="66"/>
      <c r="DB771" s="66"/>
      <c r="DC771" s="66"/>
      <c r="DD771" s="66"/>
      <c r="DE771" s="66"/>
      <c r="DF771" s="66"/>
      <c r="DG771" s="66"/>
      <c r="DH771" s="66"/>
      <c r="DI771" s="66"/>
      <c r="DJ771" s="66"/>
      <c r="DK771" s="66">
        <f>SUM(Table1[[#This Row],[01-03 Apr]:[Mar-26]])</f>
        <v>0</v>
      </c>
    </row>
    <row r="772" spans="1:115" hidden="1" x14ac:dyDescent="0.2">
      <c r="A772" s="28" t="s">
        <v>2363</v>
      </c>
      <c r="B772" s="29" t="s">
        <v>400</v>
      </c>
      <c r="C772" s="29" t="s">
        <v>2289</v>
      </c>
      <c r="D772" s="30" t="s">
        <v>401</v>
      </c>
      <c r="E772" s="30" t="s">
        <v>217</v>
      </c>
      <c r="F772" s="30"/>
      <c r="G772" s="31" t="s">
        <v>395</v>
      </c>
      <c r="H772" s="30">
        <v>368510</v>
      </c>
      <c r="I772" s="30" t="str">
        <f>IF(Table1[[#This Row],[Centre Status]]="Returned","NA",IF(Table1[[#This Row],[SD]]&gt;19000,"Full Payment",IF(Table1[[#This Row],[SD]]&lt;1,"No Payment","Partial Payment")))</f>
        <v>NA</v>
      </c>
      <c r="J772" s="30" t="s">
        <v>1903</v>
      </c>
      <c r="K772" s="32">
        <v>110000</v>
      </c>
      <c r="L772" s="33">
        <f>Q772+R772+U772+Table1[[#This Row],[Farmer Payment]]</f>
        <v>20628</v>
      </c>
      <c r="M772" s="30">
        <v>10000</v>
      </c>
      <c r="N772" s="34">
        <v>45419</v>
      </c>
      <c r="O772" s="34" t="s">
        <v>2434</v>
      </c>
      <c r="P772" s="35">
        <f t="shared" si="76"/>
        <v>99372</v>
      </c>
      <c r="Q772" s="33">
        <f>AI772+AV772+CK772+Table1[[#This Row],[FY 25-26]]</f>
        <v>10628</v>
      </c>
      <c r="R772" s="36">
        <v>10000</v>
      </c>
      <c r="S772" s="37" t="s">
        <v>402</v>
      </c>
      <c r="T772" s="38">
        <v>44702</v>
      </c>
      <c r="U772" s="39"/>
      <c r="V772" s="39"/>
      <c r="W772" s="40">
        <v>0</v>
      </c>
      <c r="X772" s="40">
        <v>0</v>
      </c>
      <c r="Y772" s="40">
        <v>0</v>
      </c>
      <c r="Z772" s="40">
        <v>760</v>
      </c>
      <c r="AA772" s="40">
        <v>557</v>
      </c>
      <c r="AB772" s="40">
        <v>0</v>
      </c>
      <c r="AC772" s="40">
        <v>0</v>
      </c>
      <c r="AD772" s="40">
        <v>137</v>
      </c>
      <c r="AE772" s="40">
        <v>0</v>
      </c>
      <c r="AF772" s="40">
        <v>433</v>
      </c>
      <c r="AG772" s="40">
        <v>1861</v>
      </c>
      <c r="AH772" s="40">
        <v>1084</v>
      </c>
      <c r="AI772" s="41">
        <f t="shared" si="77"/>
        <v>4832</v>
      </c>
      <c r="AJ772" s="42">
        <v>956</v>
      </c>
      <c r="AK772" s="42">
        <v>1861</v>
      </c>
      <c r="AL772" s="42">
        <v>1861</v>
      </c>
      <c r="AM772" s="42">
        <v>1118</v>
      </c>
      <c r="AN772" s="42">
        <v>0</v>
      </c>
      <c r="AO772" s="42">
        <v>0</v>
      </c>
      <c r="AP772" s="42">
        <v>0</v>
      </c>
      <c r="AQ772" s="42">
        <v>0</v>
      </c>
      <c r="AR772" s="42">
        <v>0</v>
      </c>
      <c r="AS772" s="42">
        <v>0</v>
      </c>
      <c r="AT772" s="42">
        <v>0</v>
      </c>
      <c r="AU772" s="42">
        <v>0</v>
      </c>
      <c r="AV772" s="42">
        <f t="shared" si="78"/>
        <v>5796</v>
      </c>
      <c r="AW772" s="42">
        <v>0</v>
      </c>
      <c r="AX772" s="42">
        <v>0</v>
      </c>
      <c r="AY772" s="42">
        <v>0</v>
      </c>
      <c r="AZ772" s="42">
        <v>0</v>
      </c>
      <c r="BA772" s="42">
        <v>0</v>
      </c>
      <c r="BB772" s="42">
        <v>0</v>
      </c>
      <c r="BC772" s="42">
        <v>0</v>
      </c>
      <c r="BD772" s="42">
        <v>0</v>
      </c>
      <c r="BE772" s="42">
        <v>0</v>
      </c>
      <c r="BF772" s="42">
        <v>0</v>
      </c>
      <c r="BG772" s="42">
        <v>0</v>
      </c>
      <c r="BH772" s="42">
        <v>0</v>
      </c>
      <c r="BI772" s="42">
        <v>0</v>
      </c>
      <c r="BJ772" s="42">
        <v>0</v>
      </c>
      <c r="BK772" s="42">
        <v>0</v>
      </c>
      <c r="BL772" s="42">
        <v>0</v>
      </c>
      <c r="BM772" s="42">
        <v>0</v>
      </c>
      <c r="BN772" s="42">
        <v>0</v>
      </c>
      <c r="BO772" s="42">
        <v>0</v>
      </c>
      <c r="BP772" s="42">
        <v>0</v>
      </c>
      <c r="BQ772" s="42">
        <v>0</v>
      </c>
      <c r="BR772" s="42">
        <v>0</v>
      </c>
      <c r="BS772" s="42">
        <v>0</v>
      </c>
      <c r="BT772" s="42">
        <v>0</v>
      </c>
      <c r="BU772" s="42">
        <v>0</v>
      </c>
      <c r="BV772" s="42">
        <v>0</v>
      </c>
      <c r="BW772" s="42">
        <v>0</v>
      </c>
      <c r="BX772" s="42">
        <v>0</v>
      </c>
      <c r="BY772" s="42">
        <v>0</v>
      </c>
      <c r="BZ772" s="42">
        <v>0</v>
      </c>
      <c r="CA772" s="42">
        <v>0</v>
      </c>
      <c r="CB772" s="42">
        <v>0</v>
      </c>
      <c r="CC772" s="42">
        <v>0</v>
      </c>
      <c r="CD772" s="42">
        <v>0</v>
      </c>
      <c r="CE772" s="42">
        <v>0</v>
      </c>
      <c r="CF772" s="42">
        <v>0</v>
      </c>
      <c r="CG772" s="42">
        <v>0</v>
      </c>
      <c r="CH772" s="42">
        <v>0</v>
      </c>
      <c r="CI772" s="42">
        <v>0</v>
      </c>
      <c r="CJ772" s="42">
        <v>0</v>
      </c>
      <c r="CK772" s="43">
        <f t="shared" si="75"/>
        <v>0</v>
      </c>
      <c r="CL772" s="66"/>
      <c r="CM772" s="66">
        <v>0</v>
      </c>
      <c r="CN772" s="66">
        <v>0</v>
      </c>
      <c r="CO772" s="66">
        <v>0</v>
      </c>
      <c r="CP772" s="66">
        <v>0</v>
      </c>
      <c r="CQ772" s="66">
        <v>0</v>
      </c>
      <c r="CR772" s="66">
        <v>0</v>
      </c>
      <c r="CS772" s="66">
        <v>0</v>
      </c>
      <c r="CT772" s="66">
        <v>0</v>
      </c>
      <c r="CU772" s="66">
        <v>0</v>
      </c>
      <c r="CV772" s="66">
        <v>0</v>
      </c>
      <c r="CW772" s="66">
        <v>0</v>
      </c>
      <c r="CX772" s="66">
        <v>0</v>
      </c>
      <c r="CY772" s="66">
        <v>0</v>
      </c>
      <c r="CZ772" s="66">
        <v>0</v>
      </c>
      <c r="DA772" s="66"/>
      <c r="DB772" s="66"/>
      <c r="DC772" s="66"/>
      <c r="DD772" s="66"/>
      <c r="DE772" s="66"/>
      <c r="DF772" s="66"/>
      <c r="DG772" s="66"/>
      <c r="DH772" s="66"/>
      <c r="DI772" s="66"/>
      <c r="DJ772" s="66"/>
      <c r="DK772" s="66">
        <f>SUM(Table1[[#This Row],[01-03 Apr]:[Mar-26]])</f>
        <v>0</v>
      </c>
    </row>
    <row r="773" spans="1:115" hidden="1" x14ac:dyDescent="0.2">
      <c r="A773" s="28" t="s">
        <v>2364</v>
      </c>
      <c r="B773" s="29" t="s">
        <v>413</v>
      </c>
      <c r="C773" s="29" t="s">
        <v>414</v>
      </c>
      <c r="D773" s="30" t="s">
        <v>415</v>
      </c>
      <c r="E773" s="30" t="s">
        <v>217</v>
      </c>
      <c r="F773" s="30"/>
      <c r="G773" s="31" t="s">
        <v>395</v>
      </c>
      <c r="H773" s="30">
        <v>387364</v>
      </c>
      <c r="I773" s="30" t="str">
        <f>IF(Table1[[#This Row],[Centre Status]]="Returned","NA",IF(Table1[[#This Row],[SD]]&gt;19000,"Full Payment",IF(Table1[[#This Row],[SD]]&lt;1,"No Payment","Partial Payment")))</f>
        <v>NA</v>
      </c>
      <c r="J773" s="30" t="s">
        <v>1903</v>
      </c>
      <c r="K773" s="32">
        <v>110000</v>
      </c>
      <c r="L773" s="33">
        <f>Q773+R773+U773+Table1[[#This Row],[Farmer Payment]]</f>
        <v>85851.501999999993</v>
      </c>
      <c r="M773" s="30">
        <v>49052</v>
      </c>
      <c r="N773" s="34">
        <v>45554</v>
      </c>
      <c r="O773" s="34" t="s">
        <v>2440</v>
      </c>
      <c r="P773" s="35">
        <f t="shared" si="76"/>
        <v>73200.498000000007</v>
      </c>
      <c r="Q773" s="33">
        <f>AI773+AV773+CK773+Table1[[#This Row],[FY 25-26]]</f>
        <v>65851.501999999993</v>
      </c>
      <c r="R773" s="36">
        <v>20000</v>
      </c>
      <c r="S773" s="37" t="s">
        <v>416</v>
      </c>
      <c r="T773" s="38">
        <v>44705</v>
      </c>
      <c r="U773" s="39"/>
      <c r="V773" s="39"/>
      <c r="W773" s="40">
        <v>0</v>
      </c>
      <c r="X773" s="40">
        <v>0</v>
      </c>
      <c r="Y773" s="40">
        <v>0</v>
      </c>
      <c r="Z773" s="40">
        <v>426</v>
      </c>
      <c r="AA773" s="40">
        <v>8255.5535999999993</v>
      </c>
      <c r="AB773" s="40">
        <v>6252.0164000000004</v>
      </c>
      <c r="AC773" s="40">
        <v>6929.2636000000002</v>
      </c>
      <c r="AD773" s="40">
        <v>6018.0279999999993</v>
      </c>
      <c r="AE773" s="40">
        <v>4627.4462000000003</v>
      </c>
      <c r="AF773" s="40">
        <v>2000</v>
      </c>
      <c r="AG773" s="40">
        <v>5906.194199999999</v>
      </c>
      <c r="AH773" s="40">
        <v>2000</v>
      </c>
      <c r="AI773" s="41">
        <f t="shared" si="77"/>
        <v>42414.501999999993</v>
      </c>
      <c r="AJ773" s="42">
        <v>2000</v>
      </c>
      <c r="AK773" s="42">
        <v>1319</v>
      </c>
      <c r="AL773" s="42">
        <v>1861</v>
      </c>
      <c r="AM773" s="42">
        <v>2000</v>
      </c>
      <c r="AN773" s="42">
        <v>2000</v>
      </c>
      <c r="AO773" s="42">
        <v>2000</v>
      </c>
      <c r="AP773" s="42">
        <v>2000</v>
      </c>
      <c r="AQ773" s="42">
        <v>2000</v>
      </c>
      <c r="AR773" s="42">
        <v>2000</v>
      </c>
      <c r="AS773" s="42">
        <v>2000</v>
      </c>
      <c r="AT773" s="42">
        <v>2000</v>
      </c>
      <c r="AU773" s="42">
        <v>2000</v>
      </c>
      <c r="AV773" s="42">
        <f t="shared" si="78"/>
        <v>23180</v>
      </c>
      <c r="AW773" s="42">
        <v>257</v>
      </c>
      <c r="AX773" s="42">
        <v>0</v>
      </c>
      <c r="AY773" s="42">
        <v>0</v>
      </c>
      <c r="AZ773" s="42">
        <v>0</v>
      </c>
      <c r="BA773" s="42">
        <v>0</v>
      </c>
      <c r="BB773" s="42">
        <v>0</v>
      </c>
      <c r="BC773" s="42">
        <v>0</v>
      </c>
      <c r="BD773" s="42">
        <v>0</v>
      </c>
      <c r="BE773" s="42">
        <v>0</v>
      </c>
      <c r="BF773" s="42">
        <v>0</v>
      </c>
      <c r="BG773" s="42">
        <v>0</v>
      </c>
      <c r="BH773" s="42">
        <v>0</v>
      </c>
      <c r="BI773" s="42">
        <v>0</v>
      </c>
      <c r="BJ773" s="42">
        <v>0</v>
      </c>
      <c r="BK773" s="42">
        <v>0</v>
      </c>
      <c r="BL773" s="42">
        <v>0</v>
      </c>
      <c r="BM773" s="42">
        <v>0</v>
      </c>
      <c r="BN773" s="42">
        <v>0</v>
      </c>
      <c r="BO773" s="42">
        <v>0</v>
      </c>
      <c r="BP773" s="42">
        <v>0</v>
      </c>
      <c r="BQ773" s="42">
        <v>0</v>
      </c>
      <c r="BR773" s="42">
        <v>0</v>
      </c>
      <c r="BS773" s="42">
        <v>0</v>
      </c>
      <c r="BT773" s="42">
        <v>0</v>
      </c>
      <c r="BU773" s="42">
        <v>0</v>
      </c>
      <c r="BV773" s="42">
        <v>0</v>
      </c>
      <c r="BW773" s="42">
        <v>0</v>
      </c>
      <c r="BX773" s="42">
        <v>0</v>
      </c>
      <c r="BY773" s="42">
        <v>0</v>
      </c>
      <c r="BZ773" s="42">
        <v>0</v>
      </c>
      <c r="CA773" s="42">
        <v>0</v>
      </c>
      <c r="CB773" s="42">
        <v>0</v>
      </c>
      <c r="CC773" s="42">
        <v>0</v>
      </c>
      <c r="CD773" s="42">
        <v>0</v>
      </c>
      <c r="CE773" s="42">
        <v>0</v>
      </c>
      <c r="CF773" s="42">
        <v>0</v>
      </c>
      <c r="CG773" s="42">
        <v>0</v>
      </c>
      <c r="CH773" s="42">
        <v>0</v>
      </c>
      <c r="CI773" s="42">
        <v>0</v>
      </c>
      <c r="CJ773" s="42">
        <v>0</v>
      </c>
      <c r="CK773" s="43">
        <f t="shared" si="75"/>
        <v>257</v>
      </c>
      <c r="CL773" s="66"/>
      <c r="CM773" s="66">
        <v>0</v>
      </c>
      <c r="CN773" s="66">
        <v>0</v>
      </c>
      <c r="CO773" s="66">
        <v>0</v>
      </c>
      <c r="CP773" s="66">
        <v>0</v>
      </c>
      <c r="CQ773" s="66">
        <v>0</v>
      </c>
      <c r="CR773" s="66">
        <v>0</v>
      </c>
      <c r="CS773" s="66">
        <v>0</v>
      </c>
      <c r="CT773" s="66">
        <v>0</v>
      </c>
      <c r="CU773" s="66">
        <v>0</v>
      </c>
      <c r="CV773" s="66">
        <v>0</v>
      </c>
      <c r="CW773" s="66">
        <v>0</v>
      </c>
      <c r="CX773" s="66">
        <v>0</v>
      </c>
      <c r="CY773" s="66">
        <v>0</v>
      </c>
      <c r="CZ773" s="66">
        <v>0</v>
      </c>
      <c r="DA773" s="66"/>
      <c r="DB773" s="66"/>
      <c r="DC773" s="66"/>
      <c r="DD773" s="66"/>
      <c r="DE773" s="66"/>
      <c r="DF773" s="66"/>
      <c r="DG773" s="66"/>
      <c r="DH773" s="66"/>
      <c r="DI773" s="66"/>
      <c r="DJ773" s="66"/>
      <c r="DK773" s="66">
        <f>SUM(Table1[[#This Row],[01-03 Apr]:[Mar-26]])</f>
        <v>0</v>
      </c>
    </row>
    <row r="774" spans="1:115" hidden="1" x14ac:dyDescent="0.2">
      <c r="A774" s="28" t="s">
        <v>2363</v>
      </c>
      <c r="B774" s="29" t="s">
        <v>437</v>
      </c>
      <c r="C774" s="29" t="s">
        <v>438</v>
      </c>
      <c r="D774" s="30" t="s">
        <v>439</v>
      </c>
      <c r="E774" s="30" t="s">
        <v>63</v>
      </c>
      <c r="F774" s="30"/>
      <c r="G774" s="31">
        <v>44628</v>
      </c>
      <c r="H774" s="30">
        <v>385582</v>
      </c>
      <c r="I774" s="30" t="str">
        <f>IF(Table1[[#This Row],[Centre Status]]="Returned","NA",IF(Table1[[#This Row],[SD]]&gt;19000,"Full Payment",IF(Table1[[#This Row],[SD]]&lt;1,"No Payment","Partial Payment")))</f>
        <v>NA</v>
      </c>
      <c r="J774" s="30" t="s">
        <v>1903</v>
      </c>
      <c r="K774" s="32">
        <v>110000</v>
      </c>
      <c r="L774" s="33">
        <f>Q774+R774+U774+Table1[[#This Row],[Farmer Payment]]</f>
        <v>118337</v>
      </c>
      <c r="M774" s="30">
        <v>8337</v>
      </c>
      <c r="N774" s="34">
        <v>45386</v>
      </c>
      <c r="O774" s="34" t="s">
        <v>2426</v>
      </c>
      <c r="P774" s="35">
        <f t="shared" si="76"/>
        <v>0</v>
      </c>
      <c r="Q774" s="33">
        <f>AI774+AV774+CK774+Table1[[#This Row],[FY 25-26]]</f>
        <v>103337</v>
      </c>
      <c r="R774" s="36">
        <v>15000</v>
      </c>
      <c r="S774" s="37" t="s">
        <v>440</v>
      </c>
      <c r="T774" s="38">
        <v>44760</v>
      </c>
      <c r="U774" s="39"/>
      <c r="V774" s="39"/>
      <c r="W774" s="40">
        <v>0</v>
      </c>
      <c r="X774" s="40">
        <v>0</v>
      </c>
      <c r="Y774" s="40">
        <v>0</v>
      </c>
      <c r="Z774" s="40">
        <v>0</v>
      </c>
      <c r="AA774" s="40">
        <v>0</v>
      </c>
      <c r="AB774" s="40">
        <v>1861</v>
      </c>
      <c r="AC774" s="40">
        <v>1861</v>
      </c>
      <c r="AD774" s="40">
        <v>3070.6824000000001</v>
      </c>
      <c r="AE774" s="40">
        <v>2896.9990000000003</v>
      </c>
      <c r="AF774" s="40">
        <v>4783.6769999999997</v>
      </c>
      <c r="AG774" s="40">
        <v>6956.3441999999995</v>
      </c>
      <c r="AH774" s="40">
        <v>8173.1100000000006</v>
      </c>
      <c r="AI774" s="41">
        <f t="shared" si="77"/>
        <v>29602.812599999997</v>
      </c>
      <c r="AJ774" s="42">
        <v>8220.4667205900005</v>
      </c>
      <c r="AK774" s="42">
        <v>11176.720679409998</v>
      </c>
      <c r="AL774" s="42">
        <v>0</v>
      </c>
      <c r="AM774" s="42">
        <v>0</v>
      </c>
      <c r="AN774" s="42">
        <v>0</v>
      </c>
      <c r="AO774" s="42">
        <v>0</v>
      </c>
      <c r="AP774" s="42">
        <v>12482.945000000003</v>
      </c>
      <c r="AQ774" s="42">
        <v>8793.6288000000004</v>
      </c>
      <c r="AR774" s="42">
        <v>10386.802800000001</v>
      </c>
      <c r="AS774" s="42">
        <v>3000</v>
      </c>
      <c r="AT774" s="42">
        <v>3000</v>
      </c>
      <c r="AU774" s="42">
        <v>3000</v>
      </c>
      <c r="AV774" s="42">
        <f t="shared" si="78"/>
        <v>60060.563999999998</v>
      </c>
      <c r="AW774" s="42">
        <v>3000</v>
      </c>
      <c r="AX774" s="42">
        <v>2336.623400000004</v>
      </c>
      <c r="AY774" s="42">
        <v>0</v>
      </c>
      <c r="AZ774" s="42">
        <v>8337</v>
      </c>
      <c r="BA774" s="42">
        <v>0</v>
      </c>
      <c r="BB774" s="42">
        <v>0</v>
      </c>
      <c r="BC774" s="42">
        <v>0</v>
      </c>
      <c r="BD774" s="42">
        <v>0</v>
      </c>
      <c r="BE774" s="42">
        <v>0</v>
      </c>
      <c r="BF774" s="42">
        <v>0</v>
      </c>
      <c r="BG774" s="42">
        <v>0</v>
      </c>
      <c r="BH774" s="42">
        <v>0</v>
      </c>
      <c r="BI774" s="42">
        <v>0</v>
      </c>
      <c r="BJ774" s="42">
        <v>0</v>
      </c>
      <c r="BK774" s="42">
        <v>0</v>
      </c>
      <c r="BL774" s="42">
        <v>0</v>
      </c>
      <c r="BM774" s="42">
        <v>0</v>
      </c>
      <c r="BN774" s="42">
        <v>0</v>
      </c>
      <c r="BO774" s="42">
        <v>0</v>
      </c>
      <c r="BP774" s="42">
        <v>0</v>
      </c>
      <c r="BQ774" s="42">
        <v>0</v>
      </c>
      <c r="BR774" s="42">
        <v>0</v>
      </c>
      <c r="BS774" s="42">
        <v>0</v>
      </c>
      <c r="BT774" s="42">
        <v>0</v>
      </c>
      <c r="BU774" s="42">
        <v>0</v>
      </c>
      <c r="BV774" s="42">
        <v>0</v>
      </c>
      <c r="BW774" s="42">
        <v>0</v>
      </c>
      <c r="BX774" s="42">
        <v>0</v>
      </c>
      <c r="BY774" s="42">
        <v>0</v>
      </c>
      <c r="BZ774" s="42">
        <v>0</v>
      </c>
      <c r="CA774" s="42">
        <v>0</v>
      </c>
      <c r="CB774" s="42">
        <v>0</v>
      </c>
      <c r="CC774" s="42">
        <v>0</v>
      </c>
      <c r="CD774" s="42">
        <v>0</v>
      </c>
      <c r="CE774" s="42">
        <v>0</v>
      </c>
      <c r="CF774" s="42">
        <v>0</v>
      </c>
      <c r="CG774" s="42">
        <v>0</v>
      </c>
      <c r="CH774" s="42">
        <v>0</v>
      </c>
      <c r="CI774" s="42">
        <v>0</v>
      </c>
      <c r="CJ774" s="42">
        <v>0</v>
      </c>
      <c r="CK774" s="43">
        <f t="shared" si="75"/>
        <v>13673.623400000004</v>
      </c>
      <c r="CL774" s="66"/>
      <c r="CM774" s="66">
        <v>0</v>
      </c>
      <c r="CN774" s="66">
        <v>0</v>
      </c>
      <c r="CO774" s="66">
        <v>0</v>
      </c>
      <c r="CP774" s="66">
        <v>0</v>
      </c>
      <c r="CQ774" s="66">
        <v>0</v>
      </c>
      <c r="CR774" s="66">
        <v>0</v>
      </c>
      <c r="CS774" s="66">
        <v>0</v>
      </c>
      <c r="CT774" s="66">
        <v>0</v>
      </c>
      <c r="CU774" s="66">
        <v>0</v>
      </c>
      <c r="CV774" s="66">
        <v>0</v>
      </c>
      <c r="CW774" s="66">
        <v>0</v>
      </c>
      <c r="CX774" s="66">
        <v>0</v>
      </c>
      <c r="CY774" s="66">
        <v>0</v>
      </c>
      <c r="CZ774" s="66">
        <v>0</v>
      </c>
      <c r="DA774" s="66"/>
      <c r="DB774" s="66"/>
      <c r="DC774" s="66"/>
      <c r="DD774" s="66"/>
      <c r="DE774" s="66"/>
      <c r="DF774" s="66"/>
      <c r="DG774" s="66"/>
      <c r="DH774" s="66"/>
      <c r="DI774" s="66"/>
      <c r="DJ774" s="66"/>
      <c r="DK774" s="66">
        <f>SUM(Table1[[#This Row],[01-03 Apr]:[Mar-26]])</f>
        <v>0</v>
      </c>
    </row>
    <row r="775" spans="1:115" hidden="1" x14ac:dyDescent="0.2">
      <c r="A775" s="28" t="s">
        <v>2253</v>
      </c>
      <c r="B775" s="29" t="s">
        <v>450</v>
      </c>
      <c r="C775" s="29" t="s">
        <v>2288</v>
      </c>
      <c r="D775" s="30" t="s">
        <v>451</v>
      </c>
      <c r="E775" s="30" t="s">
        <v>217</v>
      </c>
      <c r="F775" s="30"/>
      <c r="G775" s="31" t="s">
        <v>452</v>
      </c>
      <c r="H775" s="30">
        <v>361587</v>
      </c>
      <c r="I775" s="30" t="str">
        <f>IF(Table1[[#This Row],[Centre Status]]="Returned","NA",IF(Table1[[#This Row],[SD]]&gt;19000,"Full Payment",IF(Table1[[#This Row],[SD]]&lt;1,"No Payment","Partial Payment")))</f>
        <v>NA</v>
      </c>
      <c r="J775" s="30" t="s">
        <v>1903</v>
      </c>
      <c r="K775" s="32">
        <v>110000</v>
      </c>
      <c r="L775" s="33">
        <f>Q775+R775+U775+Table1[[#This Row],[Farmer Payment]]</f>
        <v>15570</v>
      </c>
      <c r="M775" s="30">
        <f>10000-10000</f>
        <v>0</v>
      </c>
      <c r="N775" s="34">
        <v>45486</v>
      </c>
      <c r="O775" s="34" t="s">
        <v>2467</v>
      </c>
      <c r="P775" s="35">
        <f t="shared" si="76"/>
        <v>94430</v>
      </c>
      <c r="Q775" s="33">
        <f>AI775+AV775+CK775+Table1[[#This Row],[FY 25-26]]</f>
        <v>5570</v>
      </c>
      <c r="R775" s="36">
        <v>10000</v>
      </c>
      <c r="S775" s="37" t="s">
        <v>453</v>
      </c>
      <c r="T775" s="38">
        <v>44752</v>
      </c>
      <c r="U775" s="39"/>
      <c r="V775" s="39"/>
      <c r="W775" s="40">
        <v>0</v>
      </c>
      <c r="X775" s="40">
        <v>0</v>
      </c>
      <c r="Y775" s="40">
        <v>0</v>
      </c>
      <c r="Z775" s="40">
        <v>0</v>
      </c>
      <c r="AA775" s="40">
        <v>1861</v>
      </c>
      <c r="AB775" s="40">
        <v>0</v>
      </c>
      <c r="AC775" s="40">
        <v>0</v>
      </c>
      <c r="AD775" s="40">
        <v>0</v>
      </c>
      <c r="AE775" s="40">
        <v>0</v>
      </c>
      <c r="AF775" s="40">
        <v>0</v>
      </c>
      <c r="AG775" s="40">
        <v>319</v>
      </c>
      <c r="AH775" s="40">
        <v>0</v>
      </c>
      <c r="AI775" s="41">
        <f t="shared" si="77"/>
        <v>2180</v>
      </c>
      <c r="AJ775" s="42">
        <v>0</v>
      </c>
      <c r="AK775" s="42">
        <v>660</v>
      </c>
      <c r="AL775" s="42">
        <v>1861</v>
      </c>
      <c r="AM775" s="42">
        <v>869</v>
      </c>
      <c r="AN775" s="42">
        <v>0</v>
      </c>
      <c r="AO775" s="42">
        <v>0</v>
      </c>
      <c r="AP775" s="42">
        <v>0</v>
      </c>
      <c r="AQ775" s="42">
        <v>0</v>
      </c>
      <c r="AR775" s="42">
        <v>0</v>
      </c>
      <c r="AS775" s="42">
        <v>0</v>
      </c>
      <c r="AT775" s="42">
        <v>0</v>
      </c>
      <c r="AU775" s="42">
        <v>0</v>
      </c>
      <c r="AV775" s="42">
        <f t="shared" si="78"/>
        <v>3390</v>
      </c>
      <c r="AW775" s="42">
        <v>0</v>
      </c>
      <c r="AX775" s="42">
        <v>0</v>
      </c>
      <c r="AY775" s="42">
        <v>0</v>
      </c>
      <c r="AZ775" s="42">
        <v>0</v>
      </c>
      <c r="BA775" s="42">
        <v>0</v>
      </c>
      <c r="BB775" s="42">
        <v>0</v>
      </c>
      <c r="BC775" s="42">
        <v>0</v>
      </c>
      <c r="BD775" s="42">
        <v>0</v>
      </c>
      <c r="BE775" s="42">
        <v>0</v>
      </c>
      <c r="BF775" s="42">
        <v>0</v>
      </c>
      <c r="BG775" s="42">
        <v>0</v>
      </c>
      <c r="BH775" s="42">
        <v>0</v>
      </c>
      <c r="BI775" s="42">
        <v>0</v>
      </c>
      <c r="BJ775" s="42">
        <v>0</v>
      </c>
      <c r="BK775" s="42">
        <v>0</v>
      </c>
      <c r="BL775" s="42">
        <v>0</v>
      </c>
      <c r="BM775" s="42">
        <v>0</v>
      </c>
      <c r="BN775" s="42">
        <v>0</v>
      </c>
      <c r="BO775" s="42">
        <v>0</v>
      </c>
      <c r="BP775" s="42">
        <v>0</v>
      </c>
      <c r="BQ775" s="42">
        <v>0</v>
      </c>
      <c r="BR775" s="42">
        <v>0</v>
      </c>
      <c r="BS775" s="42">
        <v>0</v>
      </c>
      <c r="BT775" s="42">
        <v>0</v>
      </c>
      <c r="BU775" s="42">
        <v>0</v>
      </c>
      <c r="BV775" s="42">
        <v>0</v>
      </c>
      <c r="BW775" s="42">
        <v>0</v>
      </c>
      <c r="BX775" s="42">
        <v>0</v>
      </c>
      <c r="BY775" s="42">
        <v>0</v>
      </c>
      <c r="BZ775" s="42">
        <v>0</v>
      </c>
      <c r="CA775" s="42">
        <v>0</v>
      </c>
      <c r="CB775" s="42">
        <v>0</v>
      </c>
      <c r="CC775" s="42">
        <v>0</v>
      </c>
      <c r="CD775" s="42">
        <v>0</v>
      </c>
      <c r="CE775" s="42">
        <v>0</v>
      </c>
      <c r="CF775" s="42">
        <v>0</v>
      </c>
      <c r="CG775" s="42">
        <v>0</v>
      </c>
      <c r="CH775" s="42">
        <v>0</v>
      </c>
      <c r="CI775" s="42">
        <v>0</v>
      </c>
      <c r="CJ775" s="42">
        <v>0</v>
      </c>
      <c r="CK775" s="43">
        <f t="shared" si="75"/>
        <v>0</v>
      </c>
      <c r="CL775" s="66"/>
      <c r="CM775" s="66">
        <v>0</v>
      </c>
      <c r="CN775" s="66">
        <v>0</v>
      </c>
      <c r="CO775" s="66">
        <v>0</v>
      </c>
      <c r="CP775" s="66">
        <v>0</v>
      </c>
      <c r="CQ775" s="66">
        <v>0</v>
      </c>
      <c r="CR775" s="66">
        <v>0</v>
      </c>
      <c r="CS775" s="66">
        <v>0</v>
      </c>
      <c r="CT775" s="66">
        <v>0</v>
      </c>
      <c r="CU775" s="66">
        <v>0</v>
      </c>
      <c r="CV775" s="66">
        <v>0</v>
      </c>
      <c r="CW775" s="66">
        <v>0</v>
      </c>
      <c r="CX775" s="66">
        <v>0</v>
      </c>
      <c r="CY775" s="66">
        <v>0</v>
      </c>
      <c r="CZ775" s="66">
        <v>0</v>
      </c>
      <c r="DA775" s="66"/>
      <c r="DB775" s="66"/>
      <c r="DC775" s="66"/>
      <c r="DD775" s="66"/>
      <c r="DE775" s="66"/>
      <c r="DF775" s="66"/>
      <c r="DG775" s="66"/>
      <c r="DH775" s="66"/>
      <c r="DI775" s="66"/>
      <c r="DJ775" s="66"/>
      <c r="DK775" s="66">
        <f>SUM(Table1[[#This Row],[01-03 Apr]:[Mar-26]])</f>
        <v>0</v>
      </c>
    </row>
    <row r="776" spans="1:115" hidden="1" x14ac:dyDescent="0.2">
      <c r="A776" s="28" t="s">
        <v>2365</v>
      </c>
      <c r="B776" s="29" t="s">
        <v>454</v>
      </c>
      <c r="C776" s="29" t="s">
        <v>2287</v>
      </c>
      <c r="D776" s="30" t="s">
        <v>455</v>
      </c>
      <c r="E776" s="30" t="s">
        <v>217</v>
      </c>
      <c r="F776" s="30"/>
      <c r="G776" s="31" t="s">
        <v>452</v>
      </c>
      <c r="H776" s="30">
        <v>361583</v>
      </c>
      <c r="I776" s="30" t="str">
        <f>IF(Table1[[#This Row],[Centre Status]]="Returned","NA",IF(Table1[[#This Row],[SD]]&gt;19000,"Full Payment",IF(Table1[[#This Row],[SD]]&lt;1,"No Payment","Partial Payment")))</f>
        <v>NA</v>
      </c>
      <c r="J776" s="30" t="s">
        <v>1903</v>
      </c>
      <c r="K776" s="32">
        <v>110000</v>
      </c>
      <c r="L776" s="33">
        <f>Q776+R776+U776+Table1[[#This Row],[Farmer Payment]]</f>
        <v>33327</v>
      </c>
      <c r="M776" s="30">
        <v>31000</v>
      </c>
      <c r="N776" s="34">
        <v>45755</v>
      </c>
      <c r="O776" s="34" t="s">
        <v>2696</v>
      </c>
      <c r="P776" s="35">
        <f t="shared" si="76"/>
        <v>107673</v>
      </c>
      <c r="Q776" s="33">
        <f>AI776+AV776+CK776+Table1[[#This Row],[FY 25-26]]</f>
        <v>13327</v>
      </c>
      <c r="R776" s="36">
        <v>20000</v>
      </c>
      <c r="S776" s="37" t="s">
        <v>456</v>
      </c>
      <c r="T776" s="38">
        <v>44761</v>
      </c>
      <c r="U776" s="39"/>
      <c r="V776" s="39"/>
      <c r="W776" s="40">
        <v>0</v>
      </c>
      <c r="X776" s="40">
        <v>0</v>
      </c>
      <c r="Y776" s="40">
        <v>0</v>
      </c>
      <c r="Z776" s="40">
        <v>0</v>
      </c>
      <c r="AA776" s="40">
        <v>0</v>
      </c>
      <c r="AB776" s="40">
        <v>0</v>
      </c>
      <c r="AC776" s="40">
        <v>0</v>
      </c>
      <c r="AD776" s="40">
        <v>0</v>
      </c>
      <c r="AE776" s="40">
        <v>300</v>
      </c>
      <c r="AF776" s="40">
        <v>1861</v>
      </c>
      <c r="AG776" s="40">
        <v>1861</v>
      </c>
      <c r="AH776" s="40">
        <v>1861</v>
      </c>
      <c r="AI776" s="41">
        <f t="shared" si="77"/>
        <v>5883</v>
      </c>
      <c r="AJ776" s="42">
        <v>1861</v>
      </c>
      <c r="AK776" s="42">
        <v>1861</v>
      </c>
      <c r="AL776" s="42">
        <v>1861</v>
      </c>
      <c r="AM776" s="42">
        <v>1861</v>
      </c>
      <c r="AN776" s="42">
        <v>0</v>
      </c>
      <c r="AO776" s="42">
        <v>0</v>
      </c>
      <c r="AP776" s="42">
        <v>0</v>
      </c>
      <c r="AQ776" s="42">
        <v>0</v>
      </c>
      <c r="AR776" s="42">
        <v>0</v>
      </c>
      <c r="AS776" s="42">
        <v>0</v>
      </c>
      <c r="AT776" s="42">
        <v>0</v>
      </c>
      <c r="AU776" s="42">
        <v>0</v>
      </c>
      <c r="AV776" s="42">
        <f t="shared" si="78"/>
        <v>7444</v>
      </c>
      <c r="AW776" s="42">
        <v>0</v>
      </c>
      <c r="AX776" s="42">
        <v>0</v>
      </c>
      <c r="AY776" s="42">
        <v>0</v>
      </c>
      <c r="AZ776" s="42">
        <v>0</v>
      </c>
      <c r="BA776" s="42">
        <v>0</v>
      </c>
      <c r="BB776" s="42">
        <v>0</v>
      </c>
      <c r="BC776" s="42">
        <v>0</v>
      </c>
      <c r="BD776" s="42">
        <v>0</v>
      </c>
      <c r="BE776" s="42">
        <v>0</v>
      </c>
      <c r="BF776" s="42">
        <v>0</v>
      </c>
      <c r="BG776" s="42">
        <v>0</v>
      </c>
      <c r="BH776" s="42">
        <v>0</v>
      </c>
      <c r="BI776" s="42">
        <v>0</v>
      </c>
      <c r="BJ776" s="42">
        <v>0</v>
      </c>
      <c r="BK776" s="42">
        <v>0</v>
      </c>
      <c r="BL776" s="42">
        <v>0</v>
      </c>
      <c r="BM776" s="42">
        <v>0</v>
      </c>
      <c r="BN776" s="42">
        <v>0</v>
      </c>
      <c r="BO776" s="42">
        <v>0</v>
      </c>
      <c r="BP776" s="42">
        <v>0</v>
      </c>
      <c r="BQ776" s="42">
        <v>0</v>
      </c>
      <c r="BR776" s="42">
        <v>0</v>
      </c>
      <c r="BS776" s="42">
        <v>0</v>
      </c>
      <c r="BT776" s="42">
        <v>0</v>
      </c>
      <c r="BU776" s="42">
        <v>0</v>
      </c>
      <c r="BV776" s="42">
        <v>0</v>
      </c>
      <c r="BW776" s="42">
        <v>0</v>
      </c>
      <c r="BX776" s="42">
        <v>0</v>
      </c>
      <c r="BY776" s="42">
        <v>0</v>
      </c>
      <c r="BZ776" s="42">
        <v>0</v>
      </c>
      <c r="CA776" s="42">
        <v>0</v>
      </c>
      <c r="CB776" s="42">
        <v>0</v>
      </c>
      <c r="CC776" s="42">
        <v>0</v>
      </c>
      <c r="CD776" s="42">
        <v>0</v>
      </c>
      <c r="CE776" s="42">
        <v>0</v>
      </c>
      <c r="CF776" s="42">
        <v>0</v>
      </c>
      <c r="CG776" s="42">
        <v>0</v>
      </c>
      <c r="CH776" s="42">
        <v>0</v>
      </c>
      <c r="CI776" s="42">
        <v>0</v>
      </c>
      <c r="CJ776" s="42">
        <v>0</v>
      </c>
      <c r="CK776" s="43">
        <f t="shared" si="75"/>
        <v>0</v>
      </c>
      <c r="CL776" s="66"/>
      <c r="CM776" s="66">
        <v>0</v>
      </c>
      <c r="CN776" s="66">
        <v>0</v>
      </c>
      <c r="CO776" s="66">
        <v>0</v>
      </c>
      <c r="CP776" s="66">
        <v>0</v>
      </c>
      <c r="CQ776" s="66">
        <v>0</v>
      </c>
      <c r="CR776" s="66">
        <v>0</v>
      </c>
      <c r="CS776" s="66">
        <v>0</v>
      </c>
      <c r="CT776" s="66">
        <v>0</v>
      </c>
      <c r="CU776" s="66">
        <v>0</v>
      </c>
      <c r="CV776" s="66">
        <v>0</v>
      </c>
      <c r="CW776" s="66">
        <v>0</v>
      </c>
      <c r="CX776" s="66">
        <v>0</v>
      </c>
      <c r="CY776" s="66">
        <v>0</v>
      </c>
      <c r="CZ776" s="66">
        <v>0</v>
      </c>
      <c r="DA776" s="66"/>
      <c r="DB776" s="66"/>
      <c r="DC776" s="66"/>
      <c r="DD776" s="66"/>
      <c r="DE776" s="66"/>
      <c r="DF776" s="66"/>
      <c r="DG776" s="66"/>
      <c r="DH776" s="66"/>
      <c r="DI776" s="66"/>
      <c r="DJ776" s="66"/>
      <c r="DK776" s="66">
        <f>SUM(Table1[[#This Row],[01-03 Apr]:[Mar-26]])</f>
        <v>0</v>
      </c>
    </row>
    <row r="777" spans="1:115" hidden="1" x14ac:dyDescent="0.2">
      <c r="A777" s="28" t="s">
        <v>2254</v>
      </c>
      <c r="B777" s="29" t="s">
        <v>532</v>
      </c>
      <c r="C777" s="29" t="s">
        <v>2258</v>
      </c>
      <c r="D777" s="30" t="s">
        <v>533</v>
      </c>
      <c r="E777" s="30" t="s">
        <v>943</v>
      </c>
      <c r="F777" s="30"/>
      <c r="G777" s="31" t="s">
        <v>371</v>
      </c>
      <c r="H777" s="30">
        <v>379674</v>
      </c>
      <c r="I777" s="30" t="str">
        <f>IF(Table1[[#This Row],[Centre Status]]="Returned","NA",IF(Table1[[#This Row],[SD]]&gt;19000,"Full Payment",IF(Table1[[#This Row],[SD]]&lt;1,"No Payment","Partial Payment")))</f>
        <v>NA</v>
      </c>
      <c r="J777" s="30" t="s">
        <v>1903</v>
      </c>
      <c r="K777" s="32">
        <v>110000</v>
      </c>
      <c r="L777" s="33">
        <f>Q777+R777+U777+Table1[[#This Row],[Farmer Payment]]</f>
        <v>31437</v>
      </c>
      <c r="M777" s="30">
        <v>20000</v>
      </c>
      <c r="N777" s="34">
        <v>45414</v>
      </c>
      <c r="O777" s="34" t="s">
        <v>2428</v>
      </c>
      <c r="P777" s="35">
        <f t="shared" si="76"/>
        <v>98563</v>
      </c>
      <c r="Q777" s="33">
        <f>AI777+AV777+CK777+Table1[[#This Row],[FY 25-26]]</f>
        <v>11717</v>
      </c>
      <c r="R777" s="36">
        <v>19720</v>
      </c>
      <c r="S777" s="37" t="s">
        <v>534</v>
      </c>
      <c r="T777" s="38">
        <v>44844</v>
      </c>
      <c r="U777" s="39"/>
      <c r="V777" s="39"/>
      <c r="W777" s="40">
        <v>0</v>
      </c>
      <c r="X777" s="40">
        <v>0</v>
      </c>
      <c r="Y777" s="40">
        <v>0</v>
      </c>
      <c r="Z777" s="40">
        <v>0</v>
      </c>
      <c r="AA777" s="40">
        <v>0</v>
      </c>
      <c r="AB777" s="40">
        <v>0</v>
      </c>
      <c r="AC777" s="40">
        <v>0</v>
      </c>
      <c r="AD777" s="40">
        <v>0</v>
      </c>
      <c r="AE777" s="40">
        <v>0</v>
      </c>
      <c r="AF777" s="40">
        <v>0</v>
      </c>
      <c r="AG777" s="40">
        <v>1337</v>
      </c>
      <c r="AH777" s="40">
        <v>1861</v>
      </c>
      <c r="AI777" s="41">
        <f t="shared" si="77"/>
        <v>3198</v>
      </c>
      <c r="AJ777" s="42">
        <v>1861</v>
      </c>
      <c r="AK777" s="42">
        <v>2000</v>
      </c>
      <c r="AL777" s="42">
        <v>1861</v>
      </c>
      <c r="AM777" s="42">
        <v>1861</v>
      </c>
      <c r="AN777" s="42">
        <v>771</v>
      </c>
      <c r="AO777" s="42">
        <v>165</v>
      </c>
      <c r="AP777" s="42">
        <v>0</v>
      </c>
      <c r="AQ777" s="42">
        <v>0</v>
      </c>
      <c r="AR777" s="42">
        <v>0</v>
      </c>
      <c r="AS777" s="42">
        <v>0</v>
      </c>
      <c r="AT777" s="42">
        <v>0</v>
      </c>
      <c r="AU777" s="42">
        <v>0</v>
      </c>
      <c r="AV777" s="42">
        <f t="shared" si="78"/>
        <v>8519</v>
      </c>
      <c r="AW777" s="42">
        <v>0</v>
      </c>
      <c r="AX777" s="42">
        <v>0</v>
      </c>
      <c r="AY777" s="42">
        <v>0</v>
      </c>
      <c r="AZ777" s="42">
        <v>0</v>
      </c>
      <c r="BA777" s="42">
        <v>0</v>
      </c>
      <c r="BB777" s="42">
        <v>0</v>
      </c>
      <c r="BC777" s="42">
        <v>0</v>
      </c>
      <c r="BD777" s="42">
        <v>0</v>
      </c>
      <c r="BE777" s="42">
        <v>0</v>
      </c>
      <c r="BF777" s="42">
        <v>0</v>
      </c>
      <c r="BG777" s="42">
        <v>0</v>
      </c>
      <c r="BH777" s="42">
        <v>0</v>
      </c>
      <c r="BI777" s="42">
        <v>0</v>
      </c>
      <c r="BJ777" s="42">
        <v>0</v>
      </c>
      <c r="BK777" s="42">
        <v>0</v>
      </c>
      <c r="BL777" s="42">
        <v>0</v>
      </c>
      <c r="BM777" s="42">
        <v>0</v>
      </c>
      <c r="BN777" s="42">
        <v>0</v>
      </c>
      <c r="BO777" s="42">
        <v>0</v>
      </c>
      <c r="BP777" s="42">
        <v>0</v>
      </c>
      <c r="BQ777" s="42">
        <v>0</v>
      </c>
      <c r="BR777" s="42">
        <v>0</v>
      </c>
      <c r="BS777" s="42">
        <v>0</v>
      </c>
      <c r="BT777" s="42">
        <v>0</v>
      </c>
      <c r="BU777" s="42">
        <v>0</v>
      </c>
      <c r="BV777" s="42">
        <v>0</v>
      </c>
      <c r="BW777" s="42">
        <v>0</v>
      </c>
      <c r="BX777" s="42">
        <v>0</v>
      </c>
      <c r="BY777" s="42">
        <v>0</v>
      </c>
      <c r="BZ777" s="42">
        <v>0</v>
      </c>
      <c r="CA777" s="42">
        <v>0</v>
      </c>
      <c r="CB777" s="42">
        <v>0</v>
      </c>
      <c r="CC777" s="42">
        <v>0</v>
      </c>
      <c r="CD777" s="42">
        <v>0</v>
      </c>
      <c r="CE777" s="42">
        <v>0</v>
      </c>
      <c r="CF777" s="42">
        <v>0</v>
      </c>
      <c r="CG777" s="42">
        <v>0</v>
      </c>
      <c r="CH777" s="42">
        <v>0</v>
      </c>
      <c r="CI777" s="42">
        <v>0</v>
      </c>
      <c r="CJ777" s="42">
        <v>0</v>
      </c>
      <c r="CK777" s="43">
        <f t="shared" si="75"/>
        <v>0</v>
      </c>
      <c r="CL777" s="66"/>
      <c r="CM777" s="66">
        <v>0</v>
      </c>
      <c r="CN777" s="66">
        <v>0</v>
      </c>
      <c r="CO777" s="66">
        <v>0</v>
      </c>
      <c r="CP777" s="66">
        <v>0</v>
      </c>
      <c r="CQ777" s="66">
        <v>0</v>
      </c>
      <c r="CR777" s="66">
        <v>0</v>
      </c>
      <c r="CS777" s="66">
        <v>0</v>
      </c>
      <c r="CT777" s="66">
        <v>0</v>
      </c>
      <c r="CU777" s="66">
        <v>0</v>
      </c>
      <c r="CV777" s="66">
        <v>0</v>
      </c>
      <c r="CW777" s="66">
        <v>0</v>
      </c>
      <c r="CX777" s="66">
        <v>0</v>
      </c>
      <c r="CY777" s="66">
        <v>0</v>
      </c>
      <c r="CZ777" s="66">
        <v>0</v>
      </c>
      <c r="DA777" s="66"/>
      <c r="DB777" s="66"/>
      <c r="DC777" s="66"/>
      <c r="DD777" s="66"/>
      <c r="DE777" s="66"/>
      <c r="DF777" s="66"/>
      <c r="DG777" s="66"/>
      <c r="DH777" s="66"/>
      <c r="DI777" s="66"/>
      <c r="DJ777" s="66"/>
      <c r="DK777" s="66">
        <f>SUM(Table1[[#This Row],[01-03 Apr]:[Mar-26]])</f>
        <v>0</v>
      </c>
    </row>
    <row r="778" spans="1:115" hidden="1" x14ac:dyDescent="0.2">
      <c r="A778" s="28" t="s">
        <v>2364</v>
      </c>
      <c r="B778" s="29" t="s">
        <v>623</v>
      </c>
      <c r="C778" s="29" t="s">
        <v>2286</v>
      </c>
      <c r="D778" s="30" t="s">
        <v>624</v>
      </c>
      <c r="E778" s="30" t="s">
        <v>217</v>
      </c>
      <c r="F778" s="30"/>
      <c r="G778" s="31" t="s">
        <v>371</v>
      </c>
      <c r="H778" s="30">
        <v>383999</v>
      </c>
      <c r="I778" s="30" t="str">
        <f>IF(Table1[[#This Row],[Centre Status]]="Returned","NA",IF(Table1[[#This Row],[SD]]&gt;19000,"Full Payment",IF(Table1[[#This Row],[SD]]&lt;1,"No Payment","Partial Payment")))</f>
        <v>NA</v>
      </c>
      <c r="J778" s="30" t="s">
        <v>1903</v>
      </c>
      <c r="K778" s="32">
        <v>110000</v>
      </c>
      <c r="L778" s="33">
        <f>Q778+R778+U778+Table1[[#This Row],[Farmer Payment]]</f>
        <v>34878</v>
      </c>
      <c r="M778" s="30">
        <v>25678</v>
      </c>
      <c r="N778" s="34">
        <v>45419</v>
      </c>
      <c r="O778" s="34" t="s">
        <v>2433</v>
      </c>
      <c r="P778" s="35">
        <f t="shared" si="76"/>
        <v>100800</v>
      </c>
      <c r="Q778" s="33">
        <f>AI778+AV778+CK778+Table1[[#This Row],[FY 25-26]]</f>
        <v>15163</v>
      </c>
      <c r="R778" s="36">
        <v>19715</v>
      </c>
      <c r="S778" s="37" t="s">
        <v>622</v>
      </c>
      <c r="T778" s="38">
        <v>44895</v>
      </c>
      <c r="U778" s="39"/>
      <c r="V778" s="39"/>
      <c r="W778" s="40">
        <v>0</v>
      </c>
      <c r="X778" s="40">
        <v>0</v>
      </c>
      <c r="Y778" s="40">
        <v>0</v>
      </c>
      <c r="Z778" s="40">
        <v>0</v>
      </c>
      <c r="AA778" s="40">
        <v>0</v>
      </c>
      <c r="AB778" s="40">
        <v>0</v>
      </c>
      <c r="AC778" s="40">
        <v>0</v>
      </c>
      <c r="AD778" s="40">
        <v>0</v>
      </c>
      <c r="AE778" s="40">
        <v>0</v>
      </c>
      <c r="AF778" s="40">
        <v>1053</v>
      </c>
      <c r="AG778" s="40">
        <v>1861</v>
      </c>
      <c r="AH778" s="40">
        <v>1861</v>
      </c>
      <c r="AI778" s="41">
        <f t="shared" si="77"/>
        <v>4775</v>
      </c>
      <c r="AJ778" s="42">
        <v>1861</v>
      </c>
      <c r="AK778" s="42">
        <v>1861</v>
      </c>
      <c r="AL778" s="42">
        <v>1083</v>
      </c>
      <c r="AM778" s="42">
        <v>1861</v>
      </c>
      <c r="AN778" s="42">
        <v>1861</v>
      </c>
      <c r="AO778" s="42">
        <v>1861</v>
      </c>
      <c r="AP778" s="42">
        <v>0</v>
      </c>
      <c r="AQ778" s="42">
        <v>0</v>
      </c>
      <c r="AR778" s="42">
        <v>0</v>
      </c>
      <c r="AS778" s="42">
        <v>0</v>
      </c>
      <c r="AT778" s="42">
        <v>0</v>
      </c>
      <c r="AU778" s="42">
        <v>0</v>
      </c>
      <c r="AV778" s="42">
        <f t="shared" si="78"/>
        <v>10388</v>
      </c>
      <c r="AW778" s="42">
        <v>0</v>
      </c>
      <c r="AX778" s="42">
        <v>0</v>
      </c>
      <c r="AY778" s="42">
        <v>0</v>
      </c>
      <c r="AZ778" s="42">
        <v>0</v>
      </c>
      <c r="BA778" s="42">
        <v>0</v>
      </c>
      <c r="BB778" s="42">
        <v>0</v>
      </c>
      <c r="BC778" s="42">
        <v>0</v>
      </c>
      <c r="BD778" s="42">
        <v>0</v>
      </c>
      <c r="BE778" s="42">
        <v>0</v>
      </c>
      <c r="BF778" s="42">
        <v>0</v>
      </c>
      <c r="BG778" s="42">
        <v>0</v>
      </c>
      <c r="BH778" s="42">
        <v>0</v>
      </c>
      <c r="BI778" s="42">
        <v>0</v>
      </c>
      <c r="BJ778" s="42">
        <v>0</v>
      </c>
      <c r="BK778" s="42">
        <v>0</v>
      </c>
      <c r="BL778" s="42">
        <v>0</v>
      </c>
      <c r="BM778" s="42">
        <v>0</v>
      </c>
      <c r="BN778" s="42">
        <v>0</v>
      </c>
      <c r="BO778" s="42">
        <v>0</v>
      </c>
      <c r="BP778" s="42">
        <v>0</v>
      </c>
      <c r="BQ778" s="42">
        <v>0</v>
      </c>
      <c r="BR778" s="42">
        <v>0</v>
      </c>
      <c r="BS778" s="42">
        <v>0</v>
      </c>
      <c r="BT778" s="42">
        <v>0</v>
      </c>
      <c r="BU778" s="42">
        <v>0</v>
      </c>
      <c r="BV778" s="42">
        <v>0</v>
      </c>
      <c r="BW778" s="42">
        <v>0</v>
      </c>
      <c r="BX778" s="42">
        <v>0</v>
      </c>
      <c r="BY778" s="42">
        <v>0</v>
      </c>
      <c r="BZ778" s="42">
        <v>0</v>
      </c>
      <c r="CA778" s="42">
        <v>0</v>
      </c>
      <c r="CB778" s="42">
        <v>0</v>
      </c>
      <c r="CC778" s="42">
        <v>0</v>
      </c>
      <c r="CD778" s="42">
        <v>0</v>
      </c>
      <c r="CE778" s="42">
        <v>0</v>
      </c>
      <c r="CF778" s="42">
        <v>0</v>
      </c>
      <c r="CG778" s="42">
        <v>0</v>
      </c>
      <c r="CH778" s="42">
        <v>0</v>
      </c>
      <c r="CI778" s="42">
        <v>0</v>
      </c>
      <c r="CJ778" s="42">
        <v>0</v>
      </c>
      <c r="CK778" s="43">
        <f t="shared" si="75"/>
        <v>0</v>
      </c>
      <c r="CL778" s="66"/>
      <c r="CM778" s="66">
        <v>0</v>
      </c>
      <c r="CN778" s="66">
        <v>0</v>
      </c>
      <c r="CO778" s="66">
        <v>0</v>
      </c>
      <c r="CP778" s="66">
        <v>0</v>
      </c>
      <c r="CQ778" s="66">
        <v>0</v>
      </c>
      <c r="CR778" s="66">
        <v>0</v>
      </c>
      <c r="CS778" s="66">
        <v>0</v>
      </c>
      <c r="CT778" s="66">
        <v>0</v>
      </c>
      <c r="CU778" s="66">
        <v>0</v>
      </c>
      <c r="CV778" s="66">
        <v>0</v>
      </c>
      <c r="CW778" s="66">
        <v>0</v>
      </c>
      <c r="CX778" s="66">
        <v>0</v>
      </c>
      <c r="CY778" s="66">
        <v>0</v>
      </c>
      <c r="CZ778" s="66">
        <v>0</v>
      </c>
      <c r="DA778" s="66"/>
      <c r="DB778" s="66"/>
      <c r="DC778" s="66"/>
      <c r="DD778" s="66"/>
      <c r="DE778" s="66"/>
      <c r="DF778" s="66"/>
      <c r="DG778" s="66"/>
      <c r="DH778" s="66"/>
      <c r="DI778" s="66"/>
      <c r="DJ778" s="66"/>
      <c r="DK778" s="66">
        <f>SUM(Table1[[#This Row],[01-03 Apr]:[Mar-26]])</f>
        <v>0</v>
      </c>
    </row>
    <row r="779" spans="1:115" hidden="1" x14ac:dyDescent="0.2">
      <c r="A779" s="28" t="s">
        <v>2365</v>
      </c>
      <c r="B779" s="29" t="s">
        <v>665</v>
      </c>
      <c r="C779" s="29" t="s">
        <v>2285</v>
      </c>
      <c r="D779" s="30" t="s">
        <v>666</v>
      </c>
      <c r="E779" s="30" t="s">
        <v>217</v>
      </c>
      <c r="F779" s="30"/>
      <c r="G779" s="31" t="s">
        <v>654</v>
      </c>
      <c r="H779" s="30">
        <v>364731</v>
      </c>
      <c r="I779" s="30" t="str">
        <f>IF(Table1[[#This Row],[Centre Status]]="Returned","NA",IF(Table1[[#This Row],[SD]]&gt;19000,"Full Payment",IF(Table1[[#This Row],[SD]]&lt;1,"No Payment","Partial Payment")))</f>
        <v>NA</v>
      </c>
      <c r="J779" s="30" t="s">
        <v>1903</v>
      </c>
      <c r="K779" s="32">
        <v>110000</v>
      </c>
      <c r="L779" s="33">
        <f>Q779+R779+U779+Table1[[#This Row],[Farmer Payment]]</f>
        <v>34039.688999999998</v>
      </c>
      <c r="M779" s="30">
        <f>19715-19715</f>
        <v>0</v>
      </c>
      <c r="N779" s="34">
        <v>45486</v>
      </c>
      <c r="O779" s="34" t="s">
        <v>2466</v>
      </c>
      <c r="P779" s="35">
        <f t="shared" si="76"/>
        <v>75960.311000000002</v>
      </c>
      <c r="Q779" s="33">
        <f>AI779+AV779+CK779+Table1[[#This Row],[FY 25-26]]</f>
        <v>14324.689000000002</v>
      </c>
      <c r="R779" s="36">
        <v>19715</v>
      </c>
      <c r="S779" s="37" t="s">
        <v>664</v>
      </c>
      <c r="T779" s="38">
        <v>44937</v>
      </c>
      <c r="U779" s="39"/>
      <c r="V779" s="39"/>
      <c r="W779" s="40">
        <v>0</v>
      </c>
      <c r="X779" s="40">
        <v>0</v>
      </c>
      <c r="Y779" s="40">
        <v>0</v>
      </c>
      <c r="Z779" s="40">
        <v>0</v>
      </c>
      <c r="AA779" s="40">
        <v>0</v>
      </c>
      <c r="AB779" s="40">
        <v>0</v>
      </c>
      <c r="AC779" s="40">
        <v>0</v>
      </c>
      <c r="AD779" s="40">
        <v>0</v>
      </c>
      <c r="AE779" s="40">
        <v>0</v>
      </c>
      <c r="AF779" s="40">
        <v>0</v>
      </c>
      <c r="AG779" s="40">
        <v>1861</v>
      </c>
      <c r="AH779" s="40">
        <v>2407.5796</v>
      </c>
      <c r="AI779" s="41">
        <f t="shared" si="77"/>
        <v>4268.5796</v>
      </c>
      <c r="AJ779" s="42">
        <v>2297.3492000000001</v>
      </c>
      <c r="AK779" s="42">
        <v>3501.8246000000004</v>
      </c>
      <c r="AL779" s="42">
        <v>1884.9356</v>
      </c>
      <c r="AM779" s="42">
        <v>1518</v>
      </c>
      <c r="AN779" s="42">
        <v>377</v>
      </c>
      <c r="AO779" s="42">
        <v>0</v>
      </c>
      <c r="AP779" s="42">
        <v>0</v>
      </c>
      <c r="AQ779" s="42">
        <v>477</v>
      </c>
      <c r="AR779" s="42">
        <v>0</v>
      </c>
      <c r="AS779" s="42">
        <v>0</v>
      </c>
      <c r="AT779" s="42">
        <v>0</v>
      </c>
      <c r="AU779" s="42">
        <v>0</v>
      </c>
      <c r="AV779" s="42">
        <f t="shared" si="78"/>
        <v>10056.109400000001</v>
      </c>
      <c r="AW779" s="42">
        <v>0</v>
      </c>
      <c r="AX779" s="42">
        <v>0</v>
      </c>
      <c r="AY779" s="42">
        <v>0</v>
      </c>
      <c r="AZ779" s="42">
        <v>0</v>
      </c>
      <c r="BA779" s="42">
        <v>0</v>
      </c>
      <c r="BB779" s="42">
        <v>0</v>
      </c>
      <c r="BC779" s="42">
        <v>0</v>
      </c>
      <c r="BD779" s="42">
        <v>0</v>
      </c>
      <c r="BE779" s="42">
        <v>0</v>
      </c>
      <c r="BF779" s="42">
        <v>0</v>
      </c>
      <c r="BG779" s="42">
        <v>0</v>
      </c>
      <c r="BH779" s="42">
        <v>0</v>
      </c>
      <c r="BI779" s="42">
        <v>0</v>
      </c>
      <c r="BJ779" s="42">
        <v>0</v>
      </c>
      <c r="BK779" s="42">
        <v>0</v>
      </c>
      <c r="BL779" s="42">
        <v>0</v>
      </c>
      <c r="BM779" s="42">
        <v>0</v>
      </c>
      <c r="BN779" s="42">
        <v>0</v>
      </c>
      <c r="BO779" s="42">
        <v>0</v>
      </c>
      <c r="BP779" s="42">
        <v>0</v>
      </c>
      <c r="BQ779" s="42">
        <v>0</v>
      </c>
      <c r="BR779" s="42">
        <v>0</v>
      </c>
      <c r="BS779" s="42">
        <v>0</v>
      </c>
      <c r="BT779" s="42">
        <v>0</v>
      </c>
      <c r="BU779" s="42">
        <v>0</v>
      </c>
      <c r="BV779" s="42">
        <v>0</v>
      </c>
      <c r="BW779" s="42">
        <v>0</v>
      </c>
      <c r="BX779" s="42">
        <v>0</v>
      </c>
      <c r="BY779" s="42">
        <v>0</v>
      </c>
      <c r="BZ779" s="42">
        <v>0</v>
      </c>
      <c r="CA779" s="42">
        <v>0</v>
      </c>
      <c r="CB779" s="42">
        <v>0</v>
      </c>
      <c r="CC779" s="42">
        <v>0</v>
      </c>
      <c r="CD779" s="42">
        <v>0</v>
      </c>
      <c r="CE779" s="42">
        <v>0</v>
      </c>
      <c r="CF779" s="42">
        <v>0</v>
      </c>
      <c r="CG779" s="42">
        <v>0</v>
      </c>
      <c r="CH779" s="42">
        <v>0</v>
      </c>
      <c r="CI779" s="42">
        <v>0</v>
      </c>
      <c r="CJ779" s="42">
        <v>0</v>
      </c>
      <c r="CK779" s="43">
        <f t="shared" si="75"/>
        <v>0</v>
      </c>
      <c r="CL779" s="66"/>
      <c r="CM779" s="66">
        <v>0</v>
      </c>
      <c r="CN779" s="66">
        <v>0</v>
      </c>
      <c r="CO779" s="66">
        <v>0</v>
      </c>
      <c r="CP779" s="66">
        <v>0</v>
      </c>
      <c r="CQ779" s="66">
        <v>0</v>
      </c>
      <c r="CR779" s="66">
        <v>0</v>
      </c>
      <c r="CS779" s="66">
        <v>0</v>
      </c>
      <c r="CT779" s="66">
        <v>0</v>
      </c>
      <c r="CU779" s="66">
        <v>0</v>
      </c>
      <c r="CV779" s="66">
        <v>0</v>
      </c>
      <c r="CW779" s="66">
        <v>0</v>
      </c>
      <c r="CX779" s="66">
        <v>0</v>
      </c>
      <c r="CY779" s="66">
        <v>0</v>
      </c>
      <c r="CZ779" s="66">
        <v>0</v>
      </c>
      <c r="DA779" s="66"/>
      <c r="DB779" s="66"/>
      <c r="DC779" s="66"/>
      <c r="DD779" s="66"/>
      <c r="DE779" s="66"/>
      <c r="DF779" s="66"/>
      <c r="DG779" s="66"/>
      <c r="DH779" s="66"/>
      <c r="DI779" s="66"/>
      <c r="DJ779" s="66"/>
      <c r="DK779" s="66">
        <f>SUM(Table1[[#This Row],[01-03 Apr]:[Mar-26]])</f>
        <v>0</v>
      </c>
    </row>
    <row r="780" spans="1:115" hidden="1" x14ac:dyDescent="0.2">
      <c r="A780" s="28" t="s">
        <v>2365</v>
      </c>
      <c r="B780" s="29" t="s">
        <v>672</v>
      </c>
      <c r="C780" s="29" t="s">
        <v>2284</v>
      </c>
      <c r="D780" s="30" t="s">
        <v>673</v>
      </c>
      <c r="E780" s="30" t="s">
        <v>203</v>
      </c>
      <c r="F780" s="30"/>
      <c r="G780" s="31">
        <v>44988</v>
      </c>
      <c r="H780" s="30"/>
      <c r="I780" s="30" t="str">
        <f>IF(Table1[[#This Row],[Centre Status]]="Returned","NA",IF(Table1[[#This Row],[SD]]&gt;19000,"Full Payment",IF(Table1[[#This Row],[SD]]&lt;1,"No Payment","Partial Payment")))</f>
        <v>NA</v>
      </c>
      <c r="J780" s="30" t="s">
        <v>1903</v>
      </c>
      <c r="K780" s="32">
        <v>110000</v>
      </c>
      <c r="L780" s="33">
        <f>Q780+R780+U780+Table1[[#This Row],[Farmer Payment]]</f>
        <v>14904</v>
      </c>
      <c r="M780" s="30">
        <v>5000</v>
      </c>
      <c r="N780" s="34">
        <v>45426</v>
      </c>
      <c r="O780" s="34" t="s">
        <v>2441</v>
      </c>
      <c r="P780" s="35">
        <f t="shared" si="76"/>
        <v>100096</v>
      </c>
      <c r="Q780" s="33">
        <f>AI780+AV780+CK780+Table1[[#This Row],[FY 25-26]]</f>
        <v>9904</v>
      </c>
      <c r="R780" s="36">
        <v>5000</v>
      </c>
      <c r="S780" s="37" t="s">
        <v>674</v>
      </c>
      <c r="T780" s="38">
        <v>44978</v>
      </c>
      <c r="U780" s="39"/>
      <c r="V780" s="39"/>
      <c r="W780" s="40">
        <v>0</v>
      </c>
      <c r="X780" s="40">
        <v>0</v>
      </c>
      <c r="Y780" s="40">
        <v>0</v>
      </c>
      <c r="Z780" s="40">
        <v>0</v>
      </c>
      <c r="AA780" s="40">
        <v>0</v>
      </c>
      <c r="AB780" s="40">
        <v>0</v>
      </c>
      <c r="AC780" s="40">
        <v>0</v>
      </c>
      <c r="AD780" s="40">
        <v>0</v>
      </c>
      <c r="AE780" s="40">
        <v>0</v>
      </c>
      <c r="AF780" s="40">
        <v>0</v>
      </c>
      <c r="AG780" s="40">
        <v>0</v>
      </c>
      <c r="AH780" s="40">
        <v>1243</v>
      </c>
      <c r="AI780" s="41">
        <f t="shared" si="77"/>
        <v>1243</v>
      </c>
      <c r="AJ780" s="42">
        <v>1861</v>
      </c>
      <c r="AK780" s="42">
        <v>1861</v>
      </c>
      <c r="AL780" s="42">
        <v>57</v>
      </c>
      <c r="AM780" s="42">
        <v>263</v>
      </c>
      <c r="AN780" s="42">
        <v>0</v>
      </c>
      <c r="AO780" s="42">
        <v>1585</v>
      </c>
      <c r="AP780" s="42">
        <v>1240</v>
      </c>
      <c r="AQ780" s="42">
        <v>865</v>
      </c>
      <c r="AR780" s="42">
        <v>929</v>
      </c>
      <c r="AS780" s="42">
        <v>0</v>
      </c>
      <c r="AT780" s="42">
        <v>0</v>
      </c>
      <c r="AU780" s="42">
        <v>0</v>
      </c>
      <c r="AV780" s="42">
        <f t="shared" si="78"/>
        <v>8661</v>
      </c>
      <c r="AW780" s="42">
        <v>0</v>
      </c>
      <c r="AX780" s="42">
        <v>0</v>
      </c>
      <c r="AY780" s="42">
        <v>0</v>
      </c>
      <c r="AZ780" s="42">
        <v>0</v>
      </c>
      <c r="BA780" s="42">
        <v>0</v>
      </c>
      <c r="BB780" s="42">
        <v>0</v>
      </c>
      <c r="BC780" s="42">
        <v>0</v>
      </c>
      <c r="BD780" s="42">
        <v>0</v>
      </c>
      <c r="BE780" s="42">
        <v>0</v>
      </c>
      <c r="BF780" s="42">
        <v>0</v>
      </c>
      <c r="BG780" s="42">
        <v>0</v>
      </c>
      <c r="BH780" s="42">
        <v>0</v>
      </c>
      <c r="BI780" s="42">
        <v>0</v>
      </c>
      <c r="BJ780" s="42">
        <v>0</v>
      </c>
      <c r="BK780" s="42">
        <v>0</v>
      </c>
      <c r="BL780" s="42">
        <v>0</v>
      </c>
      <c r="BM780" s="42">
        <v>0</v>
      </c>
      <c r="BN780" s="42">
        <v>0</v>
      </c>
      <c r="BO780" s="42">
        <v>0</v>
      </c>
      <c r="BP780" s="42">
        <v>0</v>
      </c>
      <c r="BQ780" s="42">
        <v>0</v>
      </c>
      <c r="BR780" s="42">
        <v>0</v>
      </c>
      <c r="BS780" s="42">
        <v>0</v>
      </c>
      <c r="BT780" s="42">
        <v>0</v>
      </c>
      <c r="BU780" s="42">
        <v>0</v>
      </c>
      <c r="BV780" s="42">
        <v>0</v>
      </c>
      <c r="BW780" s="42">
        <v>0</v>
      </c>
      <c r="BX780" s="42">
        <v>0</v>
      </c>
      <c r="BY780" s="42">
        <v>0</v>
      </c>
      <c r="BZ780" s="42">
        <v>0</v>
      </c>
      <c r="CA780" s="42">
        <v>0</v>
      </c>
      <c r="CB780" s="42">
        <v>0</v>
      </c>
      <c r="CC780" s="42">
        <v>0</v>
      </c>
      <c r="CD780" s="42">
        <v>0</v>
      </c>
      <c r="CE780" s="42">
        <v>0</v>
      </c>
      <c r="CF780" s="42">
        <v>0</v>
      </c>
      <c r="CG780" s="42">
        <v>0</v>
      </c>
      <c r="CH780" s="42">
        <v>0</v>
      </c>
      <c r="CI780" s="42">
        <v>0</v>
      </c>
      <c r="CJ780" s="42">
        <v>0</v>
      </c>
      <c r="CK780" s="43">
        <f t="shared" si="75"/>
        <v>0</v>
      </c>
      <c r="CL780" s="66"/>
      <c r="CM780" s="66">
        <v>0</v>
      </c>
      <c r="CN780" s="66">
        <v>0</v>
      </c>
      <c r="CO780" s="66">
        <v>0</v>
      </c>
      <c r="CP780" s="66">
        <v>0</v>
      </c>
      <c r="CQ780" s="66">
        <v>0</v>
      </c>
      <c r="CR780" s="66">
        <v>0</v>
      </c>
      <c r="CS780" s="66">
        <v>0</v>
      </c>
      <c r="CT780" s="66">
        <v>0</v>
      </c>
      <c r="CU780" s="66">
        <v>0</v>
      </c>
      <c r="CV780" s="66">
        <v>0</v>
      </c>
      <c r="CW780" s="66">
        <v>0</v>
      </c>
      <c r="CX780" s="66">
        <v>0</v>
      </c>
      <c r="CY780" s="66">
        <v>0</v>
      </c>
      <c r="CZ780" s="66">
        <v>0</v>
      </c>
      <c r="DA780" s="66"/>
      <c r="DB780" s="66"/>
      <c r="DC780" s="66"/>
      <c r="DD780" s="66"/>
      <c r="DE780" s="66"/>
      <c r="DF780" s="66"/>
      <c r="DG780" s="66"/>
      <c r="DH780" s="66"/>
      <c r="DI780" s="66"/>
      <c r="DJ780" s="66"/>
      <c r="DK780" s="66">
        <f>SUM(Table1[[#This Row],[01-03 Apr]:[Mar-26]])</f>
        <v>0</v>
      </c>
    </row>
    <row r="781" spans="1:115" hidden="1" x14ac:dyDescent="0.2">
      <c r="A781" s="28" t="s">
        <v>2253</v>
      </c>
      <c r="B781" s="29" t="s">
        <v>675</v>
      </c>
      <c r="C781" s="29" t="s">
        <v>2283</v>
      </c>
      <c r="D781" s="30" t="s">
        <v>676</v>
      </c>
      <c r="E781" s="30" t="s">
        <v>203</v>
      </c>
      <c r="F781" s="30"/>
      <c r="G781" s="31">
        <v>44988</v>
      </c>
      <c r="H781" s="30">
        <v>362920</v>
      </c>
      <c r="I781" s="30" t="str">
        <f>IF(Table1[[#This Row],[Centre Status]]="Returned","NA",IF(Table1[[#This Row],[SD]]&gt;19000,"Full Payment",IF(Table1[[#This Row],[SD]]&lt;1,"No Payment","Partial Payment")))</f>
        <v>NA</v>
      </c>
      <c r="J781" s="30" t="s">
        <v>1903</v>
      </c>
      <c r="K781" s="32">
        <v>110000</v>
      </c>
      <c r="L781" s="33">
        <f>Q781+R781+U781+Table1[[#This Row],[Farmer Payment]]</f>
        <v>7355</v>
      </c>
      <c r="M781" s="30">
        <f>5000-5000</f>
        <v>0</v>
      </c>
      <c r="N781" s="34">
        <v>45426</v>
      </c>
      <c r="O781" s="34" t="s">
        <v>2443</v>
      </c>
      <c r="P781" s="35">
        <f t="shared" si="76"/>
        <v>102645</v>
      </c>
      <c r="Q781" s="33">
        <f>AI781+AV781+CK781+Table1[[#This Row],[FY 25-26]]</f>
        <v>2355</v>
      </c>
      <c r="R781" s="36">
        <v>5000</v>
      </c>
      <c r="S781" s="37" t="s">
        <v>677</v>
      </c>
      <c r="T781" s="38">
        <v>44969</v>
      </c>
      <c r="U781" s="39"/>
      <c r="V781" s="39"/>
      <c r="W781" s="40">
        <v>0</v>
      </c>
      <c r="X781" s="40">
        <v>0</v>
      </c>
      <c r="Y781" s="40">
        <v>0</v>
      </c>
      <c r="Z781" s="40">
        <v>0</v>
      </c>
      <c r="AA781" s="40">
        <v>0</v>
      </c>
      <c r="AB781" s="40">
        <v>0</v>
      </c>
      <c r="AC781" s="40">
        <v>0</v>
      </c>
      <c r="AD781" s="40">
        <v>0</v>
      </c>
      <c r="AE781" s="40">
        <v>0</v>
      </c>
      <c r="AF781" s="40">
        <v>0</v>
      </c>
      <c r="AG781" s="40">
        <v>0</v>
      </c>
      <c r="AH781" s="40">
        <v>471</v>
      </c>
      <c r="AI781" s="41">
        <f t="shared" si="77"/>
        <v>471</v>
      </c>
      <c r="AJ781" s="42">
        <v>701</v>
      </c>
      <c r="AK781" s="42">
        <v>1183</v>
      </c>
      <c r="AL781" s="42">
        <v>0</v>
      </c>
      <c r="AM781" s="42">
        <v>0</v>
      </c>
      <c r="AN781" s="42">
        <v>0</v>
      </c>
      <c r="AO781" s="42">
        <v>0</v>
      </c>
      <c r="AP781" s="42">
        <v>0</v>
      </c>
      <c r="AQ781" s="42">
        <v>0</v>
      </c>
      <c r="AR781" s="42">
        <v>0</v>
      </c>
      <c r="AS781" s="42">
        <v>0</v>
      </c>
      <c r="AT781" s="42">
        <v>0</v>
      </c>
      <c r="AU781" s="42">
        <v>0</v>
      </c>
      <c r="AV781" s="42">
        <f t="shared" si="78"/>
        <v>1884</v>
      </c>
      <c r="AW781" s="42">
        <v>0</v>
      </c>
      <c r="AX781" s="42">
        <v>0</v>
      </c>
      <c r="AY781" s="42">
        <v>0</v>
      </c>
      <c r="AZ781" s="42">
        <v>0</v>
      </c>
      <c r="BA781" s="42">
        <v>0</v>
      </c>
      <c r="BB781" s="42">
        <v>0</v>
      </c>
      <c r="BC781" s="42">
        <v>0</v>
      </c>
      <c r="BD781" s="42">
        <v>0</v>
      </c>
      <c r="BE781" s="42">
        <v>0</v>
      </c>
      <c r="BF781" s="42">
        <v>0</v>
      </c>
      <c r="BG781" s="42">
        <v>0</v>
      </c>
      <c r="BH781" s="42">
        <v>0</v>
      </c>
      <c r="BI781" s="42">
        <v>0</v>
      </c>
      <c r="BJ781" s="42">
        <v>0</v>
      </c>
      <c r="BK781" s="42">
        <v>0</v>
      </c>
      <c r="BL781" s="42">
        <v>0</v>
      </c>
      <c r="BM781" s="42">
        <v>0</v>
      </c>
      <c r="BN781" s="42">
        <v>0</v>
      </c>
      <c r="BO781" s="42">
        <v>0</v>
      </c>
      <c r="BP781" s="42">
        <v>0</v>
      </c>
      <c r="BQ781" s="42">
        <v>0</v>
      </c>
      <c r="BR781" s="42">
        <v>0</v>
      </c>
      <c r="BS781" s="42">
        <v>0</v>
      </c>
      <c r="BT781" s="42">
        <v>0</v>
      </c>
      <c r="BU781" s="42">
        <v>0</v>
      </c>
      <c r="BV781" s="42">
        <v>0</v>
      </c>
      <c r="BW781" s="42">
        <v>0</v>
      </c>
      <c r="BX781" s="42">
        <v>0</v>
      </c>
      <c r="BY781" s="42">
        <v>0</v>
      </c>
      <c r="BZ781" s="42">
        <v>0</v>
      </c>
      <c r="CA781" s="42">
        <v>0</v>
      </c>
      <c r="CB781" s="42">
        <v>0</v>
      </c>
      <c r="CC781" s="42">
        <v>0</v>
      </c>
      <c r="CD781" s="42">
        <v>0</v>
      </c>
      <c r="CE781" s="42">
        <v>0</v>
      </c>
      <c r="CF781" s="42">
        <v>0</v>
      </c>
      <c r="CG781" s="42">
        <v>0</v>
      </c>
      <c r="CH781" s="42">
        <v>0</v>
      </c>
      <c r="CI781" s="42">
        <v>0</v>
      </c>
      <c r="CJ781" s="42">
        <v>0</v>
      </c>
      <c r="CK781" s="43">
        <f t="shared" si="75"/>
        <v>0</v>
      </c>
      <c r="CL781" s="66"/>
      <c r="CM781" s="66">
        <v>0</v>
      </c>
      <c r="CN781" s="66">
        <v>0</v>
      </c>
      <c r="CO781" s="66">
        <v>0</v>
      </c>
      <c r="CP781" s="66">
        <v>0</v>
      </c>
      <c r="CQ781" s="66">
        <v>0</v>
      </c>
      <c r="CR781" s="66">
        <v>0</v>
      </c>
      <c r="CS781" s="66">
        <v>0</v>
      </c>
      <c r="CT781" s="66">
        <v>0</v>
      </c>
      <c r="CU781" s="66">
        <v>0</v>
      </c>
      <c r="CV781" s="66">
        <v>0</v>
      </c>
      <c r="CW781" s="66">
        <v>0</v>
      </c>
      <c r="CX781" s="66">
        <v>0</v>
      </c>
      <c r="CY781" s="66">
        <v>0</v>
      </c>
      <c r="CZ781" s="66">
        <v>0</v>
      </c>
      <c r="DA781" s="66"/>
      <c r="DB781" s="66"/>
      <c r="DC781" s="66"/>
      <c r="DD781" s="66"/>
      <c r="DE781" s="66"/>
      <c r="DF781" s="66"/>
      <c r="DG781" s="66"/>
      <c r="DH781" s="66"/>
      <c r="DI781" s="66"/>
      <c r="DJ781" s="66"/>
      <c r="DK781" s="66">
        <f>SUM(Table1[[#This Row],[01-03 Apr]:[Mar-26]])</f>
        <v>0</v>
      </c>
    </row>
    <row r="782" spans="1:115" hidden="1" x14ac:dyDescent="0.2">
      <c r="A782" s="28" t="s">
        <v>2365</v>
      </c>
      <c r="B782" s="29" t="s">
        <v>678</v>
      </c>
      <c r="C782" s="29" t="s">
        <v>2282</v>
      </c>
      <c r="D782" s="30" t="s">
        <v>679</v>
      </c>
      <c r="E782" s="30" t="s">
        <v>203</v>
      </c>
      <c r="F782" s="30"/>
      <c r="G782" s="31">
        <v>44988</v>
      </c>
      <c r="H782" s="30"/>
      <c r="I782" s="30" t="str">
        <f>IF(Table1[[#This Row],[Centre Status]]="Returned","NA",IF(Table1[[#This Row],[SD]]&gt;19000,"Full Payment",IF(Table1[[#This Row],[SD]]&lt;1,"No Payment","Partial Payment")))</f>
        <v>NA</v>
      </c>
      <c r="J782" s="30" t="s">
        <v>1903</v>
      </c>
      <c r="K782" s="32">
        <v>110000</v>
      </c>
      <c r="L782" s="33">
        <f>Q782+R782+U782+Table1[[#This Row],[Farmer Payment]]</f>
        <v>12544</v>
      </c>
      <c r="M782" s="30">
        <v>5000</v>
      </c>
      <c r="N782" s="34">
        <v>45426</v>
      </c>
      <c r="O782" s="34" t="s">
        <v>2442</v>
      </c>
      <c r="P782" s="35">
        <f t="shared" si="76"/>
        <v>102456</v>
      </c>
      <c r="Q782" s="33">
        <f>AI782+AV782+CK782+Table1[[#This Row],[FY 25-26]]</f>
        <v>7544</v>
      </c>
      <c r="R782" s="36">
        <v>5000</v>
      </c>
      <c r="S782" s="37" t="s">
        <v>680</v>
      </c>
      <c r="T782" s="38">
        <v>44969</v>
      </c>
      <c r="U782" s="39"/>
      <c r="V782" s="39"/>
      <c r="W782" s="40">
        <v>0</v>
      </c>
      <c r="X782" s="40">
        <v>0</v>
      </c>
      <c r="Y782" s="40">
        <v>0</v>
      </c>
      <c r="Z782" s="40">
        <v>0</v>
      </c>
      <c r="AA782" s="40">
        <v>0</v>
      </c>
      <c r="AB782" s="40">
        <v>0</v>
      </c>
      <c r="AC782" s="40">
        <v>0</v>
      </c>
      <c r="AD782" s="40">
        <v>0</v>
      </c>
      <c r="AE782" s="40">
        <v>0</v>
      </c>
      <c r="AF782" s="40">
        <v>0</v>
      </c>
      <c r="AG782" s="40">
        <v>0</v>
      </c>
      <c r="AH782" s="40">
        <v>1680</v>
      </c>
      <c r="AI782" s="41">
        <f t="shared" si="77"/>
        <v>1680</v>
      </c>
      <c r="AJ782" s="42">
        <v>1861</v>
      </c>
      <c r="AK782" s="42">
        <v>1861</v>
      </c>
      <c r="AL782" s="42">
        <v>0</v>
      </c>
      <c r="AM782" s="42">
        <v>1188</v>
      </c>
      <c r="AN782" s="42">
        <v>954</v>
      </c>
      <c r="AO782" s="42">
        <v>0</v>
      </c>
      <c r="AP782" s="42">
        <v>0</v>
      </c>
      <c r="AQ782" s="42">
        <v>0</v>
      </c>
      <c r="AR782" s="42">
        <v>0</v>
      </c>
      <c r="AS782" s="42">
        <v>0</v>
      </c>
      <c r="AT782" s="42">
        <v>0</v>
      </c>
      <c r="AU782" s="42">
        <v>0</v>
      </c>
      <c r="AV782" s="42">
        <f t="shared" si="78"/>
        <v>5864</v>
      </c>
      <c r="AW782" s="42">
        <v>0</v>
      </c>
      <c r="AX782" s="42">
        <v>0</v>
      </c>
      <c r="AY782" s="42">
        <v>0</v>
      </c>
      <c r="AZ782" s="42">
        <v>0</v>
      </c>
      <c r="BA782" s="42">
        <v>0</v>
      </c>
      <c r="BB782" s="42">
        <v>0</v>
      </c>
      <c r="BC782" s="42">
        <v>0</v>
      </c>
      <c r="BD782" s="42">
        <v>0</v>
      </c>
      <c r="BE782" s="42">
        <v>0</v>
      </c>
      <c r="BF782" s="42">
        <v>0</v>
      </c>
      <c r="BG782" s="42">
        <v>0</v>
      </c>
      <c r="BH782" s="42">
        <v>0</v>
      </c>
      <c r="BI782" s="42">
        <v>0</v>
      </c>
      <c r="BJ782" s="42">
        <v>0</v>
      </c>
      <c r="BK782" s="42">
        <v>0</v>
      </c>
      <c r="BL782" s="42">
        <v>0</v>
      </c>
      <c r="BM782" s="42">
        <v>0</v>
      </c>
      <c r="BN782" s="42">
        <v>0</v>
      </c>
      <c r="BO782" s="42">
        <v>0</v>
      </c>
      <c r="BP782" s="42">
        <v>0</v>
      </c>
      <c r="BQ782" s="42">
        <v>0</v>
      </c>
      <c r="BR782" s="42">
        <v>0</v>
      </c>
      <c r="BS782" s="42">
        <v>0</v>
      </c>
      <c r="BT782" s="42">
        <v>0</v>
      </c>
      <c r="BU782" s="42">
        <v>0</v>
      </c>
      <c r="BV782" s="42">
        <v>0</v>
      </c>
      <c r="BW782" s="42">
        <v>0</v>
      </c>
      <c r="BX782" s="42">
        <v>0</v>
      </c>
      <c r="BY782" s="42">
        <v>0</v>
      </c>
      <c r="BZ782" s="42">
        <v>0</v>
      </c>
      <c r="CA782" s="42">
        <v>0</v>
      </c>
      <c r="CB782" s="42">
        <v>0</v>
      </c>
      <c r="CC782" s="42">
        <v>0</v>
      </c>
      <c r="CD782" s="42">
        <v>0</v>
      </c>
      <c r="CE782" s="42">
        <v>0</v>
      </c>
      <c r="CF782" s="42">
        <v>0</v>
      </c>
      <c r="CG782" s="42">
        <v>0</v>
      </c>
      <c r="CH782" s="42">
        <v>0</v>
      </c>
      <c r="CI782" s="42">
        <v>0</v>
      </c>
      <c r="CJ782" s="42">
        <v>0</v>
      </c>
      <c r="CK782" s="43">
        <f t="shared" si="75"/>
        <v>0</v>
      </c>
      <c r="CL782" s="66"/>
      <c r="CM782" s="66">
        <v>0</v>
      </c>
      <c r="CN782" s="66">
        <v>0</v>
      </c>
      <c r="CO782" s="66">
        <v>0</v>
      </c>
      <c r="CP782" s="66">
        <v>0</v>
      </c>
      <c r="CQ782" s="66">
        <v>0</v>
      </c>
      <c r="CR782" s="66">
        <v>0</v>
      </c>
      <c r="CS782" s="66">
        <v>0</v>
      </c>
      <c r="CT782" s="66">
        <v>0</v>
      </c>
      <c r="CU782" s="66">
        <v>0</v>
      </c>
      <c r="CV782" s="66">
        <v>0</v>
      </c>
      <c r="CW782" s="66">
        <v>0</v>
      </c>
      <c r="CX782" s="66">
        <v>0</v>
      </c>
      <c r="CY782" s="66">
        <v>0</v>
      </c>
      <c r="CZ782" s="66">
        <v>0</v>
      </c>
      <c r="DA782" s="66"/>
      <c r="DB782" s="66"/>
      <c r="DC782" s="66"/>
      <c r="DD782" s="66"/>
      <c r="DE782" s="66"/>
      <c r="DF782" s="66"/>
      <c r="DG782" s="66"/>
      <c r="DH782" s="66"/>
      <c r="DI782" s="66"/>
      <c r="DJ782" s="66"/>
      <c r="DK782" s="66">
        <f>SUM(Table1[[#This Row],[01-03 Apr]:[Mar-26]])</f>
        <v>0</v>
      </c>
    </row>
    <row r="783" spans="1:115" hidden="1" x14ac:dyDescent="0.2">
      <c r="A783" s="28" t="s">
        <v>2365</v>
      </c>
      <c r="B783" s="29" t="s">
        <v>681</v>
      </c>
      <c r="C783" s="29" t="s">
        <v>682</v>
      </c>
      <c r="D783" s="30" t="s">
        <v>683</v>
      </c>
      <c r="E783" s="30" t="s">
        <v>203</v>
      </c>
      <c r="F783" s="30"/>
      <c r="G783" s="31">
        <v>44988</v>
      </c>
      <c r="H783" s="30"/>
      <c r="I783" s="30" t="str">
        <f>IF(Table1[[#This Row],[Centre Status]]="Returned","NA",IF(Table1[[#This Row],[SD]]&gt;19000,"Full Payment",IF(Table1[[#This Row],[SD]]&lt;1,"No Payment","Partial Payment")))</f>
        <v>NA</v>
      </c>
      <c r="J783" s="30" t="s">
        <v>1903</v>
      </c>
      <c r="K783" s="32">
        <v>110000</v>
      </c>
      <c r="L783" s="33">
        <f>Q783+R783+U783+Table1[[#This Row],[Farmer Payment]]</f>
        <v>88295.158400000015</v>
      </c>
      <c r="M783" s="30">
        <v>51495</v>
      </c>
      <c r="N783" s="34">
        <v>45426</v>
      </c>
      <c r="O783" s="34" t="s">
        <v>2448</v>
      </c>
      <c r="P783" s="35">
        <f t="shared" si="76"/>
        <v>73199.841599999985</v>
      </c>
      <c r="Q783" s="33">
        <f>AI783+AV783+CK783+Table1[[#This Row],[FY 25-26]]</f>
        <v>83295.158400000015</v>
      </c>
      <c r="R783" s="36">
        <v>5000</v>
      </c>
      <c r="S783" s="37" t="s">
        <v>684</v>
      </c>
      <c r="T783" s="38">
        <v>44979</v>
      </c>
      <c r="U783" s="39"/>
      <c r="V783" s="39"/>
      <c r="W783" s="40">
        <v>0</v>
      </c>
      <c r="X783" s="40">
        <v>0</v>
      </c>
      <c r="Y783" s="40">
        <v>0</v>
      </c>
      <c r="Z783" s="40">
        <v>0</v>
      </c>
      <c r="AA783" s="40">
        <v>0</v>
      </c>
      <c r="AB783" s="40">
        <v>0</v>
      </c>
      <c r="AC783" s="40">
        <v>0</v>
      </c>
      <c r="AD783" s="40">
        <v>0</v>
      </c>
      <c r="AE783" s="40">
        <v>0</v>
      </c>
      <c r="AF783" s="40">
        <v>0</v>
      </c>
      <c r="AG783" s="40">
        <v>0</v>
      </c>
      <c r="AH783" s="40">
        <v>503</v>
      </c>
      <c r="AI783" s="41">
        <f t="shared" si="77"/>
        <v>503</v>
      </c>
      <c r="AJ783" s="42">
        <v>1861</v>
      </c>
      <c r="AK783" s="42">
        <v>2638.4661999999998</v>
      </c>
      <c r="AL783" s="42">
        <v>4301.1966000000002</v>
      </c>
      <c r="AM783" s="42">
        <v>8348.7196000000004</v>
      </c>
      <c r="AN783" s="42">
        <v>7877.2778000000008</v>
      </c>
      <c r="AO783" s="42">
        <v>11095.753600000002</v>
      </c>
      <c r="AP783" s="42">
        <v>14167.656800000002</v>
      </c>
      <c r="AQ783" s="42">
        <v>8866.1496000000006</v>
      </c>
      <c r="AR783" s="42">
        <v>8965.3865999999998</v>
      </c>
      <c r="AS783" s="42">
        <v>7407.6999999999989</v>
      </c>
      <c r="AT783" s="42">
        <v>4523.3879999999999</v>
      </c>
      <c r="AU783" s="42">
        <v>2739.4636</v>
      </c>
      <c r="AV783" s="42">
        <f t="shared" si="78"/>
        <v>82792.158400000015</v>
      </c>
      <c r="AW783" s="42">
        <v>0</v>
      </c>
      <c r="AX783" s="42">
        <v>0</v>
      </c>
      <c r="AY783" s="42">
        <v>0</v>
      </c>
      <c r="AZ783" s="42">
        <v>0</v>
      </c>
      <c r="BA783" s="42">
        <v>0</v>
      </c>
      <c r="BB783" s="42">
        <v>0</v>
      </c>
      <c r="BC783" s="42">
        <v>0</v>
      </c>
      <c r="BD783" s="42">
        <v>0</v>
      </c>
      <c r="BE783" s="42">
        <v>0</v>
      </c>
      <c r="BF783" s="42">
        <v>0</v>
      </c>
      <c r="BG783" s="42">
        <v>0</v>
      </c>
      <c r="BH783" s="42">
        <v>0</v>
      </c>
      <c r="BI783" s="42">
        <v>0</v>
      </c>
      <c r="BJ783" s="42">
        <v>0</v>
      </c>
      <c r="BK783" s="42">
        <v>0</v>
      </c>
      <c r="BL783" s="42">
        <v>0</v>
      </c>
      <c r="BM783" s="42">
        <v>0</v>
      </c>
      <c r="BN783" s="42">
        <v>0</v>
      </c>
      <c r="BO783" s="42">
        <v>0</v>
      </c>
      <c r="BP783" s="42">
        <v>0</v>
      </c>
      <c r="BQ783" s="42">
        <v>0</v>
      </c>
      <c r="BR783" s="42">
        <v>0</v>
      </c>
      <c r="BS783" s="42">
        <v>0</v>
      </c>
      <c r="BT783" s="42">
        <v>0</v>
      </c>
      <c r="BU783" s="42">
        <v>0</v>
      </c>
      <c r="BV783" s="42">
        <v>0</v>
      </c>
      <c r="BW783" s="42">
        <v>0</v>
      </c>
      <c r="BX783" s="42">
        <v>0</v>
      </c>
      <c r="BY783" s="42">
        <v>0</v>
      </c>
      <c r="BZ783" s="42">
        <v>0</v>
      </c>
      <c r="CA783" s="42">
        <v>0</v>
      </c>
      <c r="CB783" s="42">
        <v>0</v>
      </c>
      <c r="CC783" s="42">
        <v>0</v>
      </c>
      <c r="CD783" s="42">
        <v>0</v>
      </c>
      <c r="CE783" s="42">
        <v>0</v>
      </c>
      <c r="CF783" s="42">
        <v>0</v>
      </c>
      <c r="CG783" s="42">
        <v>0</v>
      </c>
      <c r="CH783" s="42">
        <v>0</v>
      </c>
      <c r="CI783" s="42">
        <v>0</v>
      </c>
      <c r="CJ783" s="42">
        <v>0</v>
      </c>
      <c r="CK783" s="43">
        <f t="shared" si="75"/>
        <v>0</v>
      </c>
      <c r="CL783" s="66"/>
      <c r="CM783" s="66">
        <v>0</v>
      </c>
      <c r="CN783" s="66">
        <v>0</v>
      </c>
      <c r="CO783" s="66">
        <v>0</v>
      </c>
      <c r="CP783" s="66">
        <v>0</v>
      </c>
      <c r="CQ783" s="66">
        <v>0</v>
      </c>
      <c r="CR783" s="66">
        <v>0</v>
      </c>
      <c r="CS783" s="66">
        <v>0</v>
      </c>
      <c r="CT783" s="66">
        <v>0</v>
      </c>
      <c r="CU783" s="66">
        <v>0</v>
      </c>
      <c r="CV783" s="66">
        <v>0</v>
      </c>
      <c r="CW783" s="66">
        <v>0</v>
      </c>
      <c r="CX783" s="66">
        <v>0</v>
      </c>
      <c r="CY783" s="66">
        <v>0</v>
      </c>
      <c r="CZ783" s="66">
        <v>0</v>
      </c>
      <c r="DA783" s="66"/>
      <c r="DB783" s="66"/>
      <c r="DC783" s="66"/>
      <c r="DD783" s="66"/>
      <c r="DE783" s="66"/>
      <c r="DF783" s="66"/>
      <c r="DG783" s="66"/>
      <c r="DH783" s="66"/>
      <c r="DI783" s="66"/>
      <c r="DJ783" s="66"/>
      <c r="DK783" s="66">
        <f>SUM(Table1[[#This Row],[01-03 Apr]:[Mar-26]])</f>
        <v>0</v>
      </c>
    </row>
    <row r="784" spans="1:115" hidden="1" x14ac:dyDescent="0.2">
      <c r="A784" s="28" t="s">
        <v>2253</v>
      </c>
      <c r="B784" s="29" t="s">
        <v>748</v>
      </c>
      <c r="C784" s="29" t="s">
        <v>3336</v>
      </c>
      <c r="D784" s="30" t="s">
        <v>749</v>
      </c>
      <c r="E784" s="30" t="s">
        <v>297</v>
      </c>
      <c r="F784" s="30"/>
      <c r="G784" s="31" t="s">
        <v>654</v>
      </c>
      <c r="H784" s="30">
        <v>368614</v>
      </c>
      <c r="I784" s="30" t="str">
        <f>IF(Table1[[#This Row],[Centre Status]]="Returned","NA",IF(Table1[[#This Row],[SD]]&gt;19000,"Full Payment",IF(Table1[[#This Row],[SD]]&lt;1,"No Payment","Partial Payment")))</f>
        <v>NA</v>
      </c>
      <c r="J784" s="30" t="s">
        <v>1903</v>
      </c>
      <c r="K784" s="32">
        <v>110000</v>
      </c>
      <c r="L784" s="33">
        <f>Q784+R784+U784+Table1[[#This Row],[Farmer Payment]]</f>
        <v>13856</v>
      </c>
      <c r="M784" s="30">
        <f>10000-10000</f>
        <v>0</v>
      </c>
      <c r="N784" s="34">
        <v>45384</v>
      </c>
      <c r="O784" s="34"/>
      <c r="P784" s="35">
        <f t="shared" si="76"/>
        <v>96144</v>
      </c>
      <c r="Q784" s="33">
        <f>AI784+AV784+CK784+Table1[[#This Row],[FY 25-26]]</f>
        <v>3856</v>
      </c>
      <c r="R784" s="36">
        <v>10000</v>
      </c>
      <c r="S784" s="37" t="s">
        <v>747</v>
      </c>
      <c r="T784" s="38">
        <v>44947</v>
      </c>
      <c r="U784" s="39"/>
      <c r="V784" s="39"/>
      <c r="W784" s="40">
        <v>0</v>
      </c>
      <c r="X784" s="40">
        <v>0</v>
      </c>
      <c r="Y784" s="40">
        <v>0</v>
      </c>
      <c r="Z784" s="40">
        <v>0</v>
      </c>
      <c r="AA784" s="40">
        <v>0</v>
      </c>
      <c r="AB784" s="40">
        <v>0</v>
      </c>
      <c r="AC784" s="40">
        <v>0</v>
      </c>
      <c r="AD784" s="40">
        <v>0</v>
      </c>
      <c r="AE784" s="40">
        <v>0</v>
      </c>
      <c r="AF784" s="40">
        <v>0</v>
      </c>
      <c r="AG784" s="40">
        <v>442</v>
      </c>
      <c r="AH784" s="40">
        <v>1022</v>
      </c>
      <c r="AI784" s="41">
        <f t="shared" si="77"/>
        <v>1464</v>
      </c>
      <c r="AJ784" s="42">
        <v>1283</v>
      </c>
      <c r="AK784" s="42">
        <v>1109</v>
      </c>
      <c r="AL784" s="42">
        <v>0</v>
      </c>
      <c r="AM784" s="42">
        <v>0</v>
      </c>
      <c r="AN784" s="42">
        <v>0</v>
      </c>
      <c r="AO784" s="42">
        <v>0</v>
      </c>
      <c r="AP784" s="42">
        <v>0</v>
      </c>
      <c r="AQ784" s="42">
        <v>0</v>
      </c>
      <c r="AR784" s="42">
        <v>0</v>
      </c>
      <c r="AS784" s="42">
        <v>0</v>
      </c>
      <c r="AT784" s="42">
        <v>0</v>
      </c>
      <c r="AU784" s="42">
        <v>0</v>
      </c>
      <c r="AV784" s="42">
        <f t="shared" si="78"/>
        <v>2392</v>
      </c>
      <c r="AW784" s="42">
        <v>0</v>
      </c>
      <c r="AX784" s="42">
        <v>0</v>
      </c>
      <c r="AY784" s="42">
        <v>0</v>
      </c>
      <c r="AZ784" s="42">
        <v>0</v>
      </c>
      <c r="BA784" s="42">
        <v>0</v>
      </c>
      <c r="BB784" s="42">
        <v>0</v>
      </c>
      <c r="BC784" s="42">
        <v>0</v>
      </c>
      <c r="BD784" s="42">
        <v>0</v>
      </c>
      <c r="BE784" s="42">
        <v>0</v>
      </c>
      <c r="BF784" s="42">
        <v>0</v>
      </c>
      <c r="BG784" s="42">
        <v>0</v>
      </c>
      <c r="BH784" s="42">
        <v>0</v>
      </c>
      <c r="BI784" s="42">
        <v>0</v>
      </c>
      <c r="BJ784" s="42">
        <v>0</v>
      </c>
      <c r="BK784" s="42">
        <v>0</v>
      </c>
      <c r="BL784" s="42">
        <v>0</v>
      </c>
      <c r="BM784" s="42">
        <v>0</v>
      </c>
      <c r="BN784" s="42">
        <v>0</v>
      </c>
      <c r="BO784" s="42">
        <v>0</v>
      </c>
      <c r="BP784" s="42">
        <v>0</v>
      </c>
      <c r="BQ784" s="42">
        <v>0</v>
      </c>
      <c r="BR784" s="42">
        <v>0</v>
      </c>
      <c r="BS784" s="42">
        <v>0</v>
      </c>
      <c r="BT784" s="42">
        <v>0</v>
      </c>
      <c r="BU784" s="42">
        <v>0</v>
      </c>
      <c r="BV784" s="42">
        <v>0</v>
      </c>
      <c r="BW784" s="42">
        <v>0</v>
      </c>
      <c r="BX784" s="42">
        <v>0</v>
      </c>
      <c r="BY784" s="42">
        <v>0</v>
      </c>
      <c r="BZ784" s="42">
        <v>0</v>
      </c>
      <c r="CA784" s="42">
        <v>0</v>
      </c>
      <c r="CB784" s="42">
        <v>0</v>
      </c>
      <c r="CC784" s="42">
        <v>0</v>
      </c>
      <c r="CD784" s="42">
        <v>0</v>
      </c>
      <c r="CE784" s="42">
        <v>0</v>
      </c>
      <c r="CF784" s="42">
        <v>0</v>
      </c>
      <c r="CG784" s="42">
        <v>0</v>
      </c>
      <c r="CH784" s="42">
        <v>0</v>
      </c>
      <c r="CI784" s="42">
        <v>0</v>
      </c>
      <c r="CJ784" s="42">
        <v>0</v>
      </c>
      <c r="CK784" s="43">
        <f t="shared" si="75"/>
        <v>0</v>
      </c>
      <c r="CL784" s="66"/>
      <c r="CM784" s="66">
        <v>0</v>
      </c>
      <c r="CN784" s="66">
        <v>0</v>
      </c>
      <c r="CO784" s="66">
        <v>0</v>
      </c>
      <c r="CP784" s="66">
        <v>0</v>
      </c>
      <c r="CQ784" s="66">
        <v>0</v>
      </c>
      <c r="CR784" s="66">
        <v>0</v>
      </c>
      <c r="CS784" s="66">
        <v>0</v>
      </c>
      <c r="CT784" s="66">
        <v>0</v>
      </c>
      <c r="CU784" s="66">
        <v>0</v>
      </c>
      <c r="CV784" s="66">
        <v>0</v>
      </c>
      <c r="CW784" s="66">
        <v>0</v>
      </c>
      <c r="CX784" s="66">
        <v>0</v>
      </c>
      <c r="CY784" s="66">
        <v>0</v>
      </c>
      <c r="CZ784" s="66">
        <v>0</v>
      </c>
      <c r="DA784" s="66"/>
      <c r="DB784" s="66"/>
      <c r="DC784" s="66"/>
      <c r="DD784" s="66"/>
      <c r="DE784" s="66"/>
      <c r="DF784" s="66"/>
      <c r="DG784" s="66"/>
      <c r="DH784" s="66"/>
      <c r="DI784" s="66"/>
      <c r="DJ784" s="66"/>
      <c r="DK784" s="66">
        <f>SUM(Table1[[#This Row],[01-03 Apr]:[Mar-26]])</f>
        <v>0</v>
      </c>
    </row>
    <row r="785" spans="1:115" hidden="1" x14ac:dyDescent="0.2">
      <c r="A785" s="28" t="s">
        <v>2365</v>
      </c>
      <c r="B785" s="29" t="s">
        <v>751</v>
      </c>
      <c r="C785" s="29" t="s">
        <v>2280</v>
      </c>
      <c r="D785" s="30" t="s">
        <v>75</v>
      </c>
      <c r="E785" s="30" t="s">
        <v>297</v>
      </c>
      <c r="F785" s="30"/>
      <c r="G785" s="31" t="s">
        <v>654</v>
      </c>
      <c r="H785" s="30"/>
      <c r="I785" s="30" t="str">
        <f>IF(Table1[[#This Row],[Centre Status]]="Returned","NA",IF(Table1[[#This Row],[SD]]&gt;19000,"Full Payment",IF(Table1[[#This Row],[SD]]&lt;1,"No Payment","Partial Payment")))</f>
        <v>NA</v>
      </c>
      <c r="J785" s="30" t="s">
        <v>1903</v>
      </c>
      <c r="K785" s="32">
        <v>110000</v>
      </c>
      <c r="L785" s="33">
        <f>Q785+R785+U785+Table1[[#This Row],[Farmer Payment]]</f>
        <v>7305</v>
      </c>
      <c r="M785" s="30">
        <v>12216</v>
      </c>
      <c r="N785" s="34">
        <v>45419</v>
      </c>
      <c r="O785" s="34" t="s">
        <v>2437</v>
      </c>
      <c r="P785" s="35">
        <f t="shared" si="76"/>
        <v>114911</v>
      </c>
      <c r="Q785" s="33">
        <f>AI785+AV785+CK785+Table1[[#This Row],[FY 25-26]]</f>
        <v>2305</v>
      </c>
      <c r="R785" s="36">
        <v>5000</v>
      </c>
      <c r="S785" s="37" t="s">
        <v>750</v>
      </c>
      <c r="T785" s="38">
        <v>44947</v>
      </c>
      <c r="U785" s="39"/>
      <c r="V785" s="39"/>
      <c r="W785" s="40">
        <v>0</v>
      </c>
      <c r="X785" s="40">
        <v>0</v>
      </c>
      <c r="Y785" s="40">
        <v>0</v>
      </c>
      <c r="Z785" s="40">
        <v>0</v>
      </c>
      <c r="AA785" s="40">
        <v>0</v>
      </c>
      <c r="AB785" s="40">
        <v>0</v>
      </c>
      <c r="AC785" s="40">
        <v>0</v>
      </c>
      <c r="AD785" s="40">
        <v>0</v>
      </c>
      <c r="AE785" s="40">
        <v>0</v>
      </c>
      <c r="AF785" s="40">
        <v>0</v>
      </c>
      <c r="AG785" s="40">
        <v>626</v>
      </c>
      <c r="AH785" s="40">
        <v>1451</v>
      </c>
      <c r="AI785" s="41">
        <f t="shared" si="77"/>
        <v>2077</v>
      </c>
      <c r="AJ785" s="42">
        <v>0</v>
      </c>
      <c r="AK785" s="42">
        <v>0</v>
      </c>
      <c r="AL785" s="42">
        <v>0</v>
      </c>
      <c r="AM785" s="42">
        <v>228</v>
      </c>
      <c r="AN785" s="42">
        <v>0</v>
      </c>
      <c r="AO785" s="42">
        <v>0</v>
      </c>
      <c r="AP785" s="42">
        <v>0</v>
      </c>
      <c r="AQ785" s="42">
        <v>0</v>
      </c>
      <c r="AR785" s="42">
        <v>0</v>
      </c>
      <c r="AS785" s="42">
        <v>0</v>
      </c>
      <c r="AT785" s="42">
        <v>0</v>
      </c>
      <c r="AU785" s="42">
        <v>0</v>
      </c>
      <c r="AV785" s="42">
        <f t="shared" si="78"/>
        <v>228</v>
      </c>
      <c r="AW785" s="42">
        <v>0</v>
      </c>
      <c r="AX785" s="42">
        <v>0</v>
      </c>
      <c r="AY785" s="42">
        <v>0</v>
      </c>
      <c r="AZ785" s="42">
        <v>0</v>
      </c>
      <c r="BA785" s="42">
        <v>0</v>
      </c>
      <c r="BB785" s="42">
        <v>0</v>
      </c>
      <c r="BC785" s="42">
        <v>0</v>
      </c>
      <c r="BD785" s="42">
        <v>0</v>
      </c>
      <c r="BE785" s="42">
        <v>0</v>
      </c>
      <c r="BF785" s="42">
        <v>0</v>
      </c>
      <c r="BG785" s="42">
        <v>0</v>
      </c>
      <c r="BH785" s="42">
        <v>0</v>
      </c>
      <c r="BI785" s="42">
        <v>0</v>
      </c>
      <c r="BJ785" s="42">
        <v>0</v>
      </c>
      <c r="BK785" s="42">
        <v>0</v>
      </c>
      <c r="BL785" s="42">
        <v>0</v>
      </c>
      <c r="BM785" s="42">
        <v>0</v>
      </c>
      <c r="BN785" s="42">
        <v>0</v>
      </c>
      <c r="BO785" s="42">
        <v>0</v>
      </c>
      <c r="BP785" s="42">
        <v>0</v>
      </c>
      <c r="BQ785" s="42">
        <v>0</v>
      </c>
      <c r="BR785" s="42">
        <v>0</v>
      </c>
      <c r="BS785" s="42">
        <v>0</v>
      </c>
      <c r="BT785" s="42">
        <v>0</v>
      </c>
      <c r="BU785" s="42">
        <v>0</v>
      </c>
      <c r="BV785" s="42">
        <v>0</v>
      </c>
      <c r="BW785" s="42">
        <v>0</v>
      </c>
      <c r="BX785" s="42">
        <v>0</v>
      </c>
      <c r="BY785" s="42">
        <v>0</v>
      </c>
      <c r="BZ785" s="42">
        <v>0</v>
      </c>
      <c r="CA785" s="42">
        <v>0</v>
      </c>
      <c r="CB785" s="42">
        <v>0</v>
      </c>
      <c r="CC785" s="42">
        <v>0</v>
      </c>
      <c r="CD785" s="42">
        <v>0</v>
      </c>
      <c r="CE785" s="42">
        <v>0</v>
      </c>
      <c r="CF785" s="42">
        <v>0</v>
      </c>
      <c r="CG785" s="42">
        <v>0</v>
      </c>
      <c r="CH785" s="42">
        <v>0</v>
      </c>
      <c r="CI785" s="42">
        <v>0</v>
      </c>
      <c r="CJ785" s="42">
        <v>0</v>
      </c>
      <c r="CK785" s="43">
        <f t="shared" si="75"/>
        <v>0</v>
      </c>
      <c r="CL785" s="66"/>
      <c r="CM785" s="66">
        <v>0</v>
      </c>
      <c r="CN785" s="66">
        <v>0</v>
      </c>
      <c r="CO785" s="66">
        <v>0</v>
      </c>
      <c r="CP785" s="66">
        <v>0</v>
      </c>
      <c r="CQ785" s="66">
        <v>0</v>
      </c>
      <c r="CR785" s="66">
        <v>0</v>
      </c>
      <c r="CS785" s="66">
        <v>0</v>
      </c>
      <c r="CT785" s="66">
        <v>0</v>
      </c>
      <c r="CU785" s="66">
        <v>0</v>
      </c>
      <c r="CV785" s="66">
        <v>0</v>
      </c>
      <c r="CW785" s="66">
        <v>0</v>
      </c>
      <c r="CX785" s="66">
        <v>0</v>
      </c>
      <c r="CY785" s="66">
        <v>0</v>
      </c>
      <c r="CZ785" s="66">
        <v>0</v>
      </c>
      <c r="DA785" s="66"/>
      <c r="DB785" s="66"/>
      <c r="DC785" s="66"/>
      <c r="DD785" s="66"/>
      <c r="DE785" s="66"/>
      <c r="DF785" s="66"/>
      <c r="DG785" s="66"/>
      <c r="DH785" s="66"/>
      <c r="DI785" s="66"/>
      <c r="DJ785" s="66"/>
      <c r="DK785" s="66">
        <f>SUM(Table1[[#This Row],[01-03 Apr]:[Mar-26]])</f>
        <v>0</v>
      </c>
    </row>
    <row r="786" spans="1:115" hidden="1" x14ac:dyDescent="0.2">
      <c r="A786" s="28" t="s">
        <v>2255</v>
      </c>
      <c r="B786" s="29" t="s">
        <v>816</v>
      </c>
      <c r="C786" s="29" t="s">
        <v>3336</v>
      </c>
      <c r="D786" s="30" t="s">
        <v>817</v>
      </c>
      <c r="E786" s="30" t="s">
        <v>203</v>
      </c>
      <c r="F786" s="30"/>
      <c r="G786" s="31" t="s">
        <v>818</v>
      </c>
      <c r="H786" s="30">
        <v>388109</v>
      </c>
      <c r="I786" s="30" t="str">
        <f>IF(Table1[[#This Row],[Centre Status]]="Returned","NA",IF(Table1[[#This Row],[SD]]&gt;19000,"Full Payment",IF(Table1[[#This Row],[SD]]&lt;1,"No Payment","Partial Payment")))</f>
        <v>NA</v>
      </c>
      <c r="J786" s="30" t="s">
        <v>1903</v>
      </c>
      <c r="K786" s="32">
        <v>1992</v>
      </c>
      <c r="L786" s="33">
        <f>Q786+R786+U786+Table1[[#This Row],[Farmer Payment]]</f>
        <v>11992</v>
      </c>
      <c r="M786" s="30">
        <v>10000</v>
      </c>
      <c r="N786" s="34">
        <v>45384</v>
      </c>
      <c r="O786" s="34"/>
      <c r="P786" s="35">
        <f t="shared" si="76"/>
        <v>0</v>
      </c>
      <c r="Q786" s="33">
        <f>AI786+AV786+CK786+Table1[[#This Row],[FY 25-26]]</f>
        <v>1992</v>
      </c>
      <c r="R786" s="36">
        <v>10000</v>
      </c>
      <c r="S786" s="37" t="s">
        <v>819</v>
      </c>
      <c r="T786" s="38">
        <v>45000</v>
      </c>
      <c r="U786" s="39"/>
      <c r="V786" s="39"/>
      <c r="W786" s="40">
        <v>0</v>
      </c>
      <c r="X786" s="40">
        <v>0</v>
      </c>
      <c r="Y786" s="40">
        <v>0</v>
      </c>
      <c r="Z786" s="40">
        <v>0</v>
      </c>
      <c r="AA786" s="40">
        <v>0</v>
      </c>
      <c r="AB786" s="40">
        <v>0</v>
      </c>
      <c r="AC786" s="40">
        <v>0</v>
      </c>
      <c r="AD786" s="40">
        <v>0</v>
      </c>
      <c r="AE786" s="40">
        <v>0</v>
      </c>
      <c r="AF786" s="40">
        <v>0</v>
      </c>
      <c r="AG786" s="40">
        <v>0</v>
      </c>
      <c r="AH786" s="40">
        <v>199</v>
      </c>
      <c r="AI786" s="41">
        <f t="shared" si="77"/>
        <v>199</v>
      </c>
      <c r="AJ786" s="42">
        <v>1053</v>
      </c>
      <c r="AK786" s="42">
        <v>740</v>
      </c>
      <c r="AL786" s="42">
        <v>0</v>
      </c>
      <c r="AM786" s="42">
        <v>0</v>
      </c>
      <c r="AN786" s="42">
        <v>0</v>
      </c>
      <c r="AO786" s="42">
        <v>0</v>
      </c>
      <c r="AP786" s="42">
        <v>0</v>
      </c>
      <c r="AQ786" s="42">
        <v>0</v>
      </c>
      <c r="AR786" s="42">
        <v>0</v>
      </c>
      <c r="AS786" s="42">
        <v>0</v>
      </c>
      <c r="AT786" s="42">
        <v>0</v>
      </c>
      <c r="AU786" s="42">
        <v>0</v>
      </c>
      <c r="AV786" s="42">
        <f t="shared" si="78"/>
        <v>1793</v>
      </c>
      <c r="AW786" s="42">
        <v>0</v>
      </c>
      <c r="AX786" s="42">
        <v>0</v>
      </c>
      <c r="AY786" s="42">
        <v>0</v>
      </c>
      <c r="AZ786" s="42">
        <v>0</v>
      </c>
      <c r="BA786" s="42">
        <v>0</v>
      </c>
      <c r="BB786" s="42">
        <v>0</v>
      </c>
      <c r="BC786" s="42">
        <v>0</v>
      </c>
      <c r="BD786" s="42">
        <v>0</v>
      </c>
      <c r="BE786" s="42">
        <v>0</v>
      </c>
      <c r="BF786" s="42">
        <v>0</v>
      </c>
      <c r="BG786" s="42">
        <v>0</v>
      </c>
      <c r="BH786" s="42">
        <v>0</v>
      </c>
      <c r="BI786" s="42">
        <v>0</v>
      </c>
      <c r="BJ786" s="42">
        <v>0</v>
      </c>
      <c r="BK786" s="42">
        <v>0</v>
      </c>
      <c r="BL786" s="42">
        <v>0</v>
      </c>
      <c r="BM786" s="42">
        <v>0</v>
      </c>
      <c r="BN786" s="42">
        <v>0</v>
      </c>
      <c r="BO786" s="42">
        <v>0</v>
      </c>
      <c r="BP786" s="42">
        <v>0</v>
      </c>
      <c r="BQ786" s="42">
        <v>0</v>
      </c>
      <c r="BR786" s="42">
        <v>0</v>
      </c>
      <c r="BS786" s="42">
        <v>0</v>
      </c>
      <c r="BT786" s="42">
        <v>0</v>
      </c>
      <c r="BU786" s="42">
        <v>0</v>
      </c>
      <c r="BV786" s="42">
        <v>0</v>
      </c>
      <c r="BW786" s="42">
        <v>0</v>
      </c>
      <c r="BX786" s="42">
        <v>0</v>
      </c>
      <c r="BY786" s="42">
        <v>0</v>
      </c>
      <c r="BZ786" s="42">
        <v>0</v>
      </c>
      <c r="CA786" s="42">
        <v>0</v>
      </c>
      <c r="CB786" s="42">
        <v>0</v>
      </c>
      <c r="CC786" s="42">
        <v>0</v>
      </c>
      <c r="CD786" s="42">
        <v>0</v>
      </c>
      <c r="CE786" s="42">
        <v>0</v>
      </c>
      <c r="CF786" s="42">
        <v>0</v>
      </c>
      <c r="CG786" s="42">
        <v>0</v>
      </c>
      <c r="CH786" s="42">
        <v>0</v>
      </c>
      <c r="CI786" s="42">
        <v>0</v>
      </c>
      <c r="CJ786" s="42">
        <v>0</v>
      </c>
      <c r="CK786" s="43">
        <f t="shared" si="75"/>
        <v>0</v>
      </c>
      <c r="CL786" s="66"/>
      <c r="CM786" s="66">
        <v>0</v>
      </c>
      <c r="CN786" s="66">
        <v>0</v>
      </c>
      <c r="CO786" s="66">
        <v>0</v>
      </c>
      <c r="CP786" s="66">
        <v>0</v>
      </c>
      <c r="CQ786" s="66">
        <v>0</v>
      </c>
      <c r="CR786" s="66">
        <v>0</v>
      </c>
      <c r="CS786" s="66">
        <v>0</v>
      </c>
      <c r="CT786" s="66">
        <v>0</v>
      </c>
      <c r="CU786" s="66">
        <v>0</v>
      </c>
      <c r="CV786" s="66">
        <v>0</v>
      </c>
      <c r="CW786" s="66">
        <v>0</v>
      </c>
      <c r="CX786" s="66">
        <v>0</v>
      </c>
      <c r="CY786" s="66">
        <v>0</v>
      </c>
      <c r="CZ786" s="66">
        <v>0</v>
      </c>
      <c r="DA786" s="66"/>
      <c r="DB786" s="66"/>
      <c r="DC786" s="66"/>
      <c r="DD786" s="66"/>
      <c r="DE786" s="66"/>
      <c r="DF786" s="66"/>
      <c r="DG786" s="66"/>
      <c r="DH786" s="66"/>
      <c r="DI786" s="66"/>
      <c r="DJ786" s="66"/>
      <c r="DK786" s="66">
        <f>SUM(Table1[[#This Row],[01-03 Apr]:[Mar-26]])</f>
        <v>0</v>
      </c>
    </row>
    <row r="787" spans="1:115" hidden="1" x14ac:dyDescent="0.2">
      <c r="A787" s="28" t="s">
        <v>2253</v>
      </c>
      <c r="B787" s="29" t="s">
        <v>864</v>
      </c>
      <c r="C787" s="29" t="s">
        <v>865</v>
      </c>
      <c r="D787" s="30" t="s">
        <v>866</v>
      </c>
      <c r="E787" s="30" t="s">
        <v>297</v>
      </c>
      <c r="F787" s="30"/>
      <c r="G787" s="31" t="s">
        <v>818</v>
      </c>
      <c r="H787" s="30">
        <v>358600</v>
      </c>
      <c r="I787" s="30" t="str">
        <f>IF(Table1[[#This Row],[Centre Status]]="Returned","NA",IF(Table1[[#This Row],[SD]]&gt;19000,"Full Payment",IF(Table1[[#This Row],[SD]]&lt;1,"No Payment","Partial Payment")))</f>
        <v>NA</v>
      </c>
      <c r="J787" s="30" t="s">
        <v>1903</v>
      </c>
      <c r="K787" s="32">
        <v>110000</v>
      </c>
      <c r="L787" s="33">
        <f>Q787+R787+U787+Table1[[#This Row],[Farmer Payment]]</f>
        <v>13852.852137758025</v>
      </c>
      <c r="M787" s="30">
        <v>10000</v>
      </c>
      <c r="N787" s="34">
        <v>45565</v>
      </c>
      <c r="O787" s="34" t="s">
        <v>2658</v>
      </c>
      <c r="P787" s="35">
        <f t="shared" si="76"/>
        <v>106147.14786224198</v>
      </c>
      <c r="Q787" s="33">
        <f>AI787+AV787+CK787+Table1[[#This Row],[FY 25-26]]</f>
        <v>3852.8521377580255</v>
      </c>
      <c r="R787" s="36">
        <v>10000</v>
      </c>
      <c r="S787" s="37" t="s">
        <v>867</v>
      </c>
      <c r="T787" s="38">
        <v>44989</v>
      </c>
      <c r="U787" s="39"/>
      <c r="V787" s="39"/>
      <c r="W787" s="40">
        <v>0</v>
      </c>
      <c r="X787" s="40">
        <v>0</v>
      </c>
      <c r="Y787" s="40">
        <v>0</v>
      </c>
      <c r="Z787" s="40">
        <v>0</v>
      </c>
      <c r="AA787" s="40">
        <v>0</v>
      </c>
      <c r="AB787" s="40">
        <v>0</v>
      </c>
      <c r="AC787" s="40">
        <v>0</v>
      </c>
      <c r="AD787" s="40">
        <v>0</v>
      </c>
      <c r="AE787" s="40">
        <v>0</v>
      </c>
      <c r="AF787" s="40">
        <v>0</v>
      </c>
      <c r="AG787" s="40">
        <v>0</v>
      </c>
      <c r="AH787" s="40">
        <v>432</v>
      </c>
      <c r="AI787" s="41">
        <f t="shared" si="77"/>
        <v>432</v>
      </c>
      <c r="AJ787" s="42">
        <v>1695</v>
      </c>
      <c r="AK787" s="42">
        <v>1156</v>
      </c>
      <c r="AL787" s="42">
        <v>0</v>
      </c>
      <c r="AM787" s="42">
        <v>0</v>
      </c>
      <c r="AN787" s="42">
        <v>0</v>
      </c>
      <c r="AO787" s="42">
        <v>0</v>
      </c>
      <c r="AP787" s="42">
        <v>0</v>
      </c>
      <c r="AQ787" s="42">
        <v>0</v>
      </c>
      <c r="AR787" s="42">
        <v>0</v>
      </c>
      <c r="AS787" s="42">
        <v>0</v>
      </c>
      <c r="AT787" s="42">
        <v>403.85213775802572</v>
      </c>
      <c r="AU787" s="42">
        <v>166</v>
      </c>
      <c r="AV787" s="42">
        <f t="shared" si="78"/>
        <v>3420.8521377580255</v>
      </c>
      <c r="AW787" s="42">
        <v>0</v>
      </c>
      <c r="AX787" s="42">
        <v>0</v>
      </c>
      <c r="AY787" s="42">
        <v>0</v>
      </c>
      <c r="AZ787" s="42">
        <v>0</v>
      </c>
      <c r="BA787" s="42">
        <v>0</v>
      </c>
      <c r="BB787" s="42">
        <v>0</v>
      </c>
      <c r="BC787" s="42">
        <v>0</v>
      </c>
      <c r="BD787" s="42">
        <v>0</v>
      </c>
      <c r="BE787" s="42">
        <v>0</v>
      </c>
      <c r="BF787" s="42">
        <v>0</v>
      </c>
      <c r="BG787" s="42">
        <v>0</v>
      </c>
      <c r="BH787" s="42">
        <v>0</v>
      </c>
      <c r="BI787" s="42">
        <v>0</v>
      </c>
      <c r="BJ787" s="42">
        <v>0</v>
      </c>
      <c r="BK787" s="42">
        <v>0</v>
      </c>
      <c r="BL787" s="42">
        <v>0</v>
      </c>
      <c r="BM787" s="42">
        <v>0</v>
      </c>
      <c r="BN787" s="42">
        <v>0</v>
      </c>
      <c r="BO787" s="42">
        <v>0</v>
      </c>
      <c r="BP787" s="42">
        <v>0</v>
      </c>
      <c r="BQ787" s="42">
        <v>0</v>
      </c>
      <c r="BR787" s="42">
        <v>0</v>
      </c>
      <c r="BS787" s="42">
        <v>0</v>
      </c>
      <c r="BT787" s="42">
        <v>0</v>
      </c>
      <c r="BU787" s="42">
        <v>0</v>
      </c>
      <c r="BV787" s="42">
        <v>0</v>
      </c>
      <c r="BW787" s="42">
        <v>0</v>
      </c>
      <c r="BX787" s="42">
        <v>0</v>
      </c>
      <c r="BY787" s="42">
        <v>0</v>
      </c>
      <c r="BZ787" s="42">
        <v>0</v>
      </c>
      <c r="CA787" s="42">
        <v>0</v>
      </c>
      <c r="CB787" s="42">
        <v>0</v>
      </c>
      <c r="CC787" s="42">
        <v>0</v>
      </c>
      <c r="CD787" s="42">
        <v>0</v>
      </c>
      <c r="CE787" s="42">
        <v>0</v>
      </c>
      <c r="CF787" s="42">
        <v>0</v>
      </c>
      <c r="CG787" s="42">
        <v>0</v>
      </c>
      <c r="CH787" s="42">
        <v>0</v>
      </c>
      <c r="CI787" s="42">
        <v>0</v>
      </c>
      <c r="CJ787" s="42">
        <v>0</v>
      </c>
      <c r="CK787" s="43">
        <f t="shared" si="75"/>
        <v>0</v>
      </c>
      <c r="CL787" s="66"/>
      <c r="CM787" s="66">
        <v>0</v>
      </c>
      <c r="CN787" s="66">
        <v>0</v>
      </c>
      <c r="CO787" s="66">
        <v>0</v>
      </c>
      <c r="CP787" s="66">
        <v>0</v>
      </c>
      <c r="CQ787" s="66">
        <v>0</v>
      </c>
      <c r="CR787" s="66">
        <v>0</v>
      </c>
      <c r="CS787" s="66">
        <v>0</v>
      </c>
      <c r="CT787" s="66">
        <v>0</v>
      </c>
      <c r="CU787" s="66">
        <v>0</v>
      </c>
      <c r="CV787" s="66">
        <v>0</v>
      </c>
      <c r="CW787" s="66">
        <v>0</v>
      </c>
      <c r="CX787" s="66">
        <v>0</v>
      </c>
      <c r="CY787" s="66">
        <v>0</v>
      </c>
      <c r="CZ787" s="66">
        <v>0</v>
      </c>
      <c r="DA787" s="66"/>
      <c r="DB787" s="66"/>
      <c r="DC787" s="66"/>
      <c r="DD787" s="66"/>
      <c r="DE787" s="66"/>
      <c r="DF787" s="66"/>
      <c r="DG787" s="66"/>
      <c r="DH787" s="66"/>
      <c r="DI787" s="66"/>
      <c r="DJ787" s="66"/>
      <c r="DK787" s="66">
        <f>SUM(Table1[[#This Row],[01-03 Apr]:[Mar-26]])</f>
        <v>0</v>
      </c>
    </row>
    <row r="788" spans="1:115" hidden="1" x14ac:dyDescent="0.2">
      <c r="A788" s="28" t="s">
        <v>2255</v>
      </c>
      <c r="B788" s="29" t="s">
        <v>871</v>
      </c>
      <c r="C788" s="29" t="s">
        <v>2278</v>
      </c>
      <c r="D788" s="30" t="s">
        <v>872</v>
      </c>
      <c r="E788" s="30" t="s">
        <v>203</v>
      </c>
      <c r="F788" s="30"/>
      <c r="G788" s="31" t="s">
        <v>873</v>
      </c>
      <c r="H788" s="30">
        <v>387878</v>
      </c>
      <c r="I788" s="30" t="str">
        <f>IF(Table1[[#This Row],[Centre Status]]="Returned","NA",IF(Table1[[#This Row],[SD]]&gt;19000,"Full Payment",IF(Table1[[#This Row],[SD]]&lt;1,"No Payment","Partial Payment")))</f>
        <v>NA</v>
      </c>
      <c r="J788" s="30" t="s">
        <v>1903</v>
      </c>
      <c r="K788" s="32">
        <v>110000</v>
      </c>
      <c r="L788" s="33">
        <f>Q788+R788+U788+Table1[[#This Row],[Farmer Payment]]</f>
        <v>13722</v>
      </c>
      <c r="M788" s="30">
        <v>10000</v>
      </c>
      <c r="N788" s="34">
        <v>45426</v>
      </c>
      <c r="O788" s="34" t="s">
        <v>2449</v>
      </c>
      <c r="P788" s="35">
        <f t="shared" si="76"/>
        <v>106278</v>
      </c>
      <c r="Q788" s="33">
        <f>AI788+AV788+CK788+Table1[[#This Row],[FY 25-26]]</f>
        <v>3722</v>
      </c>
      <c r="R788" s="36">
        <v>10000</v>
      </c>
      <c r="S788" s="37" t="s">
        <v>874</v>
      </c>
      <c r="T788" s="38">
        <v>45001</v>
      </c>
      <c r="U788" s="39"/>
      <c r="V788" s="39"/>
      <c r="W788" s="40">
        <v>0</v>
      </c>
      <c r="X788" s="40">
        <v>0</v>
      </c>
      <c r="Y788" s="40">
        <v>0</v>
      </c>
      <c r="Z788" s="40">
        <v>0</v>
      </c>
      <c r="AA788" s="40">
        <v>0</v>
      </c>
      <c r="AB788" s="40">
        <v>0</v>
      </c>
      <c r="AC788" s="40">
        <v>0</v>
      </c>
      <c r="AD788" s="40">
        <v>0</v>
      </c>
      <c r="AE788" s="40">
        <v>0</v>
      </c>
      <c r="AF788" s="40">
        <v>0</v>
      </c>
      <c r="AG788" s="40">
        <v>0</v>
      </c>
      <c r="AH788" s="40">
        <v>0</v>
      </c>
      <c r="AI788" s="41">
        <f t="shared" si="77"/>
        <v>0</v>
      </c>
      <c r="AJ788" s="42">
        <v>1861</v>
      </c>
      <c r="AK788" s="42">
        <v>1861</v>
      </c>
      <c r="AL788" s="42">
        <v>0</v>
      </c>
      <c r="AM788" s="42">
        <v>0</v>
      </c>
      <c r="AN788" s="42">
        <v>0</v>
      </c>
      <c r="AO788" s="42">
        <v>0</v>
      </c>
      <c r="AP788" s="42">
        <v>0</v>
      </c>
      <c r="AQ788" s="42">
        <v>0</v>
      </c>
      <c r="AR788" s="42">
        <v>0</v>
      </c>
      <c r="AS788" s="42">
        <v>0</v>
      </c>
      <c r="AT788" s="42">
        <v>0</v>
      </c>
      <c r="AU788" s="42">
        <v>0</v>
      </c>
      <c r="AV788" s="42">
        <f t="shared" si="78"/>
        <v>3722</v>
      </c>
      <c r="AW788" s="42">
        <v>0</v>
      </c>
      <c r="AX788" s="42">
        <v>0</v>
      </c>
      <c r="AY788" s="42">
        <v>0</v>
      </c>
      <c r="AZ788" s="42">
        <v>0</v>
      </c>
      <c r="BA788" s="42">
        <v>0</v>
      </c>
      <c r="BB788" s="42">
        <v>0</v>
      </c>
      <c r="BC788" s="42">
        <v>0</v>
      </c>
      <c r="BD788" s="42">
        <v>0</v>
      </c>
      <c r="BE788" s="42">
        <v>0</v>
      </c>
      <c r="BF788" s="42">
        <v>0</v>
      </c>
      <c r="BG788" s="42">
        <v>0</v>
      </c>
      <c r="BH788" s="42">
        <v>0</v>
      </c>
      <c r="BI788" s="42">
        <v>0</v>
      </c>
      <c r="BJ788" s="42">
        <v>0</v>
      </c>
      <c r="BK788" s="42">
        <v>0</v>
      </c>
      <c r="BL788" s="42">
        <v>0</v>
      </c>
      <c r="BM788" s="42">
        <v>0</v>
      </c>
      <c r="BN788" s="42">
        <v>0</v>
      </c>
      <c r="BO788" s="42">
        <v>0</v>
      </c>
      <c r="BP788" s="42">
        <v>0</v>
      </c>
      <c r="BQ788" s="42">
        <v>0</v>
      </c>
      <c r="BR788" s="42">
        <v>0</v>
      </c>
      <c r="BS788" s="42">
        <v>0</v>
      </c>
      <c r="BT788" s="42">
        <v>0</v>
      </c>
      <c r="BU788" s="42">
        <v>0</v>
      </c>
      <c r="BV788" s="42">
        <v>0</v>
      </c>
      <c r="BW788" s="42">
        <v>0</v>
      </c>
      <c r="BX788" s="42">
        <v>0</v>
      </c>
      <c r="BY788" s="42">
        <v>0</v>
      </c>
      <c r="BZ788" s="42">
        <v>0</v>
      </c>
      <c r="CA788" s="42">
        <v>0</v>
      </c>
      <c r="CB788" s="42">
        <v>0</v>
      </c>
      <c r="CC788" s="42">
        <v>0</v>
      </c>
      <c r="CD788" s="42">
        <v>0</v>
      </c>
      <c r="CE788" s="42">
        <v>0</v>
      </c>
      <c r="CF788" s="42">
        <v>0</v>
      </c>
      <c r="CG788" s="42">
        <v>0</v>
      </c>
      <c r="CH788" s="42">
        <v>0</v>
      </c>
      <c r="CI788" s="42">
        <v>0</v>
      </c>
      <c r="CJ788" s="42">
        <v>0</v>
      </c>
      <c r="CK788" s="43">
        <f t="shared" si="75"/>
        <v>0</v>
      </c>
      <c r="CL788" s="66"/>
      <c r="CM788" s="66">
        <v>0</v>
      </c>
      <c r="CN788" s="66">
        <v>0</v>
      </c>
      <c r="CO788" s="66">
        <v>0</v>
      </c>
      <c r="CP788" s="66">
        <v>0</v>
      </c>
      <c r="CQ788" s="66">
        <v>0</v>
      </c>
      <c r="CR788" s="66">
        <v>0</v>
      </c>
      <c r="CS788" s="66">
        <v>0</v>
      </c>
      <c r="CT788" s="66">
        <v>0</v>
      </c>
      <c r="CU788" s="66">
        <v>0</v>
      </c>
      <c r="CV788" s="66">
        <v>0</v>
      </c>
      <c r="CW788" s="66">
        <v>0</v>
      </c>
      <c r="CX788" s="66">
        <v>0</v>
      </c>
      <c r="CY788" s="66">
        <v>0</v>
      </c>
      <c r="CZ788" s="66">
        <v>0</v>
      </c>
      <c r="DA788" s="66"/>
      <c r="DB788" s="66"/>
      <c r="DC788" s="66"/>
      <c r="DD788" s="66"/>
      <c r="DE788" s="66"/>
      <c r="DF788" s="66"/>
      <c r="DG788" s="66"/>
      <c r="DH788" s="66"/>
      <c r="DI788" s="66"/>
      <c r="DJ788" s="66"/>
      <c r="DK788" s="66">
        <f>SUM(Table1[[#This Row],[01-03 Apr]:[Mar-26]])</f>
        <v>0</v>
      </c>
    </row>
    <row r="789" spans="1:115" hidden="1" x14ac:dyDescent="0.2">
      <c r="A789" s="28" t="s">
        <v>2255</v>
      </c>
      <c r="B789" s="29" t="s">
        <v>882</v>
      </c>
      <c r="C789" s="29" t="s">
        <v>2277</v>
      </c>
      <c r="D789" s="30" t="s">
        <v>883</v>
      </c>
      <c r="E789" s="30" t="s">
        <v>203</v>
      </c>
      <c r="F789" s="30"/>
      <c r="G789" s="31" t="s">
        <v>873</v>
      </c>
      <c r="H789" s="30">
        <v>382429</v>
      </c>
      <c r="I789" s="30" t="str">
        <f>IF(Table1[[#This Row],[Centre Status]]="Returned","NA",IF(Table1[[#This Row],[SD]]&gt;19000,"Full Payment",IF(Table1[[#This Row],[SD]]&lt;1,"No Payment","Partial Payment")))</f>
        <v>NA</v>
      </c>
      <c r="J789" s="30" t="s">
        <v>1903</v>
      </c>
      <c r="K789" s="32">
        <v>110000</v>
      </c>
      <c r="L789" s="33">
        <f>Q789+R789+U789+Table1[[#This Row],[Farmer Payment]]</f>
        <v>11898</v>
      </c>
      <c r="M789" s="30">
        <v>5000</v>
      </c>
      <c r="N789" s="34">
        <v>45419</v>
      </c>
      <c r="O789" s="34" t="s">
        <v>2439</v>
      </c>
      <c r="P789" s="35">
        <f t="shared" si="76"/>
        <v>103102</v>
      </c>
      <c r="Q789" s="33">
        <f>AI789+AV789+CK789+Table1[[#This Row],[FY 25-26]]</f>
        <v>6898</v>
      </c>
      <c r="R789" s="36">
        <v>5000</v>
      </c>
      <c r="S789" s="37" t="s">
        <v>884</v>
      </c>
      <c r="T789" s="38">
        <v>45016</v>
      </c>
      <c r="U789" s="39"/>
      <c r="V789" s="39"/>
      <c r="W789" s="40">
        <v>0</v>
      </c>
      <c r="X789" s="40">
        <v>0</v>
      </c>
      <c r="Y789" s="40">
        <v>0</v>
      </c>
      <c r="Z789" s="40">
        <v>0</v>
      </c>
      <c r="AA789" s="40">
        <v>0</v>
      </c>
      <c r="AB789" s="40">
        <v>0</v>
      </c>
      <c r="AC789" s="40">
        <v>0</v>
      </c>
      <c r="AD789" s="40">
        <v>0</v>
      </c>
      <c r="AE789" s="40">
        <v>0</v>
      </c>
      <c r="AF789" s="40">
        <v>0</v>
      </c>
      <c r="AG789" s="40">
        <v>0</v>
      </c>
      <c r="AH789" s="40">
        <v>0</v>
      </c>
      <c r="AI789" s="41">
        <f t="shared" si="77"/>
        <v>0</v>
      </c>
      <c r="AJ789" s="42">
        <v>1315</v>
      </c>
      <c r="AK789" s="42">
        <v>1861</v>
      </c>
      <c r="AL789" s="42">
        <v>1861</v>
      </c>
      <c r="AM789" s="42">
        <v>1861</v>
      </c>
      <c r="AN789" s="42">
        <v>0</v>
      </c>
      <c r="AO789" s="42">
        <v>0</v>
      </c>
      <c r="AP789" s="42">
        <v>0</v>
      </c>
      <c r="AQ789" s="42">
        <v>0</v>
      </c>
      <c r="AR789" s="42">
        <v>0</v>
      </c>
      <c r="AS789" s="42">
        <v>0</v>
      </c>
      <c r="AT789" s="42">
        <v>0</v>
      </c>
      <c r="AU789" s="42">
        <v>0</v>
      </c>
      <c r="AV789" s="42">
        <f t="shared" si="78"/>
        <v>6898</v>
      </c>
      <c r="AW789" s="42">
        <v>0</v>
      </c>
      <c r="AX789" s="42">
        <v>0</v>
      </c>
      <c r="AY789" s="42">
        <v>0</v>
      </c>
      <c r="AZ789" s="42">
        <v>0</v>
      </c>
      <c r="BA789" s="42">
        <v>0</v>
      </c>
      <c r="BB789" s="42">
        <v>0</v>
      </c>
      <c r="BC789" s="42">
        <v>0</v>
      </c>
      <c r="BD789" s="42">
        <v>0</v>
      </c>
      <c r="BE789" s="42">
        <v>0</v>
      </c>
      <c r="BF789" s="42">
        <v>0</v>
      </c>
      <c r="BG789" s="42">
        <v>0</v>
      </c>
      <c r="BH789" s="42">
        <v>0</v>
      </c>
      <c r="BI789" s="42">
        <v>0</v>
      </c>
      <c r="BJ789" s="42">
        <v>0</v>
      </c>
      <c r="BK789" s="42">
        <v>0</v>
      </c>
      <c r="BL789" s="42">
        <v>0</v>
      </c>
      <c r="BM789" s="42">
        <v>0</v>
      </c>
      <c r="BN789" s="42">
        <v>0</v>
      </c>
      <c r="BO789" s="42">
        <v>0</v>
      </c>
      <c r="BP789" s="42">
        <v>0</v>
      </c>
      <c r="BQ789" s="42">
        <v>0</v>
      </c>
      <c r="BR789" s="42">
        <v>0</v>
      </c>
      <c r="BS789" s="42">
        <v>0</v>
      </c>
      <c r="BT789" s="42">
        <v>0</v>
      </c>
      <c r="BU789" s="42">
        <v>0</v>
      </c>
      <c r="BV789" s="42">
        <v>0</v>
      </c>
      <c r="BW789" s="42">
        <v>0</v>
      </c>
      <c r="BX789" s="42">
        <v>0</v>
      </c>
      <c r="BY789" s="42">
        <v>0</v>
      </c>
      <c r="BZ789" s="42">
        <v>0</v>
      </c>
      <c r="CA789" s="42">
        <v>0</v>
      </c>
      <c r="CB789" s="42">
        <v>0</v>
      </c>
      <c r="CC789" s="42">
        <v>0</v>
      </c>
      <c r="CD789" s="42">
        <v>0</v>
      </c>
      <c r="CE789" s="42">
        <v>0</v>
      </c>
      <c r="CF789" s="42">
        <v>0</v>
      </c>
      <c r="CG789" s="42">
        <v>0</v>
      </c>
      <c r="CH789" s="42">
        <v>0</v>
      </c>
      <c r="CI789" s="42">
        <v>0</v>
      </c>
      <c r="CJ789" s="42">
        <v>0</v>
      </c>
      <c r="CK789" s="43">
        <f t="shared" si="75"/>
        <v>0</v>
      </c>
      <c r="CL789" s="66"/>
      <c r="CM789" s="66">
        <v>0</v>
      </c>
      <c r="CN789" s="66">
        <v>0</v>
      </c>
      <c r="CO789" s="66">
        <v>0</v>
      </c>
      <c r="CP789" s="66">
        <v>0</v>
      </c>
      <c r="CQ789" s="66">
        <v>0</v>
      </c>
      <c r="CR789" s="66">
        <v>0</v>
      </c>
      <c r="CS789" s="66">
        <v>0</v>
      </c>
      <c r="CT789" s="66">
        <v>0</v>
      </c>
      <c r="CU789" s="66">
        <v>0</v>
      </c>
      <c r="CV789" s="66">
        <v>0</v>
      </c>
      <c r="CW789" s="66">
        <v>0</v>
      </c>
      <c r="CX789" s="66">
        <v>0</v>
      </c>
      <c r="CY789" s="66">
        <v>0</v>
      </c>
      <c r="CZ789" s="66">
        <v>0</v>
      </c>
      <c r="DA789" s="66"/>
      <c r="DB789" s="66"/>
      <c r="DC789" s="66"/>
      <c r="DD789" s="66"/>
      <c r="DE789" s="66"/>
      <c r="DF789" s="66"/>
      <c r="DG789" s="66"/>
      <c r="DH789" s="66"/>
      <c r="DI789" s="66"/>
      <c r="DJ789" s="66"/>
      <c r="DK789" s="66">
        <f>SUM(Table1[[#This Row],[01-03 Apr]:[Mar-26]])</f>
        <v>0</v>
      </c>
    </row>
    <row r="790" spans="1:115" hidden="1" x14ac:dyDescent="0.2">
      <c r="A790" s="28" t="s">
        <v>2255</v>
      </c>
      <c r="B790" s="29" t="s">
        <v>892</v>
      </c>
      <c r="C790" s="29" t="s">
        <v>3336</v>
      </c>
      <c r="D790" s="30" t="s">
        <v>893</v>
      </c>
      <c r="E790" s="30" t="s">
        <v>203</v>
      </c>
      <c r="F790" s="30"/>
      <c r="G790" s="31">
        <v>45007</v>
      </c>
      <c r="H790" s="30">
        <v>385570</v>
      </c>
      <c r="I790" s="30" t="str">
        <f>IF(Table1[[#This Row],[Centre Status]]="Returned","NA",IF(Table1[[#This Row],[SD]]&gt;19000,"Full Payment",IF(Table1[[#This Row],[SD]]&lt;1,"No Payment","Partial Payment")))</f>
        <v>NA</v>
      </c>
      <c r="J790" s="30" t="s">
        <v>1903</v>
      </c>
      <c r="K790" s="32">
        <v>110000</v>
      </c>
      <c r="L790" s="33">
        <f>Q790+R790+U790+Table1[[#This Row],[Farmer Payment]]</f>
        <v>10574.6558</v>
      </c>
      <c r="M790" s="30">
        <f>5000-5000</f>
        <v>0</v>
      </c>
      <c r="N790" s="34">
        <v>45426</v>
      </c>
      <c r="O790" s="34" t="s">
        <v>2444</v>
      </c>
      <c r="P790" s="35">
        <f t="shared" si="76"/>
        <v>99425.344199999992</v>
      </c>
      <c r="Q790" s="33">
        <f>AI790+AV790+CK790+Table1[[#This Row],[FY 25-26]]</f>
        <v>5574.6558000000005</v>
      </c>
      <c r="R790" s="36">
        <v>5000</v>
      </c>
      <c r="S790" s="37" t="s">
        <v>894</v>
      </c>
      <c r="T790" s="38">
        <v>44998</v>
      </c>
      <c r="U790" s="39"/>
      <c r="V790" s="39"/>
      <c r="W790" s="40">
        <v>0</v>
      </c>
      <c r="X790" s="40">
        <v>0</v>
      </c>
      <c r="Y790" s="40">
        <v>0</v>
      </c>
      <c r="Z790" s="40">
        <v>0</v>
      </c>
      <c r="AA790" s="40">
        <v>0</v>
      </c>
      <c r="AB790" s="40">
        <v>0</v>
      </c>
      <c r="AC790" s="40">
        <v>0</v>
      </c>
      <c r="AD790" s="40">
        <v>0</v>
      </c>
      <c r="AE790" s="40">
        <v>0</v>
      </c>
      <c r="AF790" s="40">
        <v>0</v>
      </c>
      <c r="AG790" s="40">
        <v>0</v>
      </c>
      <c r="AH790" s="40">
        <v>188</v>
      </c>
      <c r="AI790" s="41">
        <f t="shared" si="77"/>
        <v>188</v>
      </c>
      <c r="AJ790" s="42">
        <v>1486</v>
      </c>
      <c r="AK790" s="42">
        <v>2039.6558000000002</v>
      </c>
      <c r="AL790" s="42">
        <v>1861</v>
      </c>
      <c r="AM790" s="42">
        <v>0</v>
      </c>
      <c r="AN790" s="42">
        <v>0</v>
      </c>
      <c r="AO790" s="42">
        <v>0</v>
      </c>
      <c r="AP790" s="42">
        <v>0</v>
      </c>
      <c r="AQ790" s="42">
        <v>0</v>
      </c>
      <c r="AR790" s="42">
        <v>0</v>
      </c>
      <c r="AS790" s="42">
        <v>0</v>
      </c>
      <c r="AT790" s="42">
        <v>0</v>
      </c>
      <c r="AU790" s="42">
        <v>0</v>
      </c>
      <c r="AV790" s="42">
        <f t="shared" si="78"/>
        <v>5386.6558000000005</v>
      </c>
      <c r="AW790" s="42">
        <v>0</v>
      </c>
      <c r="AX790" s="42">
        <v>0</v>
      </c>
      <c r="AY790" s="42">
        <v>0</v>
      </c>
      <c r="AZ790" s="42">
        <v>0</v>
      </c>
      <c r="BA790" s="42">
        <v>0</v>
      </c>
      <c r="BB790" s="42">
        <v>0</v>
      </c>
      <c r="BC790" s="42">
        <v>0</v>
      </c>
      <c r="BD790" s="42">
        <v>0</v>
      </c>
      <c r="BE790" s="42">
        <v>0</v>
      </c>
      <c r="BF790" s="42">
        <v>0</v>
      </c>
      <c r="BG790" s="42">
        <v>0</v>
      </c>
      <c r="BH790" s="42">
        <v>0</v>
      </c>
      <c r="BI790" s="42">
        <v>0</v>
      </c>
      <c r="BJ790" s="42">
        <v>0</v>
      </c>
      <c r="BK790" s="42">
        <v>0</v>
      </c>
      <c r="BL790" s="42">
        <v>0</v>
      </c>
      <c r="BM790" s="42">
        <v>0</v>
      </c>
      <c r="BN790" s="42">
        <v>0</v>
      </c>
      <c r="BO790" s="42">
        <v>0</v>
      </c>
      <c r="BP790" s="42">
        <v>0</v>
      </c>
      <c r="BQ790" s="42">
        <v>0</v>
      </c>
      <c r="BR790" s="42">
        <v>0</v>
      </c>
      <c r="BS790" s="42">
        <v>0</v>
      </c>
      <c r="BT790" s="42">
        <v>0</v>
      </c>
      <c r="BU790" s="42">
        <v>0</v>
      </c>
      <c r="BV790" s="42">
        <v>0</v>
      </c>
      <c r="BW790" s="42">
        <v>0</v>
      </c>
      <c r="BX790" s="42">
        <v>0</v>
      </c>
      <c r="BY790" s="42">
        <v>0</v>
      </c>
      <c r="BZ790" s="42">
        <v>0</v>
      </c>
      <c r="CA790" s="42">
        <v>0</v>
      </c>
      <c r="CB790" s="42">
        <v>0</v>
      </c>
      <c r="CC790" s="42">
        <v>0</v>
      </c>
      <c r="CD790" s="42">
        <v>0</v>
      </c>
      <c r="CE790" s="42">
        <v>0</v>
      </c>
      <c r="CF790" s="42">
        <v>0</v>
      </c>
      <c r="CG790" s="42">
        <v>0</v>
      </c>
      <c r="CH790" s="42">
        <v>0</v>
      </c>
      <c r="CI790" s="42">
        <v>0</v>
      </c>
      <c r="CJ790" s="42">
        <v>0</v>
      </c>
      <c r="CK790" s="43">
        <f t="shared" si="75"/>
        <v>0</v>
      </c>
      <c r="CL790" s="66"/>
      <c r="CM790" s="66">
        <v>0</v>
      </c>
      <c r="CN790" s="66">
        <v>0</v>
      </c>
      <c r="CO790" s="66">
        <v>0</v>
      </c>
      <c r="CP790" s="66">
        <v>0</v>
      </c>
      <c r="CQ790" s="66">
        <v>0</v>
      </c>
      <c r="CR790" s="66">
        <v>0</v>
      </c>
      <c r="CS790" s="66">
        <v>0</v>
      </c>
      <c r="CT790" s="66">
        <v>0</v>
      </c>
      <c r="CU790" s="66">
        <v>0</v>
      </c>
      <c r="CV790" s="66">
        <v>0</v>
      </c>
      <c r="CW790" s="66">
        <v>0</v>
      </c>
      <c r="CX790" s="66">
        <v>0</v>
      </c>
      <c r="CY790" s="66">
        <v>0</v>
      </c>
      <c r="CZ790" s="66">
        <v>0</v>
      </c>
      <c r="DA790" s="66"/>
      <c r="DB790" s="66"/>
      <c r="DC790" s="66"/>
      <c r="DD790" s="66"/>
      <c r="DE790" s="66"/>
      <c r="DF790" s="66"/>
      <c r="DG790" s="66"/>
      <c r="DH790" s="66"/>
      <c r="DI790" s="66"/>
      <c r="DJ790" s="66"/>
      <c r="DK790" s="66">
        <f>SUM(Table1[[#This Row],[01-03 Apr]:[Mar-26]])</f>
        <v>0</v>
      </c>
    </row>
    <row r="791" spans="1:115" hidden="1" x14ac:dyDescent="0.2">
      <c r="A791" s="28" t="s">
        <v>2255</v>
      </c>
      <c r="B791" s="29" t="s">
        <v>920</v>
      </c>
      <c r="C791" s="29" t="s">
        <v>2276</v>
      </c>
      <c r="D791" s="30" t="s">
        <v>921</v>
      </c>
      <c r="E791" s="30" t="s">
        <v>906</v>
      </c>
      <c r="F791" s="30"/>
      <c r="G791" s="31">
        <v>45007</v>
      </c>
      <c r="H791" s="30">
        <v>385560</v>
      </c>
      <c r="I791" s="30" t="str">
        <f>IF(Table1[[#This Row],[Centre Status]]="Returned","NA",IF(Table1[[#This Row],[SD]]&gt;19000,"Full Payment",IF(Table1[[#This Row],[SD]]&lt;1,"No Payment","Partial Payment")))</f>
        <v>NA</v>
      </c>
      <c r="J791" s="30" t="s">
        <v>1903</v>
      </c>
      <c r="K791" s="32">
        <v>110000</v>
      </c>
      <c r="L791" s="33">
        <f>Q791+R791+U791+Table1[[#This Row],[Farmer Payment]]</f>
        <v>18483</v>
      </c>
      <c r="M791" s="30">
        <f>10000-10000</f>
        <v>0</v>
      </c>
      <c r="N791" s="34">
        <v>45527</v>
      </c>
      <c r="O791" s="34" t="s">
        <v>2557</v>
      </c>
      <c r="P791" s="35">
        <f t="shared" si="76"/>
        <v>91517</v>
      </c>
      <c r="Q791" s="33">
        <f>AI791+AV791+CK791+Table1[[#This Row],[FY 25-26]]</f>
        <v>8483</v>
      </c>
      <c r="R791" s="36">
        <v>10000</v>
      </c>
      <c r="S791" s="37" t="s">
        <v>922</v>
      </c>
      <c r="T791" s="38">
        <v>44998</v>
      </c>
      <c r="U791" s="39"/>
      <c r="V791" s="39"/>
      <c r="W791" s="40">
        <v>0</v>
      </c>
      <c r="X791" s="40">
        <v>0</v>
      </c>
      <c r="Y791" s="40">
        <v>0</v>
      </c>
      <c r="Z791" s="40">
        <v>0</v>
      </c>
      <c r="AA791" s="40">
        <v>0</v>
      </c>
      <c r="AB791" s="40">
        <v>0</v>
      </c>
      <c r="AC791" s="40">
        <v>0</v>
      </c>
      <c r="AD791" s="40">
        <v>0</v>
      </c>
      <c r="AE791" s="40">
        <v>0</v>
      </c>
      <c r="AF791" s="40">
        <v>0</v>
      </c>
      <c r="AG791" s="40">
        <v>0</v>
      </c>
      <c r="AH791" s="40">
        <v>1225</v>
      </c>
      <c r="AI791" s="41">
        <f t="shared" si="77"/>
        <v>1225</v>
      </c>
      <c r="AJ791" s="42">
        <v>1861</v>
      </c>
      <c r="AK791" s="42">
        <v>1861</v>
      </c>
      <c r="AL791" s="42">
        <v>1479</v>
      </c>
      <c r="AM791" s="42">
        <v>1354</v>
      </c>
      <c r="AN791" s="42">
        <v>516</v>
      </c>
      <c r="AO791" s="42">
        <v>187</v>
      </c>
      <c r="AP791" s="42">
        <v>0</v>
      </c>
      <c r="AQ791" s="42">
        <v>0</v>
      </c>
      <c r="AR791" s="42">
        <v>0</v>
      </c>
      <c r="AS791" s="42">
        <v>0</v>
      </c>
      <c r="AT791" s="42">
        <v>0</v>
      </c>
      <c r="AU791" s="42">
        <v>0</v>
      </c>
      <c r="AV791" s="42">
        <f t="shared" si="78"/>
        <v>7258</v>
      </c>
      <c r="AW791" s="42">
        <v>0</v>
      </c>
      <c r="AX791" s="42">
        <v>0</v>
      </c>
      <c r="AY791" s="42">
        <v>0</v>
      </c>
      <c r="AZ791" s="42">
        <v>0</v>
      </c>
      <c r="BA791" s="42">
        <v>0</v>
      </c>
      <c r="BB791" s="42">
        <v>0</v>
      </c>
      <c r="BC791" s="42">
        <v>0</v>
      </c>
      <c r="BD791" s="42">
        <v>0</v>
      </c>
      <c r="BE791" s="42">
        <v>0</v>
      </c>
      <c r="BF791" s="42">
        <v>0</v>
      </c>
      <c r="BG791" s="42">
        <v>0</v>
      </c>
      <c r="BH791" s="42">
        <v>0</v>
      </c>
      <c r="BI791" s="42">
        <v>0</v>
      </c>
      <c r="BJ791" s="42">
        <v>0</v>
      </c>
      <c r="BK791" s="42">
        <v>0</v>
      </c>
      <c r="BL791" s="42">
        <v>0</v>
      </c>
      <c r="BM791" s="42">
        <v>0</v>
      </c>
      <c r="BN791" s="42">
        <v>0</v>
      </c>
      <c r="BO791" s="42">
        <v>0</v>
      </c>
      <c r="BP791" s="42">
        <v>0</v>
      </c>
      <c r="BQ791" s="42">
        <v>0</v>
      </c>
      <c r="BR791" s="42">
        <v>0</v>
      </c>
      <c r="BS791" s="42">
        <v>0</v>
      </c>
      <c r="BT791" s="42">
        <v>0</v>
      </c>
      <c r="BU791" s="42">
        <v>0</v>
      </c>
      <c r="BV791" s="42">
        <v>0</v>
      </c>
      <c r="BW791" s="42">
        <v>0</v>
      </c>
      <c r="BX791" s="42">
        <v>0</v>
      </c>
      <c r="BY791" s="42">
        <v>0</v>
      </c>
      <c r="BZ791" s="42">
        <v>0</v>
      </c>
      <c r="CA791" s="42">
        <v>0</v>
      </c>
      <c r="CB791" s="42">
        <v>0</v>
      </c>
      <c r="CC791" s="42">
        <v>0</v>
      </c>
      <c r="CD791" s="42">
        <v>0</v>
      </c>
      <c r="CE791" s="42">
        <v>0</v>
      </c>
      <c r="CF791" s="42">
        <v>0</v>
      </c>
      <c r="CG791" s="42">
        <v>0</v>
      </c>
      <c r="CH791" s="42">
        <v>0</v>
      </c>
      <c r="CI791" s="42">
        <v>0</v>
      </c>
      <c r="CJ791" s="42">
        <v>0</v>
      </c>
      <c r="CK791" s="43">
        <f t="shared" si="75"/>
        <v>0</v>
      </c>
      <c r="CL791" s="66"/>
      <c r="CM791" s="66">
        <v>0</v>
      </c>
      <c r="CN791" s="66">
        <v>0</v>
      </c>
      <c r="CO791" s="66">
        <v>0</v>
      </c>
      <c r="CP791" s="66">
        <v>0</v>
      </c>
      <c r="CQ791" s="66">
        <v>0</v>
      </c>
      <c r="CR791" s="66">
        <v>0</v>
      </c>
      <c r="CS791" s="66">
        <v>0</v>
      </c>
      <c r="CT791" s="66">
        <v>0</v>
      </c>
      <c r="CU791" s="66">
        <v>0</v>
      </c>
      <c r="CV791" s="66">
        <v>0</v>
      </c>
      <c r="CW791" s="66">
        <v>0</v>
      </c>
      <c r="CX791" s="66">
        <v>0</v>
      </c>
      <c r="CY791" s="66">
        <v>0</v>
      </c>
      <c r="CZ791" s="66">
        <v>0</v>
      </c>
      <c r="DA791" s="66"/>
      <c r="DB791" s="66"/>
      <c r="DC791" s="66"/>
      <c r="DD791" s="66"/>
      <c r="DE791" s="66"/>
      <c r="DF791" s="66"/>
      <c r="DG791" s="66"/>
      <c r="DH791" s="66"/>
      <c r="DI791" s="66"/>
      <c r="DJ791" s="66"/>
      <c r="DK791" s="66">
        <f>SUM(Table1[[#This Row],[01-03 Apr]:[Mar-26]])</f>
        <v>0</v>
      </c>
    </row>
    <row r="792" spans="1:115" hidden="1" x14ac:dyDescent="0.2">
      <c r="A792" s="28" t="s">
        <v>2255</v>
      </c>
      <c r="B792" s="29" t="s">
        <v>923</v>
      </c>
      <c r="C792" s="29" t="s">
        <v>2275</v>
      </c>
      <c r="D792" s="30" t="s">
        <v>924</v>
      </c>
      <c r="E792" s="30" t="s">
        <v>217</v>
      </c>
      <c r="F792" s="30"/>
      <c r="G792" s="31">
        <v>45007</v>
      </c>
      <c r="H792" s="30">
        <v>382510</v>
      </c>
      <c r="I792" s="30" t="str">
        <f>IF(Table1[[#This Row],[Centre Status]]="Returned","NA",IF(Table1[[#This Row],[SD]]&gt;19000,"Full Payment",IF(Table1[[#This Row],[SD]]&lt;1,"No Payment","Partial Payment")))</f>
        <v>NA</v>
      </c>
      <c r="J792" s="30" t="s">
        <v>1903</v>
      </c>
      <c r="K792" s="32">
        <v>110000</v>
      </c>
      <c r="L792" s="33">
        <f>Q792+R792+U792+Table1[[#This Row],[Farmer Payment]]</f>
        <v>14962.957400000001</v>
      </c>
      <c r="M792" s="30">
        <v>14500</v>
      </c>
      <c r="N792" s="34">
        <v>45419</v>
      </c>
      <c r="O792" s="34" t="s">
        <v>2696</v>
      </c>
      <c r="P792" s="35">
        <f t="shared" si="76"/>
        <v>109537.0426</v>
      </c>
      <c r="Q792" s="33">
        <f>AI792+AV792+CK792+Table1[[#This Row],[FY 25-26]]</f>
        <v>9962.9574000000011</v>
      </c>
      <c r="R792" s="36">
        <v>5000</v>
      </c>
      <c r="S792" s="37" t="s">
        <v>925</v>
      </c>
      <c r="T792" s="38">
        <v>45001</v>
      </c>
      <c r="U792" s="39"/>
      <c r="V792" s="39"/>
      <c r="W792" s="40">
        <v>0</v>
      </c>
      <c r="X792" s="40">
        <v>0</v>
      </c>
      <c r="Y792" s="40">
        <v>0</v>
      </c>
      <c r="Z792" s="40">
        <v>0</v>
      </c>
      <c r="AA792" s="40">
        <v>0</v>
      </c>
      <c r="AB792" s="40">
        <v>0</v>
      </c>
      <c r="AC792" s="40">
        <v>0</v>
      </c>
      <c r="AD792" s="40">
        <v>0</v>
      </c>
      <c r="AE792" s="40">
        <v>0</v>
      </c>
      <c r="AF792" s="40">
        <v>0</v>
      </c>
      <c r="AG792" s="40">
        <v>0</v>
      </c>
      <c r="AH792" s="40">
        <v>0</v>
      </c>
      <c r="AI792" s="41">
        <f t="shared" si="77"/>
        <v>0</v>
      </c>
      <c r="AJ792" s="42">
        <v>902</v>
      </c>
      <c r="AK792" s="42">
        <v>621</v>
      </c>
      <c r="AL792" s="42">
        <v>904</v>
      </c>
      <c r="AM792" s="42">
        <v>1861</v>
      </c>
      <c r="AN792" s="42">
        <v>3813.9574000000007</v>
      </c>
      <c r="AO792" s="42">
        <v>0</v>
      </c>
      <c r="AP792" s="42">
        <v>0</v>
      </c>
      <c r="AQ792" s="42">
        <v>1861</v>
      </c>
      <c r="AR792" s="42">
        <v>0</v>
      </c>
      <c r="AS792" s="42">
        <v>0</v>
      </c>
      <c r="AT792" s="42">
        <v>0</v>
      </c>
      <c r="AU792" s="42">
        <v>0</v>
      </c>
      <c r="AV792" s="42">
        <f t="shared" si="78"/>
        <v>9962.9574000000011</v>
      </c>
      <c r="AW792" s="42">
        <v>0</v>
      </c>
      <c r="AX792" s="42">
        <v>0</v>
      </c>
      <c r="AY792" s="42">
        <v>0</v>
      </c>
      <c r="AZ792" s="42">
        <v>0</v>
      </c>
      <c r="BA792" s="42">
        <v>0</v>
      </c>
      <c r="BB792" s="42">
        <v>0</v>
      </c>
      <c r="BC792" s="42">
        <v>0</v>
      </c>
      <c r="BD792" s="42">
        <v>0</v>
      </c>
      <c r="BE792" s="42">
        <v>0</v>
      </c>
      <c r="BF792" s="42">
        <v>0</v>
      </c>
      <c r="BG792" s="42">
        <v>0</v>
      </c>
      <c r="BH792" s="42">
        <v>0</v>
      </c>
      <c r="BI792" s="42">
        <v>0</v>
      </c>
      <c r="BJ792" s="42">
        <v>0</v>
      </c>
      <c r="BK792" s="42">
        <v>0</v>
      </c>
      <c r="BL792" s="42">
        <v>0</v>
      </c>
      <c r="BM792" s="42">
        <v>0</v>
      </c>
      <c r="BN792" s="42">
        <v>0</v>
      </c>
      <c r="BO792" s="42">
        <v>0</v>
      </c>
      <c r="BP792" s="42">
        <v>0</v>
      </c>
      <c r="BQ792" s="42">
        <v>0</v>
      </c>
      <c r="BR792" s="42">
        <v>0</v>
      </c>
      <c r="BS792" s="42">
        <v>0</v>
      </c>
      <c r="BT792" s="42">
        <v>0</v>
      </c>
      <c r="BU792" s="42">
        <v>0</v>
      </c>
      <c r="BV792" s="42">
        <v>0</v>
      </c>
      <c r="BW792" s="42">
        <v>0</v>
      </c>
      <c r="BX792" s="42">
        <v>0</v>
      </c>
      <c r="BY792" s="42">
        <v>0</v>
      </c>
      <c r="BZ792" s="42">
        <v>0</v>
      </c>
      <c r="CA792" s="42">
        <v>0</v>
      </c>
      <c r="CB792" s="42">
        <v>0</v>
      </c>
      <c r="CC792" s="42">
        <v>0</v>
      </c>
      <c r="CD792" s="42">
        <v>0</v>
      </c>
      <c r="CE792" s="42">
        <v>0</v>
      </c>
      <c r="CF792" s="42">
        <v>0</v>
      </c>
      <c r="CG792" s="42">
        <v>0</v>
      </c>
      <c r="CH792" s="42">
        <v>0</v>
      </c>
      <c r="CI792" s="42">
        <v>0</v>
      </c>
      <c r="CJ792" s="42">
        <v>0</v>
      </c>
      <c r="CK792" s="43">
        <f t="shared" si="75"/>
        <v>0</v>
      </c>
      <c r="CL792" s="66"/>
      <c r="CM792" s="66">
        <v>0</v>
      </c>
      <c r="CN792" s="66">
        <v>0</v>
      </c>
      <c r="CO792" s="66">
        <v>0</v>
      </c>
      <c r="CP792" s="66">
        <v>0</v>
      </c>
      <c r="CQ792" s="66">
        <v>0</v>
      </c>
      <c r="CR792" s="66">
        <v>0</v>
      </c>
      <c r="CS792" s="66">
        <v>0</v>
      </c>
      <c r="CT792" s="66">
        <v>0</v>
      </c>
      <c r="CU792" s="66">
        <v>0</v>
      </c>
      <c r="CV792" s="66">
        <v>0</v>
      </c>
      <c r="CW792" s="66">
        <v>0</v>
      </c>
      <c r="CX792" s="66">
        <v>0</v>
      </c>
      <c r="CY792" s="66">
        <v>0</v>
      </c>
      <c r="CZ792" s="66">
        <v>0</v>
      </c>
      <c r="DA792" s="66"/>
      <c r="DB792" s="66"/>
      <c r="DC792" s="66"/>
      <c r="DD792" s="66"/>
      <c r="DE792" s="66"/>
      <c r="DF792" s="66"/>
      <c r="DG792" s="66"/>
      <c r="DH792" s="66"/>
      <c r="DI792" s="66"/>
      <c r="DJ792" s="66"/>
      <c r="DK792" s="66">
        <f>SUM(Table1[[#This Row],[01-03 Apr]:[Mar-26]])</f>
        <v>0</v>
      </c>
    </row>
    <row r="793" spans="1:115" hidden="1" x14ac:dyDescent="0.2">
      <c r="A793" s="28" t="s">
        <v>2255</v>
      </c>
      <c r="B793" s="29" t="s">
        <v>941</v>
      </c>
      <c r="C793" s="29" t="s">
        <v>3336</v>
      </c>
      <c r="D793" s="30" t="s">
        <v>942</v>
      </c>
      <c r="E793" s="30" t="s">
        <v>943</v>
      </c>
      <c r="F793" s="30"/>
      <c r="G793" s="31">
        <v>45007</v>
      </c>
      <c r="H793" s="30">
        <v>387869</v>
      </c>
      <c r="I793" s="30" t="str">
        <f>IF(Table1[[#This Row],[Centre Status]]="Returned","NA",IF(Table1[[#This Row],[SD]]&gt;19000,"Full Payment",IF(Table1[[#This Row],[SD]]&lt;1,"No Payment","Partial Payment")))</f>
        <v>NA</v>
      </c>
      <c r="J793" s="30" t="s">
        <v>1903</v>
      </c>
      <c r="K793" s="32">
        <v>110000</v>
      </c>
      <c r="L793" s="33">
        <f>Q793+R793+U793+Table1[[#This Row],[Farmer Payment]]</f>
        <v>23705</v>
      </c>
      <c r="M793" s="30">
        <v>23705</v>
      </c>
      <c r="N793" s="34">
        <v>45414</v>
      </c>
      <c r="O793" s="34" t="s">
        <v>2428</v>
      </c>
      <c r="P793" s="35">
        <f t="shared" si="76"/>
        <v>110000</v>
      </c>
      <c r="Q793" s="33">
        <f>AI793+AV793+CK793+Table1[[#This Row],[FY 25-26]]</f>
        <v>3705</v>
      </c>
      <c r="R793" s="36">
        <v>20000</v>
      </c>
      <c r="S793" s="37" t="s">
        <v>944</v>
      </c>
      <c r="T793" s="38">
        <v>45006</v>
      </c>
      <c r="U793" s="39"/>
      <c r="V793" s="39"/>
      <c r="W793" s="40">
        <v>0</v>
      </c>
      <c r="X793" s="40">
        <v>0</v>
      </c>
      <c r="Y793" s="40">
        <v>0</v>
      </c>
      <c r="Z793" s="40">
        <v>0</v>
      </c>
      <c r="AA793" s="40">
        <v>0</v>
      </c>
      <c r="AB793" s="40">
        <v>0</v>
      </c>
      <c r="AC793" s="40">
        <v>0</v>
      </c>
      <c r="AD793" s="40">
        <v>0</v>
      </c>
      <c r="AE793" s="40">
        <v>0</v>
      </c>
      <c r="AF793" s="40">
        <v>0</v>
      </c>
      <c r="AG793" s="40">
        <v>0</v>
      </c>
      <c r="AH793" s="40">
        <v>34</v>
      </c>
      <c r="AI793" s="41">
        <f t="shared" si="77"/>
        <v>34</v>
      </c>
      <c r="AJ793" s="42">
        <v>1646</v>
      </c>
      <c r="AK793" s="42">
        <v>1861</v>
      </c>
      <c r="AL793" s="42">
        <v>164</v>
      </c>
      <c r="AM793" s="42">
        <v>0</v>
      </c>
      <c r="AN793" s="42">
        <v>0</v>
      </c>
      <c r="AO793" s="42">
        <v>0</v>
      </c>
      <c r="AP793" s="42">
        <v>0</v>
      </c>
      <c r="AQ793" s="42">
        <v>0</v>
      </c>
      <c r="AR793" s="42">
        <v>0</v>
      </c>
      <c r="AS793" s="42">
        <v>0</v>
      </c>
      <c r="AT793" s="42">
        <v>0</v>
      </c>
      <c r="AU793" s="42">
        <v>0</v>
      </c>
      <c r="AV793" s="42">
        <f t="shared" si="78"/>
        <v>3671</v>
      </c>
      <c r="AW793" s="42">
        <v>0</v>
      </c>
      <c r="AX793" s="42">
        <v>0</v>
      </c>
      <c r="AY793" s="42">
        <v>0</v>
      </c>
      <c r="AZ793" s="42">
        <v>0</v>
      </c>
      <c r="BA793" s="42">
        <v>0</v>
      </c>
      <c r="BB793" s="42">
        <v>0</v>
      </c>
      <c r="BC793" s="42">
        <v>0</v>
      </c>
      <c r="BD793" s="42">
        <v>0</v>
      </c>
      <c r="BE793" s="42">
        <v>0</v>
      </c>
      <c r="BF793" s="42">
        <v>0</v>
      </c>
      <c r="BG793" s="42">
        <v>0</v>
      </c>
      <c r="BH793" s="42">
        <v>0</v>
      </c>
      <c r="BI793" s="42">
        <v>0</v>
      </c>
      <c r="BJ793" s="42">
        <v>0</v>
      </c>
      <c r="BK793" s="42">
        <v>0</v>
      </c>
      <c r="BL793" s="42">
        <v>0</v>
      </c>
      <c r="BM793" s="42">
        <v>0</v>
      </c>
      <c r="BN793" s="42">
        <v>0</v>
      </c>
      <c r="BO793" s="42">
        <v>0</v>
      </c>
      <c r="BP793" s="42">
        <v>0</v>
      </c>
      <c r="BQ793" s="42">
        <v>0</v>
      </c>
      <c r="BR793" s="42">
        <v>0</v>
      </c>
      <c r="BS793" s="42">
        <v>0</v>
      </c>
      <c r="BT793" s="42">
        <v>0</v>
      </c>
      <c r="BU793" s="42">
        <v>0</v>
      </c>
      <c r="BV793" s="42">
        <v>0</v>
      </c>
      <c r="BW793" s="42">
        <v>0</v>
      </c>
      <c r="BX793" s="42">
        <v>0</v>
      </c>
      <c r="BY793" s="42">
        <v>0</v>
      </c>
      <c r="BZ793" s="42">
        <v>0</v>
      </c>
      <c r="CA793" s="42">
        <v>0</v>
      </c>
      <c r="CB793" s="42">
        <v>0</v>
      </c>
      <c r="CC793" s="42">
        <v>0</v>
      </c>
      <c r="CD793" s="42">
        <v>0</v>
      </c>
      <c r="CE793" s="42">
        <v>0</v>
      </c>
      <c r="CF793" s="42">
        <v>0</v>
      </c>
      <c r="CG793" s="42">
        <v>0</v>
      </c>
      <c r="CH793" s="42">
        <v>0</v>
      </c>
      <c r="CI793" s="42">
        <v>0</v>
      </c>
      <c r="CJ793" s="42">
        <v>0</v>
      </c>
      <c r="CK793" s="43">
        <f t="shared" si="75"/>
        <v>0</v>
      </c>
      <c r="CL793" s="66"/>
      <c r="CM793" s="66">
        <v>0</v>
      </c>
      <c r="CN793" s="66">
        <v>0</v>
      </c>
      <c r="CO793" s="66">
        <v>0</v>
      </c>
      <c r="CP793" s="66">
        <v>0</v>
      </c>
      <c r="CQ793" s="66">
        <v>0</v>
      </c>
      <c r="CR793" s="66">
        <v>0</v>
      </c>
      <c r="CS793" s="66">
        <v>0</v>
      </c>
      <c r="CT793" s="66">
        <v>0</v>
      </c>
      <c r="CU793" s="66">
        <v>0</v>
      </c>
      <c r="CV793" s="66">
        <v>0</v>
      </c>
      <c r="CW793" s="66">
        <v>0</v>
      </c>
      <c r="CX793" s="66">
        <v>0</v>
      </c>
      <c r="CY793" s="66">
        <v>0</v>
      </c>
      <c r="CZ793" s="66">
        <v>0</v>
      </c>
      <c r="DA793" s="66"/>
      <c r="DB793" s="66"/>
      <c r="DC793" s="66"/>
      <c r="DD793" s="66"/>
      <c r="DE793" s="66"/>
      <c r="DF793" s="66"/>
      <c r="DG793" s="66"/>
      <c r="DH793" s="66"/>
      <c r="DI793" s="66"/>
      <c r="DJ793" s="66"/>
      <c r="DK793" s="66">
        <f>SUM(Table1[[#This Row],[01-03 Apr]:[Mar-26]])</f>
        <v>0</v>
      </c>
    </row>
    <row r="794" spans="1:115" hidden="1" x14ac:dyDescent="0.2">
      <c r="A794" s="28" t="s">
        <v>2255</v>
      </c>
      <c r="B794" s="29" t="s">
        <v>953</v>
      </c>
      <c r="C794" s="29" t="s">
        <v>2274</v>
      </c>
      <c r="D794" s="30" t="s">
        <v>954</v>
      </c>
      <c r="E794" s="30" t="s">
        <v>203</v>
      </c>
      <c r="F794" s="30"/>
      <c r="G794" s="31">
        <v>45010</v>
      </c>
      <c r="H794" s="30">
        <v>378191</v>
      </c>
      <c r="I794" s="30" t="str">
        <f>IF(Table1[[#This Row],[Centre Status]]="Returned","NA",IF(Table1[[#This Row],[SD]]&gt;19000,"Full Payment",IF(Table1[[#This Row],[SD]]&lt;1,"No Payment","Partial Payment")))</f>
        <v>NA</v>
      </c>
      <c r="J794" s="30" t="s">
        <v>1903</v>
      </c>
      <c r="K794" s="32">
        <v>110000</v>
      </c>
      <c r="L794" s="33">
        <f>Q794+R794+U794+Table1[[#This Row],[Farmer Payment]]</f>
        <v>1396</v>
      </c>
      <c r="M794" s="30"/>
      <c r="N794" s="34"/>
      <c r="O794" s="34"/>
      <c r="P794" s="35">
        <f t="shared" si="76"/>
        <v>108604</v>
      </c>
      <c r="Q794" s="33">
        <f>AI794+AV794+CK794+Table1[[#This Row],[FY 25-26]]</f>
        <v>1396</v>
      </c>
      <c r="R794" s="36"/>
      <c r="S794" s="37"/>
      <c r="T794" s="38"/>
      <c r="U794" s="39"/>
      <c r="V794" s="39"/>
      <c r="W794" s="40">
        <v>0</v>
      </c>
      <c r="X794" s="40">
        <v>0</v>
      </c>
      <c r="Y794" s="40">
        <v>0</v>
      </c>
      <c r="Z794" s="40">
        <v>0</v>
      </c>
      <c r="AA794" s="40">
        <v>0</v>
      </c>
      <c r="AB794" s="40">
        <v>0</v>
      </c>
      <c r="AC794" s="40">
        <v>0</v>
      </c>
      <c r="AD794" s="40">
        <v>0</v>
      </c>
      <c r="AE794" s="40">
        <v>0</v>
      </c>
      <c r="AF794" s="40">
        <v>0</v>
      </c>
      <c r="AG794" s="40">
        <v>0</v>
      </c>
      <c r="AH794" s="40">
        <v>115</v>
      </c>
      <c r="AI794" s="41">
        <f t="shared" si="77"/>
        <v>115</v>
      </c>
      <c r="AJ794" s="42">
        <v>630</v>
      </c>
      <c r="AK794" s="42">
        <v>651</v>
      </c>
      <c r="AL794" s="42">
        <v>0</v>
      </c>
      <c r="AM794" s="42">
        <v>0</v>
      </c>
      <c r="AN794" s="42">
        <v>0</v>
      </c>
      <c r="AO794" s="42">
        <v>0</v>
      </c>
      <c r="AP794" s="42">
        <v>0</v>
      </c>
      <c r="AQ794" s="42">
        <v>0</v>
      </c>
      <c r="AR794" s="42">
        <v>0</v>
      </c>
      <c r="AS794" s="42">
        <v>0</v>
      </c>
      <c r="AT794" s="42">
        <v>0</v>
      </c>
      <c r="AU794" s="42">
        <v>0</v>
      </c>
      <c r="AV794" s="42">
        <f t="shared" si="78"/>
        <v>1281</v>
      </c>
      <c r="AW794" s="42">
        <v>0</v>
      </c>
      <c r="AX794" s="42">
        <v>0</v>
      </c>
      <c r="AY794" s="42">
        <v>0</v>
      </c>
      <c r="AZ794" s="42">
        <v>0</v>
      </c>
      <c r="BA794" s="42">
        <v>0</v>
      </c>
      <c r="BB794" s="42">
        <v>0</v>
      </c>
      <c r="BC794" s="42">
        <v>0</v>
      </c>
      <c r="BD794" s="42">
        <v>0</v>
      </c>
      <c r="BE794" s="42">
        <v>0</v>
      </c>
      <c r="BF794" s="42">
        <v>0</v>
      </c>
      <c r="BG794" s="42">
        <v>0</v>
      </c>
      <c r="BH794" s="42">
        <v>0</v>
      </c>
      <c r="BI794" s="42">
        <v>0</v>
      </c>
      <c r="BJ794" s="42">
        <v>0</v>
      </c>
      <c r="BK794" s="42">
        <v>0</v>
      </c>
      <c r="BL794" s="42">
        <v>0</v>
      </c>
      <c r="BM794" s="42">
        <v>0</v>
      </c>
      <c r="BN794" s="42">
        <v>0</v>
      </c>
      <c r="BO794" s="42">
        <v>0</v>
      </c>
      <c r="BP794" s="42">
        <v>0</v>
      </c>
      <c r="BQ794" s="42">
        <v>0</v>
      </c>
      <c r="BR794" s="42">
        <v>0</v>
      </c>
      <c r="BS794" s="42">
        <v>0</v>
      </c>
      <c r="BT794" s="42">
        <v>0</v>
      </c>
      <c r="BU794" s="42">
        <v>0</v>
      </c>
      <c r="BV794" s="42">
        <v>0</v>
      </c>
      <c r="BW794" s="42">
        <v>0</v>
      </c>
      <c r="BX794" s="42">
        <v>0</v>
      </c>
      <c r="BY794" s="42">
        <v>0</v>
      </c>
      <c r="BZ794" s="42">
        <v>0</v>
      </c>
      <c r="CA794" s="42">
        <v>0</v>
      </c>
      <c r="CB794" s="42">
        <v>0</v>
      </c>
      <c r="CC794" s="42">
        <v>0</v>
      </c>
      <c r="CD794" s="42">
        <v>0</v>
      </c>
      <c r="CE794" s="42">
        <v>0</v>
      </c>
      <c r="CF794" s="42">
        <v>0</v>
      </c>
      <c r="CG794" s="42">
        <v>0</v>
      </c>
      <c r="CH794" s="42">
        <v>0</v>
      </c>
      <c r="CI794" s="42">
        <v>0</v>
      </c>
      <c r="CJ794" s="42">
        <v>0</v>
      </c>
      <c r="CK794" s="43">
        <f t="shared" si="75"/>
        <v>0</v>
      </c>
      <c r="CL794" s="66"/>
      <c r="CM794" s="66">
        <v>0</v>
      </c>
      <c r="CN794" s="66">
        <v>0</v>
      </c>
      <c r="CO794" s="66">
        <v>0</v>
      </c>
      <c r="CP794" s="66">
        <v>0</v>
      </c>
      <c r="CQ794" s="66">
        <v>0</v>
      </c>
      <c r="CR794" s="66">
        <v>0</v>
      </c>
      <c r="CS794" s="66">
        <v>0</v>
      </c>
      <c r="CT794" s="66">
        <v>0</v>
      </c>
      <c r="CU794" s="66">
        <v>0</v>
      </c>
      <c r="CV794" s="66">
        <v>0</v>
      </c>
      <c r="CW794" s="66">
        <v>0</v>
      </c>
      <c r="CX794" s="66">
        <v>0</v>
      </c>
      <c r="CY794" s="66">
        <v>0</v>
      </c>
      <c r="CZ794" s="66">
        <v>0</v>
      </c>
      <c r="DA794" s="66"/>
      <c r="DB794" s="66"/>
      <c r="DC794" s="66"/>
      <c r="DD794" s="66"/>
      <c r="DE794" s="66"/>
      <c r="DF794" s="66"/>
      <c r="DG794" s="66"/>
      <c r="DH794" s="66"/>
      <c r="DI794" s="66"/>
      <c r="DJ794" s="66"/>
      <c r="DK794" s="66">
        <f>SUM(Table1[[#This Row],[01-03 Apr]:[Mar-26]])</f>
        <v>0</v>
      </c>
    </row>
    <row r="795" spans="1:115" hidden="1" x14ac:dyDescent="0.2">
      <c r="A795" s="28" t="s">
        <v>2367</v>
      </c>
      <c r="B795" s="29" t="s">
        <v>959</v>
      </c>
      <c r="C795" s="29" t="s">
        <v>2273</v>
      </c>
      <c r="D795" s="30" t="s">
        <v>960</v>
      </c>
      <c r="E795" s="30" t="s">
        <v>906</v>
      </c>
      <c r="F795" s="30"/>
      <c r="G795" s="31">
        <v>45011</v>
      </c>
      <c r="H795" s="30">
        <v>382425</v>
      </c>
      <c r="I795" s="30" t="str">
        <f>IF(Table1[[#This Row],[Centre Status]]="Returned","NA",IF(Table1[[#This Row],[SD]]&gt;19000,"Full Payment",IF(Table1[[#This Row],[SD]]&lt;1,"No Payment","Partial Payment")))</f>
        <v>NA</v>
      </c>
      <c r="J795" s="30" t="s">
        <v>1903</v>
      </c>
      <c r="K795" s="32">
        <v>110000</v>
      </c>
      <c r="L795" s="33">
        <f>Q795+R795+U795+Table1[[#This Row],[Farmer Payment]]</f>
        <v>21521</v>
      </c>
      <c r="M795" s="30">
        <v>21504</v>
      </c>
      <c r="N795" s="34">
        <v>45414</v>
      </c>
      <c r="O795" s="34" t="s">
        <v>2427</v>
      </c>
      <c r="P795" s="35">
        <f t="shared" si="76"/>
        <v>109983</v>
      </c>
      <c r="Q795" s="33">
        <f>AI795+AV795+CK795+Table1[[#This Row],[FY 25-26]]</f>
        <v>1521</v>
      </c>
      <c r="R795" s="36">
        <v>20000</v>
      </c>
      <c r="S795" s="37" t="s">
        <v>961</v>
      </c>
      <c r="T795" s="38">
        <v>45014</v>
      </c>
      <c r="U795" s="39"/>
      <c r="V795" s="39"/>
      <c r="W795" s="40">
        <v>0</v>
      </c>
      <c r="X795" s="40">
        <v>0</v>
      </c>
      <c r="Y795" s="40">
        <v>0</v>
      </c>
      <c r="Z795" s="40">
        <v>0</v>
      </c>
      <c r="AA795" s="40">
        <v>0</v>
      </c>
      <c r="AB795" s="40">
        <v>0</v>
      </c>
      <c r="AC795" s="40">
        <v>0</v>
      </c>
      <c r="AD795" s="40">
        <v>0</v>
      </c>
      <c r="AE795" s="40">
        <v>0</v>
      </c>
      <c r="AF795" s="40">
        <v>0</v>
      </c>
      <c r="AG795" s="40">
        <v>0</v>
      </c>
      <c r="AH795" s="40">
        <v>32</v>
      </c>
      <c r="AI795" s="41">
        <f t="shared" si="77"/>
        <v>32</v>
      </c>
      <c r="AJ795" s="42">
        <v>712</v>
      </c>
      <c r="AK795" s="42">
        <v>760</v>
      </c>
      <c r="AL795" s="42">
        <v>0</v>
      </c>
      <c r="AM795" s="42">
        <v>0</v>
      </c>
      <c r="AN795" s="42">
        <v>0</v>
      </c>
      <c r="AO795" s="42">
        <v>0</v>
      </c>
      <c r="AP795" s="42">
        <v>0</v>
      </c>
      <c r="AQ795" s="42">
        <v>0</v>
      </c>
      <c r="AR795" s="42">
        <v>0</v>
      </c>
      <c r="AS795" s="42">
        <v>0</v>
      </c>
      <c r="AT795" s="42">
        <v>0</v>
      </c>
      <c r="AU795" s="42">
        <v>0</v>
      </c>
      <c r="AV795" s="42">
        <f t="shared" si="78"/>
        <v>1472</v>
      </c>
      <c r="AW795" s="42">
        <v>0</v>
      </c>
      <c r="AX795" s="42">
        <v>0</v>
      </c>
      <c r="AY795" s="42">
        <v>17</v>
      </c>
      <c r="AZ795" s="42">
        <v>0</v>
      </c>
      <c r="BA795" s="42">
        <v>0</v>
      </c>
      <c r="BB795" s="42">
        <v>0</v>
      </c>
      <c r="BC795" s="42">
        <v>0</v>
      </c>
      <c r="BD795" s="42">
        <v>0</v>
      </c>
      <c r="BE795" s="42">
        <v>0</v>
      </c>
      <c r="BF795" s="42">
        <v>0</v>
      </c>
      <c r="BG795" s="42">
        <v>0</v>
      </c>
      <c r="BH795" s="42">
        <v>0</v>
      </c>
      <c r="BI795" s="42">
        <v>0</v>
      </c>
      <c r="BJ795" s="42">
        <v>0</v>
      </c>
      <c r="BK795" s="42">
        <v>0</v>
      </c>
      <c r="BL795" s="42">
        <v>0</v>
      </c>
      <c r="BM795" s="42">
        <v>0</v>
      </c>
      <c r="BN795" s="42">
        <v>0</v>
      </c>
      <c r="BO795" s="42">
        <v>0</v>
      </c>
      <c r="BP795" s="42">
        <v>0</v>
      </c>
      <c r="BQ795" s="42">
        <v>0</v>
      </c>
      <c r="BR795" s="42">
        <v>0</v>
      </c>
      <c r="BS795" s="42">
        <v>0</v>
      </c>
      <c r="BT795" s="42">
        <v>0</v>
      </c>
      <c r="BU795" s="42">
        <v>0</v>
      </c>
      <c r="BV795" s="42">
        <v>0</v>
      </c>
      <c r="BW795" s="42">
        <v>0</v>
      </c>
      <c r="BX795" s="42">
        <v>0</v>
      </c>
      <c r="BY795" s="42">
        <v>0</v>
      </c>
      <c r="BZ795" s="42">
        <v>0</v>
      </c>
      <c r="CA795" s="42">
        <v>0</v>
      </c>
      <c r="CB795" s="42">
        <v>0</v>
      </c>
      <c r="CC795" s="42">
        <v>0</v>
      </c>
      <c r="CD795" s="42">
        <v>0</v>
      </c>
      <c r="CE795" s="42">
        <v>0</v>
      </c>
      <c r="CF795" s="42">
        <v>0</v>
      </c>
      <c r="CG795" s="42">
        <v>0</v>
      </c>
      <c r="CH795" s="42">
        <v>0</v>
      </c>
      <c r="CI795" s="42">
        <v>0</v>
      </c>
      <c r="CJ795" s="42">
        <v>0</v>
      </c>
      <c r="CK795" s="43">
        <f t="shared" si="75"/>
        <v>17</v>
      </c>
      <c r="CL795" s="66"/>
      <c r="CM795" s="66">
        <v>0</v>
      </c>
      <c r="CN795" s="66">
        <v>0</v>
      </c>
      <c r="CO795" s="66">
        <v>0</v>
      </c>
      <c r="CP795" s="66">
        <v>0</v>
      </c>
      <c r="CQ795" s="66">
        <v>0</v>
      </c>
      <c r="CR795" s="66">
        <v>0</v>
      </c>
      <c r="CS795" s="66">
        <v>0</v>
      </c>
      <c r="CT795" s="66">
        <v>0</v>
      </c>
      <c r="CU795" s="66">
        <v>0</v>
      </c>
      <c r="CV795" s="66">
        <v>0</v>
      </c>
      <c r="CW795" s="66">
        <v>0</v>
      </c>
      <c r="CX795" s="66">
        <v>0</v>
      </c>
      <c r="CY795" s="66">
        <v>0</v>
      </c>
      <c r="CZ795" s="66">
        <v>0</v>
      </c>
      <c r="DA795" s="66"/>
      <c r="DB795" s="66"/>
      <c r="DC795" s="66"/>
      <c r="DD795" s="66"/>
      <c r="DE795" s="66"/>
      <c r="DF795" s="66"/>
      <c r="DG795" s="66"/>
      <c r="DH795" s="66"/>
      <c r="DI795" s="66"/>
      <c r="DJ795" s="66"/>
      <c r="DK795" s="66">
        <f>SUM(Table1[[#This Row],[01-03 Apr]:[Mar-26]])</f>
        <v>0</v>
      </c>
    </row>
    <row r="796" spans="1:115" hidden="1" x14ac:dyDescent="0.2">
      <c r="A796" s="28" t="s">
        <v>2255</v>
      </c>
      <c r="B796" s="29" t="s">
        <v>962</v>
      </c>
      <c r="C796" s="29" t="s">
        <v>2272</v>
      </c>
      <c r="D796" s="30" t="s">
        <v>963</v>
      </c>
      <c r="E796" s="30" t="s">
        <v>906</v>
      </c>
      <c r="F796" s="30"/>
      <c r="G796" s="31">
        <v>45011</v>
      </c>
      <c r="H796" s="30">
        <v>387860</v>
      </c>
      <c r="I796" s="30" t="str">
        <f>IF(Table1[[#This Row],[Centre Status]]="Returned","NA",IF(Table1[[#This Row],[SD]]&gt;19000,"Full Payment",IF(Table1[[#This Row],[SD]]&lt;1,"No Payment","Partial Payment")))</f>
        <v>NA</v>
      </c>
      <c r="J796" s="30" t="s">
        <v>1903</v>
      </c>
      <c r="K796" s="32">
        <v>110000</v>
      </c>
      <c r="L796" s="33">
        <f>Q796+R796+U796+Table1[[#This Row],[Farmer Payment]]</f>
        <v>15085</v>
      </c>
      <c r="M796" s="30">
        <v>15000</v>
      </c>
      <c r="N796" s="34">
        <v>45527</v>
      </c>
      <c r="O796" s="34" t="s">
        <v>2555</v>
      </c>
      <c r="P796" s="35">
        <f t="shared" si="76"/>
        <v>109915</v>
      </c>
      <c r="Q796" s="33">
        <f>AI796+AV796+CK796+Table1[[#This Row],[FY 25-26]]</f>
        <v>5085</v>
      </c>
      <c r="R796" s="36">
        <v>10000</v>
      </c>
      <c r="S796" s="37" t="s">
        <v>964</v>
      </c>
      <c r="T796" s="38">
        <v>45011</v>
      </c>
      <c r="U796" s="39"/>
      <c r="V796" s="39"/>
      <c r="W796" s="40">
        <v>0</v>
      </c>
      <c r="X796" s="40">
        <v>0</v>
      </c>
      <c r="Y796" s="40">
        <v>0</v>
      </c>
      <c r="Z796" s="40">
        <v>0</v>
      </c>
      <c r="AA796" s="40">
        <v>0</v>
      </c>
      <c r="AB796" s="40">
        <v>0</v>
      </c>
      <c r="AC796" s="40">
        <v>0</v>
      </c>
      <c r="AD796" s="40">
        <v>0</v>
      </c>
      <c r="AE796" s="40">
        <v>0</v>
      </c>
      <c r="AF796" s="40">
        <v>0</v>
      </c>
      <c r="AG796" s="40">
        <v>0</v>
      </c>
      <c r="AH796" s="40">
        <v>26</v>
      </c>
      <c r="AI796" s="41">
        <f t="shared" si="77"/>
        <v>26</v>
      </c>
      <c r="AJ796" s="42">
        <v>80</v>
      </c>
      <c r="AK796" s="42">
        <v>611</v>
      </c>
      <c r="AL796" s="42">
        <v>754</v>
      </c>
      <c r="AM796" s="42">
        <v>1753</v>
      </c>
      <c r="AN796" s="42">
        <v>1861</v>
      </c>
      <c r="AO796" s="42">
        <v>0</v>
      </c>
      <c r="AP796" s="42">
        <v>0</v>
      </c>
      <c r="AQ796" s="42">
        <v>0</v>
      </c>
      <c r="AR796" s="42">
        <v>0</v>
      </c>
      <c r="AS796" s="42">
        <v>0</v>
      </c>
      <c r="AT796" s="42">
        <v>0</v>
      </c>
      <c r="AU796" s="42">
        <v>0</v>
      </c>
      <c r="AV796" s="42">
        <f t="shared" si="78"/>
        <v>5059</v>
      </c>
      <c r="AW796" s="42">
        <v>0</v>
      </c>
      <c r="AX796" s="42">
        <v>0</v>
      </c>
      <c r="AY796" s="42">
        <v>0</v>
      </c>
      <c r="AZ796" s="42">
        <v>0</v>
      </c>
      <c r="BA796" s="42">
        <v>0</v>
      </c>
      <c r="BB796" s="42">
        <v>0</v>
      </c>
      <c r="BC796" s="42">
        <v>0</v>
      </c>
      <c r="BD796" s="42">
        <v>0</v>
      </c>
      <c r="BE796" s="42">
        <v>0</v>
      </c>
      <c r="BF796" s="42">
        <v>0</v>
      </c>
      <c r="BG796" s="42">
        <v>0</v>
      </c>
      <c r="BH796" s="42">
        <v>0</v>
      </c>
      <c r="BI796" s="42">
        <v>0</v>
      </c>
      <c r="BJ796" s="42">
        <v>0</v>
      </c>
      <c r="BK796" s="42">
        <v>0</v>
      </c>
      <c r="BL796" s="42">
        <v>0</v>
      </c>
      <c r="BM796" s="42">
        <v>0</v>
      </c>
      <c r="BN796" s="42">
        <v>0</v>
      </c>
      <c r="BO796" s="42">
        <v>0</v>
      </c>
      <c r="BP796" s="42">
        <v>0</v>
      </c>
      <c r="BQ796" s="42">
        <v>0</v>
      </c>
      <c r="BR796" s="42">
        <v>0</v>
      </c>
      <c r="BS796" s="42">
        <v>0</v>
      </c>
      <c r="BT796" s="42">
        <v>0</v>
      </c>
      <c r="BU796" s="42">
        <v>0</v>
      </c>
      <c r="BV796" s="42">
        <v>0</v>
      </c>
      <c r="BW796" s="42">
        <v>0</v>
      </c>
      <c r="BX796" s="42">
        <v>0</v>
      </c>
      <c r="BY796" s="42">
        <v>0</v>
      </c>
      <c r="BZ796" s="42">
        <v>0</v>
      </c>
      <c r="CA796" s="42">
        <v>0</v>
      </c>
      <c r="CB796" s="42">
        <v>0</v>
      </c>
      <c r="CC796" s="42">
        <v>0</v>
      </c>
      <c r="CD796" s="42">
        <v>0</v>
      </c>
      <c r="CE796" s="42">
        <v>0</v>
      </c>
      <c r="CF796" s="42">
        <v>0</v>
      </c>
      <c r="CG796" s="42">
        <v>0</v>
      </c>
      <c r="CH796" s="42">
        <v>0</v>
      </c>
      <c r="CI796" s="42">
        <v>0</v>
      </c>
      <c r="CJ796" s="42">
        <v>0</v>
      </c>
      <c r="CK796" s="43">
        <f t="shared" si="75"/>
        <v>0</v>
      </c>
      <c r="CL796" s="66"/>
      <c r="CM796" s="66">
        <v>0</v>
      </c>
      <c r="CN796" s="66">
        <v>0</v>
      </c>
      <c r="CO796" s="66">
        <v>0</v>
      </c>
      <c r="CP796" s="66">
        <v>0</v>
      </c>
      <c r="CQ796" s="66">
        <v>0</v>
      </c>
      <c r="CR796" s="66">
        <v>0</v>
      </c>
      <c r="CS796" s="66">
        <v>0</v>
      </c>
      <c r="CT796" s="66">
        <v>0</v>
      </c>
      <c r="CU796" s="66">
        <v>0</v>
      </c>
      <c r="CV796" s="66">
        <v>0</v>
      </c>
      <c r="CW796" s="66">
        <v>0</v>
      </c>
      <c r="CX796" s="66">
        <v>0</v>
      </c>
      <c r="CY796" s="66">
        <v>0</v>
      </c>
      <c r="CZ796" s="66">
        <v>0</v>
      </c>
      <c r="DA796" s="66"/>
      <c r="DB796" s="66"/>
      <c r="DC796" s="66"/>
      <c r="DD796" s="66"/>
      <c r="DE796" s="66"/>
      <c r="DF796" s="66"/>
      <c r="DG796" s="66"/>
      <c r="DH796" s="66"/>
      <c r="DI796" s="66"/>
      <c r="DJ796" s="66"/>
      <c r="DK796" s="66">
        <f>SUM(Table1[[#This Row],[01-03 Apr]:[Mar-26]])</f>
        <v>0</v>
      </c>
    </row>
    <row r="797" spans="1:115" hidden="1" x14ac:dyDescent="0.2">
      <c r="A797" s="28" t="s">
        <v>2255</v>
      </c>
      <c r="B797" s="29" t="s">
        <v>984</v>
      </c>
      <c r="C797" s="29" t="s">
        <v>3336</v>
      </c>
      <c r="D797" s="30" t="s">
        <v>985</v>
      </c>
      <c r="E797" s="30" t="s">
        <v>177</v>
      </c>
      <c r="F797" s="30"/>
      <c r="G797" s="31" t="s">
        <v>371</v>
      </c>
      <c r="H797" s="30">
        <v>310442</v>
      </c>
      <c r="I797" s="30" t="str">
        <f>IF(Table1[[#This Row],[Centre Status]]="Returned","NA",IF(Table1[[#This Row],[SD]]&gt;19000,"Full Payment",IF(Table1[[#This Row],[SD]]&lt;1,"No Payment","Partial Payment")))</f>
        <v>NA</v>
      </c>
      <c r="J797" s="30" t="s">
        <v>1903</v>
      </c>
      <c r="K797" s="32">
        <v>64000</v>
      </c>
      <c r="L797" s="33">
        <f>Q797+R797+U797+Table1[[#This Row],[Farmer Payment]]</f>
        <v>15060.19738106873</v>
      </c>
      <c r="M797" s="30">
        <v>15060</v>
      </c>
      <c r="N797" s="34">
        <v>45451</v>
      </c>
      <c r="O797" s="34" t="s">
        <v>2463</v>
      </c>
      <c r="P797" s="35">
        <f t="shared" si="76"/>
        <v>63999.802618931266</v>
      </c>
      <c r="Q797" s="33">
        <f>AI797+AV797+CK797+Table1[[#This Row],[FY 25-26]]</f>
        <v>5060.1973810687305</v>
      </c>
      <c r="R797" s="36">
        <v>10000</v>
      </c>
      <c r="S797" s="37" t="s">
        <v>986</v>
      </c>
      <c r="T797" s="38">
        <v>44957</v>
      </c>
      <c r="U797" s="39"/>
      <c r="V797" s="39"/>
      <c r="W797" s="40">
        <v>0</v>
      </c>
      <c r="X797" s="40">
        <v>0</v>
      </c>
      <c r="Y797" s="40">
        <v>0</v>
      </c>
      <c r="Z797" s="40">
        <v>0</v>
      </c>
      <c r="AA797" s="40">
        <v>0</v>
      </c>
      <c r="AB797" s="40">
        <v>0</v>
      </c>
      <c r="AC797" s="40">
        <v>0</v>
      </c>
      <c r="AD797" s="40">
        <v>0</v>
      </c>
      <c r="AE797" s="40">
        <v>0</v>
      </c>
      <c r="AF797" s="40">
        <v>0</v>
      </c>
      <c r="AG797" s="40">
        <v>0</v>
      </c>
      <c r="AH797" s="40">
        <v>1564</v>
      </c>
      <c r="AI797" s="41">
        <f t="shared" si="77"/>
        <v>1564</v>
      </c>
      <c r="AJ797" s="42">
        <v>779</v>
      </c>
      <c r="AK797" s="42">
        <v>1525</v>
      </c>
      <c r="AL797" s="42">
        <v>649</v>
      </c>
      <c r="AM797" s="42">
        <v>543.19738106873046</v>
      </c>
      <c r="AN797" s="42">
        <v>0</v>
      </c>
      <c r="AO797" s="42">
        <v>0</v>
      </c>
      <c r="AP797" s="42">
        <v>0</v>
      </c>
      <c r="AQ797" s="42">
        <v>0</v>
      </c>
      <c r="AR797" s="42">
        <v>0</v>
      </c>
      <c r="AS797" s="42">
        <v>0</v>
      </c>
      <c r="AT797" s="42">
        <v>0</v>
      </c>
      <c r="AU797" s="42">
        <v>0</v>
      </c>
      <c r="AV797" s="42">
        <f t="shared" si="78"/>
        <v>3496.1973810687305</v>
      </c>
      <c r="AW797" s="42">
        <v>0</v>
      </c>
      <c r="AX797" s="42">
        <v>0</v>
      </c>
      <c r="AY797" s="42">
        <v>0</v>
      </c>
      <c r="AZ797" s="42">
        <v>0</v>
      </c>
      <c r="BA797" s="42">
        <v>0</v>
      </c>
      <c r="BB797" s="42">
        <v>0</v>
      </c>
      <c r="BC797" s="42">
        <v>0</v>
      </c>
      <c r="BD797" s="42">
        <v>0</v>
      </c>
      <c r="BE797" s="42">
        <v>0</v>
      </c>
      <c r="BF797" s="42">
        <v>0</v>
      </c>
      <c r="BG797" s="42">
        <v>0</v>
      </c>
      <c r="BH797" s="42">
        <v>0</v>
      </c>
      <c r="BI797" s="42">
        <v>0</v>
      </c>
      <c r="BJ797" s="42">
        <v>0</v>
      </c>
      <c r="BK797" s="42">
        <v>0</v>
      </c>
      <c r="BL797" s="42">
        <v>0</v>
      </c>
      <c r="BM797" s="42">
        <v>0</v>
      </c>
      <c r="BN797" s="42">
        <v>0</v>
      </c>
      <c r="BO797" s="42">
        <v>0</v>
      </c>
      <c r="BP797" s="42">
        <v>0</v>
      </c>
      <c r="BQ797" s="42">
        <v>0</v>
      </c>
      <c r="BR797" s="42">
        <v>0</v>
      </c>
      <c r="BS797" s="42">
        <v>0</v>
      </c>
      <c r="BT797" s="42">
        <v>0</v>
      </c>
      <c r="BU797" s="42">
        <v>0</v>
      </c>
      <c r="BV797" s="42">
        <v>0</v>
      </c>
      <c r="BW797" s="42">
        <v>0</v>
      </c>
      <c r="BX797" s="42">
        <v>0</v>
      </c>
      <c r="BY797" s="42">
        <v>0</v>
      </c>
      <c r="BZ797" s="42">
        <v>0</v>
      </c>
      <c r="CA797" s="42">
        <v>0</v>
      </c>
      <c r="CB797" s="42">
        <v>0</v>
      </c>
      <c r="CC797" s="42">
        <v>0</v>
      </c>
      <c r="CD797" s="42">
        <v>0</v>
      </c>
      <c r="CE797" s="42">
        <v>0</v>
      </c>
      <c r="CF797" s="42">
        <v>0</v>
      </c>
      <c r="CG797" s="42">
        <v>0</v>
      </c>
      <c r="CH797" s="42">
        <v>0</v>
      </c>
      <c r="CI797" s="42">
        <v>0</v>
      </c>
      <c r="CJ797" s="42">
        <v>0</v>
      </c>
      <c r="CK797" s="43">
        <f t="shared" si="75"/>
        <v>0</v>
      </c>
      <c r="CL797" s="66"/>
      <c r="CM797" s="66">
        <v>0</v>
      </c>
      <c r="CN797" s="66">
        <v>0</v>
      </c>
      <c r="CO797" s="66">
        <v>0</v>
      </c>
      <c r="CP797" s="66">
        <v>0</v>
      </c>
      <c r="CQ797" s="66">
        <v>0</v>
      </c>
      <c r="CR797" s="66">
        <v>0</v>
      </c>
      <c r="CS797" s="66">
        <v>0</v>
      </c>
      <c r="CT797" s="66">
        <v>0</v>
      </c>
      <c r="CU797" s="66">
        <v>0</v>
      </c>
      <c r="CV797" s="66">
        <v>0</v>
      </c>
      <c r="CW797" s="66">
        <v>0</v>
      </c>
      <c r="CX797" s="66">
        <v>0</v>
      </c>
      <c r="CY797" s="66">
        <v>0</v>
      </c>
      <c r="CZ797" s="66">
        <v>0</v>
      </c>
      <c r="DA797" s="66"/>
      <c r="DB797" s="66"/>
      <c r="DC797" s="66"/>
      <c r="DD797" s="66"/>
      <c r="DE797" s="66"/>
      <c r="DF797" s="66"/>
      <c r="DG797" s="66"/>
      <c r="DH797" s="66"/>
      <c r="DI797" s="66"/>
      <c r="DJ797" s="66"/>
      <c r="DK797" s="66">
        <f>SUM(Table1[[#This Row],[01-03 Apr]:[Mar-26]])</f>
        <v>0</v>
      </c>
    </row>
    <row r="798" spans="1:115" hidden="1" x14ac:dyDescent="0.2">
      <c r="A798" s="28" t="s">
        <v>2365</v>
      </c>
      <c r="B798" s="29" t="s">
        <v>995</v>
      </c>
      <c r="C798" s="29" t="s">
        <v>996</v>
      </c>
      <c r="D798" s="30" t="s">
        <v>997</v>
      </c>
      <c r="E798" s="30" t="s">
        <v>85</v>
      </c>
      <c r="F798" s="30"/>
      <c r="G798" s="31" t="s">
        <v>371</v>
      </c>
      <c r="H798" s="30">
        <v>360516</v>
      </c>
      <c r="I798" s="30" t="str">
        <f>IF(Table1[[#This Row],[Centre Status]]="Returned","NA",IF(Table1[[#This Row],[SD]]&gt;19000,"Full Payment",IF(Table1[[#This Row],[SD]]&lt;1,"No Payment","Partial Payment")))</f>
        <v>NA</v>
      </c>
      <c r="J798" s="30" t="s">
        <v>1903</v>
      </c>
      <c r="K798" s="32">
        <v>110000</v>
      </c>
      <c r="L798" s="33">
        <f>Q798+R798+U798+Table1[[#This Row],[Farmer Payment]]</f>
        <v>50472.478484620617</v>
      </c>
      <c r="M798" s="30">
        <f>20000-20000+20000</f>
        <v>20000</v>
      </c>
      <c r="N798" s="34">
        <v>45554</v>
      </c>
      <c r="O798" s="34" t="s">
        <v>2457</v>
      </c>
      <c r="P798" s="35">
        <f t="shared" si="76"/>
        <v>79527.521515379383</v>
      </c>
      <c r="Q798" s="33">
        <f>AI798+AV798+CK798+Table1[[#This Row],[FY 25-26]]</f>
        <v>30472.478484620617</v>
      </c>
      <c r="R798" s="36">
        <v>20000</v>
      </c>
      <c r="S798" s="37" t="s">
        <v>998</v>
      </c>
      <c r="T798" s="38">
        <v>44967</v>
      </c>
      <c r="U798" s="39"/>
      <c r="V798" s="39"/>
      <c r="W798" s="40">
        <v>0</v>
      </c>
      <c r="X798" s="40">
        <v>0</v>
      </c>
      <c r="Y798" s="40">
        <v>0</v>
      </c>
      <c r="Z798" s="40">
        <v>0</v>
      </c>
      <c r="AA798" s="40">
        <v>0</v>
      </c>
      <c r="AB798" s="40">
        <v>0</v>
      </c>
      <c r="AC798" s="40">
        <v>0</v>
      </c>
      <c r="AD798" s="40">
        <v>0</v>
      </c>
      <c r="AE798" s="40">
        <v>0</v>
      </c>
      <c r="AF798" s="40">
        <v>0</v>
      </c>
      <c r="AG798" s="40">
        <v>0</v>
      </c>
      <c r="AH798" s="40">
        <v>1713</v>
      </c>
      <c r="AI798" s="41">
        <f t="shared" si="77"/>
        <v>1713</v>
      </c>
      <c r="AJ798" s="42">
        <v>1861</v>
      </c>
      <c r="AK798" s="42">
        <v>1864.4634000000003</v>
      </c>
      <c r="AL798" s="42">
        <v>1254</v>
      </c>
      <c r="AM798" s="42">
        <v>826</v>
      </c>
      <c r="AN798" s="42">
        <v>985</v>
      </c>
      <c r="AO798" s="42">
        <v>636</v>
      </c>
      <c r="AP798" s="42">
        <v>1861</v>
      </c>
      <c r="AQ798" s="42">
        <v>1861</v>
      </c>
      <c r="AR798" s="42">
        <v>1940.9156</v>
      </c>
      <c r="AS798" s="42">
        <v>2991.6106</v>
      </c>
      <c r="AT798" s="42">
        <v>3874.085</v>
      </c>
      <c r="AU798" s="42">
        <v>3784.0838000000003</v>
      </c>
      <c r="AV798" s="42">
        <f t="shared" si="78"/>
        <v>23739.1584</v>
      </c>
      <c r="AW798" s="42">
        <v>2964.3200846206159</v>
      </c>
      <c r="AX798" s="42">
        <v>1861</v>
      </c>
      <c r="AY798" s="42">
        <v>195</v>
      </c>
      <c r="AZ798" s="42">
        <v>0</v>
      </c>
      <c r="BA798" s="42">
        <v>0</v>
      </c>
      <c r="BB798" s="42">
        <v>0</v>
      </c>
      <c r="BC798" s="42">
        <v>0</v>
      </c>
      <c r="BD798" s="42">
        <v>0</v>
      </c>
      <c r="BE798" s="42">
        <v>0</v>
      </c>
      <c r="BF798" s="42">
        <v>0</v>
      </c>
      <c r="BG798" s="42">
        <v>0</v>
      </c>
      <c r="BH798" s="42">
        <v>0</v>
      </c>
      <c r="BI798" s="42">
        <v>0</v>
      </c>
      <c r="BJ798" s="42">
        <v>0</v>
      </c>
      <c r="BK798" s="42">
        <v>0</v>
      </c>
      <c r="BL798" s="42">
        <v>0</v>
      </c>
      <c r="BM798" s="42">
        <v>0</v>
      </c>
      <c r="BN798" s="42">
        <v>0</v>
      </c>
      <c r="BO798" s="42">
        <v>0</v>
      </c>
      <c r="BP798" s="42">
        <v>0</v>
      </c>
      <c r="BQ798" s="42">
        <v>0</v>
      </c>
      <c r="BR798" s="42">
        <v>0</v>
      </c>
      <c r="BS798" s="42">
        <v>0</v>
      </c>
      <c r="BT798" s="42">
        <v>0</v>
      </c>
      <c r="BU798" s="42">
        <v>0</v>
      </c>
      <c r="BV798" s="42">
        <v>0</v>
      </c>
      <c r="BW798" s="42">
        <v>0</v>
      </c>
      <c r="BX798" s="42">
        <v>0</v>
      </c>
      <c r="BY798" s="42">
        <v>0</v>
      </c>
      <c r="BZ798" s="42">
        <v>0</v>
      </c>
      <c r="CA798" s="42">
        <v>0</v>
      </c>
      <c r="CB798" s="42">
        <v>0</v>
      </c>
      <c r="CC798" s="42">
        <v>0</v>
      </c>
      <c r="CD798" s="42">
        <v>0</v>
      </c>
      <c r="CE798" s="42">
        <v>0</v>
      </c>
      <c r="CF798" s="42">
        <v>0</v>
      </c>
      <c r="CG798" s="42">
        <v>0</v>
      </c>
      <c r="CH798" s="42">
        <v>0</v>
      </c>
      <c r="CI798" s="42">
        <v>0</v>
      </c>
      <c r="CJ798" s="42">
        <v>0</v>
      </c>
      <c r="CK798" s="43">
        <f t="shared" si="75"/>
        <v>5020.3200846206164</v>
      </c>
      <c r="CL798" s="66"/>
      <c r="CM798" s="66">
        <v>0</v>
      </c>
      <c r="CN798" s="66">
        <v>0</v>
      </c>
      <c r="CO798" s="66">
        <v>0</v>
      </c>
      <c r="CP798" s="66">
        <v>0</v>
      </c>
      <c r="CQ798" s="66">
        <v>0</v>
      </c>
      <c r="CR798" s="66">
        <v>0</v>
      </c>
      <c r="CS798" s="66">
        <v>0</v>
      </c>
      <c r="CT798" s="66">
        <v>0</v>
      </c>
      <c r="CU798" s="66">
        <v>0</v>
      </c>
      <c r="CV798" s="66">
        <v>0</v>
      </c>
      <c r="CW798" s="66">
        <v>0</v>
      </c>
      <c r="CX798" s="66">
        <v>0</v>
      </c>
      <c r="CY798" s="66">
        <v>0</v>
      </c>
      <c r="CZ798" s="66">
        <v>0</v>
      </c>
      <c r="DA798" s="66"/>
      <c r="DB798" s="66"/>
      <c r="DC798" s="66"/>
      <c r="DD798" s="66"/>
      <c r="DE798" s="66"/>
      <c r="DF798" s="66"/>
      <c r="DG798" s="66"/>
      <c r="DH798" s="66"/>
      <c r="DI798" s="66"/>
      <c r="DJ798" s="66"/>
      <c r="DK798" s="66">
        <f>SUM(Table1[[#This Row],[01-03 Apr]:[Mar-26]])</f>
        <v>0</v>
      </c>
    </row>
    <row r="799" spans="1:115" hidden="1" x14ac:dyDescent="0.2">
      <c r="A799" s="28" t="s">
        <v>2255</v>
      </c>
      <c r="B799" s="29" t="s">
        <v>1019</v>
      </c>
      <c r="C799" s="29" t="s">
        <v>3336</v>
      </c>
      <c r="D799" s="30" t="s">
        <v>1020</v>
      </c>
      <c r="E799" s="30" t="s">
        <v>203</v>
      </c>
      <c r="F799" s="30"/>
      <c r="G799" s="31" t="s">
        <v>371</v>
      </c>
      <c r="H799" s="30">
        <v>385562</v>
      </c>
      <c r="I799" s="30" t="str">
        <f>IF(Table1[[#This Row],[Centre Status]]="Returned","NA",IF(Table1[[#This Row],[SD]]&gt;19000,"Full Payment",IF(Table1[[#This Row],[SD]]&lt;1,"No Payment","Partial Payment")))</f>
        <v>NA</v>
      </c>
      <c r="J799" s="30" t="s">
        <v>1903</v>
      </c>
      <c r="K799" s="32">
        <v>110000</v>
      </c>
      <c r="L799" s="33">
        <f>Q799+R799+U799+Table1[[#This Row],[Farmer Payment]]</f>
        <v>10</v>
      </c>
      <c r="M799" s="30"/>
      <c r="N799" s="34"/>
      <c r="O799" s="34"/>
      <c r="P799" s="35">
        <f t="shared" si="76"/>
        <v>109990</v>
      </c>
      <c r="Q799" s="33">
        <f>AI799+AV799+CK799+Table1[[#This Row],[FY 25-26]]</f>
        <v>10</v>
      </c>
      <c r="R799" s="36"/>
      <c r="S799" s="37"/>
      <c r="T799" s="38"/>
      <c r="U799" s="39"/>
      <c r="V799" s="39"/>
      <c r="W799" s="40">
        <v>0</v>
      </c>
      <c r="X799" s="40">
        <v>0</v>
      </c>
      <c r="Y799" s="40">
        <v>0</v>
      </c>
      <c r="Z799" s="40">
        <v>0</v>
      </c>
      <c r="AA799" s="40">
        <v>0</v>
      </c>
      <c r="AB799" s="40">
        <v>0</v>
      </c>
      <c r="AC799" s="40">
        <v>0</v>
      </c>
      <c r="AD799" s="40">
        <v>0</v>
      </c>
      <c r="AE799" s="40">
        <v>0</v>
      </c>
      <c r="AF799" s="40">
        <v>0</v>
      </c>
      <c r="AG799" s="40">
        <v>0</v>
      </c>
      <c r="AH799" s="40">
        <v>0</v>
      </c>
      <c r="AI799" s="41">
        <f t="shared" si="77"/>
        <v>0</v>
      </c>
      <c r="AJ799" s="42">
        <v>0</v>
      </c>
      <c r="AK799" s="42">
        <v>10</v>
      </c>
      <c r="AL799" s="42">
        <v>0</v>
      </c>
      <c r="AM799" s="42">
        <v>0</v>
      </c>
      <c r="AN799" s="42">
        <v>0</v>
      </c>
      <c r="AO799" s="42">
        <v>0</v>
      </c>
      <c r="AP799" s="42">
        <v>0</v>
      </c>
      <c r="AQ799" s="42">
        <v>0</v>
      </c>
      <c r="AR799" s="42">
        <v>0</v>
      </c>
      <c r="AS799" s="42">
        <v>0</v>
      </c>
      <c r="AT799" s="42">
        <v>0</v>
      </c>
      <c r="AU799" s="42">
        <v>0</v>
      </c>
      <c r="AV799" s="42">
        <f t="shared" si="78"/>
        <v>10</v>
      </c>
      <c r="AW799" s="42">
        <v>0</v>
      </c>
      <c r="AX799" s="42">
        <v>0</v>
      </c>
      <c r="AY799" s="42">
        <v>0</v>
      </c>
      <c r="AZ799" s="42">
        <v>0</v>
      </c>
      <c r="BA799" s="42">
        <v>0</v>
      </c>
      <c r="BB799" s="42">
        <v>0</v>
      </c>
      <c r="BC799" s="42">
        <v>0</v>
      </c>
      <c r="BD799" s="42">
        <v>0</v>
      </c>
      <c r="BE799" s="42">
        <v>0</v>
      </c>
      <c r="BF799" s="42">
        <v>0</v>
      </c>
      <c r="BG799" s="42">
        <v>0</v>
      </c>
      <c r="BH799" s="42">
        <v>0</v>
      </c>
      <c r="BI799" s="42">
        <v>0</v>
      </c>
      <c r="BJ799" s="42">
        <v>0</v>
      </c>
      <c r="BK799" s="42">
        <v>0</v>
      </c>
      <c r="BL799" s="42">
        <v>0</v>
      </c>
      <c r="BM799" s="42">
        <v>0</v>
      </c>
      <c r="BN799" s="42">
        <v>0</v>
      </c>
      <c r="BO799" s="42">
        <v>0</v>
      </c>
      <c r="BP799" s="42">
        <v>0</v>
      </c>
      <c r="BQ799" s="42">
        <v>0</v>
      </c>
      <c r="BR799" s="42">
        <v>0</v>
      </c>
      <c r="BS799" s="42">
        <v>0</v>
      </c>
      <c r="BT799" s="42">
        <v>0</v>
      </c>
      <c r="BU799" s="42">
        <v>0</v>
      </c>
      <c r="BV799" s="42">
        <v>0</v>
      </c>
      <c r="BW799" s="42">
        <v>0</v>
      </c>
      <c r="BX799" s="42">
        <v>0</v>
      </c>
      <c r="BY799" s="42">
        <v>0</v>
      </c>
      <c r="BZ799" s="42">
        <v>0</v>
      </c>
      <c r="CA799" s="42">
        <v>0</v>
      </c>
      <c r="CB799" s="42">
        <v>0</v>
      </c>
      <c r="CC799" s="42">
        <v>0</v>
      </c>
      <c r="CD799" s="42">
        <v>0</v>
      </c>
      <c r="CE799" s="42">
        <v>0</v>
      </c>
      <c r="CF799" s="42">
        <v>0</v>
      </c>
      <c r="CG799" s="42">
        <v>0</v>
      </c>
      <c r="CH799" s="42">
        <v>0</v>
      </c>
      <c r="CI799" s="42">
        <v>0</v>
      </c>
      <c r="CJ799" s="42">
        <v>0</v>
      </c>
      <c r="CK799" s="43">
        <f t="shared" si="75"/>
        <v>0</v>
      </c>
      <c r="CL799" s="66"/>
      <c r="CM799" s="66">
        <v>0</v>
      </c>
      <c r="CN799" s="66">
        <v>0</v>
      </c>
      <c r="CO799" s="66">
        <v>0</v>
      </c>
      <c r="CP799" s="66">
        <v>0</v>
      </c>
      <c r="CQ799" s="66">
        <v>0</v>
      </c>
      <c r="CR799" s="66">
        <v>0</v>
      </c>
      <c r="CS799" s="66">
        <v>0</v>
      </c>
      <c r="CT799" s="66">
        <v>0</v>
      </c>
      <c r="CU799" s="66">
        <v>0</v>
      </c>
      <c r="CV799" s="66">
        <v>0</v>
      </c>
      <c r="CW799" s="66">
        <v>0</v>
      </c>
      <c r="CX799" s="66">
        <v>0</v>
      </c>
      <c r="CY799" s="66">
        <v>0</v>
      </c>
      <c r="CZ799" s="66">
        <v>0</v>
      </c>
      <c r="DA799" s="66"/>
      <c r="DB799" s="66"/>
      <c r="DC799" s="66"/>
      <c r="DD799" s="66"/>
      <c r="DE799" s="66"/>
      <c r="DF799" s="66"/>
      <c r="DG799" s="66"/>
      <c r="DH799" s="66"/>
      <c r="DI799" s="66"/>
      <c r="DJ799" s="66"/>
      <c r="DK799" s="66">
        <f>SUM(Table1[[#This Row],[01-03 Apr]:[Mar-26]])</f>
        <v>0</v>
      </c>
    </row>
    <row r="800" spans="1:115" hidden="1" x14ac:dyDescent="0.2">
      <c r="A800" s="28" t="s">
        <v>2255</v>
      </c>
      <c r="B800" s="29" t="s">
        <v>1046</v>
      </c>
      <c r="C800" s="29" t="s">
        <v>2270</v>
      </c>
      <c r="D800" s="30" t="s">
        <v>1047</v>
      </c>
      <c r="E800" s="30" t="s">
        <v>203</v>
      </c>
      <c r="F800" s="30"/>
      <c r="G800" s="31">
        <v>45044</v>
      </c>
      <c r="H800" s="30">
        <v>387852</v>
      </c>
      <c r="I800" s="30" t="str">
        <f>IF(Table1[[#This Row],[Centre Status]]="Returned","NA",IF(Table1[[#This Row],[SD]]&gt;19000,"Full Payment",IF(Table1[[#This Row],[SD]]&lt;1,"No Payment","Partial Payment")))</f>
        <v>NA</v>
      </c>
      <c r="J800" s="30" t="s">
        <v>1903</v>
      </c>
      <c r="K800" s="32">
        <v>110000</v>
      </c>
      <c r="L800" s="33">
        <f>Q800+R800+U800+Table1[[#This Row],[Farmer Payment]]</f>
        <v>6579</v>
      </c>
      <c r="M800" s="30"/>
      <c r="N800" s="34"/>
      <c r="O800" s="34"/>
      <c r="P800" s="35">
        <f t="shared" si="76"/>
        <v>103421</v>
      </c>
      <c r="Q800" s="33">
        <f>AI800+AV800+CK800+Table1[[#This Row],[FY 25-26]]</f>
        <v>6579</v>
      </c>
      <c r="R800" s="36"/>
      <c r="S800" s="37"/>
      <c r="T800" s="38"/>
      <c r="U800" s="39"/>
      <c r="V800" s="39"/>
      <c r="W800" s="40">
        <v>0</v>
      </c>
      <c r="X800" s="40">
        <v>0</v>
      </c>
      <c r="Y800" s="40">
        <v>0</v>
      </c>
      <c r="Z800" s="40">
        <v>0</v>
      </c>
      <c r="AA800" s="40">
        <v>0</v>
      </c>
      <c r="AB800" s="40">
        <v>0</v>
      </c>
      <c r="AC800" s="40">
        <v>0</v>
      </c>
      <c r="AD800" s="40">
        <v>0</v>
      </c>
      <c r="AE800" s="40">
        <v>0</v>
      </c>
      <c r="AF800" s="40">
        <v>0</v>
      </c>
      <c r="AG800" s="40">
        <v>0</v>
      </c>
      <c r="AH800" s="40">
        <v>0</v>
      </c>
      <c r="AI800" s="41">
        <f t="shared" si="77"/>
        <v>0</v>
      </c>
      <c r="AJ800" s="42">
        <v>0</v>
      </c>
      <c r="AK800" s="42">
        <v>1632</v>
      </c>
      <c r="AL800" s="42">
        <v>1350</v>
      </c>
      <c r="AM800" s="42">
        <v>1736</v>
      </c>
      <c r="AN800" s="42">
        <v>0</v>
      </c>
      <c r="AO800" s="42">
        <v>0</v>
      </c>
      <c r="AP800" s="42">
        <v>0</v>
      </c>
      <c r="AQ800" s="42">
        <v>0</v>
      </c>
      <c r="AR800" s="42">
        <v>1861</v>
      </c>
      <c r="AS800" s="42">
        <v>0</v>
      </c>
      <c r="AT800" s="42">
        <v>0</v>
      </c>
      <c r="AU800" s="42">
        <v>0</v>
      </c>
      <c r="AV800" s="42">
        <f t="shared" si="78"/>
        <v>6579</v>
      </c>
      <c r="AW800" s="42">
        <v>0</v>
      </c>
      <c r="AX800" s="42">
        <v>0</v>
      </c>
      <c r="AY800" s="42">
        <v>0</v>
      </c>
      <c r="AZ800" s="42">
        <v>0</v>
      </c>
      <c r="BA800" s="42">
        <v>0</v>
      </c>
      <c r="BB800" s="42">
        <v>0</v>
      </c>
      <c r="BC800" s="42">
        <v>0</v>
      </c>
      <c r="BD800" s="42">
        <v>0</v>
      </c>
      <c r="BE800" s="42">
        <v>0</v>
      </c>
      <c r="BF800" s="42">
        <v>0</v>
      </c>
      <c r="BG800" s="42">
        <v>0</v>
      </c>
      <c r="BH800" s="42">
        <v>0</v>
      </c>
      <c r="BI800" s="42">
        <v>0</v>
      </c>
      <c r="BJ800" s="42">
        <v>0</v>
      </c>
      <c r="BK800" s="42">
        <v>0</v>
      </c>
      <c r="BL800" s="42">
        <v>0</v>
      </c>
      <c r="BM800" s="42">
        <v>0</v>
      </c>
      <c r="BN800" s="42">
        <v>0</v>
      </c>
      <c r="BO800" s="42">
        <v>0</v>
      </c>
      <c r="BP800" s="42">
        <v>0</v>
      </c>
      <c r="BQ800" s="42">
        <v>0</v>
      </c>
      <c r="BR800" s="42">
        <v>0</v>
      </c>
      <c r="BS800" s="42">
        <v>0</v>
      </c>
      <c r="BT800" s="42">
        <v>0</v>
      </c>
      <c r="BU800" s="42">
        <v>0</v>
      </c>
      <c r="BV800" s="42">
        <v>0</v>
      </c>
      <c r="BW800" s="42">
        <v>0</v>
      </c>
      <c r="BX800" s="42">
        <v>0</v>
      </c>
      <c r="BY800" s="42">
        <v>0</v>
      </c>
      <c r="BZ800" s="42">
        <v>0</v>
      </c>
      <c r="CA800" s="42">
        <v>0</v>
      </c>
      <c r="CB800" s="42">
        <v>0</v>
      </c>
      <c r="CC800" s="42">
        <v>0</v>
      </c>
      <c r="CD800" s="42">
        <v>0</v>
      </c>
      <c r="CE800" s="42">
        <v>0</v>
      </c>
      <c r="CF800" s="42">
        <v>0</v>
      </c>
      <c r="CG800" s="42">
        <v>0</v>
      </c>
      <c r="CH800" s="42">
        <v>0</v>
      </c>
      <c r="CI800" s="42">
        <v>0</v>
      </c>
      <c r="CJ800" s="42">
        <v>0</v>
      </c>
      <c r="CK800" s="43">
        <f t="shared" si="75"/>
        <v>0</v>
      </c>
      <c r="CL800" s="66"/>
      <c r="CM800" s="66">
        <v>0</v>
      </c>
      <c r="CN800" s="66">
        <v>0</v>
      </c>
      <c r="CO800" s="66">
        <v>0</v>
      </c>
      <c r="CP800" s="66">
        <v>0</v>
      </c>
      <c r="CQ800" s="66">
        <v>0</v>
      </c>
      <c r="CR800" s="66">
        <v>0</v>
      </c>
      <c r="CS800" s="66">
        <v>0</v>
      </c>
      <c r="CT800" s="66">
        <v>0</v>
      </c>
      <c r="CU800" s="66">
        <v>0</v>
      </c>
      <c r="CV800" s="66">
        <v>0</v>
      </c>
      <c r="CW800" s="66">
        <v>0</v>
      </c>
      <c r="CX800" s="66">
        <v>0</v>
      </c>
      <c r="CY800" s="66">
        <v>0</v>
      </c>
      <c r="CZ800" s="66">
        <v>0</v>
      </c>
      <c r="DA800" s="66"/>
      <c r="DB800" s="66"/>
      <c r="DC800" s="66"/>
      <c r="DD800" s="66"/>
      <c r="DE800" s="66"/>
      <c r="DF800" s="66"/>
      <c r="DG800" s="66"/>
      <c r="DH800" s="66"/>
      <c r="DI800" s="66"/>
      <c r="DJ800" s="66"/>
      <c r="DK800" s="66">
        <f>SUM(Table1[[#This Row],[01-03 Apr]:[Mar-26]])</f>
        <v>0</v>
      </c>
    </row>
    <row r="801" spans="1:115" hidden="1" x14ac:dyDescent="0.2">
      <c r="A801" s="28" t="s">
        <v>2367</v>
      </c>
      <c r="B801" s="29" t="s">
        <v>1048</v>
      </c>
      <c r="C801" s="29" t="s">
        <v>2269</v>
      </c>
      <c r="D801" s="30" t="s">
        <v>1049</v>
      </c>
      <c r="E801" s="30" t="s">
        <v>203</v>
      </c>
      <c r="F801" s="30"/>
      <c r="G801" s="31">
        <v>45044</v>
      </c>
      <c r="H801" s="30"/>
      <c r="I801" s="30" t="str">
        <f>IF(Table1[[#This Row],[Centre Status]]="Returned","NA",IF(Table1[[#This Row],[SD]]&gt;19000,"Full Payment",IF(Table1[[#This Row],[SD]]&lt;1,"No Payment","Partial Payment")))</f>
        <v>NA</v>
      </c>
      <c r="J801" s="30" t="s">
        <v>1903</v>
      </c>
      <c r="K801" s="32">
        <v>110000</v>
      </c>
      <c r="L801" s="33">
        <f>Q801+R801+U801+Table1[[#This Row],[Farmer Payment]]</f>
        <v>7342</v>
      </c>
      <c r="M801" s="30"/>
      <c r="N801" s="34"/>
      <c r="O801" s="34"/>
      <c r="P801" s="35">
        <f t="shared" si="76"/>
        <v>102658</v>
      </c>
      <c r="Q801" s="33">
        <f>AI801+AV801+CK801+Table1[[#This Row],[FY 25-26]]</f>
        <v>3342</v>
      </c>
      <c r="R801" s="36">
        <v>4000</v>
      </c>
      <c r="S801" s="37" t="s">
        <v>1050</v>
      </c>
      <c r="T801" s="38">
        <v>45121</v>
      </c>
      <c r="U801" s="39"/>
      <c r="V801" s="39"/>
      <c r="W801" s="40">
        <v>0</v>
      </c>
      <c r="X801" s="40">
        <v>0</v>
      </c>
      <c r="Y801" s="40">
        <v>0</v>
      </c>
      <c r="Z801" s="40">
        <v>0</v>
      </c>
      <c r="AA801" s="40">
        <v>0</v>
      </c>
      <c r="AB801" s="40">
        <v>0</v>
      </c>
      <c r="AC801" s="40">
        <v>0</v>
      </c>
      <c r="AD801" s="40">
        <v>0</v>
      </c>
      <c r="AE801" s="40">
        <v>0</v>
      </c>
      <c r="AF801" s="40">
        <v>0</v>
      </c>
      <c r="AG801" s="40">
        <v>0</v>
      </c>
      <c r="AH801" s="40">
        <v>0</v>
      </c>
      <c r="AI801" s="41">
        <f t="shared" si="77"/>
        <v>0</v>
      </c>
      <c r="AJ801" s="42">
        <v>0</v>
      </c>
      <c r="AK801" s="42">
        <v>227</v>
      </c>
      <c r="AL801" s="42">
        <v>515</v>
      </c>
      <c r="AM801" s="42">
        <v>1148</v>
      </c>
      <c r="AN801" s="42">
        <v>0</v>
      </c>
      <c r="AO801" s="42">
        <v>0</v>
      </c>
      <c r="AP801" s="42">
        <v>0</v>
      </c>
      <c r="AQ801" s="42">
        <v>1452</v>
      </c>
      <c r="AR801" s="42">
        <v>0</v>
      </c>
      <c r="AS801" s="42">
        <v>0</v>
      </c>
      <c r="AT801" s="42">
        <v>0</v>
      </c>
      <c r="AU801" s="42">
        <v>0</v>
      </c>
      <c r="AV801" s="42">
        <f t="shared" si="78"/>
        <v>3342</v>
      </c>
      <c r="AW801" s="42">
        <v>0</v>
      </c>
      <c r="AX801" s="42">
        <v>0</v>
      </c>
      <c r="AY801" s="42">
        <v>0</v>
      </c>
      <c r="AZ801" s="42">
        <v>0</v>
      </c>
      <c r="BA801" s="42">
        <v>0</v>
      </c>
      <c r="BB801" s="42">
        <v>0</v>
      </c>
      <c r="BC801" s="42">
        <v>0</v>
      </c>
      <c r="BD801" s="42">
        <v>0</v>
      </c>
      <c r="BE801" s="42">
        <v>0</v>
      </c>
      <c r="BF801" s="42">
        <v>0</v>
      </c>
      <c r="BG801" s="42">
        <v>0</v>
      </c>
      <c r="BH801" s="42">
        <v>0</v>
      </c>
      <c r="BI801" s="42">
        <v>0</v>
      </c>
      <c r="BJ801" s="42">
        <v>0</v>
      </c>
      <c r="BK801" s="42">
        <v>0</v>
      </c>
      <c r="BL801" s="42">
        <v>0</v>
      </c>
      <c r="BM801" s="42">
        <v>0</v>
      </c>
      <c r="BN801" s="42">
        <v>0</v>
      </c>
      <c r="BO801" s="42">
        <v>0</v>
      </c>
      <c r="BP801" s="42">
        <v>0</v>
      </c>
      <c r="BQ801" s="42">
        <v>0</v>
      </c>
      <c r="BR801" s="42">
        <v>0</v>
      </c>
      <c r="BS801" s="42">
        <v>0</v>
      </c>
      <c r="BT801" s="42">
        <v>0</v>
      </c>
      <c r="BU801" s="42">
        <v>0</v>
      </c>
      <c r="BV801" s="42">
        <v>0</v>
      </c>
      <c r="BW801" s="42">
        <v>0</v>
      </c>
      <c r="BX801" s="42">
        <v>0</v>
      </c>
      <c r="BY801" s="42">
        <v>0</v>
      </c>
      <c r="BZ801" s="42">
        <v>0</v>
      </c>
      <c r="CA801" s="42">
        <v>0</v>
      </c>
      <c r="CB801" s="42">
        <v>0</v>
      </c>
      <c r="CC801" s="42">
        <v>0</v>
      </c>
      <c r="CD801" s="42">
        <v>0</v>
      </c>
      <c r="CE801" s="42">
        <v>0</v>
      </c>
      <c r="CF801" s="42">
        <v>0</v>
      </c>
      <c r="CG801" s="42">
        <v>0</v>
      </c>
      <c r="CH801" s="42">
        <v>0</v>
      </c>
      <c r="CI801" s="42">
        <v>0</v>
      </c>
      <c r="CJ801" s="42">
        <v>0</v>
      </c>
      <c r="CK801" s="43">
        <f t="shared" si="75"/>
        <v>0</v>
      </c>
      <c r="CL801" s="66"/>
      <c r="CM801" s="66">
        <v>0</v>
      </c>
      <c r="CN801" s="66">
        <v>0</v>
      </c>
      <c r="CO801" s="66">
        <v>0</v>
      </c>
      <c r="CP801" s="66">
        <v>0</v>
      </c>
      <c r="CQ801" s="66">
        <v>0</v>
      </c>
      <c r="CR801" s="66">
        <v>0</v>
      </c>
      <c r="CS801" s="66">
        <v>0</v>
      </c>
      <c r="CT801" s="66">
        <v>0</v>
      </c>
      <c r="CU801" s="66">
        <v>0</v>
      </c>
      <c r="CV801" s="66">
        <v>0</v>
      </c>
      <c r="CW801" s="66">
        <v>0</v>
      </c>
      <c r="CX801" s="66">
        <v>0</v>
      </c>
      <c r="CY801" s="66">
        <v>0</v>
      </c>
      <c r="CZ801" s="66">
        <v>0</v>
      </c>
      <c r="DA801" s="66"/>
      <c r="DB801" s="66"/>
      <c r="DC801" s="66"/>
      <c r="DD801" s="66"/>
      <c r="DE801" s="66"/>
      <c r="DF801" s="66"/>
      <c r="DG801" s="66"/>
      <c r="DH801" s="66"/>
      <c r="DI801" s="66"/>
      <c r="DJ801" s="66"/>
      <c r="DK801" s="66">
        <f>SUM(Table1[[#This Row],[01-03 Apr]:[Mar-26]])</f>
        <v>0</v>
      </c>
    </row>
    <row r="802" spans="1:115" hidden="1" x14ac:dyDescent="0.2">
      <c r="A802" s="28" t="s">
        <v>2255</v>
      </c>
      <c r="B802" s="29" t="s">
        <v>1055</v>
      </c>
      <c r="C802" s="29" t="s">
        <v>2268</v>
      </c>
      <c r="D802" s="30" t="s">
        <v>1056</v>
      </c>
      <c r="E802" s="30" t="s">
        <v>906</v>
      </c>
      <c r="F802" s="30"/>
      <c r="G802" s="31">
        <v>45044</v>
      </c>
      <c r="H802" s="30">
        <v>387872</v>
      </c>
      <c r="I802" s="30" t="str">
        <f>IF(Table1[[#This Row],[Centre Status]]="Returned","NA",IF(Table1[[#This Row],[SD]]&gt;19000,"Full Payment",IF(Table1[[#This Row],[SD]]&lt;1,"No Payment","Partial Payment")))</f>
        <v>NA</v>
      </c>
      <c r="J802" s="30" t="s">
        <v>1903</v>
      </c>
      <c r="K802" s="32">
        <v>110000</v>
      </c>
      <c r="L802" s="33">
        <f>Q802+R802+U802+Table1[[#This Row],[Farmer Payment]]</f>
        <v>17444</v>
      </c>
      <c r="M802" s="30">
        <v>17444</v>
      </c>
      <c r="N802" s="34">
        <v>45414</v>
      </c>
      <c r="O802" s="34" t="s">
        <v>2429</v>
      </c>
      <c r="P802" s="35">
        <f t="shared" si="76"/>
        <v>110000</v>
      </c>
      <c r="Q802" s="33">
        <f>AI802+AV802+CK802+Table1[[#This Row],[FY 25-26]]</f>
        <v>7444</v>
      </c>
      <c r="R802" s="36">
        <v>10000</v>
      </c>
      <c r="S802" s="37" t="s">
        <v>1057</v>
      </c>
      <c r="T802" s="38">
        <v>45044</v>
      </c>
      <c r="U802" s="39"/>
      <c r="V802" s="39"/>
      <c r="W802" s="40">
        <v>0</v>
      </c>
      <c r="X802" s="40">
        <v>0</v>
      </c>
      <c r="Y802" s="40">
        <v>0</v>
      </c>
      <c r="Z802" s="40">
        <v>0</v>
      </c>
      <c r="AA802" s="40">
        <v>0</v>
      </c>
      <c r="AB802" s="40">
        <v>0</v>
      </c>
      <c r="AC802" s="40">
        <v>0</v>
      </c>
      <c r="AD802" s="40">
        <v>0</v>
      </c>
      <c r="AE802" s="40">
        <v>0</v>
      </c>
      <c r="AF802" s="40">
        <v>0</v>
      </c>
      <c r="AG802" s="40">
        <v>0</v>
      </c>
      <c r="AH802" s="40">
        <v>0</v>
      </c>
      <c r="AI802" s="41">
        <f t="shared" si="77"/>
        <v>0</v>
      </c>
      <c r="AJ802" s="42">
        <v>0</v>
      </c>
      <c r="AK802" s="42">
        <v>1861</v>
      </c>
      <c r="AL802" s="42">
        <v>1861</v>
      </c>
      <c r="AM802" s="42">
        <v>1861</v>
      </c>
      <c r="AN802" s="42">
        <v>1861</v>
      </c>
      <c r="AO802" s="42">
        <v>0</v>
      </c>
      <c r="AP802" s="42">
        <v>0</v>
      </c>
      <c r="AQ802" s="42">
        <v>0</v>
      </c>
      <c r="AR802" s="42">
        <v>0</v>
      </c>
      <c r="AS802" s="42">
        <v>0</v>
      </c>
      <c r="AT802" s="42">
        <v>0</v>
      </c>
      <c r="AU802" s="42">
        <v>0</v>
      </c>
      <c r="AV802" s="42">
        <f t="shared" si="78"/>
        <v>7444</v>
      </c>
      <c r="AW802" s="42">
        <v>0</v>
      </c>
      <c r="AX802" s="42">
        <v>0</v>
      </c>
      <c r="AY802" s="42">
        <v>0</v>
      </c>
      <c r="AZ802" s="42">
        <v>0</v>
      </c>
      <c r="BA802" s="42">
        <v>0</v>
      </c>
      <c r="BB802" s="42">
        <v>0</v>
      </c>
      <c r="BC802" s="42">
        <v>0</v>
      </c>
      <c r="BD802" s="42">
        <v>0</v>
      </c>
      <c r="BE802" s="42">
        <v>0</v>
      </c>
      <c r="BF802" s="42">
        <v>0</v>
      </c>
      <c r="BG802" s="42">
        <v>0</v>
      </c>
      <c r="BH802" s="42">
        <v>0</v>
      </c>
      <c r="BI802" s="42">
        <v>0</v>
      </c>
      <c r="BJ802" s="42">
        <v>0</v>
      </c>
      <c r="BK802" s="42">
        <v>0</v>
      </c>
      <c r="BL802" s="42">
        <v>0</v>
      </c>
      <c r="BM802" s="42">
        <v>0</v>
      </c>
      <c r="BN802" s="42">
        <v>0</v>
      </c>
      <c r="BO802" s="42">
        <v>0</v>
      </c>
      <c r="BP802" s="42">
        <v>0</v>
      </c>
      <c r="BQ802" s="42">
        <v>0</v>
      </c>
      <c r="BR802" s="42">
        <v>0</v>
      </c>
      <c r="BS802" s="42">
        <v>0</v>
      </c>
      <c r="BT802" s="42">
        <v>0</v>
      </c>
      <c r="BU802" s="42">
        <v>0</v>
      </c>
      <c r="BV802" s="42">
        <v>0</v>
      </c>
      <c r="BW802" s="42">
        <v>0</v>
      </c>
      <c r="BX802" s="42">
        <v>0</v>
      </c>
      <c r="BY802" s="42">
        <v>0</v>
      </c>
      <c r="BZ802" s="42">
        <v>0</v>
      </c>
      <c r="CA802" s="42">
        <v>0</v>
      </c>
      <c r="CB802" s="42">
        <v>0</v>
      </c>
      <c r="CC802" s="42">
        <v>0</v>
      </c>
      <c r="CD802" s="42">
        <v>0</v>
      </c>
      <c r="CE802" s="42">
        <v>0</v>
      </c>
      <c r="CF802" s="42">
        <v>0</v>
      </c>
      <c r="CG802" s="42">
        <v>0</v>
      </c>
      <c r="CH802" s="42">
        <v>0</v>
      </c>
      <c r="CI802" s="42">
        <v>0</v>
      </c>
      <c r="CJ802" s="42">
        <v>0</v>
      </c>
      <c r="CK802" s="43">
        <f t="shared" si="75"/>
        <v>0</v>
      </c>
      <c r="CL802" s="66"/>
      <c r="CM802" s="66">
        <v>0</v>
      </c>
      <c r="CN802" s="66">
        <v>0</v>
      </c>
      <c r="CO802" s="66">
        <v>0</v>
      </c>
      <c r="CP802" s="66">
        <v>0</v>
      </c>
      <c r="CQ802" s="66">
        <v>0</v>
      </c>
      <c r="CR802" s="66">
        <v>0</v>
      </c>
      <c r="CS802" s="66">
        <v>0</v>
      </c>
      <c r="CT802" s="66">
        <v>0</v>
      </c>
      <c r="CU802" s="66">
        <v>0</v>
      </c>
      <c r="CV802" s="66">
        <v>0</v>
      </c>
      <c r="CW802" s="66">
        <v>0</v>
      </c>
      <c r="CX802" s="66">
        <v>0</v>
      </c>
      <c r="CY802" s="66">
        <v>0</v>
      </c>
      <c r="CZ802" s="66">
        <v>0</v>
      </c>
      <c r="DA802" s="66"/>
      <c r="DB802" s="66"/>
      <c r="DC802" s="66"/>
      <c r="DD802" s="66"/>
      <c r="DE802" s="66"/>
      <c r="DF802" s="66"/>
      <c r="DG802" s="66"/>
      <c r="DH802" s="66"/>
      <c r="DI802" s="66"/>
      <c r="DJ802" s="66"/>
      <c r="DK802" s="66">
        <f>SUM(Table1[[#This Row],[01-03 Apr]:[Mar-26]])</f>
        <v>0</v>
      </c>
    </row>
    <row r="803" spans="1:115" hidden="1" x14ac:dyDescent="0.2">
      <c r="A803" s="28" t="s">
        <v>2255</v>
      </c>
      <c r="B803" s="29" t="s">
        <v>1058</v>
      </c>
      <c r="C803" s="29" t="s">
        <v>2267</v>
      </c>
      <c r="D803" s="30" t="s">
        <v>1059</v>
      </c>
      <c r="E803" s="30" t="s">
        <v>906</v>
      </c>
      <c r="F803" s="30"/>
      <c r="G803" s="31">
        <v>45044</v>
      </c>
      <c r="H803" s="30">
        <v>382434</v>
      </c>
      <c r="I803" s="30" t="str">
        <f>IF(Table1[[#This Row],[Centre Status]]="Returned","NA",IF(Table1[[#This Row],[SD]]&gt;19000,"Full Payment",IF(Table1[[#This Row],[SD]]&lt;1,"No Payment","Partial Payment")))</f>
        <v>NA</v>
      </c>
      <c r="J803" s="30" t="s">
        <v>1903</v>
      </c>
      <c r="K803" s="32">
        <v>110000</v>
      </c>
      <c r="L803" s="33">
        <f>Q803+R803+U803+Table1[[#This Row],[Farmer Payment]]</f>
        <v>24768.6908</v>
      </c>
      <c r="M803" s="30">
        <v>10000</v>
      </c>
      <c r="N803" s="34">
        <v>45435</v>
      </c>
      <c r="O803" s="34" t="s">
        <v>2453</v>
      </c>
      <c r="P803" s="35">
        <f t="shared" si="76"/>
        <v>95231.309200000003</v>
      </c>
      <c r="Q803" s="33">
        <f>AI803+AV803+CK803+Table1[[#This Row],[FY 25-26]]</f>
        <v>14768.6908</v>
      </c>
      <c r="R803" s="36">
        <v>10000</v>
      </c>
      <c r="S803" s="37" t="s">
        <v>1060</v>
      </c>
      <c r="T803" s="38">
        <v>45043</v>
      </c>
      <c r="U803" s="39"/>
      <c r="V803" s="39"/>
      <c r="W803" s="40">
        <v>0</v>
      </c>
      <c r="X803" s="40">
        <v>0</v>
      </c>
      <c r="Y803" s="40">
        <v>0</v>
      </c>
      <c r="Z803" s="40">
        <v>0</v>
      </c>
      <c r="AA803" s="40">
        <v>0</v>
      </c>
      <c r="AB803" s="40">
        <v>0</v>
      </c>
      <c r="AC803" s="40">
        <v>0</v>
      </c>
      <c r="AD803" s="40">
        <v>0</v>
      </c>
      <c r="AE803" s="40">
        <v>0</v>
      </c>
      <c r="AF803" s="40">
        <v>0</v>
      </c>
      <c r="AG803" s="40">
        <v>0</v>
      </c>
      <c r="AH803" s="40">
        <v>0</v>
      </c>
      <c r="AI803" s="41">
        <f t="shared" si="77"/>
        <v>0</v>
      </c>
      <c r="AJ803" s="42">
        <v>0</v>
      </c>
      <c r="AK803" s="42">
        <v>1861</v>
      </c>
      <c r="AL803" s="42">
        <v>3234.0164000000004</v>
      </c>
      <c r="AM803" s="42">
        <v>1861</v>
      </c>
      <c r="AN803" s="42">
        <v>2194.0794000000001</v>
      </c>
      <c r="AO803" s="42">
        <v>0</v>
      </c>
      <c r="AP803" s="42">
        <v>1896.5949999999998</v>
      </c>
      <c r="AQ803" s="42">
        <v>1861</v>
      </c>
      <c r="AR803" s="42">
        <v>1861</v>
      </c>
      <c r="AS803" s="42">
        <v>0</v>
      </c>
      <c r="AT803" s="42">
        <v>0</v>
      </c>
      <c r="AU803" s="42">
        <v>0</v>
      </c>
      <c r="AV803" s="42">
        <f t="shared" si="78"/>
        <v>14768.6908</v>
      </c>
      <c r="AW803" s="42">
        <v>0</v>
      </c>
      <c r="AX803" s="42">
        <v>0</v>
      </c>
      <c r="AY803" s="42">
        <v>0</v>
      </c>
      <c r="AZ803" s="42">
        <v>0</v>
      </c>
      <c r="BA803" s="42">
        <v>0</v>
      </c>
      <c r="BB803" s="42">
        <v>0</v>
      </c>
      <c r="BC803" s="42">
        <v>0</v>
      </c>
      <c r="BD803" s="42">
        <v>0</v>
      </c>
      <c r="BE803" s="42">
        <v>0</v>
      </c>
      <c r="BF803" s="42">
        <v>0</v>
      </c>
      <c r="BG803" s="42">
        <v>0</v>
      </c>
      <c r="BH803" s="42">
        <v>0</v>
      </c>
      <c r="BI803" s="42">
        <v>0</v>
      </c>
      <c r="BJ803" s="42">
        <v>0</v>
      </c>
      <c r="BK803" s="42">
        <v>0</v>
      </c>
      <c r="BL803" s="42">
        <v>0</v>
      </c>
      <c r="BM803" s="42">
        <v>0</v>
      </c>
      <c r="BN803" s="42">
        <v>0</v>
      </c>
      <c r="BO803" s="42">
        <v>0</v>
      </c>
      <c r="BP803" s="42">
        <v>0</v>
      </c>
      <c r="BQ803" s="42">
        <v>0</v>
      </c>
      <c r="BR803" s="42">
        <v>0</v>
      </c>
      <c r="BS803" s="42">
        <v>0</v>
      </c>
      <c r="BT803" s="42">
        <v>0</v>
      </c>
      <c r="BU803" s="42">
        <v>0</v>
      </c>
      <c r="BV803" s="42">
        <v>0</v>
      </c>
      <c r="BW803" s="42">
        <v>0</v>
      </c>
      <c r="BX803" s="42">
        <v>0</v>
      </c>
      <c r="BY803" s="42">
        <v>0</v>
      </c>
      <c r="BZ803" s="42">
        <v>0</v>
      </c>
      <c r="CA803" s="42">
        <v>0</v>
      </c>
      <c r="CB803" s="42">
        <v>0</v>
      </c>
      <c r="CC803" s="42">
        <v>0</v>
      </c>
      <c r="CD803" s="42">
        <v>0</v>
      </c>
      <c r="CE803" s="42">
        <v>0</v>
      </c>
      <c r="CF803" s="42">
        <v>0</v>
      </c>
      <c r="CG803" s="42">
        <v>0</v>
      </c>
      <c r="CH803" s="42">
        <v>0</v>
      </c>
      <c r="CI803" s="42">
        <v>0</v>
      </c>
      <c r="CJ803" s="42">
        <v>0</v>
      </c>
      <c r="CK803" s="43">
        <f t="shared" si="75"/>
        <v>0</v>
      </c>
      <c r="CL803" s="66"/>
      <c r="CM803" s="66">
        <v>0</v>
      </c>
      <c r="CN803" s="66">
        <v>0</v>
      </c>
      <c r="CO803" s="66">
        <v>0</v>
      </c>
      <c r="CP803" s="66">
        <v>0</v>
      </c>
      <c r="CQ803" s="66">
        <v>0</v>
      </c>
      <c r="CR803" s="66">
        <v>0</v>
      </c>
      <c r="CS803" s="66">
        <v>0</v>
      </c>
      <c r="CT803" s="66">
        <v>0</v>
      </c>
      <c r="CU803" s="66">
        <v>0</v>
      </c>
      <c r="CV803" s="66">
        <v>0</v>
      </c>
      <c r="CW803" s="66">
        <v>0</v>
      </c>
      <c r="CX803" s="66">
        <v>0</v>
      </c>
      <c r="CY803" s="66">
        <v>0</v>
      </c>
      <c r="CZ803" s="66">
        <v>0</v>
      </c>
      <c r="DA803" s="66"/>
      <c r="DB803" s="66"/>
      <c r="DC803" s="66"/>
      <c r="DD803" s="66"/>
      <c r="DE803" s="66"/>
      <c r="DF803" s="66"/>
      <c r="DG803" s="66"/>
      <c r="DH803" s="66"/>
      <c r="DI803" s="66"/>
      <c r="DJ803" s="66"/>
      <c r="DK803" s="66">
        <f>SUM(Table1[[#This Row],[01-03 Apr]:[Mar-26]])</f>
        <v>0</v>
      </c>
    </row>
    <row r="804" spans="1:115" hidden="1" x14ac:dyDescent="0.2">
      <c r="A804" s="28" t="s">
        <v>2255</v>
      </c>
      <c r="B804" s="29" t="s">
        <v>1061</v>
      </c>
      <c r="C804" s="29" t="s">
        <v>2266</v>
      </c>
      <c r="D804" s="30" t="s">
        <v>1062</v>
      </c>
      <c r="E804" s="30" t="s">
        <v>906</v>
      </c>
      <c r="F804" s="30"/>
      <c r="G804" s="31">
        <v>45044</v>
      </c>
      <c r="H804" s="30">
        <v>385565</v>
      </c>
      <c r="I804" s="30" t="str">
        <f>IF(Table1[[#This Row],[Centre Status]]="Returned","NA",IF(Table1[[#This Row],[SD]]&gt;19000,"Full Payment",IF(Table1[[#This Row],[SD]]&lt;1,"No Payment","Partial Payment")))</f>
        <v>NA</v>
      </c>
      <c r="J804" s="30" t="s">
        <v>1903</v>
      </c>
      <c r="K804" s="32">
        <v>110000</v>
      </c>
      <c r="L804" s="33">
        <f>Q804+R804+U804+Table1[[#This Row],[Farmer Payment]]</f>
        <v>29255</v>
      </c>
      <c r="M804" s="30">
        <v>20000</v>
      </c>
      <c r="N804" s="34">
        <v>45527</v>
      </c>
      <c r="O804" s="34" t="s">
        <v>2554</v>
      </c>
      <c r="P804" s="35">
        <f t="shared" si="76"/>
        <v>100745</v>
      </c>
      <c r="Q804" s="33">
        <f>AI804+AV804+CK804+Table1[[#This Row],[FY 25-26]]</f>
        <v>13255</v>
      </c>
      <c r="R804" s="36">
        <v>16000</v>
      </c>
      <c r="S804" s="37" t="s">
        <v>1063</v>
      </c>
      <c r="T804" s="38">
        <v>45044</v>
      </c>
      <c r="U804" s="39"/>
      <c r="V804" s="39"/>
      <c r="W804" s="40">
        <v>0</v>
      </c>
      <c r="X804" s="40">
        <v>0</v>
      </c>
      <c r="Y804" s="40">
        <v>0</v>
      </c>
      <c r="Z804" s="40">
        <v>0</v>
      </c>
      <c r="AA804" s="40">
        <v>0</v>
      </c>
      <c r="AB804" s="40">
        <v>0</v>
      </c>
      <c r="AC804" s="40">
        <v>0</v>
      </c>
      <c r="AD804" s="40">
        <v>0</v>
      </c>
      <c r="AE804" s="40">
        <v>0</v>
      </c>
      <c r="AF804" s="40">
        <v>0</v>
      </c>
      <c r="AG804" s="40">
        <v>0</v>
      </c>
      <c r="AH804" s="40">
        <v>0</v>
      </c>
      <c r="AI804" s="41">
        <f t="shared" si="77"/>
        <v>0</v>
      </c>
      <c r="AJ804" s="42">
        <v>0</v>
      </c>
      <c r="AK804" s="42">
        <v>1861</v>
      </c>
      <c r="AL804" s="42">
        <v>1861</v>
      </c>
      <c r="AM804" s="42">
        <v>1861</v>
      </c>
      <c r="AN804" s="42">
        <v>1027</v>
      </c>
      <c r="AO804" s="42">
        <v>1648</v>
      </c>
      <c r="AP804" s="42">
        <v>1861</v>
      </c>
      <c r="AQ804" s="42">
        <v>730</v>
      </c>
      <c r="AR804" s="42">
        <v>1861</v>
      </c>
      <c r="AS804" s="42">
        <v>545</v>
      </c>
      <c r="AT804" s="42">
        <v>0</v>
      </c>
      <c r="AU804" s="42">
        <v>0</v>
      </c>
      <c r="AV804" s="42">
        <f t="shared" si="78"/>
        <v>13255</v>
      </c>
      <c r="AW804" s="42">
        <v>0</v>
      </c>
      <c r="AX804" s="42">
        <v>0</v>
      </c>
      <c r="AY804" s="42">
        <v>0</v>
      </c>
      <c r="AZ804" s="42">
        <v>0</v>
      </c>
      <c r="BA804" s="42">
        <v>0</v>
      </c>
      <c r="BB804" s="42">
        <v>0</v>
      </c>
      <c r="BC804" s="42">
        <v>0</v>
      </c>
      <c r="BD804" s="42">
        <v>0</v>
      </c>
      <c r="BE804" s="42">
        <v>0</v>
      </c>
      <c r="BF804" s="42">
        <v>0</v>
      </c>
      <c r="BG804" s="42">
        <v>0</v>
      </c>
      <c r="BH804" s="42">
        <v>0</v>
      </c>
      <c r="BI804" s="42">
        <v>0</v>
      </c>
      <c r="BJ804" s="42">
        <v>0</v>
      </c>
      <c r="BK804" s="42">
        <v>0</v>
      </c>
      <c r="BL804" s="42">
        <v>0</v>
      </c>
      <c r="BM804" s="42">
        <v>0</v>
      </c>
      <c r="BN804" s="42">
        <v>0</v>
      </c>
      <c r="BO804" s="42">
        <v>0</v>
      </c>
      <c r="BP804" s="42">
        <v>0</v>
      </c>
      <c r="BQ804" s="42">
        <v>0</v>
      </c>
      <c r="BR804" s="42">
        <v>0</v>
      </c>
      <c r="BS804" s="42">
        <v>0</v>
      </c>
      <c r="BT804" s="42">
        <v>0</v>
      </c>
      <c r="BU804" s="42">
        <v>0</v>
      </c>
      <c r="BV804" s="42">
        <v>0</v>
      </c>
      <c r="BW804" s="42">
        <v>0</v>
      </c>
      <c r="BX804" s="42">
        <v>0</v>
      </c>
      <c r="BY804" s="42">
        <v>0</v>
      </c>
      <c r="BZ804" s="42">
        <v>0</v>
      </c>
      <c r="CA804" s="42">
        <v>0</v>
      </c>
      <c r="CB804" s="42">
        <v>0</v>
      </c>
      <c r="CC804" s="42">
        <v>0</v>
      </c>
      <c r="CD804" s="42">
        <v>0</v>
      </c>
      <c r="CE804" s="42">
        <v>0</v>
      </c>
      <c r="CF804" s="42">
        <v>0</v>
      </c>
      <c r="CG804" s="42">
        <v>0</v>
      </c>
      <c r="CH804" s="42">
        <v>0</v>
      </c>
      <c r="CI804" s="42">
        <v>0</v>
      </c>
      <c r="CJ804" s="42">
        <v>0</v>
      </c>
      <c r="CK804" s="43">
        <f t="shared" si="75"/>
        <v>0</v>
      </c>
      <c r="CL804" s="66"/>
      <c r="CM804" s="66">
        <v>0</v>
      </c>
      <c r="CN804" s="66">
        <v>0</v>
      </c>
      <c r="CO804" s="66">
        <v>0</v>
      </c>
      <c r="CP804" s="66">
        <v>0</v>
      </c>
      <c r="CQ804" s="66">
        <v>0</v>
      </c>
      <c r="CR804" s="66">
        <v>0</v>
      </c>
      <c r="CS804" s="66">
        <v>0</v>
      </c>
      <c r="CT804" s="66">
        <v>0</v>
      </c>
      <c r="CU804" s="66">
        <v>0</v>
      </c>
      <c r="CV804" s="66">
        <v>0</v>
      </c>
      <c r="CW804" s="66">
        <v>0</v>
      </c>
      <c r="CX804" s="66">
        <v>0</v>
      </c>
      <c r="CY804" s="66">
        <v>0</v>
      </c>
      <c r="CZ804" s="66">
        <v>0</v>
      </c>
      <c r="DA804" s="66"/>
      <c r="DB804" s="66"/>
      <c r="DC804" s="66"/>
      <c r="DD804" s="66"/>
      <c r="DE804" s="66"/>
      <c r="DF804" s="66"/>
      <c r="DG804" s="66"/>
      <c r="DH804" s="66"/>
      <c r="DI804" s="66"/>
      <c r="DJ804" s="66"/>
      <c r="DK804" s="66">
        <f>SUM(Table1[[#This Row],[01-03 Apr]:[Mar-26]])</f>
        <v>0</v>
      </c>
    </row>
    <row r="805" spans="1:115" hidden="1" x14ac:dyDescent="0.2">
      <c r="A805" s="28" t="s">
        <v>2253</v>
      </c>
      <c r="B805" s="29" t="s">
        <v>1154</v>
      </c>
      <c r="C805" s="29" t="s">
        <v>2265</v>
      </c>
      <c r="D805" s="30" t="s">
        <v>1155</v>
      </c>
      <c r="E805" s="30" t="s">
        <v>85</v>
      </c>
      <c r="F805" s="30"/>
      <c r="G805" s="31" t="s">
        <v>371</v>
      </c>
      <c r="H805" s="30">
        <v>365835</v>
      </c>
      <c r="I805" s="30" t="str">
        <f>IF(Table1[[#This Row],[Centre Status]]="Returned","NA",IF(Table1[[#This Row],[SD]]&gt;19000,"Full Payment",IF(Table1[[#This Row],[SD]]&lt;1,"No Payment","Partial Payment")))</f>
        <v>NA</v>
      </c>
      <c r="J805" s="30" t="s">
        <v>1903</v>
      </c>
      <c r="K805" s="32">
        <v>110000</v>
      </c>
      <c r="L805" s="33">
        <f>Q805+R805+U805+Table1[[#This Row],[Farmer Payment]]</f>
        <v>35396.340199999999</v>
      </c>
      <c r="M805" s="30">
        <v>20000</v>
      </c>
      <c r="N805" s="34">
        <v>45435</v>
      </c>
      <c r="O805" s="34" t="s">
        <v>2425</v>
      </c>
      <c r="P805" s="35">
        <f t="shared" si="76"/>
        <v>94603.659799999994</v>
      </c>
      <c r="Q805" s="33">
        <f>AI805+AV805+CK805+Table1[[#This Row],[FY 25-26]]</f>
        <v>15396.340200000001</v>
      </c>
      <c r="R805" s="36">
        <v>20000</v>
      </c>
      <c r="S805" s="37" t="s">
        <v>1156</v>
      </c>
      <c r="T805" s="38">
        <v>44960</v>
      </c>
      <c r="U805" s="39"/>
      <c r="V805" s="39"/>
      <c r="W805" s="40">
        <v>0</v>
      </c>
      <c r="X805" s="40">
        <v>0</v>
      </c>
      <c r="Y805" s="40">
        <v>0</v>
      </c>
      <c r="Z805" s="40">
        <v>0</v>
      </c>
      <c r="AA805" s="40">
        <v>0</v>
      </c>
      <c r="AB805" s="40">
        <v>0</v>
      </c>
      <c r="AC805" s="40">
        <v>0</v>
      </c>
      <c r="AD805" s="40">
        <v>0</v>
      </c>
      <c r="AE805" s="40">
        <v>0</v>
      </c>
      <c r="AF805" s="40">
        <v>0</v>
      </c>
      <c r="AG805" s="40">
        <v>0</v>
      </c>
      <c r="AH805" s="40">
        <v>1861</v>
      </c>
      <c r="AI805" s="41">
        <f t="shared" si="77"/>
        <v>1861</v>
      </c>
      <c r="AJ805" s="42">
        <v>1861</v>
      </c>
      <c r="AK805" s="42">
        <v>1861</v>
      </c>
      <c r="AL805" s="42">
        <v>1861</v>
      </c>
      <c r="AM805" s="42">
        <v>1062</v>
      </c>
      <c r="AN805" s="42">
        <v>1861</v>
      </c>
      <c r="AO805" s="42">
        <v>2022.3402000000003</v>
      </c>
      <c r="AP805" s="42">
        <v>919</v>
      </c>
      <c r="AQ805" s="42">
        <v>1716</v>
      </c>
      <c r="AR805" s="42">
        <v>207</v>
      </c>
      <c r="AS805" s="42">
        <v>165</v>
      </c>
      <c r="AT805" s="42">
        <v>0</v>
      </c>
      <c r="AU805" s="42">
        <v>0</v>
      </c>
      <c r="AV805" s="42">
        <f t="shared" si="78"/>
        <v>13535.340200000001</v>
      </c>
      <c r="AW805" s="42">
        <v>0</v>
      </c>
      <c r="AX805" s="42">
        <v>0</v>
      </c>
      <c r="AY805" s="42">
        <v>0</v>
      </c>
      <c r="AZ805" s="42">
        <v>0</v>
      </c>
      <c r="BA805" s="42">
        <v>0</v>
      </c>
      <c r="BB805" s="42">
        <v>0</v>
      </c>
      <c r="BC805" s="42">
        <v>0</v>
      </c>
      <c r="BD805" s="42">
        <v>0</v>
      </c>
      <c r="BE805" s="42">
        <v>0</v>
      </c>
      <c r="BF805" s="42">
        <v>0</v>
      </c>
      <c r="BG805" s="42">
        <v>0</v>
      </c>
      <c r="BH805" s="42">
        <v>0</v>
      </c>
      <c r="BI805" s="42">
        <v>0</v>
      </c>
      <c r="BJ805" s="42">
        <v>0</v>
      </c>
      <c r="BK805" s="42">
        <v>0</v>
      </c>
      <c r="BL805" s="42">
        <v>0</v>
      </c>
      <c r="BM805" s="42">
        <v>0</v>
      </c>
      <c r="BN805" s="42">
        <v>0</v>
      </c>
      <c r="BO805" s="42">
        <v>0</v>
      </c>
      <c r="BP805" s="42">
        <v>0</v>
      </c>
      <c r="BQ805" s="42">
        <v>0</v>
      </c>
      <c r="BR805" s="42">
        <v>0</v>
      </c>
      <c r="BS805" s="42">
        <v>0</v>
      </c>
      <c r="BT805" s="42">
        <v>0</v>
      </c>
      <c r="BU805" s="42">
        <v>0</v>
      </c>
      <c r="BV805" s="42">
        <v>0</v>
      </c>
      <c r="BW805" s="42">
        <v>0</v>
      </c>
      <c r="BX805" s="42">
        <v>0</v>
      </c>
      <c r="BY805" s="42">
        <v>0</v>
      </c>
      <c r="BZ805" s="42">
        <v>0</v>
      </c>
      <c r="CA805" s="42">
        <v>0</v>
      </c>
      <c r="CB805" s="42">
        <v>0</v>
      </c>
      <c r="CC805" s="42">
        <v>0</v>
      </c>
      <c r="CD805" s="42">
        <v>0</v>
      </c>
      <c r="CE805" s="42">
        <v>0</v>
      </c>
      <c r="CF805" s="42">
        <v>0</v>
      </c>
      <c r="CG805" s="42">
        <v>0</v>
      </c>
      <c r="CH805" s="42">
        <v>0</v>
      </c>
      <c r="CI805" s="42">
        <v>0</v>
      </c>
      <c r="CJ805" s="42">
        <v>0</v>
      </c>
      <c r="CK805" s="43">
        <f t="shared" si="75"/>
        <v>0</v>
      </c>
      <c r="CL805" s="66"/>
      <c r="CM805" s="66">
        <v>0</v>
      </c>
      <c r="CN805" s="66">
        <v>0</v>
      </c>
      <c r="CO805" s="66">
        <v>0</v>
      </c>
      <c r="CP805" s="66">
        <v>0</v>
      </c>
      <c r="CQ805" s="66">
        <v>0</v>
      </c>
      <c r="CR805" s="66">
        <v>0</v>
      </c>
      <c r="CS805" s="66">
        <v>0</v>
      </c>
      <c r="CT805" s="66">
        <v>0</v>
      </c>
      <c r="CU805" s="66">
        <v>0</v>
      </c>
      <c r="CV805" s="66">
        <v>0</v>
      </c>
      <c r="CW805" s="66">
        <v>0</v>
      </c>
      <c r="CX805" s="66">
        <v>0</v>
      </c>
      <c r="CY805" s="66">
        <v>0</v>
      </c>
      <c r="CZ805" s="66">
        <v>0</v>
      </c>
      <c r="DA805" s="66"/>
      <c r="DB805" s="66"/>
      <c r="DC805" s="66"/>
      <c r="DD805" s="66"/>
      <c r="DE805" s="66"/>
      <c r="DF805" s="66"/>
      <c r="DG805" s="66"/>
      <c r="DH805" s="66"/>
      <c r="DI805" s="66"/>
      <c r="DJ805" s="66"/>
      <c r="DK805" s="66">
        <f>SUM(Table1[[#This Row],[01-03 Apr]:[Mar-26]])</f>
        <v>0</v>
      </c>
    </row>
    <row r="806" spans="1:115" hidden="1" x14ac:dyDescent="0.2">
      <c r="A806" s="28" t="s">
        <v>2253</v>
      </c>
      <c r="B806" s="29" t="s">
        <v>1164</v>
      </c>
      <c r="C806" s="29" t="s">
        <v>1165</v>
      </c>
      <c r="D806" s="30" t="s">
        <v>1166</v>
      </c>
      <c r="E806" s="30" t="s">
        <v>85</v>
      </c>
      <c r="F806" s="30"/>
      <c r="G806" s="31" t="s">
        <v>371</v>
      </c>
      <c r="H806" s="30">
        <v>360242</v>
      </c>
      <c r="I806" s="30" t="str">
        <f>IF(Table1[[#This Row],[Centre Status]]="Returned","NA",IF(Table1[[#This Row],[SD]]&gt;19000,"Full Payment",IF(Table1[[#This Row],[SD]]&lt;1,"No Payment","Partial Payment")))</f>
        <v>NA</v>
      </c>
      <c r="J806" s="30" t="s">
        <v>1903</v>
      </c>
      <c r="K806" s="32">
        <v>110000</v>
      </c>
      <c r="L806" s="33">
        <f>Q806+R806+U806+Table1[[#This Row],[Farmer Payment]]</f>
        <v>25800</v>
      </c>
      <c r="M806" s="30">
        <v>15000</v>
      </c>
      <c r="N806" s="34">
        <v>45554</v>
      </c>
      <c r="O806" s="34" t="s">
        <v>2457</v>
      </c>
      <c r="P806" s="35">
        <f t="shared" si="76"/>
        <v>99200</v>
      </c>
      <c r="Q806" s="33">
        <f>AI806+AV806+CK806+Table1[[#This Row],[FY 25-26]]</f>
        <v>10800</v>
      </c>
      <c r="R806" s="36">
        <v>15000</v>
      </c>
      <c r="S806" s="37" t="s">
        <v>1167</v>
      </c>
      <c r="T806" s="38">
        <v>44942</v>
      </c>
      <c r="U806" s="39"/>
      <c r="V806" s="39"/>
      <c r="W806" s="40">
        <v>0</v>
      </c>
      <c r="X806" s="40">
        <v>0</v>
      </c>
      <c r="Y806" s="40">
        <v>0</v>
      </c>
      <c r="Z806" s="40">
        <v>0</v>
      </c>
      <c r="AA806" s="40">
        <v>0</v>
      </c>
      <c r="AB806" s="40">
        <v>0</v>
      </c>
      <c r="AC806" s="40">
        <v>0</v>
      </c>
      <c r="AD806" s="40">
        <v>0</v>
      </c>
      <c r="AE806" s="40">
        <v>0</v>
      </c>
      <c r="AF806" s="40">
        <v>0</v>
      </c>
      <c r="AG806" s="40">
        <v>0</v>
      </c>
      <c r="AH806" s="40">
        <v>1861</v>
      </c>
      <c r="AI806" s="41">
        <f t="shared" si="77"/>
        <v>1861</v>
      </c>
      <c r="AJ806" s="42">
        <v>1861</v>
      </c>
      <c r="AK806" s="42">
        <v>1861</v>
      </c>
      <c r="AL806" s="42">
        <v>0</v>
      </c>
      <c r="AM806" s="42">
        <v>0</v>
      </c>
      <c r="AN806" s="42">
        <v>0</v>
      </c>
      <c r="AO806" s="42">
        <v>516</v>
      </c>
      <c r="AP806" s="42">
        <v>1861</v>
      </c>
      <c r="AQ806" s="42">
        <v>0</v>
      </c>
      <c r="AR806" s="42">
        <v>567</v>
      </c>
      <c r="AS806" s="42">
        <v>1385</v>
      </c>
      <c r="AT806" s="42">
        <v>888</v>
      </c>
      <c r="AU806" s="42">
        <v>0</v>
      </c>
      <c r="AV806" s="42">
        <f t="shared" si="78"/>
        <v>8939</v>
      </c>
      <c r="AW806" s="42">
        <v>0</v>
      </c>
      <c r="AX806" s="42">
        <v>0</v>
      </c>
      <c r="AY806" s="42">
        <v>0</v>
      </c>
      <c r="AZ806" s="42">
        <v>0</v>
      </c>
      <c r="BA806" s="42">
        <v>0</v>
      </c>
      <c r="BB806" s="42">
        <v>0</v>
      </c>
      <c r="BC806" s="42">
        <v>0</v>
      </c>
      <c r="BD806" s="42">
        <v>0</v>
      </c>
      <c r="BE806" s="42">
        <v>0</v>
      </c>
      <c r="BF806" s="42">
        <v>0</v>
      </c>
      <c r="BG806" s="42">
        <v>0</v>
      </c>
      <c r="BH806" s="42">
        <v>0</v>
      </c>
      <c r="BI806" s="42">
        <v>0</v>
      </c>
      <c r="BJ806" s="42">
        <v>0</v>
      </c>
      <c r="BK806" s="42">
        <v>0</v>
      </c>
      <c r="BL806" s="42">
        <v>0</v>
      </c>
      <c r="BM806" s="42">
        <v>0</v>
      </c>
      <c r="BN806" s="42">
        <v>0</v>
      </c>
      <c r="BO806" s="42">
        <v>0</v>
      </c>
      <c r="BP806" s="42">
        <v>0</v>
      </c>
      <c r="BQ806" s="42">
        <v>0</v>
      </c>
      <c r="BR806" s="42">
        <v>0</v>
      </c>
      <c r="BS806" s="42">
        <v>0</v>
      </c>
      <c r="BT806" s="42">
        <v>0</v>
      </c>
      <c r="BU806" s="42">
        <v>0</v>
      </c>
      <c r="BV806" s="42">
        <v>0</v>
      </c>
      <c r="BW806" s="42">
        <v>0</v>
      </c>
      <c r="BX806" s="42">
        <v>0</v>
      </c>
      <c r="BY806" s="42">
        <v>0</v>
      </c>
      <c r="BZ806" s="42">
        <v>0</v>
      </c>
      <c r="CA806" s="42">
        <v>0</v>
      </c>
      <c r="CB806" s="42">
        <v>0</v>
      </c>
      <c r="CC806" s="42">
        <v>0</v>
      </c>
      <c r="CD806" s="42">
        <v>0</v>
      </c>
      <c r="CE806" s="42">
        <v>0</v>
      </c>
      <c r="CF806" s="42">
        <v>0</v>
      </c>
      <c r="CG806" s="42">
        <v>0</v>
      </c>
      <c r="CH806" s="42">
        <v>0</v>
      </c>
      <c r="CI806" s="42">
        <v>0</v>
      </c>
      <c r="CJ806" s="42">
        <v>0</v>
      </c>
      <c r="CK806" s="43">
        <f t="shared" si="75"/>
        <v>0</v>
      </c>
      <c r="CL806" s="66"/>
      <c r="CM806" s="66">
        <v>0</v>
      </c>
      <c r="CN806" s="66">
        <v>0</v>
      </c>
      <c r="CO806" s="66">
        <v>0</v>
      </c>
      <c r="CP806" s="66">
        <v>0</v>
      </c>
      <c r="CQ806" s="66">
        <v>0</v>
      </c>
      <c r="CR806" s="66">
        <v>0</v>
      </c>
      <c r="CS806" s="66">
        <v>0</v>
      </c>
      <c r="CT806" s="66">
        <v>0</v>
      </c>
      <c r="CU806" s="66">
        <v>0</v>
      </c>
      <c r="CV806" s="66">
        <v>0</v>
      </c>
      <c r="CW806" s="66">
        <v>0</v>
      </c>
      <c r="CX806" s="66">
        <v>0</v>
      </c>
      <c r="CY806" s="66">
        <v>0</v>
      </c>
      <c r="CZ806" s="66">
        <v>0</v>
      </c>
      <c r="DA806" s="66"/>
      <c r="DB806" s="66"/>
      <c r="DC806" s="66"/>
      <c r="DD806" s="66"/>
      <c r="DE806" s="66"/>
      <c r="DF806" s="66"/>
      <c r="DG806" s="66"/>
      <c r="DH806" s="66"/>
      <c r="DI806" s="66"/>
      <c r="DJ806" s="66"/>
      <c r="DK806" s="66">
        <f>SUM(Table1[[#This Row],[01-03 Apr]:[Mar-26]])</f>
        <v>0</v>
      </c>
    </row>
    <row r="807" spans="1:115" hidden="1" x14ac:dyDescent="0.2">
      <c r="A807" s="28" t="s">
        <v>2255</v>
      </c>
      <c r="B807" s="29" t="s">
        <v>1168</v>
      </c>
      <c r="C807" s="29" t="s">
        <v>2263</v>
      </c>
      <c r="D807" s="30" t="s">
        <v>1169</v>
      </c>
      <c r="E807" s="30" t="s">
        <v>906</v>
      </c>
      <c r="F807" s="30"/>
      <c r="G807" s="31">
        <v>45045</v>
      </c>
      <c r="H807" s="30">
        <v>378184</v>
      </c>
      <c r="I807" s="30" t="str">
        <f>IF(Table1[[#This Row],[Centre Status]]="Returned","NA",IF(Table1[[#This Row],[SD]]&gt;19000,"Full Payment",IF(Table1[[#This Row],[SD]]&lt;1,"No Payment","Partial Payment")))</f>
        <v>NA</v>
      </c>
      <c r="J807" s="30" t="s">
        <v>1903</v>
      </c>
      <c r="K807" s="32">
        <v>110000</v>
      </c>
      <c r="L807" s="33">
        <f>Q807+R807+U807+Table1[[#This Row],[Farmer Payment]]</f>
        <v>14453</v>
      </c>
      <c r="M807" s="30">
        <f>10000-10000</f>
        <v>0</v>
      </c>
      <c r="N807" s="34">
        <v>45527</v>
      </c>
      <c r="O807" s="34" t="s">
        <v>2556</v>
      </c>
      <c r="P807" s="35">
        <f t="shared" si="76"/>
        <v>95547</v>
      </c>
      <c r="Q807" s="33">
        <f>AI807+AV807+CK807+Table1[[#This Row],[FY 25-26]]</f>
        <v>4453</v>
      </c>
      <c r="R807" s="36">
        <v>10000</v>
      </c>
      <c r="S807" s="37" t="s">
        <v>1170</v>
      </c>
      <c r="T807" s="38">
        <v>45028</v>
      </c>
      <c r="U807" s="39"/>
      <c r="V807" s="39"/>
      <c r="W807" s="40">
        <v>0</v>
      </c>
      <c r="X807" s="40">
        <v>0</v>
      </c>
      <c r="Y807" s="40">
        <v>0</v>
      </c>
      <c r="Z807" s="40">
        <v>0</v>
      </c>
      <c r="AA807" s="40">
        <v>0</v>
      </c>
      <c r="AB807" s="40">
        <v>0</v>
      </c>
      <c r="AC807" s="40">
        <v>0</v>
      </c>
      <c r="AD807" s="40">
        <v>0</v>
      </c>
      <c r="AE807" s="40">
        <v>0</v>
      </c>
      <c r="AF807" s="40">
        <v>0</v>
      </c>
      <c r="AG807" s="40">
        <v>0</v>
      </c>
      <c r="AH807" s="40">
        <v>0</v>
      </c>
      <c r="AI807" s="41">
        <f t="shared" si="77"/>
        <v>0</v>
      </c>
      <c r="AJ807" s="42">
        <v>0</v>
      </c>
      <c r="AK807" s="42">
        <v>1861</v>
      </c>
      <c r="AL807" s="42">
        <v>1451</v>
      </c>
      <c r="AM807" s="42">
        <v>1141</v>
      </c>
      <c r="AN807" s="42">
        <v>0</v>
      </c>
      <c r="AO807" s="42">
        <v>0</v>
      </c>
      <c r="AP807" s="42">
        <v>0</v>
      </c>
      <c r="AQ807" s="42">
        <v>0</v>
      </c>
      <c r="AR807" s="42">
        <v>0</v>
      </c>
      <c r="AS807" s="42">
        <v>0</v>
      </c>
      <c r="AT807" s="42">
        <v>0</v>
      </c>
      <c r="AU807" s="42">
        <v>0</v>
      </c>
      <c r="AV807" s="42">
        <f t="shared" si="78"/>
        <v>4453</v>
      </c>
      <c r="AW807" s="42">
        <v>0</v>
      </c>
      <c r="AX807" s="42">
        <v>0</v>
      </c>
      <c r="AY807" s="42">
        <v>0</v>
      </c>
      <c r="AZ807" s="42">
        <v>0</v>
      </c>
      <c r="BA807" s="42">
        <v>0</v>
      </c>
      <c r="BB807" s="42">
        <v>0</v>
      </c>
      <c r="BC807" s="42">
        <v>0</v>
      </c>
      <c r="BD807" s="42">
        <v>0</v>
      </c>
      <c r="BE807" s="42">
        <v>0</v>
      </c>
      <c r="BF807" s="42">
        <v>0</v>
      </c>
      <c r="BG807" s="42">
        <v>0</v>
      </c>
      <c r="BH807" s="42">
        <v>0</v>
      </c>
      <c r="BI807" s="42">
        <v>0</v>
      </c>
      <c r="BJ807" s="42">
        <v>0</v>
      </c>
      <c r="BK807" s="42">
        <v>0</v>
      </c>
      <c r="BL807" s="42">
        <v>0</v>
      </c>
      <c r="BM807" s="42">
        <v>0</v>
      </c>
      <c r="BN807" s="42">
        <v>0</v>
      </c>
      <c r="BO807" s="42">
        <v>0</v>
      </c>
      <c r="BP807" s="42">
        <v>0</v>
      </c>
      <c r="BQ807" s="42">
        <v>0</v>
      </c>
      <c r="BR807" s="42">
        <v>0</v>
      </c>
      <c r="BS807" s="42">
        <v>0</v>
      </c>
      <c r="BT807" s="42">
        <v>0</v>
      </c>
      <c r="BU807" s="42">
        <v>0</v>
      </c>
      <c r="BV807" s="42">
        <v>0</v>
      </c>
      <c r="BW807" s="42">
        <v>0</v>
      </c>
      <c r="BX807" s="42">
        <v>0</v>
      </c>
      <c r="BY807" s="42">
        <v>0</v>
      </c>
      <c r="BZ807" s="42">
        <v>0</v>
      </c>
      <c r="CA807" s="42">
        <v>0</v>
      </c>
      <c r="CB807" s="42">
        <v>0</v>
      </c>
      <c r="CC807" s="42">
        <v>0</v>
      </c>
      <c r="CD807" s="42">
        <v>0</v>
      </c>
      <c r="CE807" s="42">
        <v>0</v>
      </c>
      <c r="CF807" s="42">
        <v>0</v>
      </c>
      <c r="CG807" s="42">
        <v>0</v>
      </c>
      <c r="CH807" s="42">
        <v>0</v>
      </c>
      <c r="CI807" s="42">
        <v>0</v>
      </c>
      <c r="CJ807" s="42">
        <v>0</v>
      </c>
      <c r="CK807" s="43">
        <f t="shared" si="75"/>
        <v>0</v>
      </c>
      <c r="CL807" s="66"/>
      <c r="CM807" s="66">
        <v>0</v>
      </c>
      <c r="CN807" s="66">
        <v>0</v>
      </c>
      <c r="CO807" s="66">
        <v>0</v>
      </c>
      <c r="CP807" s="66">
        <v>0</v>
      </c>
      <c r="CQ807" s="66">
        <v>0</v>
      </c>
      <c r="CR807" s="66">
        <v>0</v>
      </c>
      <c r="CS807" s="66">
        <v>0</v>
      </c>
      <c r="CT807" s="66">
        <v>0</v>
      </c>
      <c r="CU807" s="66">
        <v>0</v>
      </c>
      <c r="CV807" s="66">
        <v>0</v>
      </c>
      <c r="CW807" s="66">
        <v>0</v>
      </c>
      <c r="CX807" s="66">
        <v>0</v>
      </c>
      <c r="CY807" s="66">
        <v>0</v>
      </c>
      <c r="CZ807" s="66">
        <v>0</v>
      </c>
      <c r="DA807" s="66"/>
      <c r="DB807" s="66"/>
      <c r="DC807" s="66"/>
      <c r="DD807" s="66"/>
      <c r="DE807" s="66"/>
      <c r="DF807" s="66"/>
      <c r="DG807" s="66"/>
      <c r="DH807" s="66"/>
      <c r="DI807" s="66"/>
      <c r="DJ807" s="66"/>
      <c r="DK807" s="66">
        <f>SUM(Table1[[#This Row],[01-03 Apr]:[Mar-26]])</f>
        <v>0</v>
      </c>
    </row>
    <row r="808" spans="1:115" hidden="1" x14ac:dyDescent="0.2">
      <c r="A808" s="28" t="s">
        <v>2255</v>
      </c>
      <c r="B808" s="29" t="s">
        <v>1171</v>
      </c>
      <c r="C808" s="29" t="s">
        <v>1172</v>
      </c>
      <c r="D808" s="30" t="s">
        <v>1173</v>
      </c>
      <c r="E808" s="30" t="s">
        <v>906</v>
      </c>
      <c r="F808" s="30"/>
      <c r="G808" s="31">
        <v>45045</v>
      </c>
      <c r="H808" s="30">
        <v>378242</v>
      </c>
      <c r="I808" s="30" t="str">
        <f>IF(Table1[[#This Row],[Centre Status]]="Returned","NA",IF(Table1[[#This Row],[SD]]&gt;19000,"Full Payment",IF(Table1[[#This Row],[SD]]&lt;1,"No Payment","Partial Payment")))</f>
        <v>NA</v>
      </c>
      <c r="J808" s="30" t="s">
        <v>1903</v>
      </c>
      <c r="K808" s="32">
        <v>110000</v>
      </c>
      <c r="L808" s="33">
        <f>Q808+R808+U808+Table1[[#This Row],[Farmer Payment]]</f>
        <v>33384.228000000003</v>
      </c>
      <c r="M808" s="30"/>
      <c r="N808" s="34"/>
      <c r="O808" s="34"/>
      <c r="P808" s="35">
        <f t="shared" si="76"/>
        <v>76615.771999999997</v>
      </c>
      <c r="Q808" s="33">
        <f>AI808+AV808+CK808+Table1[[#This Row],[FY 25-26]]</f>
        <v>23384.228000000003</v>
      </c>
      <c r="R808" s="36">
        <v>10000</v>
      </c>
      <c r="S808" s="37" t="s">
        <v>1174</v>
      </c>
      <c r="T808" s="38">
        <v>45031</v>
      </c>
      <c r="U808" s="39"/>
      <c r="V808" s="39"/>
      <c r="W808" s="40">
        <v>0</v>
      </c>
      <c r="X808" s="40">
        <v>0</v>
      </c>
      <c r="Y808" s="40">
        <v>0</v>
      </c>
      <c r="Z808" s="40">
        <v>0</v>
      </c>
      <c r="AA808" s="40">
        <v>0</v>
      </c>
      <c r="AB808" s="40">
        <v>0</v>
      </c>
      <c r="AC808" s="40">
        <v>0</v>
      </c>
      <c r="AD808" s="40">
        <v>0</v>
      </c>
      <c r="AE808" s="40">
        <v>0</v>
      </c>
      <c r="AF808" s="40">
        <v>0</v>
      </c>
      <c r="AG808" s="40">
        <v>0</v>
      </c>
      <c r="AH808" s="40">
        <v>0</v>
      </c>
      <c r="AI808" s="41">
        <f t="shared" si="77"/>
        <v>0</v>
      </c>
      <c r="AJ808" s="42">
        <v>0</v>
      </c>
      <c r="AK808" s="42">
        <v>1861</v>
      </c>
      <c r="AL808" s="42">
        <v>1861</v>
      </c>
      <c r="AM808" s="42">
        <v>2652.3878000000004</v>
      </c>
      <c r="AN808" s="42">
        <v>2181.8606</v>
      </c>
      <c r="AO808" s="42">
        <v>2328.4560000000006</v>
      </c>
      <c r="AP808" s="42">
        <v>2201.5236</v>
      </c>
      <c r="AQ808" s="42">
        <v>1011</v>
      </c>
      <c r="AR808" s="42">
        <v>1861</v>
      </c>
      <c r="AS808" s="42">
        <v>1861</v>
      </c>
      <c r="AT808" s="42">
        <v>870</v>
      </c>
      <c r="AU808" s="42">
        <v>971</v>
      </c>
      <c r="AV808" s="42">
        <f t="shared" si="78"/>
        <v>19660.228000000003</v>
      </c>
      <c r="AW808" s="42">
        <v>458</v>
      </c>
      <c r="AX808" s="42">
        <v>657</v>
      </c>
      <c r="AY808" s="42">
        <v>995</v>
      </c>
      <c r="AZ808" s="42">
        <v>614</v>
      </c>
      <c r="BA808" s="42">
        <v>0</v>
      </c>
      <c r="BB808" s="42">
        <v>500</v>
      </c>
      <c r="BC808" s="42">
        <v>0</v>
      </c>
      <c r="BD808" s="42">
        <v>500</v>
      </c>
      <c r="BE808" s="42">
        <v>0</v>
      </c>
      <c r="BF808" s="42">
        <v>0</v>
      </c>
      <c r="BG808" s="42">
        <v>0</v>
      </c>
      <c r="BH808" s="42">
        <v>0</v>
      </c>
      <c r="BI808" s="42">
        <v>0</v>
      </c>
      <c r="BJ808" s="42">
        <v>0</v>
      </c>
      <c r="BK808" s="42">
        <v>0</v>
      </c>
      <c r="BL808" s="42">
        <v>0</v>
      </c>
      <c r="BM808" s="42">
        <v>0</v>
      </c>
      <c r="BN808" s="42">
        <v>0</v>
      </c>
      <c r="BO808" s="42">
        <v>0</v>
      </c>
      <c r="BP808" s="42">
        <v>0</v>
      </c>
      <c r="BQ808" s="42">
        <v>0</v>
      </c>
      <c r="BR808" s="42">
        <v>0</v>
      </c>
      <c r="BS808" s="42">
        <v>0</v>
      </c>
      <c r="BT808" s="42">
        <v>0</v>
      </c>
      <c r="BU808" s="42">
        <v>0</v>
      </c>
      <c r="BV808" s="42">
        <v>0</v>
      </c>
      <c r="BW808" s="42">
        <v>0</v>
      </c>
      <c r="BX808" s="42">
        <v>0</v>
      </c>
      <c r="BY808" s="42">
        <v>0</v>
      </c>
      <c r="BZ808" s="42">
        <v>0</v>
      </c>
      <c r="CA808" s="42">
        <v>0</v>
      </c>
      <c r="CB808" s="42">
        <v>0</v>
      </c>
      <c r="CC808" s="42">
        <v>0</v>
      </c>
      <c r="CD808" s="42">
        <v>0</v>
      </c>
      <c r="CE808" s="42">
        <v>0</v>
      </c>
      <c r="CF808" s="42">
        <v>0</v>
      </c>
      <c r="CG808" s="42">
        <v>0</v>
      </c>
      <c r="CH808" s="42">
        <v>0</v>
      </c>
      <c r="CI808" s="42">
        <v>0</v>
      </c>
      <c r="CJ808" s="42">
        <v>0</v>
      </c>
      <c r="CK808" s="43">
        <f t="shared" si="75"/>
        <v>3724</v>
      </c>
      <c r="CL808" s="66"/>
      <c r="CM808" s="66">
        <v>0</v>
      </c>
      <c r="CN808" s="66">
        <v>0</v>
      </c>
      <c r="CO808" s="66">
        <v>0</v>
      </c>
      <c r="CP808" s="66">
        <v>0</v>
      </c>
      <c r="CQ808" s="66">
        <v>0</v>
      </c>
      <c r="CR808" s="66">
        <v>0</v>
      </c>
      <c r="CS808" s="66">
        <v>0</v>
      </c>
      <c r="CT808" s="66">
        <v>0</v>
      </c>
      <c r="CU808" s="66">
        <v>0</v>
      </c>
      <c r="CV808" s="66">
        <v>0</v>
      </c>
      <c r="CW808" s="66">
        <v>0</v>
      </c>
      <c r="CX808" s="66">
        <v>0</v>
      </c>
      <c r="CY808" s="66">
        <v>0</v>
      </c>
      <c r="CZ808" s="66">
        <v>0</v>
      </c>
      <c r="DA808" s="66"/>
      <c r="DB808" s="66"/>
      <c r="DC808" s="66"/>
      <c r="DD808" s="66"/>
      <c r="DE808" s="66"/>
      <c r="DF808" s="66"/>
      <c r="DG808" s="66"/>
      <c r="DH808" s="66"/>
      <c r="DI808" s="66"/>
      <c r="DJ808" s="66"/>
      <c r="DK808" s="66">
        <f>SUM(Table1[[#This Row],[01-03 Apr]:[Mar-26]])</f>
        <v>0</v>
      </c>
    </row>
    <row r="809" spans="1:115" hidden="1" x14ac:dyDescent="0.2">
      <c r="A809" s="28" t="s">
        <v>2367</v>
      </c>
      <c r="B809" s="29" t="s">
        <v>1222</v>
      </c>
      <c r="C809" s="29" t="s">
        <v>2262</v>
      </c>
      <c r="D809" s="30" t="s">
        <v>1223</v>
      </c>
      <c r="E809" s="30" t="s">
        <v>203</v>
      </c>
      <c r="F809" s="30"/>
      <c r="G809" s="31"/>
      <c r="H809" s="30"/>
      <c r="I809" s="30" t="str">
        <f>IF(Table1[[#This Row],[Centre Status]]="Returned","NA",IF(Table1[[#This Row],[SD]]&gt;19000,"Full Payment",IF(Table1[[#This Row],[SD]]&lt;1,"No Payment","Partial Payment")))</f>
        <v>NA</v>
      </c>
      <c r="J809" s="30" t="s">
        <v>1903</v>
      </c>
      <c r="K809" s="32">
        <v>110000</v>
      </c>
      <c r="L809" s="33">
        <f>Q809+R809+U809+Table1[[#This Row],[Farmer Payment]]</f>
        <v>3158</v>
      </c>
      <c r="M809" s="30"/>
      <c r="N809" s="34"/>
      <c r="O809" s="34"/>
      <c r="P809" s="35">
        <f t="shared" si="76"/>
        <v>106842</v>
      </c>
      <c r="Q809" s="33">
        <f>AI809+AV809+CK809+Table1[[#This Row],[FY 25-26]]</f>
        <v>3158</v>
      </c>
      <c r="R809" s="36"/>
      <c r="S809" s="37"/>
      <c r="T809" s="38"/>
      <c r="U809" s="39"/>
      <c r="V809" s="39"/>
      <c r="W809" s="40">
        <v>0</v>
      </c>
      <c r="X809" s="40">
        <v>0</v>
      </c>
      <c r="Y809" s="40">
        <v>0</v>
      </c>
      <c r="Z809" s="40">
        <v>0</v>
      </c>
      <c r="AA809" s="40">
        <v>0</v>
      </c>
      <c r="AB809" s="40">
        <v>0</v>
      </c>
      <c r="AC809" s="40">
        <v>0</v>
      </c>
      <c r="AD809" s="40">
        <v>0</v>
      </c>
      <c r="AE809" s="40">
        <v>0</v>
      </c>
      <c r="AF809" s="40">
        <v>0</v>
      </c>
      <c r="AG809" s="40">
        <v>0</v>
      </c>
      <c r="AH809" s="40">
        <v>0</v>
      </c>
      <c r="AI809" s="41">
        <f t="shared" si="77"/>
        <v>0</v>
      </c>
      <c r="AJ809" s="42">
        <v>0</v>
      </c>
      <c r="AK809" s="42">
        <v>0</v>
      </c>
      <c r="AL809" s="42">
        <v>0</v>
      </c>
      <c r="AM809" s="42">
        <v>0</v>
      </c>
      <c r="AN809" s="42">
        <v>1861</v>
      </c>
      <c r="AO809" s="42">
        <v>1116</v>
      </c>
      <c r="AP809" s="42">
        <v>181</v>
      </c>
      <c r="AQ809" s="42">
        <v>0</v>
      </c>
      <c r="AR809" s="42">
        <v>0</v>
      </c>
      <c r="AS809" s="42">
        <v>0</v>
      </c>
      <c r="AT809" s="42">
        <v>0</v>
      </c>
      <c r="AU809" s="42">
        <v>0</v>
      </c>
      <c r="AV809" s="42">
        <f t="shared" si="78"/>
        <v>3158</v>
      </c>
      <c r="AW809" s="42">
        <v>0</v>
      </c>
      <c r="AX809" s="42">
        <v>0</v>
      </c>
      <c r="AY809" s="42">
        <v>0</v>
      </c>
      <c r="AZ809" s="42">
        <v>0</v>
      </c>
      <c r="BA809" s="42">
        <v>0</v>
      </c>
      <c r="BB809" s="42">
        <v>0</v>
      </c>
      <c r="BC809" s="42">
        <v>0</v>
      </c>
      <c r="BD809" s="42">
        <v>0</v>
      </c>
      <c r="BE809" s="42">
        <v>0</v>
      </c>
      <c r="BF809" s="42">
        <v>0</v>
      </c>
      <c r="BG809" s="42">
        <v>0</v>
      </c>
      <c r="BH809" s="42">
        <v>0</v>
      </c>
      <c r="BI809" s="42">
        <v>0</v>
      </c>
      <c r="BJ809" s="42">
        <v>0</v>
      </c>
      <c r="BK809" s="42">
        <v>0</v>
      </c>
      <c r="BL809" s="42">
        <v>0</v>
      </c>
      <c r="BM809" s="42">
        <v>0</v>
      </c>
      <c r="BN809" s="42">
        <v>0</v>
      </c>
      <c r="BO809" s="42">
        <v>0</v>
      </c>
      <c r="BP809" s="42">
        <v>0</v>
      </c>
      <c r="BQ809" s="42">
        <v>0</v>
      </c>
      <c r="BR809" s="42">
        <v>0</v>
      </c>
      <c r="BS809" s="42">
        <v>0</v>
      </c>
      <c r="BT809" s="42">
        <v>0</v>
      </c>
      <c r="BU809" s="42">
        <v>0</v>
      </c>
      <c r="BV809" s="42">
        <v>0</v>
      </c>
      <c r="BW809" s="42">
        <v>0</v>
      </c>
      <c r="BX809" s="42">
        <v>0</v>
      </c>
      <c r="BY809" s="42">
        <v>0</v>
      </c>
      <c r="BZ809" s="42">
        <v>0</v>
      </c>
      <c r="CA809" s="42">
        <v>0</v>
      </c>
      <c r="CB809" s="42">
        <v>0</v>
      </c>
      <c r="CC809" s="42">
        <v>0</v>
      </c>
      <c r="CD809" s="42">
        <v>0</v>
      </c>
      <c r="CE809" s="42">
        <v>0</v>
      </c>
      <c r="CF809" s="42">
        <v>0</v>
      </c>
      <c r="CG809" s="42">
        <v>0</v>
      </c>
      <c r="CH809" s="42">
        <v>0</v>
      </c>
      <c r="CI809" s="42">
        <v>0</v>
      </c>
      <c r="CJ809" s="42">
        <v>0</v>
      </c>
      <c r="CK809" s="43">
        <f t="shared" ref="CK809:CK873" si="79">SUM(AW809:CJ809)</f>
        <v>0</v>
      </c>
      <c r="CL809" s="66"/>
      <c r="CM809" s="66">
        <v>0</v>
      </c>
      <c r="CN809" s="66">
        <v>0</v>
      </c>
      <c r="CO809" s="66">
        <v>0</v>
      </c>
      <c r="CP809" s="66">
        <v>0</v>
      </c>
      <c r="CQ809" s="66">
        <v>0</v>
      </c>
      <c r="CR809" s="66">
        <v>0</v>
      </c>
      <c r="CS809" s="66">
        <v>0</v>
      </c>
      <c r="CT809" s="66">
        <v>0</v>
      </c>
      <c r="CU809" s="66">
        <v>0</v>
      </c>
      <c r="CV809" s="66">
        <v>0</v>
      </c>
      <c r="CW809" s="66">
        <v>0</v>
      </c>
      <c r="CX809" s="66">
        <v>0</v>
      </c>
      <c r="CY809" s="66">
        <v>0</v>
      </c>
      <c r="CZ809" s="66">
        <v>0</v>
      </c>
      <c r="DA809" s="66"/>
      <c r="DB809" s="66"/>
      <c r="DC809" s="66"/>
      <c r="DD809" s="66"/>
      <c r="DE809" s="66"/>
      <c r="DF809" s="66"/>
      <c r="DG809" s="66"/>
      <c r="DH809" s="66"/>
      <c r="DI809" s="66"/>
      <c r="DJ809" s="66"/>
      <c r="DK809" s="66">
        <f>SUM(Table1[[#This Row],[01-03 Apr]:[Mar-26]])</f>
        <v>0</v>
      </c>
    </row>
    <row r="810" spans="1:115" hidden="1" x14ac:dyDescent="0.2">
      <c r="A810" s="28" t="s">
        <v>2367</v>
      </c>
      <c r="B810" s="29" t="s">
        <v>1230</v>
      </c>
      <c r="C810" s="29" t="s">
        <v>2260</v>
      </c>
      <c r="D810" s="30" t="s">
        <v>1231</v>
      </c>
      <c r="E810" s="30" t="s">
        <v>217</v>
      </c>
      <c r="F810" s="30"/>
      <c r="G810" s="31"/>
      <c r="H810" s="30"/>
      <c r="I810" s="30" t="str">
        <f>IF(Table1[[#This Row],[Centre Status]]="Returned","NA",IF(Table1[[#This Row],[SD]]&gt;19000,"Full Payment",IF(Table1[[#This Row],[SD]]&lt;1,"No Payment","Partial Payment")))</f>
        <v>NA</v>
      </c>
      <c r="J810" s="30" t="s">
        <v>1903</v>
      </c>
      <c r="K810" s="32">
        <v>110000</v>
      </c>
      <c r="L810" s="33">
        <f>Q810+R810+U810+Table1[[#This Row],[Farmer Payment]]</f>
        <v>15770</v>
      </c>
      <c r="M810" s="30">
        <v>4800</v>
      </c>
      <c r="N810" s="34">
        <v>45419</v>
      </c>
      <c r="O810" s="34" t="s">
        <v>2436</v>
      </c>
      <c r="P810" s="35">
        <f t="shared" si="76"/>
        <v>99030</v>
      </c>
      <c r="Q810" s="33">
        <f>AI810+AV810+CK810+Table1[[#This Row],[FY 25-26]]</f>
        <v>7770</v>
      </c>
      <c r="R810" s="36">
        <v>8000</v>
      </c>
      <c r="S810" s="37" t="s">
        <v>1232</v>
      </c>
      <c r="T810" s="38">
        <v>45143</v>
      </c>
      <c r="U810" s="39"/>
      <c r="V810" s="39"/>
      <c r="W810" s="40">
        <v>0</v>
      </c>
      <c r="X810" s="40">
        <v>0</v>
      </c>
      <c r="Y810" s="40">
        <v>0</v>
      </c>
      <c r="Z810" s="40">
        <v>0</v>
      </c>
      <c r="AA810" s="40">
        <v>0</v>
      </c>
      <c r="AB810" s="40">
        <v>0</v>
      </c>
      <c r="AC810" s="40">
        <v>0</v>
      </c>
      <c r="AD810" s="40">
        <v>0</v>
      </c>
      <c r="AE810" s="40">
        <v>0</v>
      </c>
      <c r="AF810" s="40">
        <v>0</v>
      </c>
      <c r="AG810" s="40">
        <v>0</v>
      </c>
      <c r="AH810" s="40">
        <v>0</v>
      </c>
      <c r="AI810" s="41">
        <f t="shared" si="77"/>
        <v>0</v>
      </c>
      <c r="AJ810" s="42">
        <v>0</v>
      </c>
      <c r="AK810" s="42">
        <v>0</v>
      </c>
      <c r="AL810" s="42">
        <v>0</v>
      </c>
      <c r="AM810" s="42">
        <v>0</v>
      </c>
      <c r="AN810" s="42">
        <v>326</v>
      </c>
      <c r="AO810" s="42">
        <v>1861</v>
      </c>
      <c r="AP810" s="42">
        <v>1861</v>
      </c>
      <c r="AQ810" s="42">
        <v>1861</v>
      </c>
      <c r="AR810" s="42">
        <v>1861</v>
      </c>
      <c r="AS810" s="42">
        <v>0</v>
      </c>
      <c r="AT810" s="42">
        <v>0</v>
      </c>
      <c r="AU810" s="42">
        <v>0</v>
      </c>
      <c r="AV810" s="42">
        <f t="shared" si="78"/>
        <v>7770</v>
      </c>
      <c r="AW810" s="42">
        <v>0</v>
      </c>
      <c r="AX810" s="42">
        <v>0</v>
      </c>
      <c r="AY810" s="42">
        <v>0</v>
      </c>
      <c r="AZ810" s="42">
        <v>0</v>
      </c>
      <c r="BA810" s="42">
        <v>0</v>
      </c>
      <c r="BB810" s="42">
        <v>0</v>
      </c>
      <c r="BC810" s="42">
        <v>0</v>
      </c>
      <c r="BD810" s="42">
        <v>0</v>
      </c>
      <c r="BE810" s="42">
        <v>0</v>
      </c>
      <c r="BF810" s="42">
        <v>0</v>
      </c>
      <c r="BG810" s="42">
        <v>0</v>
      </c>
      <c r="BH810" s="42">
        <v>0</v>
      </c>
      <c r="BI810" s="42">
        <v>0</v>
      </c>
      <c r="BJ810" s="42">
        <v>0</v>
      </c>
      <c r="BK810" s="42">
        <v>0</v>
      </c>
      <c r="BL810" s="42">
        <v>0</v>
      </c>
      <c r="BM810" s="42">
        <v>0</v>
      </c>
      <c r="BN810" s="42">
        <v>0</v>
      </c>
      <c r="BO810" s="42">
        <v>0</v>
      </c>
      <c r="BP810" s="42">
        <v>0</v>
      </c>
      <c r="BQ810" s="42">
        <v>0</v>
      </c>
      <c r="BR810" s="42">
        <v>0</v>
      </c>
      <c r="BS810" s="42">
        <v>0</v>
      </c>
      <c r="BT810" s="42">
        <v>0</v>
      </c>
      <c r="BU810" s="42">
        <v>0</v>
      </c>
      <c r="BV810" s="42">
        <v>0</v>
      </c>
      <c r="BW810" s="42">
        <v>0</v>
      </c>
      <c r="BX810" s="42">
        <v>0</v>
      </c>
      <c r="BY810" s="42">
        <v>0</v>
      </c>
      <c r="BZ810" s="42">
        <v>0</v>
      </c>
      <c r="CA810" s="42">
        <v>0</v>
      </c>
      <c r="CB810" s="42">
        <v>0</v>
      </c>
      <c r="CC810" s="42">
        <v>0</v>
      </c>
      <c r="CD810" s="42">
        <v>0</v>
      </c>
      <c r="CE810" s="42">
        <v>0</v>
      </c>
      <c r="CF810" s="42">
        <v>0</v>
      </c>
      <c r="CG810" s="42">
        <v>0</v>
      </c>
      <c r="CH810" s="42">
        <v>0</v>
      </c>
      <c r="CI810" s="42">
        <v>0</v>
      </c>
      <c r="CJ810" s="42">
        <v>0</v>
      </c>
      <c r="CK810" s="43">
        <f t="shared" si="79"/>
        <v>0</v>
      </c>
      <c r="CL810" s="66"/>
      <c r="CM810" s="66">
        <v>0</v>
      </c>
      <c r="CN810" s="66">
        <v>0</v>
      </c>
      <c r="CO810" s="66">
        <v>0</v>
      </c>
      <c r="CP810" s="66">
        <v>0</v>
      </c>
      <c r="CQ810" s="66">
        <v>0</v>
      </c>
      <c r="CR810" s="66">
        <v>0</v>
      </c>
      <c r="CS810" s="66">
        <v>0</v>
      </c>
      <c r="CT810" s="66">
        <v>0</v>
      </c>
      <c r="CU810" s="66">
        <v>0</v>
      </c>
      <c r="CV810" s="66">
        <v>0</v>
      </c>
      <c r="CW810" s="66">
        <v>0</v>
      </c>
      <c r="CX810" s="66">
        <v>0</v>
      </c>
      <c r="CY810" s="66">
        <v>0</v>
      </c>
      <c r="CZ810" s="66">
        <v>0</v>
      </c>
      <c r="DA810" s="66"/>
      <c r="DB810" s="66"/>
      <c r="DC810" s="66"/>
      <c r="DD810" s="66"/>
      <c r="DE810" s="66"/>
      <c r="DF810" s="66"/>
      <c r="DG810" s="66"/>
      <c r="DH810" s="66"/>
      <c r="DI810" s="66"/>
      <c r="DJ810" s="66"/>
      <c r="DK810" s="66">
        <f>SUM(Table1[[#This Row],[01-03 Apr]:[Mar-26]])</f>
        <v>0</v>
      </c>
    </row>
    <row r="811" spans="1:115" hidden="1" x14ac:dyDescent="0.2">
      <c r="A811" s="28" t="s">
        <v>2255</v>
      </c>
      <c r="B811" s="29" t="s">
        <v>1236</v>
      </c>
      <c r="C811" s="29" t="s">
        <v>2259</v>
      </c>
      <c r="D811" s="30" t="s">
        <v>1237</v>
      </c>
      <c r="E811" s="30" t="s">
        <v>203</v>
      </c>
      <c r="F811" s="30"/>
      <c r="G811" s="31"/>
      <c r="H811" s="30">
        <v>378249</v>
      </c>
      <c r="I811" s="30" t="str">
        <f>IF(Table1[[#This Row],[Centre Status]]="Returned","NA",IF(Table1[[#This Row],[SD]]&gt;19000,"Full Payment",IF(Table1[[#This Row],[SD]]&lt;1,"No Payment","Partial Payment")))</f>
        <v>NA</v>
      </c>
      <c r="J811" s="30" t="s">
        <v>1903</v>
      </c>
      <c r="K811" s="32">
        <v>110000</v>
      </c>
      <c r="L811" s="33">
        <f>Q811+R811+U811+Table1[[#This Row],[Farmer Payment]]</f>
        <v>90</v>
      </c>
      <c r="M811" s="30">
        <v>10000</v>
      </c>
      <c r="N811" s="34">
        <v>45384</v>
      </c>
      <c r="O811" s="34"/>
      <c r="P811" s="35">
        <f t="shared" ref="P811:P875" si="80">K811-L811+M811</f>
        <v>119910</v>
      </c>
      <c r="Q811" s="33">
        <f>AI811+AV811+CK811+Table1[[#This Row],[FY 25-26]]</f>
        <v>90</v>
      </c>
      <c r="R811" s="36"/>
      <c r="S811" s="37"/>
      <c r="T811" s="38"/>
      <c r="U811" s="39"/>
      <c r="V811" s="39"/>
      <c r="W811" s="40">
        <v>0</v>
      </c>
      <c r="X811" s="40">
        <v>0</v>
      </c>
      <c r="Y811" s="40">
        <v>0</v>
      </c>
      <c r="Z811" s="40">
        <v>0</v>
      </c>
      <c r="AA811" s="40">
        <v>0</v>
      </c>
      <c r="AB811" s="40">
        <v>0</v>
      </c>
      <c r="AC811" s="40">
        <v>0</v>
      </c>
      <c r="AD811" s="40">
        <v>0</v>
      </c>
      <c r="AE811" s="40">
        <v>0</v>
      </c>
      <c r="AF811" s="40">
        <v>0</v>
      </c>
      <c r="AG811" s="40">
        <v>0</v>
      </c>
      <c r="AH811" s="40">
        <v>0</v>
      </c>
      <c r="AI811" s="41">
        <f t="shared" ref="AI811:AI875" si="81">SUM(W811:AH811)</f>
        <v>0</v>
      </c>
      <c r="AJ811" s="42">
        <v>0</v>
      </c>
      <c r="AK811" s="42">
        <v>0</v>
      </c>
      <c r="AL811" s="42">
        <v>0</v>
      </c>
      <c r="AM811" s="42">
        <v>0</v>
      </c>
      <c r="AN811" s="42">
        <v>90</v>
      </c>
      <c r="AO811" s="42">
        <v>0</v>
      </c>
      <c r="AP811" s="42">
        <v>0</v>
      </c>
      <c r="AQ811" s="42">
        <v>0</v>
      </c>
      <c r="AR811" s="42">
        <v>0</v>
      </c>
      <c r="AS811" s="42">
        <v>0</v>
      </c>
      <c r="AT811" s="42">
        <v>0</v>
      </c>
      <c r="AU811" s="42">
        <v>0</v>
      </c>
      <c r="AV811" s="42">
        <f t="shared" ref="AV811:AV875" si="82">SUM(AJ811:AU811)</f>
        <v>90</v>
      </c>
      <c r="AW811" s="42">
        <v>0</v>
      </c>
      <c r="AX811" s="42">
        <v>0</v>
      </c>
      <c r="AY811" s="42">
        <v>0</v>
      </c>
      <c r="AZ811" s="42">
        <v>0</v>
      </c>
      <c r="BA811" s="42">
        <v>0</v>
      </c>
      <c r="BB811" s="42">
        <v>0</v>
      </c>
      <c r="BC811" s="42">
        <v>0</v>
      </c>
      <c r="BD811" s="42">
        <v>0</v>
      </c>
      <c r="BE811" s="42">
        <v>0</v>
      </c>
      <c r="BF811" s="42">
        <v>0</v>
      </c>
      <c r="BG811" s="42">
        <v>0</v>
      </c>
      <c r="BH811" s="42">
        <v>0</v>
      </c>
      <c r="BI811" s="42">
        <v>0</v>
      </c>
      <c r="BJ811" s="42">
        <v>0</v>
      </c>
      <c r="BK811" s="42">
        <v>0</v>
      </c>
      <c r="BL811" s="42">
        <v>0</v>
      </c>
      <c r="BM811" s="42">
        <v>0</v>
      </c>
      <c r="BN811" s="42">
        <v>0</v>
      </c>
      <c r="BO811" s="42">
        <v>0</v>
      </c>
      <c r="BP811" s="42">
        <v>0</v>
      </c>
      <c r="BQ811" s="42">
        <v>0</v>
      </c>
      <c r="BR811" s="42">
        <v>0</v>
      </c>
      <c r="BS811" s="42">
        <v>0</v>
      </c>
      <c r="BT811" s="42">
        <v>0</v>
      </c>
      <c r="BU811" s="42">
        <v>0</v>
      </c>
      <c r="BV811" s="42">
        <v>0</v>
      </c>
      <c r="BW811" s="42">
        <v>0</v>
      </c>
      <c r="BX811" s="42">
        <v>0</v>
      </c>
      <c r="BY811" s="42">
        <v>0</v>
      </c>
      <c r="BZ811" s="42">
        <v>0</v>
      </c>
      <c r="CA811" s="42">
        <v>0</v>
      </c>
      <c r="CB811" s="42">
        <v>0</v>
      </c>
      <c r="CC811" s="42">
        <v>0</v>
      </c>
      <c r="CD811" s="42">
        <v>0</v>
      </c>
      <c r="CE811" s="42">
        <v>0</v>
      </c>
      <c r="CF811" s="42">
        <v>0</v>
      </c>
      <c r="CG811" s="42">
        <v>0</v>
      </c>
      <c r="CH811" s="42">
        <v>0</v>
      </c>
      <c r="CI811" s="42">
        <v>0</v>
      </c>
      <c r="CJ811" s="42">
        <v>0</v>
      </c>
      <c r="CK811" s="43">
        <f t="shared" si="79"/>
        <v>0</v>
      </c>
      <c r="CL811" s="66"/>
      <c r="CM811" s="66">
        <v>0</v>
      </c>
      <c r="CN811" s="66">
        <v>0</v>
      </c>
      <c r="CO811" s="66">
        <v>0</v>
      </c>
      <c r="CP811" s="66">
        <v>0</v>
      </c>
      <c r="CQ811" s="66">
        <v>0</v>
      </c>
      <c r="CR811" s="66">
        <v>0</v>
      </c>
      <c r="CS811" s="66">
        <v>0</v>
      </c>
      <c r="CT811" s="66">
        <v>0</v>
      </c>
      <c r="CU811" s="66">
        <v>0</v>
      </c>
      <c r="CV811" s="66">
        <v>0</v>
      </c>
      <c r="CW811" s="66">
        <v>0</v>
      </c>
      <c r="CX811" s="66">
        <v>0</v>
      </c>
      <c r="CY811" s="66">
        <v>0</v>
      </c>
      <c r="CZ811" s="66">
        <v>0</v>
      </c>
      <c r="DA811" s="66"/>
      <c r="DB811" s="66"/>
      <c r="DC811" s="66"/>
      <c r="DD811" s="66"/>
      <c r="DE811" s="66"/>
      <c r="DF811" s="66"/>
      <c r="DG811" s="66"/>
      <c r="DH811" s="66"/>
      <c r="DI811" s="66"/>
      <c r="DJ811" s="66"/>
      <c r="DK811" s="66">
        <f>SUM(Table1[[#This Row],[01-03 Apr]:[Mar-26]])</f>
        <v>0</v>
      </c>
    </row>
    <row r="812" spans="1:115" hidden="1" x14ac:dyDescent="0.2">
      <c r="A812" s="28" t="s">
        <v>2367</v>
      </c>
      <c r="B812" s="29" t="s">
        <v>1246</v>
      </c>
      <c r="C812" s="29" t="s">
        <v>1247</v>
      </c>
      <c r="D812" s="30" t="s">
        <v>1248</v>
      </c>
      <c r="E812" s="30" t="s">
        <v>217</v>
      </c>
      <c r="F812" s="30"/>
      <c r="G812" s="31"/>
      <c r="H812" s="30"/>
      <c r="I812" s="30" t="str">
        <f>IF(Table1[[#This Row],[Centre Status]]="Returned","NA",IF(Table1[[#This Row],[SD]]&gt;19000,"Full Payment",IF(Table1[[#This Row],[SD]]&lt;1,"No Payment","Partial Payment")))</f>
        <v>NA</v>
      </c>
      <c r="J812" s="30" t="s">
        <v>1903</v>
      </c>
      <c r="K812" s="32">
        <v>110000</v>
      </c>
      <c r="L812" s="33">
        <f>Q812+R812+U812+Table1[[#This Row],[Farmer Payment]]</f>
        <v>4378.5737402985078</v>
      </c>
      <c r="M812" s="30"/>
      <c r="N812" s="34"/>
      <c r="O812" s="34"/>
      <c r="P812" s="35">
        <f t="shared" si="80"/>
        <v>105621.42625970149</v>
      </c>
      <c r="Q812" s="33">
        <f>AI812+AV812+CK812+Table1[[#This Row],[FY 25-26]]</f>
        <v>4378.5737402985078</v>
      </c>
      <c r="R812" s="36"/>
      <c r="S812" s="37"/>
      <c r="T812" s="38"/>
      <c r="U812" s="39"/>
      <c r="V812" s="39"/>
      <c r="W812" s="40">
        <v>0</v>
      </c>
      <c r="X812" s="40">
        <v>0</v>
      </c>
      <c r="Y812" s="40">
        <v>0</v>
      </c>
      <c r="Z812" s="40">
        <v>0</v>
      </c>
      <c r="AA812" s="40">
        <v>0</v>
      </c>
      <c r="AB812" s="40">
        <v>0</v>
      </c>
      <c r="AC812" s="40">
        <v>0</v>
      </c>
      <c r="AD812" s="40">
        <v>0</v>
      </c>
      <c r="AE812" s="40">
        <v>0</v>
      </c>
      <c r="AF812" s="40">
        <v>0</v>
      </c>
      <c r="AG812" s="40">
        <v>0</v>
      </c>
      <c r="AH812" s="40">
        <v>0</v>
      </c>
      <c r="AI812" s="41">
        <f t="shared" si="81"/>
        <v>0</v>
      </c>
      <c r="AJ812" s="42">
        <v>0</v>
      </c>
      <c r="AK812" s="42">
        <v>0</v>
      </c>
      <c r="AL812" s="42">
        <v>0</v>
      </c>
      <c r="AM812" s="42">
        <v>0</v>
      </c>
      <c r="AN812" s="42">
        <v>86</v>
      </c>
      <c r="AO812" s="42">
        <v>0</v>
      </c>
      <c r="AP812" s="42">
        <v>1861</v>
      </c>
      <c r="AQ812" s="42">
        <v>0</v>
      </c>
      <c r="AR812" s="42">
        <v>0</v>
      </c>
      <c r="AS812" s="42">
        <v>0</v>
      </c>
      <c r="AT812" s="42">
        <v>570.57374029850757</v>
      </c>
      <c r="AU812" s="42">
        <v>0</v>
      </c>
      <c r="AV812" s="42">
        <f t="shared" si="82"/>
        <v>2517.5737402985078</v>
      </c>
      <c r="AW812" s="42">
        <v>1861</v>
      </c>
      <c r="AX812" s="42">
        <v>0</v>
      </c>
      <c r="AY812" s="42">
        <v>0</v>
      </c>
      <c r="AZ812" s="42">
        <v>0</v>
      </c>
      <c r="BA812" s="42">
        <v>0</v>
      </c>
      <c r="BB812" s="42">
        <v>0</v>
      </c>
      <c r="BC812" s="42">
        <v>0</v>
      </c>
      <c r="BD812" s="42">
        <v>0</v>
      </c>
      <c r="BE812" s="42">
        <v>0</v>
      </c>
      <c r="BF812" s="42">
        <v>0</v>
      </c>
      <c r="BG812" s="42">
        <v>0</v>
      </c>
      <c r="BH812" s="42">
        <v>0</v>
      </c>
      <c r="BI812" s="42">
        <v>0</v>
      </c>
      <c r="BJ812" s="42">
        <v>0</v>
      </c>
      <c r="BK812" s="42">
        <v>0</v>
      </c>
      <c r="BL812" s="42">
        <v>0</v>
      </c>
      <c r="BM812" s="42">
        <v>0</v>
      </c>
      <c r="BN812" s="42">
        <v>0</v>
      </c>
      <c r="BO812" s="42">
        <v>0</v>
      </c>
      <c r="BP812" s="42">
        <v>0</v>
      </c>
      <c r="BQ812" s="42">
        <v>0</v>
      </c>
      <c r="BR812" s="42">
        <v>0</v>
      </c>
      <c r="BS812" s="42">
        <v>0</v>
      </c>
      <c r="BT812" s="42">
        <v>0</v>
      </c>
      <c r="BU812" s="42">
        <v>0</v>
      </c>
      <c r="BV812" s="42">
        <v>0</v>
      </c>
      <c r="BW812" s="42">
        <v>0</v>
      </c>
      <c r="BX812" s="42">
        <v>0</v>
      </c>
      <c r="BY812" s="42">
        <v>0</v>
      </c>
      <c r="BZ812" s="42">
        <v>0</v>
      </c>
      <c r="CA812" s="42">
        <v>0</v>
      </c>
      <c r="CB812" s="42">
        <v>0</v>
      </c>
      <c r="CC812" s="42">
        <v>0</v>
      </c>
      <c r="CD812" s="42">
        <v>0</v>
      </c>
      <c r="CE812" s="42">
        <v>0</v>
      </c>
      <c r="CF812" s="42">
        <v>0</v>
      </c>
      <c r="CG812" s="42">
        <v>0</v>
      </c>
      <c r="CH812" s="42">
        <v>0</v>
      </c>
      <c r="CI812" s="42">
        <v>0</v>
      </c>
      <c r="CJ812" s="42">
        <v>0</v>
      </c>
      <c r="CK812" s="43">
        <f t="shared" si="79"/>
        <v>1861</v>
      </c>
      <c r="CL812" s="66"/>
      <c r="CM812" s="66">
        <v>0</v>
      </c>
      <c r="CN812" s="66">
        <v>0</v>
      </c>
      <c r="CO812" s="66">
        <v>0</v>
      </c>
      <c r="CP812" s="66">
        <v>0</v>
      </c>
      <c r="CQ812" s="66">
        <v>0</v>
      </c>
      <c r="CR812" s="66">
        <v>0</v>
      </c>
      <c r="CS812" s="66">
        <v>0</v>
      </c>
      <c r="CT812" s="66">
        <v>0</v>
      </c>
      <c r="CU812" s="66">
        <v>0</v>
      </c>
      <c r="CV812" s="66">
        <v>0</v>
      </c>
      <c r="CW812" s="66">
        <v>0</v>
      </c>
      <c r="CX812" s="66">
        <v>0</v>
      </c>
      <c r="CY812" s="66">
        <v>0</v>
      </c>
      <c r="CZ812" s="66">
        <v>0</v>
      </c>
      <c r="DA812" s="66"/>
      <c r="DB812" s="66"/>
      <c r="DC812" s="66"/>
      <c r="DD812" s="66"/>
      <c r="DE812" s="66"/>
      <c r="DF812" s="66"/>
      <c r="DG812" s="66"/>
      <c r="DH812" s="66"/>
      <c r="DI812" s="66"/>
      <c r="DJ812" s="66"/>
      <c r="DK812" s="66">
        <f>SUM(Table1[[#This Row],[01-03 Apr]:[Mar-26]])</f>
        <v>0</v>
      </c>
    </row>
    <row r="813" spans="1:115" hidden="1" x14ac:dyDescent="0.2">
      <c r="A813" s="28">
        <v>0</v>
      </c>
      <c r="B813" s="29" t="s">
        <v>1269</v>
      </c>
      <c r="C813" s="29" t="s">
        <v>2293</v>
      </c>
      <c r="D813" s="30" t="s">
        <v>1270</v>
      </c>
      <c r="E813" s="30" t="s">
        <v>177</v>
      </c>
      <c r="F813" s="30"/>
      <c r="G813" s="31"/>
      <c r="H813" s="30"/>
      <c r="I813" s="30" t="str">
        <f>IF(Table1[[#This Row],[Centre Status]]="Returned","NA",IF(Table1[[#This Row],[SD]]&gt;19000,"Full Payment",IF(Table1[[#This Row],[SD]]&lt;1,"No Payment","Partial Payment")))</f>
        <v>NA</v>
      </c>
      <c r="J813" s="30" t="s">
        <v>1903</v>
      </c>
      <c r="K813" s="32">
        <v>110000</v>
      </c>
      <c r="L813" s="33">
        <f>Q813+R813+U813+Table1[[#This Row],[Farmer Payment]]</f>
        <v>10000</v>
      </c>
      <c r="M813" s="30">
        <v>10000</v>
      </c>
      <c r="N813" s="34">
        <v>45535</v>
      </c>
      <c r="O813" s="34" t="s">
        <v>2587</v>
      </c>
      <c r="P813" s="35">
        <f t="shared" si="80"/>
        <v>110000</v>
      </c>
      <c r="Q813" s="33">
        <f>AI813+AV813+CK813+Table1[[#This Row],[FY 25-26]]</f>
        <v>0</v>
      </c>
      <c r="R813" s="36">
        <v>10000</v>
      </c>
      <c r="S813" s="37" t="s">
        <v>1271</v>
      </c>
      <c r="T813" s="38">
        <v>45276</v>
      </c>
      <c r="U813" s="39"/>
      <c r="V813" s="39"/>
      <c r="W813" s="40">
        <v>0</v>
      </c>
      <c r="X813" s="40">
        <v>0</v>
      </c>
      <c r="Y813" s="40">
        <v>0</v>
      </c>
      <c r="Z813" s="40">
        <v>0</v>
      </c>
      <c r="AA813" s="40">
        <v>0</v>
      </c>
      <c r="AB813" s="40">
        <v>0</v>
      </c>
      <c r="AC813" s="40">
        <v>0</v>
      </c>
      <c r="AD813" s="40">
        <v>0</v>
      </c>
      <c r="AE813" s="40">
        <v>0</v>
      </c>
      <c r="AF813" s="40">
        <v>0</v>
      </c>
      <c r="AG813" s="40">
        <v>0</v>
      </c>
      <c r="AH813" s="40">
        <v>0</v>
      </c>
      <c r="AI813" s="41">
        <f t="shared" si="81"/>
        <v>0</v>
      </c>
      <c r="AJ813" s="42">
        <v>0</v>
      </c>
      <c r="AK813" s="42">
        <v>0</v>
      </c>
      <c r="AL813" s="42">
        <v>0</v>
      </c>
      <c r="AM813" s="42">
        <v>0</v>
      </c>
      <c r="AN813" s="42">
        <v>0</v>
      </c>
      <c r="AO813" s="42">
        <v>0</v>
      </c>
      <c r="AP813" s="42">
        <v>0</v>
      </c>
      <c r="AQ813" s="42">
        <v>0</v>
      </c>
      <c r="AR813" s="42">
        <v>0</v>
      </c>
      <c r="AS813" s="42">
        <v>0</v>
      </c>
      <c r="AT813" s="42">
        <v>0</v>
      </c>
      <c r="AU813" s="42">
        <v>0</v>
      </c>
      <c r="AV813" s="42">
        <f t="shared" si="82"/>
        <v>0</v>
      </c>
      <c r="AW813" s="42">
        <v>0</v>
      </c>
      <c r="AX813" s="42">
        <v>0</v>
      </c>
      <c r="AY813" s="42">
        <v>0</v>
      </c>
      <c r="AZ813" s="42">
        <v>0</v>
      </c>
      <c r="BA813" s="42">
        <v>0</v>
      </c>
      <c r="BB813" s="42">
        <v>0</v>
      </c>
      <c r="BC813" s="42">
        <v>0</v>
      </c>
      <c r="BD813" s="42">
        <v>0</v>
      </c>
      <c r="BE813" s="42">
        <v>0</v>
      </c>
      <c r="BF813" s="42">
        <v>0</v>
      </c>
      <c r="BG813" s="42">
        <v>0</v>
      </c>
      <c r="BH813" s="42">
        <v>0</v>
      </c>
      <c r="BI813" s="42">
        <v>0</v>
      </c>
      <c r="BJ813" s="42">
        <v>0</v>
      </c>
      <c r="BK813" s="42">
        <v>0</v>
      </c>
      <c r="BL813" s="42">
        <v>0</v>
      </c>
      <c r="BM813" s="42">
        <v>0</v>
      </c>
      <c r="BN813" s="42">
        <v>0</v>
      </c>
      <c r="BO813" s="42">
        <v>0</v>
      </c>
      <c r="BP813" s="42">
        <v>0</v>
      </c>
      <c r="BQ813" s="42">
        <v>0</v>
      </c>
      <c r="BR813" s="42">
        <v>0</v>
      </c>
      <c r="BS813" s="42">
        <v>0</v>
      </c>
      <c r="BT813" s="42">
        <v>0</v>
      </c>
      <c r="BU813" s="42">
        <v>0</v>
      </c>
      <c r="BV813" s="42">
        <v>0</v>
      </c>
      <c r="BW813" s="42">
        <v>0</v>
      </c>
      <c r="BX813" s="42">
        <v>0</v>
      </c>
      <c r="BY813" s="42">
        <v>0</v>
      </c>
      <c r="BZ813" s="42">
        <v>0</v>
      </c>
      <c r="CA813" s="42">
        <v>0</v>
      </c>
      <c r="CB813" s="42">
        <v>0</v>
      </c>
      <c r="CC813" s="42">
        <v>0</v>
      </c>
      <c r="CD813" s="42">
        <v>0</v>
      </c>
      <c r="CE813" s="42">
        <v>0</v>
      </c>
      <c r="CF813" s="42">
        <v>0</v>
      </c>
      <c r="CG813" s="42">
        <v>0</v>
      </c>
      <c r="CH813" s="42">
        <v>0</v>
      </c>
      <c r="CI813" s="42">
        <v>0</v>
      </c>
      <c r="CJ813" s="42">
        <v>0</v>
      </c>
      <c r="CK813" s="43">
        <f t="shared" si="79"/>
        <v>0</v>
      </c>
      <c r="CL813" s="66"/>
      <c r="CM813" s="66">
        <v>0</v>
      </c>
      <c r="CN813" s="66">
        <v>0</v>
      </c>
      <c r="CO813" s="66">
        <v>0</v>
      </c>
      <c r="CP813" s="66">
        <v>0</v>
      </c>
      <c r="CQ813" s="66">
        <v>0</v>
      </c>
      <c r="CR813" s="66">
        <v>0</v>
      </c>
      <c r="CS813" s="66">
        <v>0</v>
      </c>
      <c r="CT813" s="66">
        <v>0</v>
      </c>
      <c r="CU813" s="66">
        <v>0</v>
      </c>
      <c r="CV813" s="66">
        <v>0</v>
      </c>
      <c r="CW813" s="66">
        <v>0</v>
      </c>
      <c r="CX813" s="66">
        <v>0</v>
      </c>
      <c r="CY813" s="66">
        <v>0</v>
      </c>
      <c r="CZ813" s="66">
        <v>0</v>
      </c>
      <c r="DA813" s="66"/>
      <c r="DB813" s="66"/>
      <c r="DC813" s="66"/>
      <c r="DD813" s="66"/>
      <c r="DE813" s="66"/>
      <c r="DF813" s="66"/>
      <c r="DG813" s="66"/>
      <c r="DH813" s="66"/>
      <c r="DI813" s="66"/>
      <c r="DJ813" s="66"/>
      <c r="DK813" s="66">
        <f>SUM(Table1[[#This Row],[01-03 Apr]:[Mar-26]])</f>
        <v>0</v>
      </c>
    </row>
    <row r="814" spans="1:115" hidden="1" x14ac:dyDescent="0.2">
      <c r="A814" s="28"/>
      <c r="B814" s="29" t="s">
        <v>2611</v>
      </c>
      <c r="C814" s="29" t="s">
        <v>3336</v>
      </c>
      <c r="D814" s="30" t="s">
        <v>2614</v>
      </c>
      <c r="E814" s="30"/>
      <c r="F814" s="30"/>
      <c r="G814" s="31"/>
      <c r="H814" s="30"/>
      <c r="I814" s="30" t="str">
        <f>IF(Table1[[#This Row],[Centre Status]]="Returned","NA",IF(Table1[[#This Row],[SD]]&gt;19000,"Full Payment",IF(Table1[[#This Row],[SD]]&lt;1,"No Payment","Partial Payment")))</f>
        <v>NA</v>
      </c>
      <c r="J814" s="30" t="s">
        <v>1903</v>
      </c>
      <c r="K814" s="32">
        <v>0</v>
      </c>
      <c r="L814" s="33">
        <f>Q814+R814+U814+Table1[[#This Row],[Farmer Payment]]</f>
        <v>0</v>
      </c>
      <c r="M814" s="30">
        <v>25000</v>
      </c>
      <c r="N814" s="34">
        <v>45017</v>
      </c>
      <c r="O814" s="34"/>
      <c r="P814" s="35">
        <f t="shared" si="80"/>
        <v>25000</v>
      </c>
      <c r="Q814" s="33">
        <f>AI814+AV814+CK814+Table1[[#This Row],[FY 25-26]]</f>
        <v>0</v>
      </c>
      <c r="R814" s="36"/>
      <c r="S814" s="37"/>
      <c r="T814" s="38"/>
      <c r="U814" s="39"/>
      <c r="V814" s="39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1">
        <f t="shared" si="81"/>
        <v>0</v>
      </c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  <c r="AT814" s="42"/>
      <c r="AU814" s="42"/>
      <c r="AV814" s="42">
        <f t="shared" si="82"/>
        <v>0</v>
      </c>
      <c r="AW814" s="42"/>
      <c r="AX814" s="42"/>
      <c r="AY814" s="42"/>
      <c r="AZ814" s="42"/>
      <c r="BA814" s="42"/>
      <c r="BB814" s="42">
        <v>0</v>
      </c>
      <c r="BC814" s="42">
        <v>0</v>
      </c>
      <c r="BD814" s="42">
        <v>0</v>
      </c>
      <c r="BE814" s="42">
        <v>0</v>
      </c>
      <c r="BF814" s="42">
        <v>0</v>
      </c>
      <c r="BG814" s="42">
        <v>0</v>
      </c>
      <c r="BH814" s="42">
        <v>0</v>
      </c>
      <c r="BI814" s="42">
        <v>0</v>
      </c>
      <c r="BJ814" s="42">
        <v>0</v>
      </c>
      <c r="BK814" s="42">
        <v>0</v>
      </c>
      <c r="BL814" s="42">
        <v>0</v>
      </c>
      <c r="BM814" s="42">
        <v>0</v>
      </c>
      <c r="BN814" s="42">
        <v>0</v>
      </c>
      <c r="BO814" s="42">
        <v>0</v>
      </c>
      <c r="BP814" s="42">
        <v>0</v>
      </c>
      <c r="BQ814" s="42">
        <v>0</v>
      </c>
      <c r="BR814" s="42">
        <v>0</v>
      </c>
      <c r="BS814" s="42">
        <v>0</v>
      </c>
      <c r="BT814" s="42">
        <v>0</v>
      </c>
      <c r="BU814" s="42">
        <v>0</v>
      </c>
      <c r="BV814" s="42">
        <v>0</v>
      </c>
      <c r="BW814" s="42">
        <v>0</v>
      </c>
      <c r="BX814" s="42">
        <v>0</v>
      </c>
      <c r="BY814" s="42">
        <v>0</v>
      </c>
      <c r="BZ814" s="42">
        <v>0</v>
      </c>
      <c r="CA814" s="42">
        <v>0</v>
      </c>
      <c r="CB814" s="42">
        <v>0</v>
      </c>
      <c r="CC814" s="42">
        <v>0</v>
      </c>
      <c r="CD814" s="42">
        <v>0</v>
      </c>
      <c r="CE814" s="42">
        <v>0</v>
      </c>
      <c r="CF814" s="42">
        <v>0</v>
      </c>
      <c r="CG814" s="42">
        <v>0</v>
      </c>
      <c r="CH814" s="42">
        <v>0</v>
      </c>
      <c r="CI814" s="42">
        <v>0</v>
      </c>
      <c r="CJ814" s="42">
        <v>0</v>
      </c>
      <c r="CK814" s="43">
        <f t="shared" si="79"/>
        <v>0</v>
      </c>
      <c r="CL814" s="66"/>
      <c r="CM814" s="66">
        <v>0</v>
      </c>
      <c r="CN814" s="66">
        <v>0</v>
      </c>
      <c r="CO814" s="66">
        <v>0</v>
      </c>
      <c r="CP814" s="66">
        <v>0</v>
      </c>
      <c r="CQ814" s="66">
        <v>0</v>
      </c>
      <c r="CR814" s="66">
        <v>0</v>
      </c>
      <c r="CS814" s="66">
        <v>0</v>
      </c>
      <c r="CT814" s="66">
        <v>0</v>
      </c>
      <c r="CU814" s="66">
        <v>0</v>
      </c>
      <c r="CV814" s="66">
        <v>0</v>
      </c>
      <c r="CW814" s="66">
        <v>0</v>
      </c>
      <c r="CX814" s="66">
        <v>0</v>
      </c>
      <c r="CY814" s="66">
        <v>0</v>
      </c>
      <c r="CZ814" s="66">
        <v>0</v>
      </c>
      <c r="DA814" s="66"/>
      <c r="DB814" s="66"/>
      <c r="DC814" s="66"/>
      <c r="DD814" s="66"/>
      <c r="DE814" s="66"/>
      <c r="DF814" s="66"/>
      <c r="DG814" s="66"/>
      <c r="DH814" s="66"/>
      <c r="DI814" s="66"/>
      <c r="DJ814" s="66"/>
      <c r="DK814" s="66">
        <f>SUM(Table1[[#This Row],[01-03 Apr]:[Mar-26]])</f>
        <v>0</v>
      </c>
    </row>
    <row r="815" spans="1:115" hidden="1" x14ac:dyDescent="0.2">
      <c r="A815" s="28"/>
      <c r="B815" s="29" t="s">
        <v>2612</v>
      </c>
      <c r="C815" s="29" t="s">
        <v>3336</v>
      </c>
      <c r="D815" s="30" t="s">
        <v>2614</v>
      </c>
      <c r="E815" s="30"/>
      <c r="F815" s="30"/>
      <c r="G815" s="31"/>
      <c r="H815" s="30"/>
      <c r="I815" s="30" t="str">
        <f>IF(Table1[[#This Row],[Centre Status]]="Returned","NA",IF(Table1[[#This Row],[SD]]&gt;19000,"Full Payment",IF(Table1[[#This Row],[SD]]&lt;1,"No Payment","Partial Payment")))</f>
        <v>NA</v>
      </c>
      <c r="J815" s="30" t="s">
        <v>1903</v>
      </c>
      <c r="K815" s="32">
        <v>0</v>
      </c>
      <c r="L815" s="33">
        <f>Q815+R815+U815+Table1[[#This Row],[Farmer Payment]]</f>
        <v>0</v>
      </c>
      <c r="M815" s="30">
        <v>25000</v>
      </c>
      <c r="N815" s="34">
        <v>45017</v>
      </c>
      <c r="O815" s="34"/>
      <c r="P815" s="35">
        <f t="shared" si="80"/>
        <v>25000</v>
      </c>
      <c r="Q815" s="33">
        <f>AI815+AV815+CK815+Table1[[#This Row],[FY 25-26]]</f>
        <v>0</v>
      </c>
      <c r="R815" s="36"/>
      <c r="S815" s="37"/>
      <c r="T815" s="38"/>
      <c r="U815" s="39"/>
      <c r="V815" s="39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1">
        <f t="shared" si="81"/>
        <v>0</v>
      </c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  <c r="AT815" s="42"/>
      <c r="AU815" s="42"/>
      <c r="AV815" s="42">
        <f t="shared" si="82"/>
        <v>0</v>
      </c>
      <c r="AW815" s="42"/>
      <c r="AX815" s="42"/>
      <c r="AY815" s="42"/>
      <c r="AZ815" s="42"/>
      <c r="BA815" s="42"/>
      <c r="BB815" s="42">
        <v>0</v>
      </c>
      <c r="BC815" s="42">
        <v>0</v>
      </c>
      <c r="BD815" s="42">
        <v>0</v>
      </c>
      <c r="BE815" s="42">
        <v>0</v>
      </c>
      <c r="BF815" s="42">
        <v>0</v>
      </c>
      <c r="BG815" s="42">
        <v>0</v>
      </c>
      <c r="BH815" s="42">
        <v>0</v>
      </c>
      <c r="BI815" s="42">
        <v>0</v>
      </c>
      <c r="BJ815" s="42">
        <v>0</v>
      </c>
      <c r="BK815" s="42">
        <v>0</v>
      </c>
      <c r="BL815" s="42">
        <v>0</v>
      </c>
      <c r="BM815" s="42">
        <v>0</v>
      </c>
      <c r="BN815" s="42">
        <v>0</v>
      </c>
      <c r="BO815" s="42">
        <v>0</v>
      </c>
      <c r="BP815" s="42">
        <v>0</v>
      </c>
      <c r="BQ815" s="42">
        <v>0</v>
      </c>
      <c r="BR815" s="42">
        <v>0</v>
      </c>
      <c r="BS815" s="42">
        <v>0</v>
      </c>
      <c r="BT815" s="42">
        <v>0</v>
      </c>
      <c r="BU815" s="42">
        <v>0</v>
      </c>
      <c r="BV815" s="42">
        <v>0</v>
      </c>
      <c r="BW815" s="42">
        <v>0</v>
      </c>
      <c r="BX815" s="42">
        <v>0</v>
      </c>
      <c r="BY815" s="42">
        <v>0</v>
      </c>
      <c r="BZ815" s="42">
        <v>0</v>
      </c>
      <c r="CA815" s="42">
        <v>0</v>
      </c>
      <c r="CB815" s="42">
        <v>0</v>
      </c>
      <c r="CC815" s="42">
        <v>0</v>
      </c>
      <c r="CD815" s="42">
        <v>0</v>
      </c>
      <c r="CE815" s="42">
        <v>0</v>
      </c>
      <c r="CF815" s="42">
        <v>0</v>
      </c>
      <c r="CG815" s="42">
        <v>0</v>
      </c>
      <c r="CH815" s="42">
        <v>0</v>
      </c>
      <c r="CI815" s="42">
        <v>0</v>
      </c>
      <c r="CJ815" s="42">
        <v>0</v>
      </c>
      <c r="CK815" s="43">
        <f t="shared" si="79"/>
        <v>0</v>
      </c>
      <c r="CL815" s="66"/>
      <c r="CM815" s="66">
        <v>0</v>
      </c>
      <c r="CN815" s="66">
        <v>0</v>
      </c>
      <c r="CO815" s="66">
        <v>0</v>
      </c>
      <c r="CP815" s="66">
        <v>0</v>
      </c>
      <c r="CQ815" s="66">
        <v>0</v>
      </c>
      <c r="CR815" s="66">
        <v>0</v>
      </c>
      <c r="CS815" s="66">
        <v>0</v>
      </c>
      <c r="CT815" s="66">
        <v>0</v>
      </c>
      <c r="CU815" s="66">
        <v>0</v>
      </c>
      <c r="CV815" s="66">
        <v>0</v>
      </c>
      <c r="CW815" s="66">
        <v>0</v>
      </c>
      <c r="CX815" s="66">
        <v>0</v>
      </c>
      <c r="CY815" s="66">
        <v>0</v>
      </c>
      <c r="CZ815" s="66">
        <v>0</v>
      </c>
      <c r="DA815" s="66"/>
      <c r="DB815" s="66"/>
      <c r="DC815" s="66"/>
      <c r="DD815" s="66"/>
      <c r="DE815" s="66"/>
      <c r="DF815" s="66"/>
      <c r="DG815" s="66"/>
      <c r="DH815" s="66"/>
      <c r="DI815" s="66"/>
      <c r="DJ815" s="66"/>
      <c r="DK815" s="66">
        <f>SUM(Table1[[#This Row],[01-03 Apr]:[Mar-26]])</f>
        <v>0</v>
      </c>
    </row>
    <row r="816" spans="1:115" hidden="1" x14ac:dyDescent="0.2">
      <c r="A816" s="28"/>
      <c r="B816" s="29" t="s">
        <v>2613</v>
      </c>
      <c r="C816" s="29" t="s">
        <v>3336</v>
      </c>
      <c r="D816" s="30" t="s">
        <v>2614</v>
      </c>
      <c r="E816" s="30"/>
      <c r="F816" s="30"/>
      <c r="G816" s="31"/>
      <c r="H816" s="30"/>
      <c r="I816" s="30" t="str">
        <f>IF(Table1[[#This Row],[Centre Status]]="Returned","NA",IF(Table1[[#This Row],[SD]]&gt;19000,"Full Payment",IF(Table1[[#This Row],[SD]]&lt;1,"No Payment","Partial Payment")))</f>
        <v>NA</v>
      </c>
      <c r="J816" s="30" t="s">
        <v>1903</v>
      </c>
      <c r="K816" s="32">
        <v>0</v>
      </c>
      <c r="L816" s="33">
        <f>Q816+R816+U816+Table1[[#This Row],[Farmer Payment]]</f>
        <v>0</v>
      </c>
      <c r="M816" s="30">
        <v>25000</v>
      </c>
      <c r="N816" s="34">
        <v>45017</v>
      </c>
      <c r="O816" s="34"/>
      <c r="P816" s="35">
        <f t="shared" si="80"/>
        <v>25000</v>
      </c>
      <c r="Q816" s="33">
        <f>AI816+AV816+CK816+Table1[[#This Row],[FY 25-26]]</f>
        <v>0</v>
      </c>
      <c r="R816" s="36"/>
      <c r="S816" s="37"/>
      <c r="T816" s="38"/>
      <c r="U816" s="39"/>
      <c r="V816" s="39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1">
        <f t="shared" si="81"/>
        <v>0</v>
      </c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  <c r="AT816" s="42"/>
      <c r="AU816" s="42"/>
      <c r="AV816" s="42">
        <f t="shared" si="82"/>
        <v>0</v>
      </c>
      <c r="AW816" s="42"/>
      <c r="AX816" s="42"/>
      <c r="AY816" s="42"/>
      <c r="AZ816" s="42"/>
      <c r="BA816" s="42"/>
      <c r="BB816" s="42">
        <v>0</v>
      </c>
      <c r="BC816" s="42">
        <v>0</v>
      </c>
      <c r="BD816" s="42">
        <v>0</v>
      </c>
      <c r="BE816" s="42">
        <v>0</v>
      </c>
      <c r="BF816" s="42">
        <v>0</v>
      </c>
      <c r="BG816" s="42">
        <v>0</v>
      </c>
      <c r="BH816" s="42">
        <v>0</v>
      </c>
      <c r="BI816" s="42">
        <v>0</v>
      </c>
      <c r="BJ816" s="42">
        <v>0</v>
      </c>
      <c r="BK816" s="42">
        <v>0</v>
      </c>
      <c r="BL816" s="42">
        <v>0</v>
      </c>
      <c r="BM816" s="42">
        <v>0</v>
      </c>
      <c r="BN816" s="42">
        <v>0</v>
      </c>
      <c r="BO816" s="42">
        <v>0</v>
      </c>
      <c r="BP816" s="42">
        <v>0</v>
      </c>
      <c r="BQ816" s="42">
        <v>0</v>
      </c>
      <c r="BR816" s="42">
        <v>0</v>
      </c>
      <c r="BS816" s="42">
        <v>0</v>
      </c>
      <c r="BT816" s="42">
        <v>0</v>
      </c>
      <c r="BU816" s="42">
        <v>0</v>
      </c>
      <c r="BV816" s="42">
        <v>0</v>
      </c>
      <c r="BW816" s="42">
        <v>0</v>
      </c>
      <c r="BX816" s="42">
        <v>0</v>
      </c>
      <c r="BY816" s="42">
        <v>0</v>
      </c>
      <c r="BZ816" s="42">
        <v>0</v>
      </c>
      <c r="CA816" s="42">
        <v>0</v>
      </c>
      <c r="CB816" s="42">
        <v>0</v>
      </c>
      <c r="CC816" s="42">
        <v>0</v>
      </c>
      <c r="CD816" s="42">
        <v>0</v>
      </c>
      <c r="CE816" s="42">
        <v>0</v>
      </c>
      <c r="CF816" s="42">
        <v>0</v>
      </c>
      <c r="CG816" s="42">
        <v>0</v>
      </c>
      <c r="CH816" s="42">
        <v>0</v>
      </c>
      <c r="CI816" s="42">
        <v>0</v>
      </c>
      <c r="CJ816" s="42">
        <v>0</v>
      </c>
      <c r="CK816" s="43">
        <f t="shared" si="79"/>
        <v>0</v>
      </c>
      <c r="CL816" s="66"/>
      <c r="CM816" s="66">
        <v>0</v>
      </c>
      <c r="CN816" s="66">
        <v>0</v>
      </c>
      <c r="CO816" s="66">
        <v>0</v>
      </c>
      <c r="CP816" s="66">
        <v>0</v>
      </c>
      <c r="CQ816" s="66">
        <v>0</v>
      </c>
      <c r="CR816" s="66">
        <v>0</v>
      </c>
      <c r="CS816" s="66">
        <v>0</v>
      </c>
      <c r="CT816" s="66">
        <v>0</v>
      </c>
      <c r="CU816" s="66">
        <v>0</v>
      </c>
      <c r="CV816" s="66">
        <v>0</v>
      </c>
      <c r="CW816" s="66">
        <v>0</v>
      </c>
      <c r="CX816" s="66">
        <v>0</v>
      </c>
      <c r="CY816" s="66">
        <v>0</v>
      </c>
      <c r="CZ816" s="66">
        <v>0</v>
      </c>
      <c r="DA816" s="66"/>
      <c r="DB816" s="66"/>
      <c r="DC816" s="66"/>
      <c r="DD816" s="66"/>
      <c r="DE816" s="66"/>
      <c r="DF816" s="66"/>
      <c r="DG816" s="66"/>
      <c r="DH816" s="66"/>
      <c r="DI816" s="66"/>
      <c r="DJ816" s="66"/>
      <c r="DK816" s="66">
        <f>SUM(Table1[[#This Row],[01-03 Apr]:[Mar-26]])</f>
        <v>0</v>
      </c>
    </row>
    <row r="817" spans="1:115" hidden="1" x14ac:dyDescent="0.2">
      <c r="A817" s="28" t="s">
        <v>2367</v>
      </c>
      <c r="B817" s="29" t="s">
        <v>1288</v>
      </c>
      <c r="C817" s="29" t="s">
        <v>3342</v>
      </c>
      <c r="D817" s="30" t="s">
        <v>1289</v>
      </c>
      <c r="E817" s="30" t="s">
        <v>297</v>
      </c>
      <c r="F817" s="30"/>
      <c r="G817" s="31"/>
      <c r="H817" s="30"/>
      <c r="I817" s="30" t="str">
        <f>IF(Table1[[#This Row],[Centre Status]]="Returned","NA",IF(Table1[[#This Row],[SD]]&gt;19000,"Full Payment",IF(Table1[[#This Row],[SD]]&lt;1,"No Payment","Partial Payment")))</f>
        <v>NA</v>
      </c>
      <c r="J817" s="30" t="s">
        <v>1903</v>
      </c>
      <c r="K817" s="32">
        <v>110000</v>
      </c>
      <c r="L817" s="33">
        <f>Q817+R817+U817+Table1[[#This Row],[Farmer Payment]]</f>
        <v>2827</v>
      </c>
      <c r="M817" s="30"/>
      <c r="N817" s="34"/>
      <c r="O817" s="34"/>
      <c r="P817" s="35">
        <f t="shared" si="80"/>
        <v>107173</v>
      </c>
      <c r="Q817" s="33">
        <f>AI817+AV817+CK817+Table1[[#This Row],[FY 25-26]]</f>
        <v>2827</v>
      </c>
      <c r="R817" s="36"/>
      <c r="S817" s="37"/>
      <c r="T817" s="38"/>
      <c r="U817" s="39"/>
      <c r="V817" s="39"/>
      <c r="W817" s="40">
        <v>0</v>
      </c>
      <c r="X817" s="40">
        <v>0</v>
      </c>
      <c r="Y817" s="40">
        <v>0</v>
      </c>
      <c r="Z817" s="40">
        <v>0</v>
      </c>
      <c r="AA817" s="40">
        <v>0</v>
      </c>
      <c r="AB817" s="40">
        <v>0</v>
      </c>
      <c r="AC817" s="40">
        <v>0</v>
      </c>
      <c r="AD817" s="40">
        <v>0</v>
      </c>
      <c r="AE817" s="40">
        <v>0</v>
      </c>
      <c r="AF817" s="40">
        <v>0</v>
      </c>
      <c r="AG817" s="40">
        <v>0</v>
      </c>
      <c r="AH817" s="40">
        <v>0</v>
      </c>
      <c r="AI817" s="41">
        <f t="shared" si="81"/>
        <v>0</v>
      </c>
      <c r="AJ817" s="42">
        <v>0</v>
      </c>
      <c r="AK817" s="42">
        <v>0</v>
      </c>
      <c r="AL817" s="42">
        <v>0</v>
      </c>
      <c r="AM817" s="42">
        <v>0</v>
      </c>
      <c r="AN817" s="42">
        <v>0</v>
      </c>
      <c r="AO817" s="42">
        <v>0</v>
      </c>
      <c r="AP817" s="42">
        <v>0</v>
      </c>
      <c r="AQ817" s="42">
        <v>0</v>
      </c>
      <c r="AR817" s="42">
        <v>1861</v>
      </c>
      <c r="AS817" s="42">
        <v>966</v>
      </c>
      <c r="AT817" s="42">
        <v>0</v>
      </c>
      <c r="AU817" s="42">
        <v>0</v>
      </c>
      <c r="AV817" s="42">
        <f t="shared" si="82"/>
        <v>2827</v>
      </c>
      <c r="AW817" s="42">
        <v>0</v>
      </c>
      <c r="AX817" s="42">
        <v>0</v>
      </c>
      <c r="AY817" s="42">
        <v>0</v>
      </c>
      <c r="AZ817" s="42">
        <v>0</v>
      </c>
      <c r="BA817" s="42">
        <v>0</v>
      </c>
      <c r="BB817" s="42">
        <v>0</v>
      </c>
      <c r="BC817" s="42">
        <v>0</v>
      </c>
      <c r="BD817" s="42">
        <v>0</v>
      </c>
      <c r="BE817" s="42">
        <v>0</v>
      </c>
      <c r="BF817" s="42">
        <v>0</v>
      </c>
      <c r="BG817" s="42">
        <v>0</v>
      </c>
      <c r="BH817" s="42">
        <v>0</v>
      </c>
      <c r="BI817" s="42">
        <v>0</v>
      </c>
      <c r="BJ817" s="42">
        <v>0</v>
      </c>
      <c r="BK817" s="42">
        <v>0</v>
      </c>
      <c r="BL817" s="42">
        <v>0</v>
      </c>
      <c r="BM817" s="42">
        <v>0</v>
      </c>
      <c r="BN817" s="42">
        <v>0</v>
      </c>
      <c r="BO817" s="42">
        <v>0</v>
      </c>
      <c r="BP817" s="42">
        <v>0</v>
      </c>
      <c r="BQ817" s="42">
        <v>0</v>
      </c>
      <c r="BR817" s="42">
        <v>0</v>
      </c>
      <c r="BS817" s="42">
        <v>0</v>
      </c>
      <c r="BT817" s="42">
        <v>0</v>
      </c>
      <c r="BU817" s="42">
        <v>0</v>
      </c>
      <c r="BV817" s="42">
        <v>0</v>
      </c>
      <c r="BW817" s="42">
        <v>0</v>
      </c>
      <c r="BX817" s="42">
        <v>0</v>
      </c>
      <c r="BY817" s="42">
        <v>0</v>
      </c>
      <c r="BZ817" s="42">
        <v>0</v>
      </c>
      <c r="CA817" s="42">
        <v>0</v>
      </c>
      <c r="CB817" s="42">
        <v>0</v>
      </c>
      <c r="CC817" s="42">
        <v>0</v>
      </c>
      <c r="CD817" s="42">
        <v>0</v>
      </c>
      <c r="CE817" s="42">
        <v>0</v>
      </c>
      <c r="CF817" s="42">
        <v>0</v>
      </c>
      <c r="CG817" s="42">
        <v>0</v>
      </c>
      <c r="CH817" s="42">
        <v>0</v>
      </c>
      <c r="CI817" s="42">
        <v>0</v>
      </c>
      <c r="CJ817" s="42">
        <v>0</v>
      </c>
      <c r="CK817" s="43">
        <f t="shared" si="79"/>
        <v>0</v>
      </c>
      <c r="CL817" s="66"/>
      <c r="CM817" s="66">
        <v>0</v>
      </c>
      <c r="CN817" s="66">
        <v>0</v>
      </c>
      <c r="CO817" s="66">
        <v>0</v>
      </c>
      <c r="CP817" s="66">
        <v>0</v>
      </c>
      <c r="CQ817" s="66">
        <v>0</v>
      </c>
      <c r="CR817" s="66">
        <v>0</v>
      </c>
      <c r="CS817" s="66">
        <v>0</v>
      </c>
      <c r="CT817" s="66">
        <v>0</v>
      </c>
      <c r="CU817" s="66">
        <v>0</v>
      </c>
      <c r="CV817" s="66">
        <v>0</v>
      </c>
      <c r="CW817" s="66">
        <v>0</v>
      </c>
      <c r="CX817" s="66">
        <v>0</v>
      </c>
      <c r="CY817" s="66">
        <v>0</v>
      </c>
      <c r="CZ817" s="66">
        <v>0</v>
      </c>
      <c r="DA817" s="66"/>
      <c r="DB817" s="66"/>
      <c r="DC817" s="66"/>
      <c r="DD817" s="66"/>
      <c r="DE817" s="66"/>
      <c r="DF817" s="66"/>
      <c r="DG817" s="66"/>
      <c r="DH817" s="66"/>
      <c r="DI817" s="66"/>
      <c r="DJ817" s="66"/>
      <c r="DK817" s="66">
        <f>SUM(Table1[[#This Row],[01-03 Apr]:[Mar-26]])</f>
        <v>0</v>
      </c>
    </row>
    <row r="818" spans="1:115" hidden="1" x14ac:dyDescent="0.2">
      <c r="A818" s="28">
        <v>0</v>
      </c>
      <c r="B818" s="29" t="s">
        <v>1305</v>
      </c>
      <c r="C818" s="29" t="s">
        <v>3336</v>
      </c>
      <c r="D818" s="30"/>
      <c r="E818" s="30" t="s">
        <v>906</v>
      </c>
      <c r="F818" s="30"/>
      <c r="G818" s="31"/>
      <c r="H818" s="30"/>
      <c r="I818" s="30" t="str">
        <f>IF(Table1[[#This Row],[Centre Status]]="Returned","NA",IF(Table1[[#This Row],[SD]]&gt;19000,"Full Payment",IF(Table1[[#This Row],[SD]]&lt;1,"No Payment","Partial Payment")))</f>
        <v>NA</v>
      </c>
      <c r="J818" s="30" t="s">
        <v>1903</v>
      </c>
      <c r="K818" s="32">
        <v>110000</v>
      </c>
      <c r="L818" s="33">
        <f>Q818+R818+U818+Table1[[#This Row],[Farmer Payment]]</f>
        <v>10000</v>
      </c>
      <c r="M818" s="30">
        <v>10000</v>
      </c>
      <c r="N818" s="34">
        <v>45435</v>
      </c>
      <c r="O818" s="34" t="s">
        <v>2454</v>
      </c>
      <c r="P818" s="35">
        <f t="shared" si="80"/>
        <v>110000</v>
      </c>
      <c r="Q818" s="33">
        <f>AI818+AV818+CK818+Table1[[#This Row],[FY 25-26]]</f>
        <v>0</v>
      </c>
      <c r="R818" s="36">
        <v>10000</v>
      </c>
      <c r="S818" s="37" t="s">
        <v>1306</v>
      </c>
      <c r="T818" s="38">
        <v>45213</v>
      </c>
      <c r="U818" s="39"/>
      <c r="V818" s="39"/>
      <c r="W818" s="40">
        <v>0</v>
      </c>
      <c r="X818" s="40">
        <v>0</v>
      </c>
      <c r="Y818" s="40">
        <v>0</v>
      </c>
      <c r="Z818" s="40">
        <v>0</v>
      </c>
      <c r="AA818" s="40">
        <v>0</v>
      </c>
      <c r="AB818" s="40">
        <v>0</v>
      </c>
      <c r="AC818" s="40">
        <v>0</v>
      </c>
      <c r="AD818" s="40">
        <v>0</v>
      </c>
      <c r="AE818" s="40">
        <v>0</v>
      </c>
      <c r="AF818" s="40">
        <v>0</v>
      </c>
      <c r="AG818" s="40">
        <v>0</v>
      </c>
      <c r="AH818" s="40">
        <v>0</v>
      </c>
      <c r="AI818" s="41">
        <f t="shared" si="81"/>
        <v>0</v>
      </c>
      <c r="AJ818" s="42">
        <v>0</v>
      </c>
      <c r="AK818" s="42">
        <v>0</v>
      </c>
      <c r="AL818" s="42">
        <v>0</v>
      </c>
      <c r="AM818" s="42">
        <v>0</v>
      </c>
      <c r="AN818" s="42">
        <v>0</v>
      </c>
      <c r="AO818" s="42">
        <v>0</v>
      </c>
      <c r="AP818" s="42">
        <v>0</v>
      </c>
      <c r="AQ818" s="42">
        <v>0</v>
      </c>
      <c r="AR818" s="42">
        <v>0</v>
      </c>
      <c r="AS818" s="42">
        <v>0</v>
      </c>
      <c r="AT818" s="42">
        <v>0</v>
      </c>
      <c r="AU818" s="42">
        <v>0</v>
      </c>
      <c r="AV818" s="42">
        <f t="shared" si="82"/>
        <v>0</v>
      </c>
      <c r="AW818" s="42">
        <v>0</v>
      </c>
      <c r="AX818" s="42">
        <v>0</v>
      </c>
      <c r="AY818" s="42">
        <v>0</v>
      </c>
      <c r="AZ818" s="42">
        <v>0</v>
      </c>
      <c r="BA818" s="42">
        <v>0</v>
      </c>
      <c r="BB818" s="42">
        <v>0</v>
      </c>
      <c r="BC818" s="42">
        <v>0</v>
      </c>
      <c r="BD818" s="42">
        <v>0</v>
      </c>
      <c r="BE818" s="42">
        <v>0</v>
      </c>
      <c r="BF818" s="42">
        <v>0</v>
      </c>
      <c r="BG818" s="42">
        <v>0</v>
      </c>
      <c r="BH818" s="42">
        <v>0</v>
      </c>
      <c r="BI818" s="42">
        <v>0</v>
      </c>
      <c r="BJ818" s="42">
        <v>0</v>
      </c>
      <c r="BK818" s="42">
        <v>0</v>
      </c>
      <c r="BL818" s="42">
        <v>0</v>
      </c>
      <c r="BM818" s="42">
        <v>0</v>
      </c>
      <c r="BN818" s="42">
        <v>0</v>
      </c>
      <c r="BO818" s="42">
        <v>0</v>
      </c>
      <c r="BP818" s="42">
        <v>0</v>
      </c>
      <c r="BQ818" s="42">
        <v>0</v>
      </c>
      <c r="BR818" s="42">
        <v>0</v>
      </c>
      <c r="BS818" s="42">
        <v>0</v>
      </c>
      <c r="BT818" s="42">
        <v>0</v>
      </c>
      <c r="BU818" s="42">
        <v>0</v>
      </c>
      <c r="BV818" s="42">
        <v>0</v>
      </c>
      <c r="BW818" s="42">
        <v>0</v>
      </c>
      <c r="BX818" s="42">
        <v>0</v>
      </c>
      <c r="BY818" s="42">
        <v>0</v>
      </c>
      <c r="BZ818" s="42">
        <v>0</v>
      </c>
      <c r="CA818" s="42">
        <v>0</v>
      </c>
      <c r="CB818" s="42">
        <v>0</v>
      </c>
      <c r="CC818" s="42">
        <v>0</v>
      </c>
      <c r="CD818" s="42">
        <v>0</v>
      </c>
      <c r="CE818" s="42">
        <v>0</v>
      </c>
      <c r="CF818" s="42">
        <v>0</v>
      </c>
      <c r="CG818" s="42">
        <v>0</v>
      </c>
      <c r="CH818" s="42">
        <v>0</v>
      </c>
      <c r="CI818" s="42">
        <v>0</v>
      </c>
      <c r="CJ818" s="42">
        <v>0</v>
      </c>
      <c r="CK818" s="43">
        <f t="shared" si="79"/>
        <v>0</v>
      </c>
      <c r="CL818" s="66"/>
      <c r="CM818" s="66">
        <v>0</v>
      </c>
      <c r="CN818" s="66">
        <v>0</v>
      </c>
      <c r="CO818" s="66">
        <v>0</v>
      </c>
      <c r="CP818" s="66">
        <v>0</v>
      </c>
      <c r="CQ818" s="66">
        <v>0</v>
      </c>
      <c r="CR818" s="66">
        <v>0</v>
      </c>
      <c r="CS818" s="66">
        <v>0</v>
      </c>
      <c r="CT818" s="66">
        <v>0</v>
      </c>
      <c r="CU818" s="66">
        <v>0</v>
      </c>
      <c r="CV818" s="66">
        <v>0</v>
      </c>
      <c r="CW818" s="66">
        <v>0</v>
      </c>
      <c r="CX818" s="66">
        <v>0</v>
      </c>
      <c r="CY818" s="66">
        <v>0</v>
      </c>
      <c r="CZ818" s="66">
        <v>0</v>
      </c>
      <c r="DA818" s="66"/>
      <c r="DB818" s="66"/>
      <c r="DC818" s="66"/>
      <c r="DD818" s="66"/>
      <c r="DE818" s="66"/>
      <c r="DF818" s="66"/>
      <c r="DG818" s="66"/>
      <c r="DH818" s="66"/>
      <c r="DI818" s="66"/>
      <c r="DJ818" s="66"/>
      <c r="DK818" s="66">
        <f>SUM(Table1[[#This Row],[01-03 Apr]:[Mar-26]])</f>
        <v>0</v>
      </c>
    </row>
    <row r="819" spans="1:115" hidden="1" x14ac:dyDescent="0.2">
      <c r="A819" s="28" t="s">
        <v>2255</v>
      </c>
      <c r="B819" s="29"/>
      <c r="C819" s="29" t="s">
        <v>2569</v>
      </c>
      <c r="D819" s="30" t="s">
        <v>2570</v>
      </c>
      <c r="E819" s="30" t="s">
        <v>85</v>
      </c>
      <c r="F819" s="30"/>
      <c r="G819" s="31"/>
      <c r="H819" s="30"/>
      <c r="I819" s="30" t="str">
        <f>IF(Table1[[#This Row],[Centre Status]]="Returned","NA",IF(Table1[[#This Row],[SD]]&gt;19000,"Full Payment",IF(Table1[[#This Row],[SD]]&lt;1,"No Payment","Partial Payment")))</f>
        <v>NA</v>
      </c>
      <c r="J819" s="30" t="s">
        <v>1903</v>
      </c>
      <c r="K819" s="32">
        <v>110000</v>
      </c>
      <c r="L819" s="33">
        <f>Q819+R819+U819+Table1[[#This Row],[Farmer Payment]]</f>
        <v>10000</v>
      </c>
      <c r="M819" s="30"/>
      <c r="N819" s="34"/>
      <c r="O819" s="34"/>
      <c r="P819" s="35">
        <f t="shared" si="80"/>
        <v>100000</v>
      </c>
      <c r="Q819" s="33">
        <f>AI819+AV819+CK819+Table1[[#This Row],[FY 25-26]]</f>
        <v>0</v>
      </c>
      <c r="R819" s="36">
        <f>7000+3000</f>
        <v>10000</v>
      </c>
      <c r="S819" s="37" t="s">
        <v>2572</v>
      </c>
      <c r="T819" s="38">
        <v>45228</v>
      </c>
      <c r="U819" s="39"/>
      <c r="V819" s="39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1">
        <f t="shared" si="81"/>
        <v>0</v>
      </c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  <c r="AT819" s="42"/>
      <c r="AU819" s="42"/>
      <c r="AV819" s="42">
        <f t="shared" si="82"/>
        <v>0</v>
      </c>
      <c r="AW819" s="42"/>
      <c r="AX819" s="42"/>
      <c r="AY819" s="42"/>
      <c r="AZ819" s="42"/>
      <c r="BA819" s="42">
        <v>0</v>
      </c>
      <c r="BB819" s="42">
        <v>0</v>
      </c>
      <c r="BC819" s="42">
        <v>0</v>
      </c>
      <c r="BD819" s="42">
        <v>0</v>
      </c>
      <c r="BE819" s="42">
        <v>0</v>
      </c>
      <c r="BF819" s="42">
        <v>0</v>
      </c>
      <c r="BG819" s="42">
        <v>0</v>
      </c>
      <c r="BH819" s="42">
        <v>0</v>
      </c>
      <c r="BI819" s="42">
        <v>0</v>
      </c>
      <c r="BJ819" s="42">
        <v>0</v>
      </c>
      <c r="BK819" s="42">
        <v>0</v>
      </c>
      <c r="BL819" s="42">
        <v>0</v>
      </c>
      <c r="BM819" s="42">
        <v>0</v>
      </c>
      <c r="BN819" s="42">
        <v>0</v>
      </c>
      <c r="BO819" s="42">
        <v>0</v>
      </c>
      <c r="BP819" s="42">
        <v>0</v>
      </c>
      <c r="BQ819" s="42">
        <v>0</v>
      </c>
      <c r="BR819" s="42">
        <v>0</v>
      </c>
      <c r="BS819" s="42">
        <v>0</v>
      </c>
      <c r="BT819" s="42">
        <v>0</v>
      </c>
      <c r="BU819" s="42">
        <v>0</v>
      </c>
      <c r="BV819" s="42">
        <v>0</v>
      </c>
      <c r="BW819" s="42">
        <v>0</v>
      </c>
      <c r="BX819" s="42">
        <v>0</v>
      </c>
      <c r="BY819" s="42">
        <v>0</v>
      </c>
      <c r="BZ819" s="42">
        <v>0</v>
      </c>
      <c r="CA819" s="42">
        <v>0</v>
      </c>
      <c r="CB819" s="42">
        <v>0</v>
      </c>
      <c r="CC819" s="42">
        <v>0</v>
      </c>
      <c r="CD819" s="42">
        <v>0</v>
      </c>
      <c r="CE819" s="42">
        <v>0</v>
      </c>
      <c r="CF819" s="42">
        <v>0</v>
      </c>
      <c r="CG819" s="42">
        <v>0</v>
      </c>
      <c r="CH819" s="42">
        <v>0</v>
      </c>
      <c r="CI819" s="42">
        <v>0</v>
      </c>
      <c r="CJ819" s="42">
        <v>0</v>
      </c>
      <c r="CK819" s="43">
        <f t="shared" si="79"/>
        <v>0</v>
      </c>
      <c r="CL819" s="66"/>
      <c r="CM819" s="66">
        <v>0</v>
      </c>
      <c r="CN819" s="66">
        <v>0</v>
      </c>
      <c r="CO819" s="66">
        <v>0</v>
      </c>
      <c r="CP819" s="66">
        <v>0</v>
      </c>
      <c r="CQ819" s="66">
        <v>0</v>
      </c>
      <c r="CR819" s="66">
        <v>0</v>
      </c>
      <c r="CS819" s="66">
        <v>0</v>
      </c>
      <c r="CT819" s="66">
        <v>0</v>
      </c>
      <c r="CU819" s="66">
        <v>0</v>
      </c>
      <c r="CV819" s="66">
        <v>0</v>
      </c>
      <c r="CW819" s="66">
        <v>0</v>
      </c>
      <c r="CX819" s="66">
        <v>0</v>
      </c>
      <c r="CY819" s="66">
        <v>0</v>
      </c>
      <c r="CZ819" s="66">
        <v>0</v>
      </c>
      <c r="DA819" s="66"/>
      <c r="DB819" s="66"/>
      <c r="DC819" s="66"/>
      <c r="DD819" s="66"/>
      <c r="DE819" s="66"/>
      <c r="DF819" s="66"/>
      <c r="DG819" s="66"/>
      <c r="DH819" s="66"/>
      <c r="DI819" s="66"/>
      <c r="DJ819" s="66"/>
      <c r="DK819" s="66">
        <f>SUM(Table1[[#This Row],[01-03 Apr]:[Mar-26]])</f>
        <v>0</v>
      </c>
    </row>
    <row r="820" spans="1:115" hidden="1" x14ac:dyDescent="0.2">
      <c r="A820" s="28">
        <v>0</v>
      </c>
      <c r="B820" s="29" t="s">
        <v>1339</v>
      </c>
      <c r="C820" s="29" t="s">
        <v>3343</v>
      </c>
      <c r="D820" s="30" t="s">
        <v>1340</v>
      </c>
      <c r="E820" s="30" t="s">
        <v>297</v>
      </c>
      <c r="F820" s="30"/>
      <c r="G820" s="31"/>
      <c r="H820" s="30">
        <v>385564</v>
      </c>
      <c r="I820" s="30" t="str">
        <f>IF(Table1[[#This Row],[Centre Status]]="Returned","NA",IF(Table1[[#This Row],[SD]]&gt;19000,"Full Payment",IF(Table1[[#This Row],[SD]]&lt;1,"No Payment","Partial Payment")))</f>
        <v>NA</v>
      </c>
      <c r="J820" s="30" t="s">
        <v>1903</v>
      </c>
      <c r="K820" s="32">
        <v>110000</v>
      </c>
      <c r="L820" s="33">
        <f>Q820+R820+U820+Table1[[#This Row],[Farmer Payment]]</f>
        <v>0</v>
      </c>
      <c r="M820" s="30"/>
      <c r="N820" s="34"/>
      <c r="O820" s="34"/>
      <c r="P820" s="35">
        <f t="shared" si="80"/>
        <v>110000</v>
      </c>
      <c r="Q820" s="33">
        <f>AI820+AV820+CK820+Table1[[#This Row],[FY 25-26]]</f>
        <v>0</v>
      </c>
      <c r="R820" s="36"/>
      <c r="S820" s="37"/>
      <c r="T820" s="38"/>
      <c r="U820" s="39"/>
      <c r="V820" s="39"/>
      <c r="W820" s="40">
        <v>0</v>
      </c>
      <c r="X820" s="40">
        <v>0</v>
      </c>
      <c r="Y820" s="40">
        <v>0</v>
      </c>
      <c r="Z820" s="40">
        <v>0</v>
      </c>
      <c r="AA820" s="40">
        <v>0</v>
      </c>
      <c r="AB820" s="40">
        <v>0</v>
      </c>
      <c r="AC820" s="40">
        <v>0</v>
      </c>
      <c r="AD820" s="40">
        <v>0</v>
      </c>
      <c r="AE820" s="40">
        <v>0</v>
      </c>
      <c r="AF820" s="40">
        <v>0</v>
      </c>
      <c r="AG820" s="40">
        <v>0</v>
      </c>
      <c r="AH820" s="40">
        <v>0</v>
      </c>
      <c r="AI820" s="41">
        <f t="shared" si="81"/>
        <v>0</v>
      </c>
      <c r="AJ820" s="42">
        <v>0</v>
      </c>
      <c r="AK820" s="42">
        <v>0</v>
      </c>
      <c r="AL820" s="42">
        <v>0</v>
      </c>
      <c r="AM820" s="42">
        <v>0</v>
      </c>
      <c r="AN820" s="42">
        <v>0</v>
      </c>
      <c r="AO820" s="42">
        <v>0</v>
      </c>
      <c r="AP820" s="42">
        <v>0</v>
      </c>
      <c r="AQ820" s="42">
        <v>0</v>
      </c>
      <c r="AR820" s="42">
        <v>0</v>
      </c>
      <c r="AS820" s="42">
        <v>0</v>
      </c>
      <c r="AT820" s="42">
        <v>0</v>
      </c>
      <c r="AU820" s="42">
        <v>0</v>
      </c>
      <c r="AV820" s="42">
        <f t="shared" si="82"/>
        <v>0</v>
      </c>
      <c r="AW820" s="42">
        <v>0</v>
      </c>
      <c r="AX820" s="42">
        <v>0</v>
      </c>
      <c r="AY820" s="42">
        <v>0</v>
      </c>
      <c r="AZ820" s="42">
        <v>0</v>
      </c>
      <c r="BA820" s="42">
        <v>0</v>
      </c>
      <c r="BB820" s="42">
        <v>0</v>
      </c>
      <c r="BC820" s="42">
        <v>0</v>
      </c>
      <c r="BD820" s="42">
        <v>0</v>
      </c>
      <c r="BE820" s="42">
        <v>0</v>
      </c>
      <c r="BF820" s="42">
        <v>0</v>
      </c>
      <c r="BG820" s="42">
        <v>0</v>
      </c>
      <c r="BH820" s="42">
        <v>0</v>
      </c>
      <c r="BI820" s="42">
        <v>0</v>
      </c>
      <c r="BJ820" s="42">
        <v>0</v>
      </c>
      <c r="BK820" s="42">
        <v>0</v>
      </c>
      <c r="BL820" s="42">
        <v>0</v>
      </c>
      <c r="BM820" s="42">
        <v>0</v>
      </c>
      <c r="BN820" s="42">
        <v>0</v>
      </c>
      <c r="BO820" s="42">
        <v>0</v>
      </c>
      <c r="BP820" s="42">
        <v>0</v>
      </c>
      <c r="BQ820" s="42">
        <v>0</v>
      </c>
      <c r="BR820" s="42">
        <v>0</v>
      </c>
      <c r="BS820" s="42">
        <v>0</v>
      </c>
      <c r="BT820" s="42">
        <v>0</v>
      </c>
      <c r="BU820" s="42">
        <v>0</v>
      </c>
      <c r="BV820" s="42">
        <v>0</v>
      </c>
      <c r="BW820" s="42">
        <v>0</v>
      </c>
      <c r="BX820" s="42">
        <v>0</v>
      </c>
      <c r="BY820" s="42">
        <v>0</v>
      </c>
      <c r="BZ820" s="42">
        <v>0</v>
      </c>
      <c r="CA820" s="42">
        <v>0</v>
      </c>
      <c r="CB820" s="42">
        <v>0</v>
      </c>
      <c r="CC820" s="42">
        <v>0</v>
      </c>
      <c r="CD820" s="42">
        <v>0</v>
      </c>
      <c r="CE820" s="42">
        <v>0</v>
      </c>
      <c r="CF820" s="42">
        <v>0</v>
      </c>
      <c r="CG820" s="42">
        <v>0</v>
      </c>
      <c r="CH820" s="42">
        <v>0</v>
      </c>
      <c r="CI820" s="42">
        <v>0</v>
      </c>
      <c r="CJ820" s="42">
        <v>0</v>
      </c>
      <c r="CK820" s="43">
        <f t="shared" si="79"/>
        <v>0</v>
      </c>
      <c r="CL820" s="66"/>
      <c r="CM820" s="66">
        <v>0</v>
      </c>
      <c r="CN820" s="66">
        <v>0</v>
      </c>
      <c r="CO820" s="66">
        <v>0</v>
      </c>
      <c r="CP820" s="66">
        <v>0</v>
      </c>
      <c r="CQ820" s="66">
        <v>0</v>
      </c>
      <c r="CR820" s="66">
        <v>0</v>
      </c>
      <c r="CS820" s="66">
        <v>0</v>
      </c>
      <c r="CT820" s="66">
        <v>0</v>
      </c>
      <c r="CU820" s="66">
        <v>0</v>
      </c>
      <c r="CV820" s="66">
        <v>0</v>
      </c>
      <c r="CW820" s="66">
        <v>0</v>
      </c>
      <c r="CX820" s="66">
        <v>0</v>
      </c>
      <c r="CY820" s="66">
        <v>0</v>
      </c>
      <c r="CZ820" s="66">
        <v>0</v>
      </c>
      <c r="DA820" s="66"/>
      <c r="DB820" s="66"/>
      <c r="DC820" s="66"/>
      <c r="DD820" s="66"/>
      <c r="DE820" s="66"/>
      <c r="DF820" s="66"/>
      <c r="DG820" s="66"/>
      <c r="DH820" s="66"/>
      <c r="DI820" s="66"/>
      <c r="DJ820" s="66"/>
      <c r="DK820" s="66">
        <f>SUM(Table1[[#This Row],[01-03 Apr]:[Mar-26]])</f>
        <v>0</v>
      </c>
    </row>
    <row r="821" spans="1:115" hidden="1" x14ac:dyDescent="0.2">
      <c r="A821" s="28" t="s">
        <v>2255</v>
      </c>
      <c r="B821" s="29" t="s">
        <v>1361</v>
      </c>
      <c r="C821" s="29" t="s">
        <v>3344</v>
      </c>
      <c r="D821" s="30" t="s">
        <v>1362</v>
      </c>
      <c r="E821" s="30" t="s">
        <v>217</v>
      </c>
      <c r="F821" s="30"/>
      <c r="G821" s="31"/>
      <c r="H821" s="30">
        <v>382422</v>
      </c>
      <c r="I821" s="30" t="str">
        <f>IF(Table1[[#This Row],[Centre Status]]="Returned","NA",IF(Table1[[#This Row],[SD]]&gt;19000,"Full Payment",IF(Table1[[#This Row],[SD]]&lt;1,"No Payment","Partial Payment")))</f>
        <v>NA</v>
      </c>
      <c r="J821" s="30" t="s">
        <v>1903</v>
      </c>
      <c r="K821" s="32">
        <v>110000</v>
      </c>
      <c r="L821" s="33">
        <f>Q821+R821+U821+Table1[[#This Row],[Farmer Payment]]</f>
        <v>0</v>
      </c>
      <c r="M821" s="30">
        <v>6800</v>
      </c>
      <c r="N821" s="34">
        <v>45419</v>
      </c>
      <c r="O821" s="34" t="s">
        <v>2532</v>
      </c>
      <c r="P821" s="35">
        <f t="shared" si="80"/>
        <v>116800</v>
      </c>
      <c r="Q821" s="33">
        <f>AI821+AV821+CK821+Table1[[#This Row],[FY 25-26]]</f>
        <v>0</v>
      </c>
      <c r="R821" s="36"/>
      <c r="S821" s="37"/>
      <c r="T821" s="38"/>
      <c r="U821" s="39"/>
      <c r="V821" s="39"/>
      <c r="W821" s="40">
        <v>0</v>
      </c>
      <c r="X821" s="40">
        <v>0</v>
      </c>
      <c r="Y821" s="40">
        <v>0</v>
      </c>
      <c r="Z821" s="40">
        <v>0</v>
      </c>
      <c r="AA821" s="40">
        <v>0</v>
      </c>
      <c r="AB821" s="40">
        <v>0</v>
      </c>
      <c r="AC821" s="40">
        <v>0</v>
      </c>
      <c r="AD821" s="40">
        <v>0</v>
      </c>
      <c r="AE821" s="40">
        <v>0</v>
      </c>
      <c r="AF821" s="40">
        <v>0</v>
      </c>
      <c r="AG821" s="40">
        <v>0</v>
      </c>
      <c r="AH821" s="40">
        <v>0</v>
      </c>
      <c r="AI821" s="41">
        <f t="shared" si="81"/>
        <v>0</v>
      </c>
      <c r="AJ821" s="42">
        <v>0</v>
      </c>
      <c r="AK821" s="42">
        <v>0</v>
      </c>
      <c r="AL821" s="42">
        <v>0</v>
      </c>
      <c r="AM821" s="42">
        <v>0</v>
      </c>
      <c r="AN821" s="42">
        <v>0</v>
      </c>
      <c r="AO821" s="42">
        <v>0</v>
      </c>
      <c r="AP821" s="42">
        <v>0</v>
      </c>
      <c r="AQ821" s="42">
        <v>0</v>
      </c>
      <c r="AR821" s="42">
        <v>0</v>
      </c>
      <c r="AS821" s="42">
        <v>0</v>
      </c>
      <c r="AT821" s="42">
        <v>0</v>
      </c>
      <c r="AU821" s="42">
        <v>0</v>
      </c>
      <c r="AV821" s="42">
        <f t="shared" si="82"/>
        <v>0</v>
      </c>
      <c r="AW821" s="42">
        <v>0</v>
      </c>
      <c r="AX821" s="42">
        <v>0</v>
      </c>
      <c r="AY821" s="42">
        <v>0</v>
      </c>
      <c r="AZ821" s="42">
        <v>0</v>
      </c>
      <c r="BA821" s="42">
        <v>0</v>
      </c>
      <c r="BB821" s="42">
        <v>0</v>
      </c>
      <c r="BC821" s="42">
        <v>0</v>
      </c>
      <c r="BD821" s="42">
        <v>0</v>
      </c>
      <c r="BE821" s="42">
        <v>0</v>
      </c>
      <c r="BF821" s="42">
        <v>0</v>
      </c>
      <c r="BG821" s="42">
        <v>0</v>
      </c>
      <c r="BH821" s="42">
        <v>0</v>
      </c>
      <c r="BI821" s="42">
        <v>0</v>
      </c>
      <c r="BJ821" s="42">
        <v>0</v>
      </c>
      <c r="BK821" s="42">
        <v>0</v>
      </c>
      <c r="BL821" s="42">
        <v>0</v>
      </c>
      <c r="BM821" s="42">
        <v>0</v>
      </c>
      <c r="BN821" s="42">
        <v>0</v>
      </c>
      <c r="BO821" s="42">
        <v>0</v>
      </c>
      <c r="BP821" s="42">
        <v>0</v>
      </c>
      <c r="BQ821" s="42">
        <v>0</v>
      </c>
      <c r="BR821" s="42">
        <v>0</v>
      </c>
      <c r="BS821" s="42">
        <v>0</v>
      </c>
      <c r="BT821" s="42">
        <v>0</v>
      </c>
      <c r="BU821" s="42">
        <v>0</v>
      </c>
      <c r="BV821" s="42">
        <v>0</v>
      </c>
      <c r="BW821" s="42">
        <v>0</v>
      </c>
      <c r="BX821" s="42">
        <v>0</v>
      </c>
      <c r="BY821" s="42">
        <v>0</v>
      </c>
      <c r="BZ821" s="42">
        <v>0</v>
      </c>
      <c r="CA821" s="42">
        <v>0</v>
      </c>
      <c r="CB821" s="42">
        <v>0</v>
      </c>
      <c r="CC821" s="42">
        <v>0</v>
      </c>
      <c r="CD821" s="42">
        <v>0</v>
      </c>
      <c r="CE821" s="42">
        <v>0</v>
      </c>
      <c r="CF821" s="42">
        <v>0</v>
      </c>
      <c r="CG821" s="42">
        <v>0</v>
      </c>
      <c r="CH821" s="42">
        <v>0</v>
      </c>
      <c r="CI821" s="42">
        <v>0</v>
      </c>
      <c r="CJ821" s="42">
        <v>0</v>
      </c>
      <c r="CK821" s="43">
        <f t="shared" si="79"/>
        <v>0</v>
      </c>
      <c r="CL821" s="66"/>
      <c r="CM821" s="66">
        <v>0</v>
      </c>
      <c r="CN821" s="66">
        <v>0</v>
      </c>
      <c r="CO821" s="66">
        <v>0</v>
      </c>
      <c r="CP821" s="66">
        <v>0</v>
      </c>
      <c r="CQ821" s="66">
        <v>0</v>
      </c>
      <c r="CR821" s="66">
        <v>0</v>
      </c>
      <c r="CS821" s="66">
        <v>0</v>
      </c>
      <c r="CT821" s="66">
        <v>0</v>
      </c>
      <c r="CU821" s="66">
        <v>0</v>
      </c>
      <c r="CV821" s="66">
        <v>0</v>
      </c>
      <c r="CW821" s="66">
        <v>0</v>
      </c>
      <c r="CX821" s="66">
        <v>0</v>
      </c>
      <c r="CY821" s="66">
        <v>0</v>
      </c>
      <c r="CZ821" s="66">
        <v>0</v>
      </c>
      <c r="DA821" s="66"/>
      <c r="DB821" s="66"/>
      <c r="DC821" s="66"/>
      <c r="DD821" s="66"/>
      <c r="DE821" s="66"/>
      <c r="DF821" s="66"/>
      <c r="DG821" s="66"/>
      <c r="DH821" s="66"/>
      <c r="DI821" s="66"/>
      <c r="DJ821" s="66"/>
      <c r="DK821" s="66">
        <f>SUM(Table1[[#This Row],[01-03 Apr]:[Mar-26]])</f>
        <v>0</v>
      </c>
    </row>
    <row r="822" spans="1:115" hidden="1" x14ac:dyDescent="0.2">
      <c r="A822" s="28" t="s">
        <v>2255</v>
      </c>
      <c r="B822" s="29" t="s">
        <v>1366</v>
      </c>
      <c r="C822" s="29" t="s">
        <v>1367</v>
      </c>
      <c r="D822" s="30" t="s">
        <v>1368</v>
      </c>
      <c r="E822" s="30" t="s">
        <v>85</v>
      </c>
      <c r="F822" s="30"/>
      <c r="G822" s="31"/>
      <c r="H822" s="30">
        <v>385643</v>
      </c>
      <c r="I822" s="30" t="str">
        <f>IF(Table1[[#This Row],[Centre Status]]="Returned","NA",IF(Table1[[#This Row],[SD]]&gt;19000,"Full Payment",IF(Table1[[#This Row],[SD]]&lt;1,"No Payment","Partial Payment")))</f>
        <v>NA</v>
      </c>
      <c r="J822" s="30" t="s">
        <v>1903</v>
      </c>
      <c r="K822" s="32">
        <v>110000</v>
      </c>
      <c r="L822" s="33">
        <f>Q822+R822+U822+Table1[[#This Row],[Farmer Payment]]</f>
        <v>29862.000235156236</v>
      </c>
      <c r="M822" s="30">
        <v>20000</v>
      </c>
      <c r="N822" s="34">
        <v>45554</v>
      </c>
      <c r="O822" s="34" t="s">
        <v>2425</v>
      </c>
      <c r="P822" s="35">
        <f t="shared" si="80"/>
        <v>100137.99976484376</v>
      </c>
      <c r="Q822" s="33">
        <f>AI822+AV822+CK822+Table1[[#This Row],[FY 25-26]]</f>
        <v>9862.0002351562362</v>
      </c>
      <c r="R822" s="36">
        <v>20000</v>
      </c>
      <c r="S822" s="37" t="s">
        <v>2584</v>
      </c>
      <c r="T822" s="38">
        <v>45337</v>
      </c>
      <c r="U822" s="39"/>
      <c r="V822" s="39"/>
      <c r="W822" s="40">
        <v>0</v>
      </c>
      <c r="X822" s="40">
        <v>0</v>
      </c>
      <c r="Y822" s="40">
        <v>0</v>
      </c>
      <c r="Z822" s="40">
        <v>0</v>
      </c>
      <c r="AA822" s="40">
        <v>0</v>
      </c>
      <c r="AB822" s="40">
        <v>0</v>
      </c>
      <c r="AC822" s="40">
        <v>0</v>
      </c>
      <c r="AD822" s="40">
        <v>0</v>
      </c>
      <c r="AE822" s="40">
        <v>0</v>
      </c>
      <c r="AF822" s="40">
        <v>0</v>
      </c>
      <c r="AG822" s="40">
        <v>0</v>
      </c>
      <c r="AH822" s="40">
        <v>0</v>
      </c>
      <c r="AI822" s="41">
        <f t="shared" si="81"/>
        <v>0</v>
      </c>
      <c r="AJ822" s="42">
        <v>0</v>
      </c>
      <c r="AK822" s="42">
        <v>0</v>
      </c>
      <c r="AL822" s="42">
        <v>0</v>
      </c>
      <c r="AM822" s="42">
        <v>0</v>
      </c>
      <c r="AN822" s="42">
        <v>0</v>
      </c>
      <c r="AO822" s="42">
        <v>0</v>
      </c>
      <c r="AP822" s="42">
        <v>0</v>
      </c>
      <c r="AQ822" s="42">
        <v>0</v>
      </c>
      <c r="AR822" s="42">
        <v>0</v>
      </c>
      <c r="AS822" s="42">
        <v>0</v>
      </c>
      <c r="AT822" s="42">
        <v>0</v>
      </c>
      <c r="AU822" s="42">
        <v>0</v>
      </c>
      <c r="AV822" s="42">
        <f t="shared" si="82"/>
        <v>0</v>
      </c>
      <c r="AW822" s="42">
        <v>2650.0002351562366</v>
      </c>
      <c r="AX822" s="42">
        <v>1861</v>
      </c>
      <c r="AY822" s="42">
        <v>1861</v>
      </c>
      <c r="AZ822" s="42">
        <v>1861</v>
      </c>
      <c r="BA822" s="42">
        <v>1629</v>
      </c>
      <c r="BB822" s="42">
        <v>0</v>
      </c>
      <c r="BC822" s="42">
        <v>0</v>
      </c>
      <c r="BD822" s="42">
        <v>0</v>
      </c>
      <c r="BE822" s="42">
        <v>0</v>
      </c>
      <c r="BF822" s="42">
        <v>0</v>
      </c>
      <c r="BG822" s="42">
        <v>0</v>
      </c>
      <c r="BH822" s="42">
        <v>0</v>
      </c>
      <c r="BI822" s="42">
        <v>0</v>
      </c>
      <c r="BJ822" s="42">
        <v>0</v>
      </c>
      <c r="BK822" s="42">
        <v>0</v>
      </c>
      <c r="BL822" s="42">
        <v>0</v>
      </c>
      <c r="BM822" s="42">
        <v>0</v>
      </c>
      <c r="BN822" s="42">
        <v>0</v>
      </c>
      <c r="BO822" s="42">
        <v>0</v>
      </c>
      <c r="BP822" s="42">
        <v>0</v>
      </c>
      <c r="BQ822" s="42">
        <v>0</v>
      </c>
      <c r="BR822" s="42">
        <v>0</v>
      </c>
      <c r="BS822" s="42">
        <v>0</v>
      </c>
      <c r="BT822" s="42">
        <v>0</v>
      </c>
      <c r="BU822" s="42">
        <v>0</v>
      </c>
      <c r="BV822" s="42">
        <v>0</v>
      </c>
      <c r="BW822" s="42">
        <v>0</v>
      </c>
      <c r="BX822" s="42">
        <v>0</v>
      </c>
      <c r="BY822" s="42">
        <v>0</v>
      </c>
      <c r="BZ822" s="42">
        <v>0</v>
      </c>
      <c r="CA822" s="42">
        <v>0</v>
      </c>
      <c r="CB822" s="42">
        <v>0</v>
      </c>
      <c r="CC822" s="42">
        <v>0</v>
      </c>
      <c r="CD822" s="42">
        <v>0</v>
      </c>
      <c r="CE822" s="42">
        <v>0</v>
      </c>
      <c r="CF822" s="42">
        <v>0</v>
      </c>
      <c r="CG822" s="42">
        <v>0</v>
      </c>
      <c r="CH822" s="42">
        <v>0</v>
      </c>
      <c r="CI822" s="42">
        <v>0</v>
      </c>
      <c r="CJ822" s="42">
        <v>0</v>
      </c>
      <c r="CK822" s="43">
        <f t="shared" si="79"/>
        <v>9862.0002351562362</v>
      </c>
      <c r="CL822" s="66"/>
      <c r="CM822" s="66">
        <v>0</v>
      </c>
      <c r="CN822" s="66">
        <v>0</v>
      </c>
      <c r="CO822" s="66">
        <v>0</v>
      </c>
      <c r="CP822" s="66">
        <v>0</v>
      </c>
      <c r="CQ822" s="66">
        <v>0</v>
      </c>
      <c r="CR822" s="66">
        <v>0</v>
      </c>
      <c r="CS822" s="66">
        <v>0</v>
      </c>
      <c r="CT822" s="66">
        <v>0</v>
      </c>
      <c r="CU822" s="66">
        <v>0</v>
      </c>
      <c r="CV822" s="66">
        <v>0</v>
      </c>
      <c r="CW822" s="66">
        <v>0</v>
      </c>
      <c r="CX822" s="66">
        <v>0</v>
      </c>
      <c r="CY822" s="66">
        <v>0</v>
      </c>
      <c r="CZ822" s="66">
        <v>0</v>
      </c>
      <c r="DA822" s="66"/>
      <c r="DB822" s="66"/>
      <c r="DC822" s="66"/>
      <c r="DD822" s="66"/>
      <c r="DE822" s="66"/>
      <c r="DF822" s="66"/>
      <c r="DG822" s="66"/>
      <c r="DH822" s="66"/>
      <c r="DI822" s="66"/>
      <c r="DJ822" s="66"/>
      <c r="DK822" s="66">
        <f>SUM(Table1[[#This Row],[01-03 Apr]:[Mar-26]])</f>
        <v>0</v>
      </c>
    </row>
    <row r="823" spans="1:115" hidden="1" x14ac:dyDescent="0.2">
      <c r="A823" s="28" t="s">
        <v>2255</v>
      </c>
      <c r="B823" s="29" t="s">
        <v>1372</v>
      </c>
      <c r="C823" s="29" t="s">
        <v>3345</v>
      </c>
      <c r="D823" s="30" t="s">
        <v>1373</v>
      </c>
      <c r="E823" s="30" t="s">
        <v>217</v>
      </c>
      <c r="F823" s="30"/>
      <c r="G823" s="31"/>
      <c r="H823" s="30">
        <v>2345662</v>
      </c>
      <c r="I823" s="30" t="str">
        <f>IF(Table1[[#This Row],[Centre Status]]="Returned","NA",IF(Table1[[#This Row],[SD]]&gt;19000,"Full Payment",IF(Table1[[#This Row],[SD]]&lt;1,"No Payment","Partial Payment")))</f>
        <v>NA</v>
      </c>
      <c r="J823" s="30" t="s">
        <v>1903</v>
      </c>
      <c r="K823" s="32">
        <v>110000</v>
      </c>
      <c r="L823" s="33">
        <f>Q823+R823+U823+Table1[[#This Row],[Farmer Payment]]</f>
        <v>0</v>
      </c>
      <c r="M823" s="30"/>
      <c r="N823" s="34"/>
      <c r="O823" s="34"/>
      <c r="P823" s="35">
        <f t="shared" si="80"/>
        <v>110000</v>
      </c>
      <c r="Q823" s="33">
        <f>AI823+AV823+CK823+Table1[[#This Row],[FY 25-26]]</f>
        <v>0</v>
      </c>
      <c r="R823" s="36"/>
      <c r="S823" s="37"/>
      <c r="T823" s="38"/>
      <c r="U823" s="39"/>
      <c r="V823" s="39"/>
      <c r="W823" s="40">
        <v>0</v>
      </c>
      <c r="X823" s="40">
        <v>0</v>
      </c>
      <c r="Y823" s="40">
        <v>0</v>
      </c>
      <c r="Z823" s="40">
        <v>0</v>
      </c>
      <c r="AA823" s="40">
        <v>0</v>
      </c>
      <c r="AB823" s="40">
        <v>0</v>
      </c>
      <c r="AC823" s="40">
        <v>0</v>
      </c>
      <c r="AD823" s="40">
        <v>0</v>
      </c>
      <c r="AE823" s="40">
        <v>0</v>
      </c>
      <c r="AF823" s="40">
        <v>0</v>
      </c>
      <c r="AG823" s="40">
        <v>0</v>
      </c>
      <c r="AH823" s="40">
        <v>0</v>
      </c>
      <c r="AI823" s="41">
        <f t="shared" si="81"/>
        <v>0</v>
      </c>
      <c r="AJ823" s="42">
        <v>0</v>
      </c>
      <c r="AK823" s="42">
        <v>0</v>
      </c>
      <c r="AL823" s="42">
        <v>0</v>
      </c>
      <c r="AM823" s="42">
        <v>0</v>
      </c>
      <c r="AN823" s="42">
        <v>0</v>
      </c>
      <c r="AO823" s="42">
        <v>0</v>
      </c>
      <c r="AP823" s="42">
        <v>0</v>
      </c>
      <c r="AQ823" s="42">
        <v>0</v>
      </c>
      <c r="AR823" s="42">
        <v>0</v>
      </c>
      <c r="AS823" s="42">
        <v>0</v>
      </c>
      <c r="AT823" s="42">
        <v>0</v>
      </c>
      <c r="AU823" s="42">
        <v>0</v>
      </c>
      <c r="AV823" s="42">
        <f t="shared" si="82"/>
        <v>0</v>
      </c>
      <c r="AW823" s="42">
        <v>0</v>
      </c>
      <c r="AX823" s="42">
        <v>0</v>
      </c>
      <c r="AY823" s="42">
        <v>0</v>
      </c>
      <c r="AZ823" s="42">
        <v>0</v>
      </c>
      <c r="BA823" s="42">
        <v>0</v>
      </c>
      <c r="BB823" s="42">
        <v>0</v>
      </c>
      <c r="BC823" s="42">
        <v>0</v>
      </c>
      <c r="BD823" s="42">
        <v>0</v>
      </c>
      <c r="BE823" s="42">
        <v>0</v>
      </c>
      <c r="BF823" s="42">
        <v>0</v>
      </c>
      <c r="BG823" s="42">
        <v>0</v>
      </c>
      <c r="BH823" s="42">
        <v>0</v>
      </c>
      <c r="BI823" s="42">
        <v>0</v>
      </c>
      <c r="BJ823" s="42">
        <v>0</v>
      </c>
      <c r="BK823" s="42">
        <v>0</v>
      </c>
      <c r="BL823" s="42">
        <v>0</v>
      </c>
      <c r="BM823" s="42">
        <v>0</v>
      </c>
      <c r="BN823" s="42">
        <v>0</v>
      </c>
      <c r="BO823" s="42">
        <v>0</v>
      </c>
      <c r="BP823" s="42">
        <v>0</v>
      </c>
      <c r="BQ823" s="42">
        <v>0</v>
      </c>
      <c r="BR823" s="42">
        <v>0</v>
      </c>
      <c r="BS823" s="42">
        <v>0</v>
      </c>
      <c r="BT823" s="42">
        <v>0</v>
      </c>
      <c r="BU823" s="42">
        <v>0</v>
      </c>
      <c r="BV823" s="42">
        <v>0</v>
      </c>
      <c r="BW823" s="42">
        <v>0</v>
      </c>
      <c r="BX823" s="42">
        <v>0</v>
      </c>
      <c r="BY823" s="42">
        <v>0</v>
      </c>
      <c r="BZ823" s="42">
        <v>0</v>
      </c>
      <c r="CA823" s="42">
        <v>0</v>
      </c>
      <c r="CB823" s="42">
        <v>0</v>
      </c>
      <c r="CC823" s="42">
        <v>0</v>
      </c>
      <c r="CD823" s="42">
        <v>0</v>
      </c>
      <c r="CE823" s="42">
        <v>0</v>
      </c>
      <c r="CF823" s="42">
        <v>0</v>
      </c>
      <c r="CG823" s="42">
        <v>0</v>
      </c>
      <c r="CH823" s="42">
        <v>0</v>
      </c>
      <c r="CI823" s="42">
        <v>0</v>
      </c>
      <c r="CJ823" s="42">
        <v>0</v>
      </c>
      <c r="CK823" s="43">
        <f t="shared" si="79"/>
        <v>0</v>
      </c>
      <c r="CL823" s="66"/>
      <c r="CM823" s="66">
        <v>0</v>
      </c>
      <c r="CN823" s="66">
        <v>0</v>
      </c>
      <c r="CO823" s="66">
        <v>0</v>
      </c>
      <c r="CP823" s="66">
        <v>0</v>
      </c>
      <c r="CQ823" s="66">
        <v>0</v>
      </c>
      <c r="CR823" s="66">
        <v>0</v>
      </c>
      <c r="CS823" s="66">
        <v>0</v>
      </c>
      <c r="CT823" s="66">
        <v>0</v>
      </c>
      <c r="CU823" s="66">
        <v>0</v>
      </c>
      <c r="CV823" s="66">
        <v>0</v>
      </c>
      <c r="CW823" s="66">
        <v>0</v>
      </c>
      <c r="CX823" s="66">
        <v>0</v>
      </c>
      <c r="CY823" s="66">
        <v>0</v>
      </c>
      <c r="CZ823" s="66">
        <v>0</v>
      </c>
      <c r="DA823" s="66"/>
      <c r="DB823" s="66"/>
      <c r="DC823" s="66"/>
      <c r="DD823" s="66"/>
      <c r="DE823" s="66"/>
      <c r="DF823" s="66"/>
      <c r="DG823" s="66"/>
      <c r="DH823" s="66"/>
      <c r="DI823" s="66"/>
      <c r="DJ823" s="66"/>
      <c r="DK823" s="66">
        <f>SUM(Table1[[#This Row],[01-03 Apr]:[Mar-26]])</f>
        <v>0</v>
      </c>
    </row>
    <row r="824" spans="1:115" hidden="1" x14ac:dyDescent="0.2">
      <c r="A824" s="28" t="s">
        <v>2255</v>
      </c>
      <c r="B824" s="29" t="s">
        <v>1421</v>
      </c>
      <c r="C824" s="29" t="s">
        <v>1422</v>
      </c>
      <c r="D824" s="30" t="s">
        <v>1423</v>
      </c>
      <c r="E824" s="30" t="s">
        <v>85</v>
      </c>
      <c r="F824" s="30"/>
      <c r="G824" s="31"/>
      <c r="H824" s="30">
        <v>389171</v>
      </c>
      <c r="I824" s="30" t="str">
        <f>IF(Table1[[#This Row],[Centre Status]]="Returned","NA",IF(Table1[[#This Row],[SD]]&gt;19000,"Full Payment",IF(Table1[[#This Row],[SD]]&lt;1,"No Payment","Partial Payment")))</f>
        <v>NA</v>
      </c>
      <c r="J824" s="30" t="s">
        <v>1903</v>
      </c>
      <c r="K824" s="32">
        <v>110000</v>
      </c>
      <c r="L824" s="33">
        <f>Q824+R824+U824+Table1[[#This Row],[Farmer Payment]]</f>
        <v>23722</v>
      </c>
      <c r="M824" s="30">
        <v>20000</v>
      </c>
      <c r="N824" s="34">
        <v>45497</v>
      </c>
      <c r="O824" s="34" t="s">
        <v>2529</v>
      </c>
      <c r="P824" s="35">
        <f t="shared" si="80"/>
        <v>106278</v>
      </c>
      <c r="Q824" s="33">
        <f>AI824+AV824+CK824+Table1[[#This Row],[FY 25-26]]</f>
        <v>3722</v>
      </c>
      <c r="R824" s="36">
        <v>20000</v>
      </c>
      <c r="S824" s="37" t="s">
        <v>2348</v>
      </c>
      <c r="T824" s="38">
        <v>45287</v>
      </c>
      <c r="U824" s="39"/>
      <c r="V824" s="39"/>
      <c r="W824" s="40">
        <v>0</v>
      </c>
      <c r="X824" s="40">
        <v>0</v>
      </c>
      <c r="Y824" s="40">
        <v>0</v>
      </c>
      <c r="Z824" s="40">
        <v>0</v>
      </c>
      <c r="AA824" s="40">
        <v>0</v>
      </c>
      <c r="AB824" s="40">
        <v>0</v>
      </c>
      <c r="AC824" s="40">
        <v>0</v>
      </c>
      <c r="AD824" s="40">
        <v>0</v>
      </c>
      <c r="AE824" s="40">
        <v>0</v>
      </c>
      <c r="AF824" s="40">
        <v>0</v>
      </c>
      <c r="AG824" s="40">
        <v>0</v>
      </c>
      <c r="AH824" s="40">
        <v>0</v>
      </c>
      <c r="AI824" s="41">
        <f t="shared" si="81"/>
        <v>0</v>
      </c>
      <c r="AJ824" s="42">
        <v>0</v>
      </c>
      <c r="AK824" s="42">
        <v>0</v>
      </c>
      <c r="AL824" s="42">
        <v>0</v>
      </c>
      <c r="AM824" s="42">
        <v>0</v>
      </c>
      <c r="AN824" s="42">
        <v>0</v>
      </c>
      <c r="AO824" s="42">
        <v>0</v>
      </c>
      <c r="AP824" s="42">
        <v>0</v>
      </c>
      <c r="AQ824" s="42">
        <v>0</v>
      </c>
      <c r="AR824" s="42">
        <v>0</v>
      </c>
      <c r="AS824" s="42">
        <v>0</v>
      </c>
      <c r="AT824" s="42">
        <v>0</v>
      </c>
      <c r="AU824" s="42">
        <v>0</v>
      </c>
      <c r="AV824" s="42">
        <f t="shared" si="82"/>
        <v>0</v>
      </c>
      <c r="AW824" s="42">
        <v>1861</v>
      </c>
      <c r="AX824" s="42">
        <v>1861</v>
      </c>
      <c r="AY824" s="42">
        <v>0</v>
      </c>
      <c r="AZ824" s="42">
        <v>0</v>
      </c>
      <c r="BA824" s="42">
        <v>0</v>
      </c>
      <c r="BB824" s="42">
        <v>0</v>
      </c>
      <c r="BC824" s="42">
        <v>0</v>
      </c>
      <c r="BD824" s="42">
        <v>0</v>
      </c>
      <c r="BE824" s="42">
        <v>0</v>
      </c>
      <c r="BF824" s="42">
        <v>0</v>
      </c>
      <c r="BG824" s="42">
        <v>0</v>
      </c>
      <c r="BH824" s="42">
        <v>0</v>
      </c>
      <c r="BI824" s="42">
        <v>0</v>
      </c>
      <c r="BJ824" s="42">
        <v>0</v>
      </c>
      <c r="BK824" s="42">
        <v>0</v>
      </c>
      <c r="BL824" s="42">
        <v>0</v>
      </c>
      <c r="BM824" s="42">
        <v>0</v>
      </c>
      <c r="BN824" s="42">
        <v>0</v>
      </c>
      <c r="BO824" s="42">
        <v>0</v>
      </c>
      <c r="BP824" s="42">
        <v>0</v>
      </c>
      <c r="BQ824" s="42">
        <v>0</v>
      </c>
      <c r="BR824" s="42">
        <v>0</v>
      </c>
      <c r="BS824" s="42">
        <v>0</v>
      </c>
      <c r="BT824" s="42">
        <v>0</v>
      </c>
      <c r="BU824" s="42">
        <v>0</v>
      </c>
      <c r="BV824" s="42">
        <v>0</v>
      </c>
      <c r="BW824" s="42">
        <v>0</v>
      </c>
      <c r="BX824" s="42">
        <v>0</v>
      </c>
      <c r="BY824" s="42">
        <v>0</v>
      </c>
      <c r="BZ824" s="42">
        <v>0</v>
      </c>
      <c r="CA824" s="42">
        <v>0</v>
      </c>
      <c r="CB824" s="42">
        <v>0</v>
      </c>
      <c r="CC824" s="42">
        <v>0</v>
      </c>
      <c r="CD824" s="42">
        <v>0</v>
      </c>
      <c r="CE824" s="42">
        <v>0</v>
      </c>
      <c r="CF824" s="42">
        <v>0</v>
      </c>
      <c r="CG824" s="42">
        <v>0</v>
      </c>
      <c r="CH824" s="42">
        <v>0</v>
      </c>
      <c r="CI824" s="42">
        <v>0</v>
      </c>
      <c r="CJ824" s="42">
        <v>0</v>
      </c>
      <c r="CK824" s="43">
        <f t="shared" si="79"/>
        <v>3722</v>
      </c>
      <c r="CL824" s="66"/>
      <c r="CM824" s="66">
        <v>0</v>
      </c>
      <c r="CN824" s="66">
        <v>0</v>
      </c>
      <c r="CO824" s="66">
        <v>0</v>
      </c>
      <c r="CP824" s="66">
        <v>0</v>
      </c>
      <c r="CQ824" s="66">
        <v>0</v>
      </c>
      <c r="CR824" s="66">
        <v>0</v>
      </c>
      <c r="CS824" s="66">
        <v>0</v>
      </c>
      <c r="CT824" s="66">
        <v>0</v>
      </c>
      <c r="CU824" s="66">
        <v>0</v>
      </c>
      <c r="CV824" s="66">
        <v>0</v>
      </c>
      <c r="CW824" s="66">
        <v>0</v>
      </c>
      <c r="CX824" s="66">
        <v>0</v>
      </c>
      <c r="CY824" s="66">
        <v>0</v>
      </c>
      <c r="CZ824" s="66">
        <v>0</v>
      </c>
      <c r="DA824" s="66"/>
      <c r="DB824" s="66"/>
      <c r="DC824" s="66"/>
      <c r="DD824" s="66"/>
      <c r="DE824" s="66"/>
      <c r="DF824" s="66"/>
      <c r="DG824" s="66"/>
      <c r="DH824" s="66"/>
      <c r="DI824" s="66"/>
      <c r="DJ824" s="66"/>
      <c r="DK824" s="66">
        <f>SUM(Table1[[#This Row],[01-03 Apr]:[Mar-26]])</f>
        <v>0</v>
      </c>
    </row>
    <row r="825" spans="1:115" hidden="1" x14ac:dyDescent="0.2">
      <c r="A825" s="28" t="s">
        <v>2255</v>
      </c>
      <c r="B825" s="29" t="s">
        <v>1424</v>
      </c>
      <c r="C825" s="29" t="s">
        <v>1425</v>
      </c>
      <c r="D825" s="30" t="s">
        <v>1426</v>
      </c>
      <c r="E825" s="30" t="s">
        <v>85</v>
      </c>
      <c r="F825" s="30"/>
      <c r="G825" s="31"/>
      <c r="H825" s="30">
        <v>273837</v>
      </c>
      <c r="I825" s="30" t="str">
        <f>IF(Table1[[#This Row],[Centre Status]]="Returned","NA",IF(Table1[[#This Row],[SD]]&gt;19000,"Full Payment",IF(Table1[[#This Row],[SD]]&lt;1,"No Payment","Partial Payment")))</f>
        <v>NA</v>
      </c>
      <c r="J825" s="30" t="s">
        <v>1903</v>
      </c>
      <c r="K825" s="32">
        <v>110000</v>
      </c>
      <c r="L825" s="33">
        <f>Q825+R825+U825+Table1[[#This Row],[Farmer Payment]]</f>
        <v>23353</v>
      </c>
      <c r="M825" s="30">
        <v>20000</v>
      </c>
      <c r="N825" s="34">
        <v>45497</v>
      </c>
      <c r="O825" s="34" t="s">
        <v>2528</v>
      </c>
      <c r="P825" s="35">
        <f t="shared" si="80"/>
        <v>106647</v>
      </c>
      <c r="Q825" s="33">
        <f>AI825+AV825+CK825+Table1[[#This Row],[FY 25-26]]</f>
        <v>3353</v>
      </c>
      <c r="R825" s="36">
        <v>20000</v>
      </c>
      <c r="S825" s="37" t="s">
        <v>90</v>
      </c>
      <c r="T825" s="38">
        <v>45248</v>
      </c>
      <c r="U825" s="39"/>
      <c r="V825" s="39"/>
      <c r="W825" s="40">
        <v>0</v>
      </c>
      <c r="X825" s="40">
        <v>0</v>
      </c>
      <c r="Y825" s="40">
        <v>0</v>
      </c>
      <c r="Z825" s="40">
        <v>0</v>
      </c>
      <c r="AA825" s="40">
        <v>0</v>
      </c>
      <c r="AB825" s="40">
        <v>0</v>
      </c>
      <c r="AC825" s="40">
        <v>0</v>
      </c>
      <c r="AD825" s="40">
        <v>0</v>
      </c>
      <c r="AE825" s="40">
        <v>0</v>
      </c>
      <c r="AF825" s="40">
        <v>0</v>
      </c>
      <c r="AG825" s="40">
        <v>0</v>
      </c>
      <c r="AH825" s="40">
        <v>0</v>
      </c>
      <c r="AI825" s="41">
        <f t="shared" si="81"/>
        <v>0</v>
      </c>
      <c r="AJ825" s="42">
        <v>0</v>
      </c>
      <c r="AK825" s="42">
        <v>0</v>
      </c>
      <c r="AL825" s="42">
        <v>0</v>
      </c>
      <c r="AM825" s="42">
        <v>0</v>
      </c>
      <c r="AN825" s="42">
        <v>0</v>
      </c>
      <c r="AO825" s="42">
        <v>0</v>
      </c>
      <c r="AP825" s="42">
        <v>0</v>
      </c>
      <c r="AQ825" s="42">
        <v>0</v>
      </c>
      <c r="AR825" s="42">
        <v>0</v>
      </c>
      <c r="AS825" s="42">
        <v>0</v>
      </c>
      <c r="AT825" s="42">
        <v>0</v>
      </c>
      <c r="AU825" s="42">
        <v>0</v>
      </c>
      <c r="AV825" s="42">
        <f t="shared" si="82"/>
        <v>0</v>
      </c>
      <c r="AW825" s="42">
        <v>1861</v>
      </c>
      <c r="AX825" s="42">
        <v>1492</v>
      </c>
      <c r="AY825" s="42">
        <v>0</v>
      </c>
      <c r="AZ825" s="42">
        <v>0</v>
      </c>
      <c r="BA825" s="42">
        <v>0</v>
      </c>
      <c r="BB825" s="42">
        <v>0</v>
      </c>
      <c r="BC825" s="42">
        <v>0</v>
      </c>
      <c r="BD825" s="42">
        <v>0</v>
      </c>
      <c r="BE825" s="42">
        <v>0</v>
      </c>
      <c r="BF825" s="42">
        <v>0</v>
      </c>
      <c r="BG825" s="42">
        <v>0</v>
      </c>
      <c r="BH825" s="42">
        <v>0</v>
      </c>
      <c r="BI825" s="42">
        <v>0</v>
      </c>
      <c r="BJ825" s="42">
        <v>0</v>
      </c>
      <c r="BK825" s="42">
        <v>0</v>
      </c>
      <c r="BL825" s="42">
        <v>0</v>
      </c>
      <c r="BM825" s="42">
        <v>0</v>
      </c>
      <c r="BN825" s="42">
        <v>0</v>
      </c>
      <c r="BO825" s="42">
        <v>0</v>
      </c>
      <c r="BP825" s="42">
        <v>0</v>
      </c>
      <c r="BQ825" s="42">
        <v>0</v>
      </c>
      <c r="BR825" s="42">
        <v>0</v>
      </c>
      <c r="BS825" s="42">
        <v>0</v>
      </c>
      <c r="BT825" s="42">
        <v>0</v>
      </c>
      <c r="BU825" s="42">
        <v>0</v>
      </c>
      <c r="BV825" s="42">
        <v>0</v>
      </c>
      <c r="BW825" s="42">
        <v>0</v>
      </c>
      <c r="BX825" s="42">
        <v>0</v>
      </c>
      <c r="BY825" s="42">
        <v>0</v>
      </c>
      <c r="BZ825" s="42">
        <v>0</v>
      </c>
      <c r="CA825" s="42">
        <v>0</v>
      </c>
      <c r="CB825" s="42">
        <v>0</v>
      </c>
      <c r="CC825" s="42">
        <v>0</v>
      </c>
      <c r="CD825" s="42">
        <v>0</v>
      </c>
      <c r="CE825" s="42">
        <v>0</v>
      </c>
      <c r="CF825" s="42">
        <v>0</v>
      </c>
      <c r="CG825" s="42">
        <v>0</v>
      </c>
      <c r="CH825" s="42">
        <v>0</v>
      </c>
      <c r="CI825" s="42">
        <v>0</v>
      </c>
      <c r="CJ825" s="42">
        <v>0</v>
      </c>
      <c r="CK825" s="43">
        <f t="shared" si="79"/>
        <v>3353</v>
      </c>
      <c r="CL825" s="66"/>
      <c r="CM825" s="66">
        <v>0</v>
      </c>
      <c r="CN825" s="66">
        <v>0</v>
      </c>
      <c r="CO825" s="66">
        <v>0</v>
      </c>
      <c r="CP825" s="66">
        <v>0</v>
      </c>
      <c r="CQ825" s="66">
        <v>0</v>
      </c>
      <c r="CR825" s="66">
        <v>0</v>
      </c>
      <c r="CS825" s="66">
        <v>0</v>
      </c>
      <c r="CT825" s="66">
        <v>0</v>
      </c>
      <c r="CU825" s="66">
        <v>0</v>
      </c>
      <c r="CV825" s="66">
        <v>0</v>
      </c>
      <c r="CW825" s="66">
        <v>0</v>
      </c>
      <c r="CX825" s="66">
        <v>0</v>
      </c>
      <c r="CY825" s="66">
        <v>0</v>
      </c>
      <c r="CZ825" s="66">
        <v>0</v>
      </c>
      <c r="DA825" s="66"/>
      <c r="DB825" s="66"/>
      <c r="DC825" s="66"/>
      <c r="DD825" s="66"/>
      <c r="DE825" s="66"/>
      <c r="DF825" s="66"/>
      <c r="DG825" s="66"/>
      <c r="DH825" s="66"/>
      <c r="DI825" s="66"/>
      <c r="DJ825" s="66"/>
      <c r="DK825" s="66">
        <f>SUM(Table1[[#This Row],[01-03 Apr]:[Mar-26]])</f>
        <v>0</v>
      </c>
    </row>
    <row r="826" spans="1:115" hidden="1" x14ac:dyDescent="0.2">
      <c r="A826" s="28" t="s">
        <v>2255</v>
      </c>
      <c r="B826" s="29" t="s">
        <v>1427</v>
      </c>
      <c r="C826" s="29" t="s">
        <v>1428</v>
      </c>
      <c r="D826" s="30" t="s">
        <v>1429</v>
      </c>
      <c r="E826" s="30" t="s">
        <v>85</v>
      </c>
      <c r="F826" s="30"/>
      <c r="G826" s="31"/>
      <c r="H826" s="30">
        <v>277052</v>
      </c>
      <c r="I826" s="30" t="str">
        <f>IF(Table1[[#This Row],[Centre Status]]="Returned","NA",IF(Table1[[#This Row],[SD]]&gt;19000,"Full Payment",IF(Table1[[#This Row],[SD]]&lt;1,"No Payment","Partial Payment")))</f>
        <v>NA</v>
      </c>
      <c r="J826" s="30" t="s">
        <v>1903</v>
      </c>
      <c r="K826" s="32">
        <v>110000</v>
      </c>
      <c r="L826" s="33">
        <f>Q826+R826+U826+Table1[[#This Row],[Farmer Payment]]</f>
        <v>21861</v>
      </c>
      <c r="M826" s="30">
        <v>20000</v>
      </c>
      <c r="N826" s="34">
        <v>45443</v>
      </c>
      <c r="O826" s="34" t="s">
        <v>2457</v>
      </c>
      <c r="P826" s="35">
        <f t="shared" si="80"/>
        <v>108139</v>
      </c>
      <c r="Q826" s="33">
        <f>AI826+AV826+CK826+Table1[[#This Row],[FY 25-26]]</f>
        <v>1861</v>
      </c>
      <c r="R826" s="36">
        <v>20000</v>
      </c>
      <c r="S826" s="37" t="s">
        <v>2578</v>
      </c>
      <c r="T826" s="38">
        <v>45268</v>
      </c>
      <c r="U826" s="39"/>
      <c r="V826" s="39"/>
      <c r="W826" s="40">
        <v>0</v>
      </c>
      <c r="X826" s="40">
        <v>0</v>
      </c>
      <c r="Y826" s="40">
        <v>0</v>
      </c>
      <c r="Z826" s="40">
        <v>0</v>
      </c>
      <c r="AA826" s="40">
        <v>0</v>
      </c>
      <c r="AB826" s="40">
        <v>0</v>
      </c>
      <c r="AC826" s="40">
        <v>0</v>
      </c>
      <c r="AD826" s="40">
        <v>0</v>
      </c>
      <c r="AE826" s="40">
        <v>0</v>
      </c>
      <c r="AF826" s="40">
        <v>0</v>
      </c>
      <c r="AG826" s="40">
        <v>0</v>
      </c>
      <c r="AH826" s="40">
        <v>0</v>
      </c>
      <c r="AI826" s="41">
        <f t="shared" si="81"/>
        <v>0</v>
      </c>
      <c r="AJ826" s="42">
        <v>0</v>
      </c>
      <c r="AK826" s="42">
        <v>0</v>
      </c>
      <c r="AL826" s="42">
        <v>0</v>
      </c>
      <c r="AM826" s="42">
        <v>0</v>
      </c>
      <c r="AN826" s="42">
        <v>0</v>
      </c>
      <c r="AO826" s="42">
        <v>0</v>
      </c>
      <c r="AP826" s="42">
        <v>0</v>
      </c>
      <c r="AQ826" s="42">
        <v>0</v>
      </c>
      <c r="AR826" s="42">
        <v>0</v>
      </c>
      <c r="AS826" s="42">
        <v>0</v>
      </c>
      <c r="AT826" s="42">
        <v>0</v>
      </c>
      <c r="AU826" s="42">
        <v>0</v>
      </c>
      <c r="AV826" s="42">
        <f t="shared" si="82"/>
        <v>0</v>
      </c>
      <c r="AW826" s="42">
        <v>1861</v>
      </c>
      <c r="AX826" s="42">
        <v>0</v>
      </c>
      <c r="AY826" s="42">
        <v>0</v>
      </c>
      <c r="AZ826" s="42">
        <v>0</v>
      </c>
      <c r="BA826" s="42">
        <v>0</v>
      </c>
      <c r="BB826" s="42">
        <v>0</v>
      </c>
      <c r="BC826" s="42">
        <v>0</v>
      </c>
      <c r="BD826" s="42">
        <v>0</v>
      </c>
      <c r="BE826" s="42">
        <v>0</v>
      </c>
      <c r="BF826" s="42">
        <v>0</v>
      </c>
      <c r="BG826" s="42">
        <v>0</v>
      </c>
      <c r="BH826" s="42">
        <v>0</v>
      </c>
      <c r="BI826" s="42">
        <v>0</v>
      </c>
      <c r="BJ826" s="42">
        <v>0</v>
      </c>
      <c r="BK826" s="42">
        <v>0</v>
      </c>
      <c r="BL826" s="42">
        <v>0</v>
      </c>
      <c r="BM826" s="42">
        <v>0</v>
      </c>
      <c r="BN826" s="42">
        <v>0</v>
      </c>
      <c r="BO826" s="42">
        <v>0</v>
      </c>
      <c r="BP826" s="42">
        <v>0</v>
      </c>
      <c r="BQ826" s="42">
        <v>0</v>
      </c>
      <c r="BR826" s="42">
        <v>0</v>
      </c>
      <c r="BS826" s="42">
        <v>0</v>
      </c>
      <c r="BT826" s="42">
        <v>0</v>
      </c>
      <c r="BU826" s="42">
        <v>0</v>
      </c>
      <c r="BV826" s="42">
        <v>0</v>
      </c>
      <c r="BW826" s="42">
        <v>0</v>
      </c>
      <c r="BX826" s="42">
        <v>0</v>
      </c>
      <c r="BY826" s="42">
        <v>0</v>
      </c>
      <c r="BZ826" s="42">
        <v>0</v>
      </c>
      <c r="CA826" s="42">
        <v>0</v>
      </c>
      <c r="CB826" s="42">
        <v>0</v>
      </c>
      <c r="CC826" s="42">
        <v>0</v>
      </c>
      <c r="CD826" s="42">
        <v>0</v>
      </c>
      <c r="CE826" s="42">
        <v>0</v>
      </c>
      <c r="CF826" s="42">
        <v>0</v>
      </c>
      <c r="CG826" s="42">
        <v>0</v>
      </c>
      <c r="CH826" s="42">
        <v>0</v>
      </c>
      <c r="CI826" s="42">
        <v>0</v>
      </c>
      <c r="CJ826" s="42">
        <v>0</v>
      </c>
      <c r="CK826" s="43">
        <f t="shared" si="79"/>
        <v>1861</v>
      </c>
      <c r="CL826" s="66"/>
      <c r="CM826" s="66">
        <v>0</v>
      </c>
      <c r="CN826" s="66">
        <v>0</v>
      </c>
      <c r="CO826" s="66">
        <v>0</v>
      </c>
      <c r="CP826" s="66">
        <v>0</v>
      </c>
      <c r="CQ826" s="66">
        <v>0</v>
      </c>
      <c r="CR826" s="66">
        <v>0</v>
      </c>
      <c r="CS826" s="66">
        <v>0</v>
      </c>
      <c r="CT826" s="66">
        <v>0</v>
      </c>
      <c r="CU826" s="66">
        <v>0</v>
      </c>
      <c r="CV826" s="66">
        <v>0</v>
      </c>
      <c r="CW826" s="66">
        <v>0</v>
      </c>
      <c r="CX826" s="66">
        <v>0</v>
      </c>
      <c r="CY826" s="66">
        <v>0</v>
      </c>
      <c r="CZ826" s="66">
        <v>0</v>
      </c>
      <c r="DA826" s="66"/>
      <c r="DB826" s="66"/>
      <c r="DC826" s="66"/>
      <c r="DD826" s="66"/>
      <c r="DE826" s="66"/>
      <c r="DF826" s="66"/>
      <c r="DG826" s="66"/>
      <c r="DH826" s="66"/>
      <c r="DI826" s="66"/>
      <c r="DJ826" s="66"/>
      <c r="DK826" s="66">
        <f>SUM(Table1[[#This Row],[01-03 Apr]:[Mar-26]])</f>
        <v>0</v>
      </c>
    </row>
    <row r="827" spans="1:115" hidden="1" x14ac:dyDescent="0.2">
      <c r="A827" s="28" t="s">
        <v>2255</v>
      </c>
      <c r="B827" s="29" t="s">
        <v>1430</v>
      </c>
      <c r="C827" s="29" t="s">
        <v>1431</v>
      </c>
      <c r="D827" s="30" t="s">
        <v>1432</v>
      </c>
      <c r="E827" s="30" t="s">
        <v>85</v>
      </c>
      <c r="F827" s="30"/>
      <c r="G827" s="31"/>
      <c r="H827" s="30">
        <v>277045</v>
      </c>
      <c r="I827" s="30" t="str">
        <f>IF(Table1[[#This Row],[Centre Status]]="Returned","NA",IF(Table1[[#This Row],[SD]]&gt;19000,"Full Payment",IF(Table1[[#This Row],[SD]]&lt;1,"No Payment","Partial Payment")))</f>
        <v>NA</v>
      </c>
      <c r="J827" s="30" t="s">
        <v>1903</v>
      </c>
      <c r="K827" s="32">
        <v>110000</v>
      </c>
      <c r="L827" s="33">
        <f>Q827+R827+U827+Table1[[#This Row],[Farmer Payment]]</f>
        <v>21591</v>
      </c>
      <c r="M827" s="30">
        <v>20000</v>
      </c>
      <c r="N827" s="34">
        <v>45491</v>
      </c>
      <c r="O827" s="34" t="s">
        <v>2457</v>
      </c>
      <c r="P827" s="35">
        <f t="shared" si="80"/>
        <v>108409</v>
      </c>
      <c r="Q827" s="33">
        <f>AI827+AV827+CK827+Table1[[#This Row],[FY 25-26]]</f>
        <v>1591</v>
      </c>
      <c r="R827" s="36">
        <v>20000</v>
      </c>
      <c r="S827" s="37" t="s">
        <v>2401</v>
      </c>
      <c r="T827" s="38">
        <v>45278</v>
      </c>
      <c r="U827" s="39"/>
      <c r="V827" s="39"/>
      <c r="W827" s="40">
        <v>0</v>
      </c>
      <c r="X827" s="40">
        <v>0</v>
      </c>
      <c r="Y827" s="40">
        <v>0</v>
      </c>
      <c r="Z827" s="40">
        <v>0</v>
      </c>
      <c r="AA827" s="40">
        <v>0</v>
      </c>
      <c r="AB827" s="40">
        <v>0</v>
      </c>
      <c r="AC827" s="40">
        <v>0</v>
      </c>
      <c r="AD827" s="40">
        <v>0</v>
      </c>
      <c r="AE827" s="40">
        <v>0</v>
      </c>
      <c r="AF827" s="40">
        <v>0</v>
      </c>
      <c r="AG827" s="40">
        <v>0</v>
      </c>
      <c r="AH827" s="40">
        <v>0</v>
      </c>
      <c r="AI827" s="41">
        <f t="shared" si="81"/>
        <v>0</v>
      </c>
      <c r="AJ827" s="42">
        <v>0</v>
      </c>
      <c r="AK827" s="42">
        <v>0</v>
      </c>
      <c r="AL827" s="42">
        <v>0</v>
      </c>
      <c r="AM827" s="42">
        <v>0</v>
      </c>
      <c r="AN827" s="42">
        <v>0</v>
      </c>
      <c r="AO827" s="42">
        <v>0</v>
      </c>
      <c r="AP827" s="42">
        <v>0</v>
      </c>
      <c r="AQ827" s="42">
        <v>0</v>
      </c>
      <c r="AR827" s="42">
        <v>0</v>
      </c>
      <c r="AS827" s="42">
        <v>0</v>
      </c>
      <c r="AT827" s="42">
        <v>0</v>
      </c>
      <c r="AU827" s="42">
        <v>0</v>
      </c>
      <c r="AV827" s="42">
        <f t="shared" si="82"/>
        <v>0</v>
      </c>
      <c r="AW827" s="42">
        <v>1591</v>
      </c>
      <c r="AX827" s="42">
        <v>0</v>
      </c>
      <c r="AY827" s="42">
        <v>0</v>
      </c>
      <c r="AZ827" s="42">
        <v>0</v>
      </c>
      <c r="BA827" s="42">
        <v>0</v>
      </c>
      <c r="BB827" s="42">
        <v>0</v>
      </c>
      <c r="BC827" s="42">
        <v>0</v>
      </c>
      <c r="BD827" s="42">
        <v>0</v>
      </c>
      <c r="BE827" s="42">
        <v>0</v>
      </c>
      <c r="BF827" s="42">
        <v>0</v>
      </c>
      <c r="BG827" s="42">
        <v>0</v>
      </c>
      <c r="BH827" s="42">
        <v>0</v>
      </c>
      <c r="BI827" s="42">
        <v>0</v>
      </c>
      <c r="BJ827" s="42">
        <v>0</v>
      </c>
      <c r="BK827" s="42">
        <v>0</v>
      </c>
      <c r="BL827" s="42">
        <v>0</v>
      </c>
      <c r="BM827" s="42">
        <v>0</v>
      </c>
      <c r="BN827" s="42">
        <v>0</v>
      </c>
      <c r="BO827" s="42">
        <v>0</v>
      </c>
      <c r="BP827" s="42">
        <v>0</v>
      </c>
      <c r="BQ827" s="42">
        <v>0</v>
      </c>
      <c r="BR827" s="42">
        <v>0</v>
      </c>
      <c r="BS827" s="42">
        <v>0</v>
      </c>
      <c r="BT827" s="42">
        <v>0</v>
      </c>
      <c r="BU827" s="42">
        <v>0</v>
      </c>
      <c r="BV827" s="42">
        <v>0</v>
      </c>
      <c r="BW827" s="42">
        <v>0</v>
      </c>
      <c r="BX827" s="42">
        <v>0</v>
      </c>
      <c r="BY827" s="42">
        <v>0</v>
      </c>
      <c r="BZ827" s="42">
        <v>0</v>
      </c>
      <c r="CA827" s="42">
        <v>0</v>
      </c>
      <c r="CB827" s="42">
        <v>0</v>
      </c>
      <c r="CC827" s="42">
        <v>0</v>
      </c>
      <c r="CD827" s="42">
        <v>0</v>
      </c>
      <c r="CE827" s="42">
        <v>0</v>
      </c>
      <c r="CF827" s="42">
        <v>0</v>
      </c>
      <c r="CG827" s="42">
        <v>0</v>
      </c>
      <c r="CH827" s="42">
        <v>0</v>
      </c>
      <c r="CI827" s="42">
        <v>0</v>
      </c>
      <c r="CJ827" s="42">
        <v>0</v>
      </c>
      <c r="CK827" s="43">
        <f t="shared" si="79"/>
        <v>1591</v>
      </c>
      <c r="CL827" s="66"/>
      <c r="CM827" s="66">
        <v>0</v>
      </c>
      <c r="CN827" s="66">
        <v>0</v>
      </c>
      <c r="CO827" s="66">
        <v>0</v>
      </c>
      <c r="CP827" s="66">
        <v>0</v>
      </c>
      <c r="CQ827" s="66">
        <v>0</v>
      </c>
      <c r="CR827" s="66">
        <v>0</v>
      </c>
      <c r="CS827" s="66">
        <v>0</v>
      </c>
      <c r="CT827" s="66">
        <v>0</v>
      </c>
      <c r="CU827" s="66">
        <v>0</v>
      </c>
      <c r="CV827" s="66">
        <v>0</v>
      </c>
      <c r="CW827" s="66">
        <v>0</v>
      </c>
      <c r="CX827" s="66">
        <v>0</v>
      </c>
      <c r="CY827" s="66">
        <v>0</v>
      </c>
      <c r="CZ827" s="66">
        <v>0</v>
      </c>
      <c r="DA827" s="66"/>
      <c r="DB827" s="66"/>
      <c r="DC827" s="66"/>
      <c r="DD827" s="66"/>
      <c r="DE827" s="66"/>
      <c r="DF827" s="66"/>
      <c r="DG827" s="66"/>
      <c r="DH827" s="66"/>
      <c r="DI827" s="66"/>
      <c r="DJ827" s="66"/>
      <c r="DK827" s="66">
        <f>SUM(Table1[[#This Row],[01-03 Apr]:[Mar-26]])</f>
        <v>0</v>
      </c>
    </row>
    <row r="828" spans="1:115" hidden="1" x14ac:dyDescent="0.2">
      <c r="A828" s="28" t="s">
        <v>2255</v>
      </c>
      <c r="B828" s="29" t="s">
        <v>1433</v>
      </c>
      <c r="C828" s="29" t="s">
        <v>1434</v>
      </c>
      <c r="D828" s="30" t="s">
        <v>1435</v>
      </c>
      <c r="E828" s="30" t="s">
        <v>85</v>
      </c>
      <c r="F828" s="30"/>
      <c r="G828" s="31"/>
      <c r="H828" s="30">
        <v>311432</v>
      </c>
      <c r="I828" s="30" t="str">
        <f>IF(Table1[[#This Row],[Centre Status]]="Returned","NA",IF(Table1[[#This Row],[SD]]&gt;19000,"Full Payment",IF(Table1[[#This Row],[SD]]&lt;1,"No Payment","Partial Payment")))</f>
        <v>NA</v>
      </c>
      <c r="J828" s="30" t="s">
        <v>1903</v>
      </c>
      <c r="K828" s="32">
        <v>110000</v>
      </c>
      <c r="L828" s="33">
        <f>Q828+R828+U828+Table1[[#This Row],[Farmer Payment]]</f>
        <v>16163</v>
      </c>
      <c r="M828" s="30">
        <v>15000</v>
      </c>
      <c r="N828" s="34">
        <v>45554</v>
      </c>
      <c r="O828" s="34" t="s">
        <v>2425</v>
      </c>
      <c r="P828" s="35">
        <f t="shared" si="80"/>
        <v>108837</v>
      </c>
      <c r="Q828" s="33">
        <f>AI828+AV828+CK828+Table1[[#This Row],[FY 25-26]]</f>
        <v>1163</v>
      </c>
      <c r="R828" s="36">
        <v>15000</v>
      </c>
      <c r="S828" s="37" t="s">
        <v>2577</v>
      </c>
      <c r="T828" s="38">
        <v>45262</v>
      </c>
      <c r="U828" s="39"/>
      <c r="V828" s="39"/>
      <c r="W828" s="40">
        <v>0</v>
      </c>
      <c r="X828" s="40">
        <v>0</v>
      </c>
      <c r="Y828" s="40">
        <v>0</v>
      </c>
      <c r="Z828" s="40">
        <v>0</v>
      </c>
      <c r="AA828" s="40">
        <v>0</v>
      </c>
      <c r="AB828" s="40">
        <v>0</v>
      </c>
      <c r="AC828" s="40">
        <v>0</v>
      </c>
      <c r="AD828" s="40">
        <v>0</v>
      </c>
      <c r="AE828" s="40">
        <v>0</v>
      </c>
      <c r="AF828" s="40">
        <v>0</v>
      </c>
      <c r="AG828" s="40">
        <v>0</v>
      </c>
      <c r="AH828" s="40">
        <v>0</v>
      </c>
      <c r="AI828" s="41">
        <f t="shared" si="81"/>
        <v>0</v>
      </c>
      <c r="AJ828" s="42">
        <v>0</v>
      </c>
      <c r="AK828" s="42">
        <v>0</v>
      </c>
      <c r="AL828" s="42">
        <v>0</v>
      </c>
      <c r="AM828" s="42">
        <v>0</v>
      </c>
      <c r="AN828" s="42">
        <v>0</v>
      </c>
      <c r="AO828" s="42">
        <v>0</v>
      </c>
      <c r="AP828" s="42">
        <v>0</v>
      </c>
      <c r="AQ828" s="42">
        <v>0</v>
      </c>
      <c r="AR828" s="42">
        <v>0</v>
      </c>
      <c r="AS828" s="42">
        <v>0</v>
      </c>
      <c r="AT828" s="42">
        <v>0</v>
      </c>
      <c r="AU828" s="42">
        <v>0</v>
      </c>
      <c r="AV828" s="42">
        <f t="shared" si="82"/>
        <v>0</v>
      </c>
      <c r="AW828" s="42">
        <v>1163</v>
      </c>
      <c r="AX828" s="42">
        <v>0</v>
      </c>
      <c r="AY828" s="42">
        <v>0</v>
      </c>
      <c r="AZ828" s="42">
        <v>0</v>
      </c>
      <c r="BA828" s="42">
        <v>0</v>
      </c>
      <c r="BB828" s="42">
        <v>0</v>
      </c>
      <c r="BC828" s="42">
        <v>0</v>
      </c>
      <c r="BD828" s="42">
        <v>0</v>
      </c>
      <c r="BE828" s="42">
        <v>0</v>
      </c>
      <c r="BF828" s="42">
        <v>0</v>
      </c>
      <c r="BG828" s="42">
        <v>0</v>
      </c>
      <c r="BH828" s="42">
        <v>0</v>
      </c>
      <c r="BI828" s="42">
        <v>0</v>
      </c>
      <c r="BJ828" s="42">
        <v>0</v>
      </c>
      <c r="BK828" s="42">
        <v>0</v>
      </c>
      <c r="BL828" s="42">
        <v>0</v>
      </c>
      <c r="BM828" s="42">
        <v>0</v>
      </c>
      <c r="BN828" s="42">
        <v>0</v>
      </c>
      <c r="BO828" s="42">
        <v>0</v>
      </c>
      <c r="BP828" s="42">
        <v>0</v>
      </c>
      <c r="BQ828" s="42">
        <v>0</v>
      </c>
      <c r="BR828" s="42">
        <v>0</v>
      </c>
      <c r="BS828" s="42">
        <v>0</v>
      </c>
      <c r="BT828" s="42">
        <v>0</v>
      </c>
      <c r="BU828" s="42">
        <v>0</v>
      </c>
      <c r="BV828" s="42">
        <v>0</v>
      </c>
      <c r="BW828" s="42">
        <v>0</v>
      </c>
      <c r="BX828" s="42">
        <v>0</v>
      </c>
      <c r="BY828" s="42">
        <v>0</v>
      </c>
      <c r="BZ828" s="42">
        <v>0</v>
      </c>
      <c r="CA828" s="42">
        <v>0</v>
      </c>
      <c r="CB828" s="42">
        <v>0</v>
      </c>
      <c r="CC828" s="42">
        <v>0</v>
      </c>
      <c r="CD828" s="42">
        <v>0</v>
      </c>
      <c r="CE828" s="42">
        <v>0</v>
      </c>
      <c r="CF828" s="42">
        <v>0</v>
      </c>
      <c r="CG828" s="42">
        <v>0</v>
      </c>
      <c r="CH828" s="42">
        <v>0</v>
      </c>
      <c r="CI828" s="42">
        <v>0</v>
      </c>
      <c r="CJ828" s="42">
        <v>0</v>
      </c>
      <c r="CK828" s="43">
        <f t="shared" si="79"/>
        <v>1163</v>
      </c>
      <c r="CL828" s="66"/>
      <c r="CM828" s="66">
        <v>0</v>
      </c>
      <c r="CN828" s="66">
        <v>0</v>
      </c>
      <c r="CO828" s="66">
        <v>0</v>
      </c>
      <c r="CP828" s="66">
        <v>0</v>
      </c>
      <c r="CQ828" s="66">
        <v>0</v>
      </c>
      <c r="CR828" s="66">
        <v>0</v>
      </c>
      <c r="CS828" s="66">
        <v>0</v>
      </c>
      <c r="CT828" s="66">
        <v>0</v>
      </c>
      <c r="CU828" s="66">
        <v>0</v>
      </c>
      <c r="CV828" s="66">
        <v>0</v>
      </c>
      <c r="CW828" s="66">
        <v>0</v>
      </c>
      <c r="CX828" s="66">
        <v>0</v>
      </c>
      <c r="CY828" s="66">
        <v>0</v>
      </c>
      <c r="CZ828" s="66">
        <v>0</v>
      </c>
      <c r="DA828" s="66"/>
      <c r="DB828" s="66"/>
      <c r="DC828" s="66"/>
      <c r="DD828" s="66"/>
      <c r="DE828" s="66"/>
      <c r="DF828" s="66"/>
      <c r="DG828" s="66"/>
      <c r="DH828" s="66"/>
      <c r="DI828" s="66"/>
      <c r="DJ828" s="66"/>
      <c r="DK828" s="66">
        <f>SUM(Table1[[#This Row],[01-03 Apr]:[Mar-26]])</f>
        <v>0</v>
      </c>
    </row>
    <row r="829" spans="1:115" hidden="1" x14ac:dyDescent="0.2">
      <c r="A829" s="28" t="s">
        <v>2255</v>
      </c>
      <c r="B829" s="29" t="s">
        <v>1457</v>
      </c>
      <c r="C829" s="29" t="s">
        <v>1458</v>
      </c>
      <c r="D829" s="30" t="s">
        <v>1459</v>
      </c>
      <c r="E829" s="30" t="s">
        <v>217</v>
      </c>
      <c r="F829" s="30"/>
      <c r="G829" s="31"/>
      <c r="H829" s="30">
        <v>385663</v>
      </c>
      <c r="I829" s="30" t="str">
        <f>IF(Table1[[#This Row],[Centre Status]]="Returned","NA",IF(Table1[[#This Row],[SD]]&gt;19000,"Full Payment",IF(Table1[[#This Row],[SD]]&lt;1,"No Payment","Partial Payment")))</f>
        <v>NA</v>
      </c>
      <c r="J829" s="30" t="s">
        <v>1903</v>
      </c>
      <c r="K829" s="32">
        <v>110000</v>
      </c>
      <c r="L829" s="33">
        <f>Q829+R829+U829+Table1[[#This Row],[Farmer Payment]]</f>
        <v>21270</v>
      </c>
      <c r="M829" s="30">
        <v>20000</v>
      </c>
      <c r="N829" s="34">
        <v>45486</v>
      </c>
      <c r="O829" s="34" t="s">
        <v>2469</v>
      </c>
      <c r="P829" s="35">
        <f t="shared" si="80"/>
        <v>108730</v>
      </c>
      <c r="Q829" s="33">
        <f>AI829+AV829+CK829+Table1[[#This Row],[FY 25-26]]</f>
        <v>1270</v>
      </c>
      <c r="R829" s="36">
        <v>20000</v>
      </c>
      <c r="S829" s="37" t="s">
        <v>2422</v>
      </c>
      <c r="T829" s="38">
        <v>45341</v>
      </c>
      <c r="U829" s="39"/>
      <c r="V829" s="39"/>
      <c r="W829" s="40">
        <v>0</v>
      </c>
      <c r="X829" s="40">
        <v>0</v>
      </c>
      <c r="Y829" s="40">
        <v>0</v>
      </c>
      <c r="Z829" s="40">
        <v>0</v>
      </c>
      <c r="AA829" s="40">
        <v>0</v>
      </c>
      <c r="AB829" s="40">
        <v>0</v>
      </c>
      <c r="AC829" s="40">
        <v>0</v>
      </c>
      <c r="AD829" s="40">
        <v>0</v>
      </c>
      <c r="AE829" s="40">
        <v>0</v>
      </c>
      <c r="AF829" s="40">
        <v>0</v>
      </c>
      <c r="AG829" s="40">
        <v>0</v>
      </c>
      <c r="AH829" s="40">
        <v>0</v>
      </c>
      <c r="AI829" s="41">
        <f t="shared" si="81"/>
        <v>0</v>
      </c>
      <c r="AJ829" s="42">
        <v>0</v>
      </c>
      <c r="AK829" s="42">
        <v>0</v>
      </c>
      <c r="AL829" s="42">
        <v>0</v>
      </c>
      <c r="AM829" s="42">
        <v>0</v>
      </c>
      <c r="AN829" s="42">
        <v>0</v>
      </c>
      <c r="AO829" s="42">
        <v>0</v>
      </c>
      <c r="AP829" s="42">
        <v>0</v>
      </c>
      <c r="AQ829" s="42">
        <v>0</v>
      </c>
      <c r="AR829" s="42">
        <v>0</v>
      </c>
      <c r="AS829" s="42">
        <v>0</v>
      </c>
      <c r="AT829" s="42">
        <v>0</v>
      </c>
      <c r="AU829" s="42">
        <v>0</v>
      </c>
      <c r="AV829" s="42">
        <f t="shared" si="82"/>
        <v>0</v>
      </c>
      <c r="AW829" s="42">
        <v>995</v>
      </c>
      <c r="AX829" s="42">
        <v>275</v>
      </c>
      <c r="AY829" s="42">
        <v>0</v>
      </c>
      <c r="AZ829" s="42">
        <v>0</v>
      </c>
      <c r="BA829" s="42">
        <v>0</v>
      </c>
      <c r="BB829" s="42">
        <v>0</v>
      </c>
      <c r="BC829" s="42">
        <v>0</v>
      </c>
      <c r="BD829" s="42">
        <v>0</v>
      </c>
      <c r="BE829" s="42">
        <v>0</v>
      </c>
      <c r="BF829" s="42">
        <v>0</v>
      </c>
      <c r="BG829" s="42">
        <v>0</v>
      </c>
      <c r="BH829" s="42">
        <v>0</v>
      </c>
      <c r="BI829" s="42">
        <v>0</v>
      </c>
      <c r="BJ829" s="42">
        <v>0</v>
      </c>
      <c r="BK829" s="42">
        <v>0</v>
      </c>
      <c r="BL829" s="42">
        <v>0</v>
      </c>
      <c r="BM829" s="42">
        <v>0</v>
      </c>
      <c r="BN829" s="42">
        <v>0</v>
      </c>
      <c r="BO829" s="42">
        <v>0</v>
      </c>
      <c r="BP829" s="42">
        <v>0</v>
      </c>
      <c r="BQ829" s="42">
        <v>0</v>
      </c>
      <c r="BR829" s="42">
        <v>0</v>
      </c>
      <c r="BS829" s="42">
        <v>0</v>
      </c>
      <c r="BT829" s="42">
        <v>0</v>
      </c>
      <c r="BU829" s="42">
        <v>0</v>
      </c>
      <c r="BV829" s="42">
        <v>0</v>
      </c>
      <c r="BW829" s="42">
        <v>0</v>
      </c>
      <c r="BX829" s="42">
        <v>0</v>
      </c>
      <c r="BY829" s="42">
        <v>0</v>
      </c>
      <c r="BZ829" s="42">
        <v>0</v>
      </c>
      <c r="CA829" s="42">
        <v>0</v>
      </c>
      <c r="CB829" s="42">
        <v>0</v>
      </c>
      <c r="CC829" s="42">
        <v>0</v>
      </c>
      <c r="CD829" s="42">
        <v>0</v>
      </c>
      <c r="CE829" s="42">
        <v>0</v>
      </c>
      <c r="CF829" s="42">
        <v>0</v>
      </c>
      <c r="CG829" s="42">
        <v>0</v>
      </c>
      <c r="CH829" s="42">
        <v>0</v>
      </c>
      <c r="CI829" s="42">
        <v>0</v>
      </c>
      <c r="CJ829" s="42">
        <v>0</v>
      </c>
      <c r="CK829" s="43">
        <f t="shared" si="79"/>
        <v>1270</v>
      </c>
      <c r="CL829" s="66"/>
      <c r="CM829" s="66">
        <v>0</v>
      </c>
      <c r="CN829" s="66">
        <v>0</v>
      </c>
      <c r="CO829" s="66">
        <v>0</v>
      </c>
      <c r="CP829" s="66">
        <v>0</v>
      </c>
      <c r="CQ829" s="66">
        <v>0</v>
      </c>
      <c r="CR829" s="66">
        <v>0</v>
      </c>
      <c r="CS829" s="66">
        <v>0</v>
      </c>
      <c r="CT829" s="66">
        <v>0</v>
      </c>
      <c r="CU829" s="66">
        <v>0</v>
      </c>
      <c r="CV829" s="66">
        <v>0</v>
      </c>
      <c r="CW829" s="66">
        <v>0</v>
      </c>
      <c r="CX829" s="66">
        <v>0</v>
      </c>
      <c r="CY829" s="66">
        <v>0</v>
      </c>
      <c r="CZ829" s="66">
        <v>0</v>
      </c>
      <c r="DA829" s="66"/>
      <c r="DB829" s="66"/>
      <c r="DC829" s="66"/>
      <c r="DD829" s="66"/>
      <c r="DE829" s="66"/>
      <c r="DF829" s="66"/>
      <c r="DG829" s="66"/>
      <c r="DH829" s="66"/>
      <c r="DI829" s="66"/>
      <c r="DJ829" s="66"/>
      <c r="DK829" s="66">
        <f>SUM(Table1[[#This Row],[01-03 Apr]:[Mar-26]])</f>
        <v>0</v>
      </c>
    </row>
    <row r="830" spans="1:115" hidden="1" x14ac:dyDescent="0.2">
      <c r="A830" s="28">
        <v>0</v>
      </c>
      <c r="B830" s="29" t="s">
        <v>1466</v>
      </c>
      <c r="C830" s="29" t="s">
        <v>1467</v>
      </c>
      <c r="D830" s="30" t="s">
        <v>1468</v>
      </c>
      <c r="E830" s="30" t="s">
        <v>203</v>
      </c>
      <c r="F830" s="30"/>
      <c r="G830" s="31"/>
      <c r="H830" s="30">
        <v>386968</v>
      </c>
      <c r="I830" s="30" t="str">
        <f>IF(Table1[[#This Row],[Centre Status]]="Returned","NA",IF(Table1[[#This Row],[SD]]&gt;19000,"Full Payment",IF(Table1[[#This Row],[SD]]&lt;1,"No Payment","Partial Payment")))</f>
        <v>NA</v>
      </c>
      <c r="J830" s="30" t="s">
        <v>1903</v>
      </c>
      <c r="K830" s="32">
        <v>110000</v>
      </c>
      <c r="L830" s="33">
        <f>Q830+R830+U830+Table1[[#This Row],[Farmer Payment]]</f>
        <v>1342</v>
      </c>
      <c r="M830" s="30"/>
      <c r="N830" s="34"/>
      <c r="O830" s="34"/>
      <c r="P830" s="35">
        <f t="shared" si="80"/>
        <v>108658</v>
      </c>
      <c r="Q830" s="33">
        <f>AI830+AV830+CK830+Table1[[#This Row],[FY 25-26]]</f>
        <v>1342</v>
      </c>
      <c r="R830" s="36"/>
      <c r="S830" s="37"/>
      <c r="T830" s="38"/>
      <c r="U830" s="39"/>
      <c r="V830" s="39"/>
      <c r="W830" s="40">
        <v>0</v>
      </c>
      <c r="X830" s="40">
        <v>0</v>
      </c>
      <c r="Y830" s="40">
        <v>0</v>
      </c>
      <c r="Z830" s="40">
        <v>0</v>
      </c>
      <c r="AA830" s="40">
        <v>0</v>
      </c>
      <c r="AB830" s="40">
        <v>0</v>
      </c>
      <c r="AC830" s="40">
        <v>0</v>
      </c>
      <c r="AD830" s="40">
        <v>0</v>
      </c>
      <c r="AE830" s="40">
        <v>0</v>
      </c>
      <c r="AF830" s="40">
        <v>0</v>
      </c>
      <c r="AG830" s="40">
        <v>0</v>
      </c>
      <c r="AH830" s="40">
        <v>0</v>
      </c>
      <c r="AI830" s="41">
        <f t="shared" si="81"/>
        <v>0</v>
      </c>
      <c r="AJ830" s="42">
        <v>0</v>
      </c>
      <c r="AK830" s="42">
        <v>0</v>
      </c>
      <c r="AL830" s="42">
        <v>0</v>
      </c>
      <c r="AM830" s="42">
        <v>0</v>
      </c>
      <c r="AN830" s="42">
        <v>0</v>
      </c>
      <c r="AO830" s="42">
        <v>0</v>
      </c>
      <c r="AP830" s="42">
        <v>0</v>
      </c>
      <c r="AQ830" s="42">
        <v>0</v>
      </c>
      <c r="AR830" s="42">
        <v>0</v>
      </c>
      <c r="AS830" s="42">
        <v>0</v>
      </c>
      <c r="AT830" s="42">
        <v>0</v>
      </c>
      <c r="AU830" s="42">
        <v>0</v>
      </c>
      <c r="AV830" s="42">
        <f t="shared" si="82"/>
        <v>0</v>
      </c>
      <c r="AW830" s="42">
        <v>1342</v>
      </c>
      <c r="AX830" s="42">
        <v>0</v>
      </c>
      <c r="AY830" s="42">
        <v>0</v>
      </c>
      <c r="AZ830" s="42">
        <v>0</v>
      </c>
      <c r="BA830" s="42">
        <v>0</v>
      </c>
      <c r="BB830" s="42">
        <v>0</v>
      </c>
      <c r="BC830" s="42">
        <v>0</v>
      </c>
      <c r="BD830" s="42">
        <v>0</v>
      </c>
      <c r="BE830" s="42">
        <v>0</v>
      </c>
      <c r="BF830" s="42">
        <v>0</v>
      </c>
      <c r="BG830" s="42">
        <v>0</v>
      </c>
      <c r="BH830" s="42">
        <v>0</v>
      </c>
      <c r="BI830" s="42">
        <v>0</v>
      </c>
      <c r="BJ830" s="42">
        <v>0</v>
      </c>
      <c r="BK830" s="42">
        <v>0</v>
      </c>
      <c r="BL830" s="42">
        <v>0</v>
      </c>
      <c r="BM830" s="42">
        <v>0</v>
      </c>
      <c r="BN830" s="42">
        <v>0</v>
      </c>
      <c r="BO830" s="42">
        <v>0</v>
      </c>
      <c r="BP830" s="42">
        <v>0</v>
      </c>
      <c r="BQ830" s="42">
        <v>0</v>
      </c>
      <c r="BR830" s="42">
        <v>0</v>
      </c>
      <c r="BS830" s="42">
        <v>0</v>
      </c>
      <c r="BT830" s="42">
        <v>0</v>
      </c>
      <c r="BU830" s="42">
        <v>0</v>
      </c>
      <c r="BV830" s="42">
        <v>0</v>
      </c>
      <c r="BW830" s="42">
        <v>0</v>
      </c>
      <c r="BX830" s="42">
        <v>0</v>
      </c>
      <c r="BY830" s="42">
        <v>0</v>
      </c>
      <c r="BZ830" s="42">
        <v>0</v>
      </c>
      <c r="CA830" s="42">
        <v>0</v>
      </c>
      <c r="CB830" s="42">
        <v>0</v>
      </c>
      <c r="CC830" s="42">
        <v>0</v>
      </c>
      <c r="CD830" s="42">
        <v>0</v>
      </c>
      <c r="CE830" s="42">
        <v>0</v>
      </c>
      <c r="CF830" s="42">
        <v>0</v>
      </c>
      <c r="CG830" s="42">
        <v>0</v>
      </c>
      <c r="CH830" s="42">
        <v>0</v>
      </c>
      <c r="CI830" s="42">
        <v>0</v>
      </c>
      <c r="CJ830" s="42">
        <v>0</v>
      </c>
      <c r="CK830" s="43">
        <f t="shared" si="79"/>
        <v>1342</v>
      </c>
      <c r="CL830" s="66"/>
      <c r="CM830" s="66">
        <v>0</v>
      </c>
      <c r="CN830" s="66">
        <v>0</v>
      </c>
      <c r="CO830" s="66">
        <v>0</v>
      </c>
      <c r="CP830" s="66">
        <v>0</v>
      </c>
      <c r="CQ830" s="66">
        <v>0</v>
      </c>
      <c r="CR830" s="66">
        <v>0</v>
      </c>
      <c r="CS830" s="66">
        <v>0</v>
      </c>
      <c r="CT830" s="66">
        <v>0</v>
      </c>
      <c r="CU830" s="66">
        <v>0</v>
      </c>
      <c r="CV830" s="66">
        <v>0</v>
      </c>
      <c r="CW830" s="66">
        <v>0</v>
      </c>
      <c r="CX830" s="66">
        <v>0</v>
      </c>
      <c r="CY830" s="66">
        <v>0</v>
      </c>
      <c r="CZ830" s="66">
        <v>0</v>
      </c>
      <c r="DA830" s="66"/>
      <c r="DB830" s="66"/>
      <c r="DC830" s="66"/>
      <c r="DD830" s="66"/>
      <c r="DE830" s="66"/>
      <c r="DF830" s="66"/>
      <c r="DG830" s="66"/>
      <c r="DH830" s="66"/>
      <c r="DI830" s="66"/>
      <c r="DJ830" s="66"/>
      <c r="DK830" s="66">
        <f>SUM(Table1[[#This Row],[01-03 Apr]:[Mar-26]])</f>
        <v>0</v>
      </c>
    </row>
    <row r="831" spans="1:115" hidden="1" x14ac:dyDescent="0.2">
      <c r="A831" s="28" t="s">
        <v>2367</v>
      </c>
      <c r="B831" s="29" t="s">
        <v>1509</v>
      </c>
      <c r="C831" s="29" t="s">
        <v>1510</v>
      </c>
      <c r="D831" s="30" t="s">
        <v>1511</v>
      </c>
      <c r="E831" s="30" t="s">
        <v>2257</v>
      </c>
      <c r="F831" s="30"/>
      <c r="G831" s="31"/>
      <c r="H831" s="30">
        <v>2346391</v>
      </c>
      <c r="I831" s="30" t="str">
        <f>IF(Table1[[#This Row],[Centre Status]]="Returned","NA",IF(Table1[[#This Row],[SD]]&gt;19000,"Full Payment",IF(Table1[[#This Row],[SD]]&lt;1,"No Payment","Partial Payment")))</f>
        <v>NA</v>
      </c>
      <c r="J831" s="30" t="s">
        <v>1903</v>
      </c>
      <c r="K831" s="32">
        <v>110000</v>
      </c>
      <c r="L831" s="33">
        <f>Q831+R831+U831+Table1[[#This Row],[Farmer Payment]]</f>
        <v>21859.3776</v>
      </c>
      <c r="M831" s="30">
        <v>10000</v>
      </c>
      <c r="N831" s="34">
        <v>45542</v>
      </c>
      <c r="O831" s="34" t="s">
        <v>2609</v>
      </c>
      <c r="P831" s="35">
        <f t="shared" si="80"/>
        <v>98140.622399999993</v>
      </c>
      <c r="Q831" s="33">
        <f>AI831+AV831+CK831+Table1[[#This Row],[FY 25-26]]</f>
        <v>11859.3776</v>
      </c>
      <c r="R831" s="36">
        <v>10000</v>
      </c>
      <c r="S831" s="37" t="s">
        <v>1512</v>
      </c>
      <c r="T831" s="38">
        <v>45214</v>
      </c>
      <c r="U831" s="39"/>
      <c r="V831" s="39"/>
      <c r="W831" s="40">
        <v>0</v>
      </c>
      <c r="X831" s="40">
        <v>0</v>
      </c>
      <c r="Y831" s="40">
        <v>0</v>
      </c>
      <c r="Z831" s="40">
        <v>0</v>
      </c>
      <c r="AA831" s="40">
        <v>0</v>
      </c>
      <c r="AB831" s="40">
        <v>0</v>
      </c>
      <c r="AC831" s="40">
        <v>0</v>
      </c>
      <c r="AD831" s="40">
        <v>0</v>
      </c>
      <c r="AE831" s="40">
        <v>0</v>
      </c>
      <c r="AF831" s="40">
        <v>0</v>
      </c>
      <c r="AG831" s="40">
        <v>0</v>
      </c>
      <c r="AH831" s="40">
        <v>0</v>
      </c>
      <c r="AI831" s="41">
        <f t="shared" si="81"/>
        <v>0</v>
      </c>
      <c r="AJ831" s="42">
        <v>0</v>
      </c>
      <c r="AK831" s="42">
        <v>0</v>
      </c>
      <c r="AL831" s="42">
        <v>0</v>
      </c>
      <c r="AM831" s="42">
        <v>0</v>
      </c>
      <c r="AN831" s="42">
        <v>0</v>
      </c>
      <c r="AO831" s="42">
        <v>0</v>
      </c>
      <c r="AP831" s="42">
        <v>0</v>
      </c>
      <c r="AQ831" s="42">
        <v>0</v>
      </c>
      <c r="AR831" s="42">
        <v>1861</v>
      </c>
      <c r="AS831" s="42">
        <v>2273.8753999999999</v>
      </c>
      <c r="AT831" s="42">
        <v>3593.7598000000003</v>
      </c>
      <c r="AU831" s="42">
        <v>2525.7424000000001</v>
      </c>
      <c r="AV831" s="42">
        <f t="shared" si="82"/>
        <v>10254.3776</v>
      </c>
      <c r="AW831" s="42">
        <v>758</v>
      </c>
      <c r="AX831" s="42">
        <v>713</v>
      </c>
      <c r="AY831" s="42">
        <v>134</v>
      </c>
      <c r="AZ831" s="42">
        <v>0</v>
      </c>
      <c r="BA831" s="42">
        <v>0</v>
      </c>
      <c r="BB831" s="42">
        <v>0</v>
      </c>
      <c r="BC831" s="42">
        <v>0</v>
      </c>
      <c r="BD831" s="42">
        <v>0</v>
      </c>
      <c r="BE831" s="42">
        <v>0</v>
      </c>
      <c r="BF831" s="42">
        <v>0</v>
      </c>
      <c r="BG831" s="42">
        <v>0</v>
      </c>
      <c r="BH831" s="42">
        <v>0</v>
      </c>
      <c r="BI831" s="42">
        <v>0</v>
      </c>
      <c r="BJ831" s="42">
        <v>0</v>
      </c>
      <c r="BK831" s="42">
        <v>0</v>
      </c>
      <c r="BL831" s="42">
        <v>0</v>
      </c>
      <c r="BM831" s="42">
        <v>0</v>
      </c>
      <c r="BN831" s="42">
        <v>0</v>
      </c>
      <c r="BO831" s="42">
        <v>0</v>
      </c>
      <c r="BP831" s="42">
        <v>0</v>
      </c>
      <c r="BQ831" s="42">
        <v>0</v>
      </c>
      <c r="BR831" s="42">
        <v>0</v>
      </c>
      <c r="BS831" s="42">
        <v>0</v>
      </c>
      <c r="BT831" s="42">
        <v>0</v>
      </c>
      <c r="BU831" s="42">
        <v>0</v>
      </c>
      <c r="BV831" s="42">
        <v>0</v>
      </c>
      <c r="BW831" s="42">
        <v>0</v>
      </c>
      <c r="BX831" s="42">
        <v>0</v>
      </c>
      <c r="BY831" s="42">
        <v>0</v>
      </c>
      <c r="BZ831" s="42">
        <v>0</v>
      </c>
      <c r="CA831" s="42">
        <v>0</v>
      </c>
      <c r="CB831" s="42">
        <v>0</v>
      </c>
      <c r="CC831" s="42">
        <v>0</v>
      </c>
      <c r="CD831" s="42">
        <v>0</v>
      </c>
      <c r="CE831" s="42">
        <v>0</v>
      </c>
      <c r="CF831" s="42">
        <v>0</v>
      </c>
      <c r="CG831" s="42">
        <v>0</v>
      </c>
      <c r="CH831" s="42">
        <v>0</v>
      </c>
      <c r="CI831" s="42">
        <v>0</v>
      </c>
      <c r="CJ831" s="42">
        <v>0</v>
      </c>
      <c r="CK831" s="43">
        <f t="shared" si="79"/>
        <v>1605</v>
      </c>
      <c r="CL831" s="66"/>
      <c r="CM831" s="66">
        <v>0</v>
      </c>
      <c r="CN831" s="66">
        <v>0</v>
      </c>
      <c r="CO831" s="66">
        <v>0</v>
      </c>
      <c r="CP831" s="66">
        <v>0</v>
      </c>
      <c r="CQ831" s="66">
        <v>0</v>
      </c>
      <c r="CR831" s="66">
        <v>0</v>
      </c>
      <c r="CS831" s="66">
        <v>0</v>
      </c>
      <c r="CT831" s="66">
        <v>0</v>
      </c>
      <c r="CU831" s="66">
        <v>0</v>
      </c>
      <c r="CV831" s="66">
        <v>0</v>
      </c>
      <c r="CW831" s="66">
        <v>0</v>
      </c>
      <c r="CX831" s="66">
        <v>0</v>
      </c>
      <c r="CY831" s="66">
        <v>0</v>
      </c>
      <c r="CZ831" s="66">
        <v>0</v>
      </c>
      <c r="DA831" s="66"/>
      <c r="DB831" s="66"/>
      <c r="DC831" s="66"/>
      <c r="DD831" s="66"/>
      <c r="DE831" s="66"/>
      <c r="DF831" s="66"/>
      <c r="DG831" s="66"/>
      <c r="DH831" s="66"/>
      <c r="DI831" s="66"/>
      <c r="DJ831" s="66"/>
      <c r="DK831" s="66">
        <f>SUM(Table1[[#This Row],[01-03 Apr]:[Mar-26]])</f>
        <v>0</v>
      </c>
    </row>
    <row r="832" spans="1:115" hidden="1" x14ac:dyDescent="0.2">
      <c r="A832" s="28"/>
      <c r="B832" s="29"/>
      <c r="C832" s="29" t="s">
        <v>3336</v>
      </c>
      <c r="D832" s="30"/>
      <c r="E832" s="30" t="s">
        <v>906</v>
      </c>
      <c r="F832" s="30"/>
      <c r="G832" s="31"/>
      <c r="H832" s="30"/>
      <c r="I832" s="30" t="str">
        <f>IF(Table1[[#This Row],[Centre Status]]="Returned","NA",IF(Table1[[#This Row],[SD]]&gt;19000,"Full Payment",IF(Table1[[#This Row],[SD]]&lt;1,"No Payment","Partial Payment")))</f>
        <v>NA</v>
      </c>
      <c r="J832" s="30" t="s">
        <v>1903</v>
      </c>
      <c r="K832" s="32">
        <v>110000</v>
      </c>
      <c r="L832" s="33">
        <f>Q832+R832+U832+Table1[[#This Row],[Farmer Payment]]</f>
        <v>20000</v>
      </c>
      <c r="M832" s="30">
        <v>20000</v>
      </c>
      <c r="N832" s="34">
        <v>45806</v>
      </c>
      <c r="O832" s="34"/>
      <c r="P832" s="35">
        <f>K832-L832+M832</f>
        <v>110000</v>
      </c>
      <c r="Q832" s="33">
        <f>AI832+AV832+CK832+Table1[[#This Row],[FY 25-26]]</f>
        <v>0</v>
      </c>
      <c r="R832" s="36">
        <v>20000</v>
      </c>
      <c r="S832" s="37" t="s">
        <v>3454</v>
      </c>
      <c r="T832" s="38">
        <v>45318</v>
      </c>
      <c r="U832" s="39"/>
      <c r="V832" s="39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1">
        <f>SUM(W832:AH832)</f>
        <v>0</v>
      </c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  <c r="AT832" s="42"/>
      <c r="AU832" s="42"/>
      <c r="AV832" s="42">
        <f>SUM(AJ832:AU832)</f>
        <v>0</v>
      </c>
      <c r="AW832" s="42"/>
      <c r="AX832" s="42"/>
      <c r="AY832" s="42"/>
      <c r="AZ832" s="42"/>
      <c r="BA832" s="42"/>
      <c r="BB832" s="42"/>
      <c r="BC832" s="42"/>
      <c r="BD832" s="42"/>
      <c r="BE832" s="42"/>
      <c r="BF832" s="42"/>
      <c r="BG832" s="42"/>
      <c r="BH832" s="42"/>
      <c r="BI832" s="42"/>
      <c r="BJ832" s="42"/>
      <c r="BK832" s="42"/>
      <c r="BL832" s="42"/>
      <c r="BM832" s="42"/>
      <c r="BN832" s="42"/>
      <c r="BO832" s="42"/>
      <c r="BP832" s="42"/>
      <c r="BQ832" s="42"/>
      <c r="BR832" s="42"/>
      <c r="BS832" s="42"/>
      <c r="BT832" s="42"/>
      <c r="BU832" s="42"/>
      <c r="BV832" s="42"/>
      <c r="BW832" s="42"/>
      <c r="BX832" s="42"/>
      <c r="BY832" s="42"/>
      <c r="BZ832" s="42"/>
      <c r="CA832" s="42"/>
      <c r="CB832" s="42"/>
      <c r="CC832" s="42"/>
      <c r="CD832" s="42"/>
      <c r="CE832" s="42"/>
      <c r="CF832" s="42"/>
      <c r="CG832" s="42"/>
      <c r="CH832" s="42"/>
      <c r="CI832" s="42"/>
      <c r="CJ832" s="42"/>
      <c r="CK832" s="43">
        <f>SUM(AW832:CJ832)</f>
        <v>0</v>
      </c>
      <c r="CL832" s="66"/>
      <c r="CM832" s="66"/>
      <c r="CN832" s="66"/>
      <c r="CO832" s="66"/>
      <c r="CP832" s="66"/>
      <c r="CQ832" s="66"/>
      <c r="CR832" s="66">
        <v>0</v>
      </c>
      <c r="CS832" s="66"/>
      <c r="CT832" s="66">
        <v>0</v>
      </c>
      <c r="CU832" s="66">
        <v>0</v>
      </c>
      <c r="CV832" s="66">
        <v>0</v>
      </c>
      <c r="CW832" s="66">
        <v>0</v>
      </c>
      <c r="CX832" s="66">
        <v>0</v>
      </c>
      <c r="CY832" s="66">
        <v>0</v>
      </c>
      <c r="CZ832" s="66">
        <v>0</v>
      </c>
      <c r="DA832" s="66"/>
      <c r="DB832" s="66"/>
      <c r="DC832" s="66"/>
      <c r="DD832" s="66"/>
      <c r="DE832" s="66"/>
      <c r="DF832" s="66"/>
      <c r="DG832" s="66"/>
      <c r="DH832" s="66"/>
      <c r="DI832" s="66"/>
      <c r="DJ832" s="66"/>
      <c r="DK832" s="66">
        <f>SUM(Table1[[#This Row],[01-03 Apr]:[Mar-26]])</f>
        <v>0</v>
      </c>
    </row>
    <row r="833" spans="1:115" hidden="1" x14ac:dyDescent="0.2">
      <c r="A833" s="28"/>
      <c r="B833" s="29"/>
      <c r="C833" s="29" t="s">
        <v>3336</v>
      </c>
      <c r="D833" s="30" t="s">
        <v>2590</v>
      </c>
      <c r="E833" s="30" t="s">
        <v>2257</v>
      </c>
      <c r="F833" s="30"/>
      <c r="G833" s="31"/>
      <c r="H833" s="30"/>
      <c r="I833" s="30" t="str">
        <f>IF(Table1[[#This Row],[Centre Status]]="Returned","NA",IF(Table1[[#This Row],[SD]]&gt;19000,"Full Payment",IF(Table1[[#This Row],[SD]]&lt;1,"No Payment","Partial Payment")))</f>
        <v>NA</v>
      </c>
      <c r="J833" s="30" t="s">
        <v>1903</v>
      </c>
      <c r="K833" s="32">
        <v>10000</v>
      </c>
      <c r="L833" s="33">
        <f>Q833+R833+U833+Table1[[#This Row],[Farmer Payment]]</f>
        <v>10000</v>
      </c>
      <c r="M833" s="30">
        <v>10000</v>
      </c>
      <c r="N833" s="34">
        <v>45542</v>
      </c>
      <c r="O833" s="34" t="s">
        <v>2610</v>
      </c>
      <c r="P833" s="35">
        <f t="shared" si="80"/>
        <v>10000</v>
      </c>
      <c r="Q833" s="33">
        <f>AI833+AV833+CK833+Table1[[#This Row],[FY 25-26]]</f>
        <v>0</v>
      </c>
      <c r="R833" s="36">
        <v>10000</v>
      </c>
      <c r="S833" s="37" t="s">
        <v>2591</v>
      </c>
      <c r="T833" s="38">
        <v>45292</v>
      </c>
      <c r="U833" s="39"/>
      <c r="V833" s="39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1">
        <f t="shared" si="81"/>
        <v>0</v>
      </c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  <c r="AT833" s="42"/>
      <c r="AU833" s="42"/>
      <c r="AV833" s="42">
        <f t="shared" si="82"/>
        <v>0</v>
      </c>
      <c r="AW833" s="42"/>
      <c r="AX833" s="42"/>
      <c r="AY833" s="42"/>
      <c r="AZ833" s="42"/>
      <c r="BA833" s="42">
        <v>0</v>
      </c>
      <c r="BB833" s="42">
        <v>0</v>
      </c>
      <c r="BC833" s="42">
        <v>0</v>
      </c>
      <c r="BD833" s="42">
        <v>0</v>
      </c>
      <c r="BE833" s="42">
        <v>0</v>
      </c>
      <c r="BF833" s="42">
        <v>0</v>
      </c>
      <c r="BG833" s="42">
        <v>0</v>
      </c>
      <c r="BH833" s="42">
        <v>0</v>
      </c>
      <c r="BI833" s="42">
        <v>0</v>
      </c>
      <c r="BJ833" s="42">
        <v>0</v>
      </c>
      <c r="BK833" s="42">
        <v>0</v>
      </c>
      <c r="BL833" s="42">
        <v>0</v>
      </c>
      <c r="BM833" s="42">
        <v>0</v>
      </c>
      <c r="BN833" s="42">
        <v>0</v>
      </c>
      <c r="BO833" s="42">
        <v>0</v>
      </c>
      <c r="BP833" s="42">
        <v>0</v>
      </c>
      <c r="BQ833" s="42">
        <v>0</v>
      </c>
      <c r="BR833" s="42">
        <v>0</v>
      </c>
      <c r="BS833" s="42">
        <v>0</v>
      </c>
      <c r="BT833" s="42">
        <v>0</v>
      </c>
      <c r="BU833" s="42">
        <v>0</v>
      </c>
      <c r="BV833" s="42">
        <v>0</v>
      </c>
      <c r="BW833" s="42">
        <v>0</v>
      </c>
      <c r="BX833" s="42">
        <v>0</v>
      </c>
      <c r="BY833" s="42">
        <v>0</v>
      </c>
      <c r="BZ833" s="42">
        <v>0</v>
      </c>
      <c r="CA833" s="42">
        <v>0</v>
      </c>
      <c r="CB833" s="42">
        <v>0</v>
      </c>
      <c r="CC833" s="42">
        <v>0</v>
      </c>
      <c r="CD833" s="42">
        <v>0</v>
      </c>
      <c r="CE833" s="42">
        <v>0</v>
      </c>
      <c r="CF833" s="42">
        <v>0</v>
      </c>
      <c r="CG833" s="42">
        <v>0</v>
      </c>
      <c r="CH833" s="42">
        <v>0</v>
      </c>
      <c r="CI833" s="42">
        <v>0</v>
      </c>
      <c r="CJ833" s="42">
        <v>0</v>
      </c>
      <c r="CK833" s="43">
        <f t="shared" si="79"/>
        <v>0</v>
      </c>
      <c r="CL833" s="66"/>
      <c r="CM833" s="66">
        <v>0</v>
      </c>
      <c r="CN833" s="66">
        <v>0</v>
      </c>
      <c r="CO833" s="66">
        <v>0</v>
      </c>
      <c r="CP833" s="66">
        <v>0</v>
      </c>
      <c r="CQ833" s="66">
        <v>0</v>
      </c>
      <c r="CR833" s="66">
        <v>0</v>
      </c>
      <c r="CS833" s="66">
        <v>0</v>
      </c>
      <c r="CT833" s="66">
        <v>0</v>
      </c>
      <c r="CU833" s="66">
        <v>0</v>
      </c>
      <c r="CV833" s="66">
        <v>0</v>
      </c>
      <c r="CW833" s="66">
        <v>0</v>
      </c>
      <c r="CX833" s="66">
        <v>0</v>
      </c>
      <c r="CY833" s="66">
        <v>0</v>
      </c>
      <c r="CZ833" s="66">
        <v>0</v>
      </c>
      <c r="DA833" s="66"/>
      <c r="DB833" s="66"/>
      <c r="DC833" s="66"/>
      <c r="DD833" s="66"/>
      <c r="DE833" s="66"/>
      <c r="DF833" s="66"/>
      <c r="DG833" s="66"/>
      <c r="DH833" s="66"/>
      <c r="DI833" s="66"/>
      <c r="DJ833" s="66"/>
      <c r="DK833" s="66">
        <f>SUM(Table1[[#This Row],[01-03 Apr]:[Mar-26]])</f>
        <v>0</v>
      </c>
    </row>
    <row r="834" spans="1:115" hidden="1" x14ac:dyDescent="0.2">
      <c r="A834" s="28"/>
      <c r="B834" s="29"/>
      <c r="C834" s="29" t="s">
        <v>3336</v>
      </c>
      <c r="D834" s="30" t="s">
        <v>1513</v>
      </c>
      <c r="E834" s="30" t="s">
        <v>906</v>
      </c>
      <c r="F834" s="30"/>
      <c r="G834" s="31"/>
      <c r="H834" s="30"/>
      <c r="I834" s="30" t="str">
        <f>IF(Table1[[#This Row],[Centre Status]]="Returned","NA",IF(Table1[[#This Row],[SD]]&gt;19000,"Full Payment",IF(Table1[[#This Row],[SD]]&lt;1,"No Payment","Partial Payment")))</f>
        <v>NA</v>
      </c>
      <c r="J834" s="30" t="s">
        <v>1903</v>
      </c>
      <c r="K834" s="32">
        <v>110000</v>
      </c>
      <c r="L834" s="33">
        <f>Q834+R834+U834+Table1[[#This Row],[Farmer Payment]]</f>
        <v>10000</v>
      </c>
      <c r="M834" s="30"/>
      <c r="N834" s="34"/>
      <c r="O834" s="34"/>
      <c r="P834" s="35">
        <f t="shared" si="80"/>
        <v>100000</v>
      </c>
      <c r="Q834" s="33">
        <f>AI834+AV834+CK834+Table1[[#This Row],[FY 25-26]]</f>
        <v>0</v>
      </c>
      <c r="R834" s="36">
        <v>10000</v>
      </c>
      <c r="S834" s="37" t="s">
        <v>1514</v>
      </c>
      <c r="T834" s="38">
        <v>45215</v>
      </c>
      <c r="U834" s="39"/>
      <c r="V834" s="39"/>
      <c r="W834" s="40">
        <v>0</v>
      </c>
      <c r="X834" s="40">
        <v>0</v>
      </c>
      <c r="Y834" s="40">
        <v>0</v>
      </c>
      <c r="Z834" s="40">
        <v>0</v>
      </c>
      <c r="AA834" s="40">
        <v>0</v>
      </c>
      <c r="AB834" s="40">
        <v>0</v>
      </c>
      <c r="AC834" s="40">
        <v>0</v>
      </c>
      <c r="AD834" s="40">
        <v>0</v>
      </c>
      <c r="AE834" s="40">
        <v>0</v>
      </c>
      <c r="AF834" s="40">
        <v>0</v>
      </c>
      <c r="AG834" s="40">
        <v>0</v>
      </c>
      <c r="AH834" s="40">
        <v>0</v>
      </c>
      <c r="AI834" s="41">
        <f t="shared" si="81"/>
        <v>0</v>
      </c>
      <c r="AJ834" s="42">
        <v>0</v>
      </c>
      <c r="AK834" s="42">
        <v>0</v>
      </c>
      <c r="AL834" s="42">
        <v>0</v>
      </c>
      <c r="AM834" s="42">
        <v>0</v>
      </c>
      <c r="AN834" s="42">
        <v>0</v>
      </c>
      <c r="AO834" s="42">
        <v>0</v>
      </c>
      <c r="AP834" s="42">
        <v>0</v>
      </c>
      <c r="AQ834" s="42">
        <v>0</v>
      </c>
      <c r="AR834" s="42">
        <v>0</v>
      </c>
      <c r="AS834" s="42">
        <v>0</v>
      </c>
      <c r="AT834" s="42">
        <v>0</v>
      </c>
      <c r="AU834" s="42">
        <v>0</v>
      </c>
      <c r="AV834" s="42">
        <f t="shared" si="82"/>
        <v>0</v>
      </c>
      <c r="AW834" s="42">
        <v>0</v>
      </c>
      <c r="AX834" s="42">
        <v>0</v>
      </c>
      <c r="AY834" s="42">
        <v>0</v>
      </c>
      <c r="AZ834" s="42">
        <v>0</v>
      </c>
      <c r="BA834" s="42">
        <v>0</v>
      </c>
      <c r="BB834" s="42">
        <v>0</v>
      </c>
      <c r="BC834" s="42">
        <v>0</v>
      </c>
      <c r="BD834" s="42">
        <v>0</v>
      </c>
      <c r="BE834" s="42">
        <v>0</v>
      </c>
      <c r="BF834" s="42">
        <v>0</v>
      </c>
      <c r="BG834" s="42">
        <v>0</v>
      </c>
      <c r="BH834" s="42">
        <v>0</v>
      </c>
      <c r="BI834" s="42">
        <v>0</v>
      </c>
      <c r="BJ834" s="42">
        <v>0</v>
      </c>
      <c r="BK834" s="42">
        <v>0</v>
      </c>
      <c r="BL834" s="42">
        <v>0</v>
      </c>
      <c r="BM834" s="42">
        <v>0</v>
      </c>
      <c r="BN834" s="42">
        <v>0</v>
      </c>
      <c r="BO834" s="42">
        <v>0</v>
      </c>
      <c r="BP834" s="42">
        <v>0</v>
      </c>
      <c r="BQ834" s="42">
        <v>0</v>
      </c>
      <c r="BR834" s="42">
        <v>0</v>
      </c>
      <c r="BS834" s="42">
        <v>0</v>
      </c>
      <c r="BT834" s="42">
        <v>0</v>
      </c>
      <c r="BU834" s="42">
        <v>0</v>
      </c>
      <c r="BV834" s="42">
        <v>0</v>
      </c>
      <c r="BW834" s="42">
        <v>0</v>
      </c>
      <c r="BX834" s="42">
        <v>0</v>
      </c>
      <c r="BY834" s="42">
        <v>0</v>
      </c>
      <c r="BZ834" s="42">
        <v>0</v>
      </c>
      <c r="CA834" s="42">
        <v>0</v>
      </c>
      <c r="CB834" s="42">
        <v>0</v>
      </c>
      <c r="CC834" s="42">
        <v>0</v>
      </c>
      <c r="CD834" s="42">
        <v>0</v>
      </c>
      <c r="CE834" s="42">
        <v>0</v>
      </c>
      <c r="CF834" s="42">
        <v>0</v>
      </c>
      <c r="CG834" s="42">
        <v>0</v>
      </c>
      <c r="CH834" s="42">
        <v>0</v>
      </c>
      <c r="CI834" s="42">
        <v>0</v>
      </c>
      <c r="CJ834" s="42">
        <v>0</v>
      </c>
      <c r="CK834" s="43">
        <f t="shared" si="79"/>
        <v>0</v>
      </c>
      <c r="CL834" s="66"/>
      <c r="CM834" s="66">
        <v>0</v>
      </c>
      <c r="CN834" s="66">
        <v>0</v>
      </c>
      <c r="CO834" s="66">
        <v>0</v>
      </c>
      <c r="CP834" s="66">
        <v>0</v>
      </c>
      <c r="CQ834" s="66">
        <v>0</v>
      </c>
      <c r="CR834" s="66">
        <v>0</v>
      </c>
      <c r="CS834" s="66">
        <v>0</v>
      </c>
      <c r="CT834" s="66">
        <v>0</v>
      </c>
      <c r="CU834" s="66">
        <v>0</v>
      </c>
      <c r="CV834" s="66">
        <v>0</v>
      </c>
      <c r="CW834" s="66">
        <v>0</v>
      </c>
      <c r="CX834" s="66">
        <v>0</v>
      </c>
      <c r="CY834" s="66">
        <v>0</v>
      </c>
      <c r="CZ834" s="66">
        <v>0</v>
      </c>
      <c r="DA834" s="66"/>
      <c r="DB834" s="66"/>
      <c r="DC834" s="66"/>
      <c r="DD834" s="66"/>
      <c r="DE834" s="66"/>
      <c r="DF834" s="66"/>
      <c r="DG834" s="66"/>
      <c r="DH834" s="66"/>
      <c r="DI834" s="66"/>
      <c r="DJ834" s="66"/>
      <c r="DK834" s="66">
        <f>SUM(Table1[[#This Row],[01-03 Apr]:[Mar-26]])</f>
        <v>0</v>
      </c>
    </row>
    <row r="835" spans="1:115" hidden="1" x14ac:dyDescent="0.2">
      <c r="A835" s="28" t="s">
        <v>2255</v>
      </c>
      <c r="B835" s="29" t="s">
        <v>1564</v>
      </c>
      <c r="C835" s="29" t="s">
        <v>1565</v>
      </c>
      <c r="D835" s="30" t="s">
        <v>1566</v>
      </c>
      <c r="E835" s="30" t="s">
        <v>203</v>
      </c>
      <c r="F835" s="30"/>
      <c r="G835" s="31"/>
      <c r="H835" s="30">
        <v>388107</v>
      </c>
      <c r="I835" s="30" t="str">
        <f>IF(Table1[[#This Row],[Centre Status]]="Returned","NA",IF(Table1[[#This Row],[SD]]&gt;19000,"Full Payment",IF(Table1[[#This Row],[SD]]&lt;1,"No Payment","Partial Payment")))</f>
        <v>NA</v>
      </c>
      <c r="J835" s="30" t="s">
        <v>1903</v>
      </c>
      <c r="K835" s="32">
        <v>110000</v>
      </c>
      <c r="L835" s="33">
        <f>Q835+R835+U835+Table1[[#This Row],[Farmer Payment]]</f>
        <v>19778.025799999999</v>
      </c>
      <c r="M835" s="30">
        <v>10000</v>
      </c>
      <c r="N835" s="34">
        <v>45541</v>
      </c>
      <c r="O835" s="34" t="s">
        <v>2605</v>
      </c>
      <c r="P835" s="35">
        <f t="shared" si="80"/>
        <v>100221.9742</v>
      </c>
      <c r="Q835" s="33">
        <f>AI835+AV835+CK835+Table1[[#This Row],[FY 25-26]]</f>
        <v>9778.0257999999994</v>
      </c>
      <c r="R835" s="36">
        <v>10000</v>
      </c>
      <c r="S835" s="37" t="s">
        <v>1567</v>
      </c>
      <c r="T835" s="38">
        <v>45124</v>
      </c>
      <c r="U835" s="39"/>
      <c r="V835" s="39"/>
      <c r="W835" s="40">
        <v>0</v>
      </c>
      <c r="X835" s="40">
        <v>0</v>
      </c>
      <c r="Y835" s="40">
        <v>0</v>
      </c>
      <c r="Z835" s="40">
        <v>0</v>
      </c>
      <c r="AA835" s="40">
        <v>0</v>
      </c>
      <c r="AB835" s="40">
        <v>0</v>
      </c>
      <c r="AC835" s="40">
        <v>0</v>
      </c>
      <c r="AD835" s="40">
        <v>0</v>
      </c>
      <c r="AE835" s="40">
        <v>0</v>
      </c>
      <c r="AF835" s="40">
        <v>0</v>
      </c>
      <c r="AG835" s="40">
        <v>0</v>
      </c>
      <c r="AH835" s="40">
        <v>0</v>
      </c>
      <c r="AI835" s="41">
        <f t="shared" si="81"/>
        <v>0</v>
      </c>
      <c r="AJ835" s="42">
        <v>0</v>
      </c>
      <c r="AK835" s="42">
        <v>0</v>
      </c>
      <c r="AL835" s="42">
        <v>0</v>
      </c>
      <c r="AM835" s="42">
        <v>0</v>
      </c>
      <c r="AN835" s="42">
        <v>0</v>
      </c>
      <c r="AO835" s="42">
        <v>0</v>
      </c>
      <c r="AP835" s="42">
        <v>0</v>
      </c>
      <c r="AQ835" s="42">
        <v>1861</v>
      </c>
      <c r="AR835" s="42">
        <v>522</v>
      </c>
      <c r="AS835" s="42">
        <v>1861</v>
      </c>
      <c r="AT835" s="42">
        <v>2054.0258000000003</v>
      </c>
      <c r="AU835" s="42">
        <v>1861</v>
      </c>
      <c r="AV835" s="42">
        <f t="shared" si="82"/>
        <v>8159.0258000000003</v>
      </c>
      <c r="AW835" s="42">
        <v>537</v>
      </c>
      <c r="AX835" s="42">
        <v>368</v>
      </c>
      <c r="AY835" s="42">
        <v>0</v>
      </c>
      <c r="AZ835" s="42">
        <v>714</v>
      </c>
      <c r="BA835" s="42">
        <v>0</v>
      </c>
      <c r="BB835" s="42">
        <v>0</v>
      </c>
      <c r="BC835" s="42">
        <v>0</v>
      </c>
      <c r="BD835" s="42">
        <v>0</v>
      </c>
      <c r="BE835" s="42">
        <v>0</v>
      </c>
      <c r="BF835" s="42">
        <v>0</v>
      </c>
      <c r="BG835" s="42">
        <v>0</v>
      </c>
      <c r="BH835" s="42">
        <v>0</v>
      </c>
      <c r="BI835" s="42">
        <v>0</v>
      </c>
      <c r="BJ835" s="42">
        <v>0</v>
      </c>
      <c r="BK835" s="42">
        <v>0</v>
      </c>
      <c r="BL835" s="42">
        <v>0</v>
      </c>
      <c r="BM835" s="42">
        <v>0</v>
      </c>
      <c r="BN835" s="42">
        <v>0</v>
      </c>
      <c r="BO835" s="42">
        <v>0</v>
      </c>
      <c r="BP835" s="42">
        <v>0</v>
      </c>
      <c r="BQ835" s="42">
        <v>0</v>
      </c>
      <c r="BR835" s="42">
        <v>0</v>
      </c>
      <c r="BS835" s="42">
        <v>0</v>
      </c>
      <c r="BT835" s="42">
        <v>0</v>
      </c>
      <c r="BU835" s="42">
        <v>0</v>
      </c>
      <c r="BV835" s="42">
        <v>0</v>
      </c>
      <c r="BW835" s="42">
        <v>0</v>
      </c>
      <c r="BX835" s="42">
        <v>0</v>
      </c>
      <c r="BY835" s="42">
        <v>0</v>
      </c>
      <c r="BZ835" s="42">
        <v>0</v>
      </c>
      <c r="CA835" s="42">
        <v>0</v>
      </c>
      <c r="CB835" s="42">
        <v>0</v>
      </c>
      <c r="CC835" s="42">
        <v>0</v>
      </c>
      <c r="CD835" s="42">
        <v>0</v>
      </c>
      <c r="CE835" s="42">
        <v>0</v>
      </c>
      <c r="CF835" s="42">
        <v>0</v>
      </c>
      <c r="CG835" s="42">
        <v>0</v>
      </c>
      <c r="CH835" s="42">
        <v>0</v>
      </c>
      <c r="CI835" s="42">
        <v>0</v>
      </c>
      <c r="CJ835" s="42">
        <v>0</v>
      </c>
      <c r="CK835" s="43">
        <f t="shared" si="79"/>
        <v>1619</v>
      </c>
      <c r="CL835" s="66"/>
      <c r="CM835" s="66">
        <v>0</v>
      </c>
      <c r="CN835" s="66">
        <v>0</v>
      </c>
      <c r="CO835" s="66">
        <v>0</v>
      </c>
      <c r="CP835" s="66">
        <v>0</v>
      </c>
      <c r="CQ835" s="66">
        <v>0</v>
      </c>
      <c r="CR835" s="66">
        <v>0</v>
      </c>
      <c r="CS835" s="66">
        <v>0</v>
      </c>
      <c r="CT835" s="66">
        <v>0</v>
      </c>
      <c r="CU835" s="66">
        <v>0</v>
      </c>
      <c r="CV835" s="66">
        <v>0</v>
      </c>
      <c r="CW835" s="66">
        <v>0</v>
      </c>
      <c r="CX835" s="66">
        <v>0</v>
      </c>
      <c r="CY835" s="66">
        <v>0</v>
      </c>
      <c r="CZ835" s="66">
        <v>0</v>
      </c>
      <c r="DA835" s="66"/>
      <c r="DB835" s="66"/>
      <c r="DC835" s="66"/>
      <c r="DD835" s="66"/>
      <c r="DE835" s="66"/>
      <c r="DF835" s="66"/>
      <c r="DG835" s="66"/>
      <c r="DH835" s="66"/>
      <c r="DI835" s="66"/>
      <c r="DJ835" s="66"/>
      <c r="DK835" s="66">
        <f>SUM(Table1[[#This Row],[01-03 Apr]:[Mar-26]])</f>
        <v>0</v>
      </c>
    </row>
    <row r="836" spans="1:115" x14ac:dyDescent="0.2">
      <c r="A836" s="28" t="s">
        <v>2255</v>
      </c>
      <c r="B836" s="29" t="s">
        <v>1572</v>
      </c>
      <c r="C836" s="29" t="s">
        <v>1573</v>
      </c>
      <c r="D836" s="30" t="s">
        <v>1574</v>
      </c>
      <c r="E836" s="30" t="s">
        <v>203</v>
      </c>
      <c r="F836" s="30"/>
      <c r="G836" s="31"/>
      <c r="H836" s="30">
        <v>387867</v>
      </c>
      <c r="I836" s="30" t="str">
        <f>IF(Table1[[#This Row],[Centre Status]]="Returned","NA",IF(Table1[[#This Row],[SD]]&gt;19000,"Full Payment",IF(Table1[[#This Row],[SD]]&lt;1,"No Payment","Partial Payment")))</f>
        <v>Partial Payment</v>
      </c>
      <c r="J836" s="30" t="s">
        <v>58</v>
      </c>
      <c r="K836" s="32">
        <v>110000</v>
      </c>
      <c r="L836" s="33">
        <f>Q836+R836+U836+Table1[[#This Row],[Farmer Payment]]</f>
        <v>39741.098781038956</v>
      </c>
      <c r="M836" s="30">
        <f>15000-15000</f>
        <v>0</v>
      </c>
      <c r="N836" s="34">
        <v>45426</v>
      </c>
      <c r="O836" s="34" t="s">
        <v>2447</v>
      </c>
      <c r="P836" s="35">
        <f t="shared" si="80"/>
        <v>70258.901218961051</v>
      </c>
      <c r="Q836" s="33">
        <f>AI836+AV836+CK836+Table1[[#This Row],[FY 25-26]]</f>
        <v>24741.098781038956</v>
      </c>
      <c r="R836" s="36">
        <v>15000</v>
      </c>
      <c r="S836" s="37" t="s">
        <v>1575</v>
      </c>
      <c r="T836" s="38">
        <v>45127</v>
      </c>
      <c r="U836" s="39"/>
      <c r="V836" s="39"/>
      <c r="W836" s="40">
        <v>0</v>
      </c>
      <c r="X836" s="40">
        <v>0</v>
      </c>
      <c r="Y836" s="40">
        <v>0</v>
      </c>
      <c r="Z836" s="40">
        <v>0</v>
      </c>
      <c r="AA836" s="40">
        <v>0</v>
      </c>
      <c r="AB836" s="40">
        <v>0</v>
      </c>
      <c r="AC836" s="40">
        <v>0</v>
      </c>
      <c r="AD836" s="40">
        <v>0</v>
      </c>
      <c r="AE836" s="40">
        <v>0</v>
      </c>
      <c r="AF836" s="40">
        <v>0</v>
      </c>
      <c r="AG836" s="40">
        <v>0</v>
      </c>
      <c r="AH836" s="40">
        <v>0</v>
      </c>
      <c r="AI836" s="41">
        <f t="shared" si="81"/>
        <v>0</v>
      </c>
      <c r="AJ836" s="42">
        <v>0</v>
      </c>
      <c r="AK836" s="42">
        <v>0</v>
      </c>
      <c r="AL836" s="42">
        <v>0</v>
      </c>
      <c r="AM836" s="42">
        <v>0</v>
      </c>
      <c r="AN836" s="42">
        <v>0</v>
      </c>
      <c r="AO836" s="42">
        <v>0</v>
      </c>
      <c r="AP836" s="42">
        <v>0</v>
      </c>
      <c r="AQ836" s="42">
        <v>0</v>
      </c>
      <c r="AR836" s="42">
        <v>1861</v>
      </c>
      <c r="AS836" s="42">
        <v>1993.2870000000003</v>
      </c>
      <c r="AT836" s="42">
        <v>4101.2098000000005</v>
      </c>
      <c r="AU836" s="42">
        <v>3565.6648000000005</v>
      </c>
      <c r="AV836" s="42">
        <f t="shared" si="82"/>
        <v>11521.161600000001</v>
      </c>
      <c r="AW836" s="42">
        <v>2911.601525189833</v>
      </c>
      <c r="AX836" s="42">
        <v>2643.5885865666405</v>
      </c>
      <c r="AY836" s="42">
        <v>3548.1402311270399</v>
      </c>
      <c r="AZ836" s="42">
        <v>0</v>
      </c>
      <c r="BA836" s="42">
        <v>0</v>
      </c>
      <c r="BB836" s="42">
        <v>0</v>
      </c>
      <c r="BC836" s="42">
        <v>0</v>
      </c>
      <c r="BD836" s="42">
        <v>0</v>
      </c>
      <c r="BE836" s="42">
        <v>0</v>
      </c>
      <c r="BF836" s="42">
        <v>0</v>
      </c>
      <c r="BG836" s="42">
        <v>0</v>
      </c>
      <c r="BH836" s="42">
        <v>0</v>
      </c>
      <c r="BI836" s="42">
        <v>0</v>
      </c>
      <c r="BJ836" s="42">
        <v>0</v>
      </c>
      <c r="BK836" s="42">
        <v>0</v>
      </c>
      <c r="BL836" s="42">
        <v>0</v>
      </c>
      <c r="BM836" s="42">
        <v>0</v>
      </c>
      <c r="BN836" s="42">
        <v>0</v>
      </c>
      <c r="BO836" s="42">
        <v>0</v>
      </c>
      <c r="BP836" s="42">
        <v>0</v>
      </c>
      <c r="BQ836" s="42">
        <v>0</v>
      </c>
      <c r="BR836" s="42">
        <v>0</v>
      </c>
      <c r="BS836" s="42">
        <v>0</v>
      </c>
      <c r="BT836" s="42">
        <v>0</v>
      </c>
      <c r="BU836" s="42">
        <v>0</v>
      </c>
      <c r="BV836" s="42">
        <v>0</v>
      </c>
      <c r="BW836" s="42">
        <v>0</v>
      </c>
      <c r="BX836" s="42">
        <v>0</v>
      </c>
      <c r="BY836" s="42">
        <v>0</v>
      </c>
      <c r="BZ836" s="42">
        <v>0</v>
      </c>
      <c r="CA836" s="42">
        <v>0</v>
      </c>
      <c r="CB836" s="42">
        <v>0</v>
      </c>
      <c r="CC836" s="42">
        <v>0</v>
      </c>
      <c r="CD836" s="42">
        <v>2574.6068381554387</v>
      </c>
      <c r="CE836" s="42">
        <v>0</v>
      </c>
      <c r="CF836" s="42">
        <v>0</v>
      </c>
      <c r="CG836" s="42">
        <v>0</v>
      </c>
      <c r="CH836" s="42">
        <v>0</v>
      </c>
      <c r="CI836" s="42">
        <v>0</v>
      </c>
      <c r="CJ836" s="42">
        <v>1410</v>
      </c>
      <c r="CK836" s="43">
        <f t="shared" si="79"/>
        <v>13087.937181038953</v>
      </c>
      <c r="CL836" s="66"/>
      <c r="CM836" s="66">
        <v>0</v>
      </c>
      <c r="CN836" s="66">
        <v>0</v>
      </c>
      <c r="CO836" s="66">
        <v>0</v>
      </c>
      <c r="CP836" s="66">
        <v>132</v>
      </c>
      <c r="CQ836" s="66">
        <v>0</v>
      </c>
      <c r="CR836" s="66">
        <v>0</v>
      </c>
      <c r="CS836" s="66">
        <v>0</v>
      </c>
      <c r="CT836" s="66">
        <v>0</v>
      </c>
      <c r="CU836" s="66">
        <v>0</v>
      </c>
      <c r="CV836" s="66">
        <v>0</v>
      </c>
      <c r="CW836" s="66">
        <v>0</v>
      </c>
      <c r="CX836" s="66">
        <v>0</v>
      </c>
      <c r="CY836" s="66">
        <v>0</v>
      </c>
      <c r="CZ836" s="66">
        <v>0</v>
      </c>
      <c r="DA836" s="66"/>
      <c r="DB836" s="66"/>
      <c r="DC836" s="66"/>
      <c r="DD836" s="66"/>
      <c r="DE836" s="66"/>
      <c r="DF836" s="66"/>
      <c r="DG836" s="66"/>
      <c r="DH836" s="66"/>
      <c r="DI836" s="66"/>
      <c r="DJ836" s="66"/>
      <c r="DK836" s="66">
        <f>SUM(Table1[[#This Row],[01-03 Apr]:[Mar-26]])</f>
        <v>132</v>
      </c>
    </row>
    <row r="837" spans="1:115" hidden="1" x14ac:dyDescent="0.2">
      <c r="A837" s="28" t="s">
        <v>2367</v>
      </c>
      <c r="B837" s="29" t="s">
        <v>1651</v>
      </c>
      <c r="C837" s="29" t="s">
        <v>1652</v>
      </c>
      <c r="D837" s="30" t="s">
        <v>1653</v>
      </c>
      <c r="E837" s="30" t="s">
        <v>177</v>
      </c>
      <c r="F837" s="30"/>
      <c r="G837" s="31"/>
      <c r="H837" s="30"/>
      <c r="I837" s="30" t="str">
        <f>IF(Table1[[#This Row],[Centre Status]]="Returned","NA",IF(Table1[[#This Row],[SD]]&gt;19000,"Full Payment",IF(Table1[[#This Row],[SD]]&lt;1,"No Payment","Partial Payment")))</f>
        <v>NA</v>
      </c>
      <c r="J837" s="30" t="s">
        <v>1903</v>
      </c>
      <c r="K837" s="32">
        <v>110000</v>
      </c>
      <c r="L837" s="33">
        <f>Q837+R837+U837+Table1[[#This Row],[Farmer Payment]]</f>
        <v>18226</v>
      </c>
      <c r="M837" s="30"/>
      <c r="N837" s="34"/>
      <c r="O837" s="34"/>
      <c r="P837" s="35">
        <f t="shared" si="80"/>
        <v>91774</v>
      </c>
      <c r="Q837" s="33">
        <f>AI837+AV837+CK837+Table1[[#This Row],[FY 25-26]]</f>
        <v>8226</v>
      </c>
      <c r="R837" s="36">
        <v>10000</v>
      </c>
      <c r="S837" s="37" t="s">
        <v>1654</v>
      </c>
      <c r="T837" s="38">
        <v>45206</v>
      </c>
      <c r="U837" s="39"/>
      <c r="V837" s="39"/>
      <c r="W837" s="40">
        <v>0</v>
      </c>
      <c r="X837" s="40">
        <v>0</v>
      </c>
      <c r="Y837" s="40">
        <v>0</v>
      </c>
      <c r="Z837" s="40">
        <v>0</v>
      </c>
      <c r="AA837" s="40">
        <v>0</v>
      </c>
      <c r="AB837" s="40">
        <v>0</v>
      </c>
      <c r="AC837" s="40">
        <v>0</v>
      </c>
      <c r="AD837" s="40">
        <v>0</v>
      </c>
      <c r="AE837" s="40">
        <v>0</v>
      </c>
      <c r="AF837" s="40">
        <v>0</v>
      </c>
      <c r="AG837" s="40">
        <v>0</v>
      </c>
      <c r="AH837" s="40">
        <v>0</v>
      </c>
      <c r="AI837" s="41">
        <f t="shared" si="81"/>
        <v>0</v>
      </c>
      <c r="AJ837" s="42">
        <v>0</v>
      </c>
      <c r="AK837" s="42">
        <v>0</v>
      </c>
      <c r="AL837" s="42">
        <v>0</v>
      </c>
      <c r="AM837" s="42">
        <v>0</v>
      </c>
      <c r="AN837" s="42">
        <v>0</v>
      </c>
      <c r="AO837" s="42">
        <v>0</v>
      </c>
      <c r="AP837" s="42">
        <v>0</v>
      </c>
      <c r="AQ837" s="42">
        <v>1861</v>
      </c>
      <c r="AR837" s="42">
        <v>1861</v>
      </c>
      <c r="AS837" s="42">
        <v>1861</v>
      </c>
      <c r="AT837" s="42">
        <v>975</v>
      </c>
      <c r="AU837" s="42">
        <v>0</v>
      </c>
      <c r="AV837" s="42">
        <f t="shared" si="82"/>
        <v>6558</v>
      </c>
      <c r="AW837" s="42">
        <v>0</v>
      </c>
      <c r="AX837" s="42">
        <v>668</v>
      </c>
      <c r="AY837" s="42">
        <v>0</v>
      </c>
      <c r="AZ837" s="42">
        <v>0</v>
      </c>
      <c r="BA837" s="42">
        <v>0</v>
      </c>
      <c r="BB837" s="42">
        <v>500</v>
      </c>
      <c r="BC837" s="42">
        <v>0</v>
      </c>
      <c r="BD837" s="42">
        <v>500</v>
      </c>
      <c r="BE837" s="42">
        <v>0</v>
      </c>
      <c r="BF837" s="42">
        <v>0</v>
      </c>
      <c r="BG837" s="42">
        <v>0</v>
      </c>
      <c r="BH837" s="42">
        <v>0</v>
      </c>
      <c r="BI837" s="42">
        <v>0</v>
      </c>
      <c r="BJ837" s="42">
        <v>0</v>
      </c>
      <c r="BK837" s="42">
        <v>0</v>
      </c>
      <c r="BL837" s="42">
        <v>0</v>
      </c>
      <c r="BM837" s="42">
        <v>0</v>
      </c>
      <c r="BN837" s="42">
        <v>0</v>
      </c>
      <c r="BO837" s="42">
        <v>0</v>
      </c>
      <c r="BP837" s="42">
        <v>0</v>
      </c>
      <c r="BQ837" s="42">
        <v>0</v>
      </c>
      <c r="BR837" s="42">
        <v>0</v>
      </c>
      <c r="BS837" s="42">
        <v>0</v>
      </c>
      <c r="BT837" s="42">
        <v>0</v>
      </c>
      <c r="BU837" s="42">
        <v>0</v>
      </c>
      <c r="BV837" s="42">
        <v>0</v>
      </c>
      <c r="BW837" s="42">
        <v>0</v>
      </c>
      <c r="BX837" s="42">
        <v>0</v>
      </c>
      <c r="BY837" s="42">
        <v>0</v>
      </c>
      <c r="BZ837" s="42">
        <v>0</v>
      </c>
      <c r="CA837" s="42">
        <v>0</v>
      </c>
      <c r="CB837" s="42">
        <v>0</v>
      </c>
      <c r="CC837" s="42">
        <v>0</v>
      </c>
      <c r="CD837" s="42">
        <v>0</v>
      </c>
      <c r="CE837" s="42">
        <v>0</v>
      </c>
      <c r="CF837" s="42">
        <v>0</v>
      </c>
      <c r="CG837" s="42">
        <v>0</v>
      </c>
      <c r="CH837" s="42">
        <v>0</v>
      </c>
      <c r="CI837" s="42">
        <v>0</v>
      </c>
      <c r="CJ837" s="42">
        <v>0</v>
      </c>
      <c r="CK837" s="43">
        <f t="shared" si="79"/>
        <v>1668</v>
      </c>
      <c r="CL837" s="66"/>
      <c r="CM837" s="66">
        <v>0</v>
      </c>
      <c r="CN837" s="66">
        <v>0</v>
      </c>
      <c r="CO837" s="66">
        <v>0</v>
      </c>
      <c r="CP837" s="66">
        <v>0</v>
      </c>
      <c r="CQ837" s="66">
        <v>0</v>
      </c>
      <c r="CR837" s="66">
        <v>0</v>
      </c>
      <c r="CS837" s="66">
        <v>0</v>
      </c>
      <c r="CT837" s="66">
        <v>0</v>
      </c>
      <c r="CU837" s="66">
        <v>0</v>
      </c>
      <c r="CV837" s="66">
        <v>0</v>
      </c>
      <c r="CW837" s="66">
        <v>0</v>
      </c>
      <c r="CX837" s="66">
        <v>0</v>
      </c>
      <c r="CY837" s="66">
        <v>0</v>
      </c>
      <c r="CZ837" s="66">
        <v>0</v>
      </c>
      <c r="DA837" s="66"/>
      <c r="DB837" s="66"/>
      <c r="DC837" s="66"/>
      <c r="DD837" s="66"/>
      <c r="DE837" s="66"/>
      <c r="DF837" s="66"/>
      <c r="DG837" s="66"/>
      <c r="DH837" s="66"/>
      <c r="DI837" s="66"/>
      <c r="DJ837" s="66"/>
      <c r="DK837" s="66">
        <f>SUM(Table1[[#This Row],[01-03 Apr]:[Mar-26]])</f>
        <v>0</v>
      </c>
    </row>
    <row r="838" spans="1:115" hidden="1" x14ac:dyDescent="0.2">
      <c r="A838" s="28" t="s">
        <v>2255</v>
      </c>
      <c r="B838" s="29" t="s">
        <v>1679</v>
      </c>
      <c r="C838" s="29" t="s">
        <v>3346</v>
      </c>
      <c r="D838" s="30" t="s">
        <v>1680</v>
      </c>
      <c r="E838" s="30" t="s">
        <v>906</v>
      </c>
      <c r="F838" s="30"/>
      <c r="G838" s="31"/>
      <c r="H838" s="30">
        <v>2328248</v>
      </c>
      <c r="I838" s="30" t="str">
        <f>IF(Table1[[#This Row],[Centre Status]]="Returned","NA",IF(Table1[[#This Row],[SD]]&gt;19000,"Full Payment",IF(Table1[[#This Row],[SD]]&lt;1,"No Payment","Partial Payment")))</f>
        <v>NA</v>
      </c>
      <c r="J838" s="30" t="s">
        <v>1903</v>
      </c>
      <c r="K838" s="32">
        <v>110000</v>
      </c>
      <c r="L838" s="33">
        <f>Q838+R838+U838+Table1[[#This Row],[Farmer Payment]]</f>
        <v>13119</v>
      </c>
      <c r="M838" s="30"/>
      <c r="N838" s="34"/>
      <c r="O838" s="34"/>
      <c r="P838" s="35">
        <f t="shared" si="80"/>
        <v>96881</v>
      </c>
      <c r="Q838" s="33">
        <f>AI838+AV838+CK838+Table1[[#This Row],[FY 25-26]]</f>
        <v>3119</v>
      </c>
      <c r="R838" s="36">
        <v>10000</v>
      </c>
      <c r="S838" s="37" t="s">
        <v>1681</v>
      </c>
      <c r="T838" s="38">
        <v>45159</v>
      </c>
      <c r="U838" s="39"/>
      <c r="V838" s="39"/>
      <c r="W838" s="40">
        <v>0</v>
      </c>
      <c r="X838" s="40">
        <v>0</v>
      </c>
      <c r="Y838" s="40">
        <v>0</v>
      </c>
      <c r="Z838" s="40">
        <v>0</v>
      </c>
      <c r="AA838" s="40">
        <v>0</v>
      </c>
      <c r="AB838" s="40">
        <v>0</v>
      </c>
      <c r="AC838" s="40">
        <v>0</v>
      </c>
      <c r="AD838" s="40">
        <v>0</v>
      </c>
      <c r="AE838" s="40">
        <v>0</v>
      </c>
      <c r="AF838" s="40">
        <v>0</v>
      </c>
      <c r="AG838" s="40">
        <v>0</v>
      </c>
      <c r="AH838" s="40">
        <v>0</v>
      </c>
      <c r="AI838" s="41">
        <f t="shared" si="81"/>
        <v>0</v>
      </c>
      <c r="AJ838" s="42">
        <v>0</v>
      </c>
      <c r="AK838" s="42">
        <v>0</v>
      </c>
      <c r="AL838" s="42">
        <v>0</v>
      </c>
      <c r="AM838" s="42">
        <v>0</v>
      </c>
      <c r="AN838" s="42">
        <v>0</v>
      </c>
      <c r="AO838" s="42">
        <v>0</v>
      </c>
      <c r="AP838" s="42">
        <v>0</v>
      </c>
      <c r="AQ838" s="42">
        <v>1861</v>
      </c>
      <c r="AR838" s="42">
        <v>1258</v>
      </c>
      <c r="AS838" s="42">
        <v>0</v>
      </c>
      <c r="AT838" s="42">
        <v>0</v>
      </c>
      <c r="AU838" s="42">
        <v>0</v>
      </c>
      <c r="AV838" s="42">
        <f t="shared" si="82"/>
        <v>3119</v>
      </c>
      <c r="AW838" s="42">
        <v>0</v>
      </c>
      <c r="AX838" s="42">
        <v>0</v>
      </c>
      <c r="AY838" s="42">
        <v>0</v>
      </c>
      <c r="AZ838" s="42">
        <v>0</v>
      </c>
      <c r="BA838" s="42">
        <v>0</v>
      </c>
      <c r="BB838" s="42">
        <v>0</v>
      </c>
      <c r="BC838" s="42">
        <v>0</v>
      </c>
      <c r="BD838" s="42">
        <v>0</v>
      </c>
      <c r="BE838" s="42">
        <v>0</v>
      </c>
      <c r="BF838" s="42">
        <v>0</v>
      </c>
      <c r="BG838" s="42">
        <v>0</v>
      </c>
      <c r="BH838" s="42">
        <v>0</v>
      </c>
      <c r="BI838" s="42">
        <v>0</v>
      </c>
      <c r="BJ838" s="42">
        <v>0</v>
      </c>
      <c r="BK838" s="42">
        <v>0</v>
      </c>
      <c r="BL838" s="42">
        <v>0</v>
      </c>
      <c r="BM838" s="42">
        <v>0</v>
      </c>
      <c r="BN838" s="42">
        <v>0</v>
      </c>
      <c r="BO838" s="42">
        <v>0</v>
      </c>
      <c r="BP838" s="42">
        <v>0</v>
      </c>
      <c r="BQ838" s="42">
        <v>0</v>
      </c>
      <c r="BR838" s="42">
        <v>0</v>
      </c>
      <c r="BS838" s="42">
        <v>0</v>
      </c>
      <c r="BT838" s="42">
        <v>0</v>
      </c>
      <c r="BU838" s="42">
        <v>0</v>
      </c>
      <c r="BV838" s="42">
        <v>0</v>
      </c>
      <c r="BW838" s="42">
        <v>0</v>
      </c>
      <c r="BX838" s="42">
        <v>0</v>
      </c>
      <c r="BY838" s="42">
        <v>0</v>
      </c>
      <c r="BZ838" s="42">
        <v>0</v>
      </c>
      <c r="CA838" s="42">
        <v>0</v>
      </c>
      <c r="CB838" s="42">
        <v>0</v>
      </c>
      <c r="CC838" s="42">
        <v>0</v>
      </c>
      <c r="CD838" s="42">
        <v>0</v>
      </c>
      <c r="CE838" s="42">
        <v>0</v>
      </c>
      <c r="CF838" s="42">
        <v>0</v>
      </c>
      <c r="CG838" s="42">
        <v>0</v>
      </c>
      <c r="CH838" s="42">
        <v>0</v>
      </c>
      <c r="CI838" s="42">
        <v>0</v>
      </c>
      <c r="CJ838" s="42">
        <v>0</v>
      </c>
      <c r="CK838" s="43">
        <f t="shared" si="79"/>
        <v>0</v>
      </c>
      <c r="CL838" s="66"/>
      <c r="CM838" s="66">
        <v>0</v>
      </c>
      <c r="CN838" s="66">
        <v>0</v>
      </c>
      <c r="CO838" s="66">
        <v>0</v>
      </c>
      <c r="CP838" s="66">
        <v>0</v>
      </c>
      <c r="CQ838" s="66">
        <v>0</v>
      </c>
      <c r="CR838" s="66">
        <v>0</v>
      </c>
      <c r="CS838" s="66">
        <v>0</v>
      </c>
      <c r="CT838" s="66">
        <v>0</v>
      </c>
      <c r="CU838" s="66">
        <v>0</v>
      </c>
      <c r="CV838" s="66">
        <v>0</v>
      </c>
      <c r="CW838" s="66">
        <v>0</v>
      </c>
      <c r="CX838" s="66">
        <v>0</v>
      </c>
      <c r="CY838" s="66">
        <v>0</v>
      </c>
      <c r="CZ838" s="66">
        <v>0</v>
      </c>
      <c r="DA838" s="66"/>
      <c r="DB838" s="66"/>
      <c r="DC838" s="66"/>
      <c r="DD838" s="66"/>
      <c r="DE838" s="66"/>
      <c r="DF838" s="66"/>
      <c r="DG838" s="66"/>
      <c r="DH838" s="66"/>
      <c r="DI838" s="66"/>
      <c r="DJ838" s="66"/>
      <c r="DK838" s="66">
        <f>SUM(Table1[[#This Row],[01-03 Apr]:[Mar-26]])</f>
        <v>0</v>
      </c>
    </row>
    <row r="839" spans="1:115" hidden="1" x14ac:dyDescent="0.2">
      <c r="A839" s="28" t="s">
        <v>2367</v>
      </c>
      <c r="B839" s="29" t="s">
        <v>1682</v>
      </c>
      <c r="C839" s="29" t="s">
        <v>1683</v>
      </c>
      <c r="D839" s="30" t="s">
        <v>475</v>
      </c>
      <c r="E839" s="30" t="s">
        <v>203</v>
      </c>
      <c r="F839" s="30"/>
      <c r="G839" s="31"/>
      <c r="H839" s="30">
        <v>316987</v>
      </c>
      <c r="I839" s="30" t="str">
        <f>IF(Table1[[#This Row],[Centre Status]]="Returned","NA",IF(Table1[[#This Row],[SD]]&gt;19000,"Full Payment",IF(Table1[[#This Row],[SD]]&lt;1,"No Payment","Partial Payment")))</f>
        <v>NA</v>
      </c>
      <c r="J839" s="30" t="s">
        <v>1903</v>
      </c>
      <c r="K839" s="32">
        <v>110000</v>
      </c>
      <c r="L839" s="33">
        <f>Q839+R839+U839+Table1[[#This Row],[Farmer Payment]]</f>
        <v>19006.976200000001</v>
      </c>
      <c r="M839" s="30">
        <v>10000</v>
      </c>
      <c r="N839" s="34">
        <v>45694</v>
      </c>
      <c r="O839" s="34" t="s">
        <v>3155</v>
      </c>
      <c r="P839" s="35">
        <f t="shared" si="80"/>
        <v>100993.0238</v>
      </c>
      <c r="Q839" s="33">
        <f>AI839+AV839+CK839+Table1[[#This Row],[FY 25-26]]</f>
        <v>9006.976200000001</v>
      </c>
      <c r="R839" s="36">
        <v>10000</v>
      </c>
      <c r="S839" s="37" t="s">
        <v>1684</v>
      </c>
      <c r="T839" s="38">
        <v>45226</v>
      </c>
      <c r="U839" s="39"/>
      <c r="V839" s="39"/>
      <c r="W839" s="40">
        <v>0</v>
      </c>
      <c r="X839" s="40">
        <v>0</v>
      </c>
      <c r="Y839" s="40">
        <v>0</v>
      </c>
      <c r="Z839" s="40">
        <v>0</v>
      </c>
      <c r="AA839" s="40">
        <v>0</v>
      </c>
      <c r="AB839" s="40">
        <v>0</v>
      </c>
      <c r="AC839" s="40">
        <v>0</v>
      </c>
      <c r="AD839" s="40">
        <v>0</v>
      </c>
      <c r="AE839" s="40">
        <v>0</v>
      </c>
      <c r="AF839" s="40">
        <v>0</v>
      </c>
      <c r="AG839" s="40">
        <v>0</v>
      </c>
      <c r="AH839" s="40">
        <v>0</v>
      </c>
      <c r="AI839" s="41">
        <f t="shared" si="81"/>
        <v>0</v>
      </c>
      <c r="AJ839" s="42">
        <v>0</v>
      </c>
      <c r="AK839" s="42">
        <v>0</v>
      </c>
      <c r="AL839" s="42">
        <v>0</v>
      </c>
      <c r="AM839" s="42">
        <v>0</v>
      </c>
      <c r="AN839" s="42">
        <v>0</v>
      </c>
      <c r="AO839" s="42">
        <v>0</v>
      </c>
      <c r="AP839" s="42">
        <v>0</v>
      </c>
      <c r="AQ839" s="42">
        <v>164</v>
      </c>
      <c r="AR839" s="42">
        <v>1861</v>
      </c>
      <c r="AS839" s="42">
        <v>2258.6794</v>
      </c>
      <c r="AT839" s="42">
        <v>2138.2968000000001</v>
      </c>
      <c r="AU839" s="42">
        <v>1861</v>
      </c>
      <c r="AV839" s="42">
        <f t="shared" si="82"/>
        <v>8282.976200000001</v>
      </c>
      <c r="AW839" s="42">
        <v>724</v>
      </c>
      <c r="AX839" s="42">
        <v>0</v>
      </c>
      <c r="AY839" s="42">
        <v>0</v>
      </c>
      <c r="AZ839" s="42">
        <v>0</v>
      </c>
      <c r="BA839" s="42">
        <v>0</v>
      </c>
      <c r="BB839" s="42">
        <v>0</v>
      </c>
      <c r="BC839" s="42">
        <v>0</v>
      </c>
      <c r="BD839" s="42">
        <v>0</v>
      </c>
      <c r="BE839" s="42">
        <v>0</v>
      </c>
      <c r="BF839" s="42">
        <v>0</v>
      </c>
      <c r="BG839" s="42">
        <v>0</v>
      </c>
      <c r="BH839" s="42">
        <v>0</v>
      </c>
      <c r="BI839" s="42">
        <v>0</v>
      </c>
      <c r="BJ839" s="42">
        <v>0</v>
      </c>
      <c r="BK839" s="42">
        <v>0</v>
      </c>
      <c r="BL839" s="42">
        <v>0</v>
      </c>
      <c r="BM839" s="42">
        <v>0</v>
      </c>
      <c r="BN839" s="42">
        <v>0</v>
      </c>
      <c r="BO839" s="42">
        <v>0</v>
      </c>
      <c r="BP839" s="42">
        <v>0</v>
      </c>
      <c r="BQ839" s="42">
        <v>0</v>
      </c>
      <c r="BR839" s="42">
        <v>0</v>
      </c>
      <c r="BS839" s="42">
        <v>0</v>
      </c>
      <c r="BT839" s="42">
        <v>0</v>
      </c>
      <c r="BU839" s="42">
        <v>0</v>
      </c>
      <c r="BV839" s="42">
        <v>0</v>
      </c>
      <c r="BW839" s="42">
        <v>0</v>
      </c>
      <c r="BX839" s="42">
        <v>0</v>
      </c>
      <c r="BY839" s="42">
        <v>0</v>
      </c>
      <c r="BZ839" s="42">
        <v>0</v>
      </c>
      <c r="CA839" s="42">
        <v>0</v>
      </c>
      <c r="CB839" s="42">
        <v>0</v>
      </c>
      <c r="CC839" s="42">
        <v>0</v>
      </c>
      <c r="CD839" s="42">
        <v>0</v>
      </c>
      <c r="CE839" s="42">
        <v>0</v>
      </c>
      <c r="CF839" s="42">
        <v>0</v>
      </c>
      <c r="CG839" s="42">
        <v>0</v>
      </c>
      <c r="CH839" s="42">
        <v>0</v>
      </c>
      <c r="CI839" s="42">
        <v>0</v>
      </c>
      <c r="CJ839" s="42">
        <v>0</v>
      </c>
      <c r="CK839" s="43">
        <f t="shared" si="79"/>
        <v>724</v>
      </c>
      <c r="CL839" s="66"/>
      <c r="CM839" s="66">
        <v>0</v>
      </c>
      <c r="CN839" s="66">
        <v>0</v>
      </c>
      <c r="CO839" s="66">
        <v>0</v>
      </c>
      <c r="CP839" s="66">
        <v>0</v>
      </c>
      <c r="CQ839" s="66">
        <v>0</v>
      </c>
      <c r="CR839" s="66">
        <v>0</v>
      </c>
      <c r="CS839" s="66">
        <v>0</v>
      </c>
      <c r="CT839" s="66">
        <v>0</v>
      </c>
      <c r="CU839" s="66">
        <v>0</v>
      </c>
      <c r="CV839" s="66">
        <v>0</v>
      </c>
      <c r="CW839" s="66">
        <v>0</v>
      </c>
      <c r="CX839" s="66">
        <v>0</v>
      </c>
      <c r="CY839" s="66">
        <v>0</v>
      </c>
      <c r="CZ839" s="66">
        <v>0</v>
      </c>
      <c r="DA839" s="66"/>
      <c r="DB839" s="66"/>
      <c r="DC839" s="66"/>
      <c r="DD839" s="66"/>
      <c r="DE839" s="66"/>
      <c r="DF839" s="66"/>
      <c r="DG839" s="66"/>
      <c r="DH839" s="66"/>
      <c r="DI839" s="66"/>
      <c r="DJ839" s="66"/>
      <c r="DK839" s="66">
        <f>SUM(Table1[[#This Row],[01-03 Apr]:[Mar-26]])</f>
        <v>0</v>
      </c>
    </row>
    <row r="840" spans="1:115" hidden="1" x14ac:dyDescent="0.2">
      <c r="A840" s="28" t="s">
        <v>2367</v>
      </c>
      <c r="B840" s="29" t="s">
        <v>1685</v>
      </c>
      <c r="C840" s="29" t="s">
        <v>1686</v>
      </c>
      <c r="D840" s="30" t="s">
        <v>679</v>
      </c>
      <c r="E840" s="30" t="s">
        <v>203</v>
      </c>
      <c r="F840" s="30"/>
      <c r="G840" s="31"/>
      <c r="H840" s="30">
        <v>277494</v>
      </c>
      <c r="I840" s="30" t="str">
        <f>IF(Table1[[#This Row],[Centre Status]]="Returned","NA",IF(Table1[[#This Row],[SD]]&gt;19000,"Full Payment",IF(Table1[[#This Row],[SD]]&lt;1,"No Payment","Partial Payment")))</f>
        <v>NA</v>
      </c>
      <c r="J840" s="30" t="s">
        <v>1903</v>
      </c>
      <c r="K840" s="32">
        <v>110000</v>
      </c>
      <c r="L840" s="33">
        <f>Q840+R840+U840+Table1[[#This Row],[Farmer Payment]]</f>
        <v>15035.909415267241</v>
      </c>
      <c r="M840" s="30">
        <f>10000-10000</f>
        <v>0</v>
      </c>
      <c r="N840" s="34"/>
      <c r="O840" s="34"/>
      <c r="P840" s="35">
        <f t="shared" si="80"/>
        <v>94964.090584732767</v>
      </c>
      <c r="Q840" s="33">
        <f>AI840+AV840+CK840+Table1[[#This Row],[FY 25-26]]</f>
        <v>5035.9094152672415</v>
      </c>
      <c r="R840" s="36">
        <v>10000</v>
      </c>
      <c r="S840" s="37" t="s">
        <v>2551</v>
      </c>
      <c r="T840" s="38">
        <v>45254</v>
      </c>
      <c r="U840" s="39"/>
      <c r="V840" s="39"/>
      <c r="W840" s="40">
        <v>0</v>
      </c>
      <c r="X840" s="40">
        <v>0</v>
      </c>
      <c r="Y840" s="40">
        <v>0</v>
      </c>
      <c r="Z840" s="40">
        <v>0</v>
      </c>
      <c r="AA840" s="40">
        <v>0</v>
      </c>
      <c r="AB840" s="40">
        <v>0</v>
      </c>
      <c r="AC840" s="40">
        <v>0</v>
      </c>
      <c r="AD840" s="40">
        <v>0</v>
      </c>
      <c r="AE840" s="40">
        <v>0</v>
      </c>
      <c r="AF840" s="40">
        <v>0</v>
      </c>
      <c r="AG840" s="40">
        <v>0</v>
      </c>
      <c r="AH840" s="40">
        <v>0</v>
      </c>
      <c r="AI840" s="41">
        <f t="shared" si="81"/>
        <v>0</v>
      </c>
      <c r="AJ840" s="42">
        <v>0</v>
      </c>
      <c r="AK840" s="42">
        <v>0</v>
      </c>
      <c r="AL840" s="42">
        <v>0</v>
      </c>
      <c r="AM840" s="42">
        <v>0</v>
      </c>
      <c r="AN840" s="42">
        <v>0</v>
      </c>
      <c r="AO840" s="42">
        <v>0</v>
      </c>
      <c r="AP840" s="42">
        <v>0</v>
      </c>
      <c r="AQ840" s="42">
        <v>0</v>
      </c>
      <c r="AR840" s="42">
        <v>0</v>
      </c>
      <c r="AS840" s="42">
        <v>655</v>
      </c>
      <c r="AT840" s="42">
        <v>1149.9094152672415</v>
      </c>
      <c r="AU840" s="42">
        <v>1459</v>
      </c>
      <c r="AV840" s="42">
        <f t="shared" si="82"/>
        <v>3263.9094152672415</v>
      </c>
      <c r="AW840" s="42">
        <v>1127</v>
      </c>
      <c r="AX840" s="42">
        <v>645</v>
      </c>
      <c r="AY840" s="42">
        <v>0</v>
      </c>
      <c r="AZ840" s="42">
        <v>0</v>
      </c>
      <c r="BA840" s="42">
        <v>0</v>
      </c>
      <c r="BB840" s="42">
        <v>0</v>
      </c>
      <c r="BC840" s="42">
        <v>0</v>
      </c>
      <c r="BD840" s="42">
        <v>0</v>
      </c>
      <c r="BE840" s="42">
        <v>0</v>
      </c>
      <c r="BF840" s="42">
        <v>0</v>
      </c>
      <c r="BG840" s="42">
        <v>0</v>
      </c>
      <c r="BH840" s="42">
        <v>0</v>
      </c>
      <c r="BI840" s="42">
        <v>0</v>
      </c>
      <c r="BJ840" s="42">
        <v>0</v>
      </c>
      <c r="BK840" s="42">
        <v>0</v>
      </c>
      <c r="BL840" s="42">
        <v>0</v>
      </c>
      <c r="BM840" s="42">
        <v>0</v>
      </c>
      <c r="BN840" s="42">
        <v>0</v>
      </c>
      <c r="BO840" s="42">
        <v>0</v>
      </c>
      <c r="BP840" s="42">
        <v>0</v>
      </c>
      <c r="BQ840" s="42">
        <v>0</v>
      </c>
      <c r="BR840" s="42">
        <v>0</v>
      </c>
      <c r="BS840" s="42">
        <v>0</v>
      </c>
      <c r="BT840" s="42">
        <v>0</v>
      </c>
      <c r="BU840" s="42">
        <v>0</v>
      </c>
      <c r="BV840" s="42">
        <v>0</v>
      </c>
      <c r="BW840" s="42">
        <v>0</v>
      </c>
      <c r="BX840" s="42">
        <v>0</v>
      </c>
      <c r="BY840" s="42">
        <v>0</v>
      </c>
      <c r="BZ840" s="42">
        <v>0</v>
      </c>
      <c r="CA840" s="42">
        <v>0</v>
      </c>
      <c r="CB840" s="42">
        <v>0</v>
      </c>
      <c r="CC840" s="42">
        <v>0</v>
      </c>
      <c r="CD840" s="42">
        <v>0</v>
      </c>
      <c r="CE840" s="42">
        <v>0</v>
      </c>
      <c r="CF840" s="42">
        <v>0</v>
      </c>
      <c r="CG840" s="42">
        <v>0</v>
      </c>
      <c r="CH840" s="42">
        <v>0</v>
      </c>
      <c r="CI840" s="42">
        <v>0</v>
      </c>
      <c r="CJ840" s="42">
        <v>0</v>
      </c>
      <c r="CK840" s="43">
        <f t="shared" si="79"/>
        <v>1772</v>
      </c>
      <c r="CL840" s="66"/>
      <c r="CM840" s="66">
        <v>0</v>
      </c>
      <c r="CN840" s="66">
        <v>0</v>
      </c>
      <c r="CO840" s="66">
        <v>0</v>
      </c>
      <c r="CP840" s="66">
        <v>0</v>
      </c>
      <c r="CQ840" s="66">
        <v>0</v>
      </c>
      <c r="CR840" s="66">
        <v>0</v>
      </c>
      <c r="CS840" s="66">
        <v>0</v>
      </c>
      <c r="CT840" s="66">
        <v>0</v>
      </c>
      <c r="CU840" s="66">
        <v>0</v>
      </c>
      <c r="CV840" s="66">
        <v>0</v>
      </c>
      <c r="CW840" s="66">
        <v>0</v>
      </c>
      <c r="CX840" s="66">
        <v>0</v>
      </c>
      <c r="CY840" s="66">
        <v>0</v>
      </c>
      <c r="CZ840" s="66">
        <v>0</v>
      </c>
      <c r="DA840" s="66"/>
      <c r="DB840" s="66"/>
      <c r="DC840" s="66"/>
      <c r="DD840" s="66"/>
      <c r="DE840" s="66"/>
      <c r="DF840" s="66"/>
      <c r="DG840" s="66"/>
      <c r="DH840" s="66"/>
      <c r="DI840" s="66"/>
      <c r="DJ840" s="66"/>
      <c r="DK840" s="66">
        <f>SUM(Table1[[#This Row],[01-03 Apr]:[Mar-26]])</f>
        <v>0</v>
      </c>
    </row>
    <row r="841" spans="1:115" hidden="1" x14ac:dyDescent="0.2">
      <c r="A841" s="28" t="s">
        <v>2367</v>
      </c>
      <c r="B841" s="29" t="s">
        <v>1704</v>
      </c>
      <c r="C841" s="29" t="s">
        <v>3347</v>
      </c>
      <c r="D841" s="30" t="s">
        <v>1705</v>
      </c>
      <c r="E841" s="30" t="s">
        <v>203</v>
      </c>
      <c r="F841" s="30"/>
      <c r="G841" s="31"/>
      <c r="H841" s="30"/>
      <c r="I841" s="30" t="str">
        <f>IF(Table1[[#This Row],[Centre Status]]="Returned","NA",IF(Table1[[#This Row],[SD]]&gt;19000,"Full Payment",IF(Table1[[#This Row],[SD]]&lt;1,"No Payment","Partial Payment")))</f>
        <v>NA</v>
      </c>
      <c r="J841" s="30" t="s">
        <v>1903</v>
      </c>
      <c r="K841" s="32">
        <v>110000</v>
      </c>
      <c r="L841" s="33">
        <f>Q841+R841+U841+Table1[[#This Row],[Farmer Payment]]</f>
        <v>0</v>
      </c>
      <c r="M841" s="30"/>
      <c r="N841" s="34"/>
      <c r="O841" s="34"/>
      <c r="P841" s="35">
        <f t="shared" si="80"/>
        <v>110000</v>
      </c>
      <c r="Q841" s="33">
        <f>AI841+AV841+CK841+Table1[[#This Row],[FY 25-26]]</f>
        <v>0</v>
      </c>
      <c r="R841" s="36"/>
      <c r="S841" s="37"/>
      <c r="T841" s="38"/>
      <c r="U841" s="39"/>
      <c r="V841" s="39"/>
      <c r="W841" s="40">
        <v>0</v>
      </c>
      <c r="X841" s="40">
        <v>0</v>
      </c>
      <c r="Y841" s="40">
        <v>0</v>
      </c>
      <c r="Z841" s="40">
        <v>0</v>
      </c>
      <c r="AA841" s="40">
        <v>0</v>
      </c>
      <c r="AB841" s="40">
        <v>0</v>
      </c>
      <c r="AC841" s="40">
        <v>0</v>
      </c>
      <c r="AD841" s="40">
        <v>0</v>
      </c>
      <c r="AE841" s="40">
        <v>0</v>
      </c>
      <c r="AF841" s="40">
        <v>0</v>
      </c>
      <c r="AG841" s="40">
        <v>0</v>
      </c>
      <c r="AH841" s="40">
        <v>0</v>
      </c>
      <c r="AI841" s="41">
        <f t="shared" si="81"/>
        <v>0</v>
      </c>
      <c r="AJ841" s="42">
        <v>0</v>
      </c>
      <c r="AK841" s="42">
        <v>0</v>
      </c>
      <c r="AL841" s="42">
        <v>0</v>
      </c>
      <c r="AM841" s="42">
        <v>0</v>
      </c>
      <c r="AN841" s="42">
        <v>0</v>
      </c>
      <c r="AO841" s="42">
        <v>0</v>
      </c>
      <c r="AP841" s="42">
        <v>0</v>
      </c>
      <c r="AQ841" s="42">
        <v>0</v>
      </c>
      <c r="AR841" s="42">
        <v>0</v>
      </c>
      <c r="AS841" s="42">
        <v>0</v>
      </c>
      <c r="AT841" s="42">
        <v>0</v>
      </c>
      <c r="AU841" s="42">
        <v>0</v>
      </c>
      <c r="AV841" s="42">
        <f t="shared" si="82"/>
        <v>0</v>
      </c>
      <c r="AW841" s="42">
        <v>0</v>
      </c>
      <c r="AX841" s="42">
        <v>0</v>
      </c>
      <c r="AY841" s="42">
        <v>0</v>
      </c>
      <c r="AZ841" s="42">
        <v>0</v>
      </c>
      <c r="BA841" s="42">
        <v>0</v>
      </c>
      <c r="BB841" s="42">
        <v>0</v>
      </c>
      <c r="BC841" s="42">
        <v>0</v>
      </c>
      <c r="BD841" s="42">
        <v>0</v>
      </c>
      <c r="BE841" s="42">
        <v>0</v>
      </c>
      <c r="BF841" s="42">
        <v>0</v>
      </c>
      <c r="BG841" s="42">
        <v>0</v>
      </c>
      <c r="BH841" s="42">
        <v>0</v>
      </c>
      <c r="BI841" s="42">
        <v>0</v>
      </c>
      <c r="BJ841" s="42">
        <v>0</v>
      </c>
      <c r="BK841" s="42">
        <v>0</v>
      </c>
      <c r="BL841" s="42">
        <v>0</v>
      </c>
      <c r="BM841" s="42">
        <v>0</v>
      </c>
      <c r="BN841" s="42">
        <v>0</v>
      </c>
      <c r="BO841" s="42">
        <v>0</v>
      </c>
      <c r="BP841" s="42">
        <v>0</v>
      </c>
      <c r="BQ841" s="42">
        <v>0</v>
      </c>
      <c r="BR841" s="42">
        <v>0</v>
      </c>
      <c r="BS841" s="42">
        <v>0</v>
      </c>
      <c r="BT841" s="42">
        <v>0</v>
      </c>
      <c r="BU841" s="42">
        <v>0</v>
      </c>
      <c r="BV841" s="42">
        <v>0</v>
      </c>
      <c r="BW841" s="42">
        <v>0</v>
      </c>
      <c r="BX841" s="42">
        <v>0</v>
      </c>
      <c r="BY841" s="42">
        <v>0</v>
      </c>
      <c r="BZ841" s="42">
        <v>0</v>
      </c>
      <c r="CA841" s="42">
        <v>0</v>
      </c>
      <c r="CB841" s="42">
        <v>0</v>
      </c>
      <c r="CC841" s="42">
        <v>0</v>
      </c>
      <c r="CD841" s="42">
        <v>0</v>
      </c>
      <c r="CE841" s="42">
        <v>0</v>
      </c>
      <c r="CF841" s="42">
        <v>0</v>
      </c>
      <c r="CG841" s="42">
        <v>0</v>
      </c>
      <c r="CH841" s="42">
        <v>0</v>
      </c>
      <c r="CI841" s="42">
        <v>0</v>
      </c>
      <c r="CJ841" s="42">
        <v>0</v>
      </c>
      <c r="CK841" s="43">
        <f t="shared" si="79"/>
        <v>0</v>
      </c>
      <c r="CL841" s="66"/>
      <c r="CM841" s="66">
        <v>0</v>
      </c>
      <c r="CN841" s="66">
        <v>0</v>
      </c>
      <c r="CO841" s="66">
        <v>0</v>
      </c>
      <c r="CP841" s="66">
        <v>0</v>
      </c>
      <c r="CQ841" s="66">
        <v>0</v>
      </c>
      <c r="CR841" s="66">
        <v>0</v>
      </c>
      <c r="CS841" s="66">
        <v>0</v>
      </c>
      <c r="CT841" s="66">
        <v>0</v>
      </c>
      <c r="CU841" s="66">
        <v>0</v>
      </c>
      <c r="CV841" s="66">
        <v>0</v>
      </c>
      <c r="CW841" s="66">
        <v>0</v>
      </c>
      <c r="CX841" s="66">
        <v>0</v>
      </c>
      <c r="CY841" s="66">
        <v>0</v>
      </c>
      <c r="CZ841" s="66">
        <v>0</v>
      </c>
      <c r="DA841" s="66"/>
      <c r="DB841" s="66"/>
      <c r="DC841" s="66"/>
      <c r="DD841" s="66"/>
      <c r="DE841" s="66"/>
      <c r="DF841" s="66"/>
      <c r="DG841" s="66"/>
      <c r="DH841" s="66"/>
      <c r="DI841" s="66"/>
      <c r="DJ841" s="66"/>
      <c r="DK841" s="66">
        <f>SUM(Table1[[#This Row],[01-03 Apr]:[Mar-26]])</f>
        <v>0</v>
      </c>
    </row>
    <row r="842" spans="1:115" hidden="1" x14ac:dyDescent="0.2">
      <c r="A842" s="28" t="s">
        <v>2367</v>
      </c>
      <c r="B842" s="29" t="s">
        <v>1719</v>
      </c>
      <c r="C842" s="29" t="s">
        <v>3336</v>
      </c>
      <c r="D842" s="30" t="s">
        <v>1720</v>
      </c>
      <c r="E842" s="30" t="s">
        <v>217</v>
      </c>
      <c r="F842" s="30"/>
      <c r="G842" s="31"/>
      <c r="H842" s="30"/>
      <c r="I842" s="30" t="str">
        <f>IF(Table1[[#This Row],[Centre Status]]="Returned","NA",IF(Table1[[#This Row],[SD]]&gt;19000,"Full Payment",IF(Table1[[#This Row],[SD]]&lt;1,"No Payment","Partial Payment")))</f>
        <v>NA</v>
      </c>
      <c r="J842" s="30" t="s">
        <v>1903</v>
      </c>
      <c r="K842" s="32">
        <v>110000</v>
      </c>
      <c r="L842" s="33">
        <f>Q842+R842+U842+Table1[[#This Row],[Farmer Payment]]</f>
        <v>5000</v>
      </c>
      <c r="M842" s="30"/>
      <c r="N842" s="34"/>
      <c r="O842" s="34"/>
      <c r="P842" s="35">
        <f t="shared" si="80"/>
        <v>105000</v>
      </c>
      <c r="Q842" s="33">
        <f>AI842+AV842+CK842+Table1[[#This Row],[FY 25-26]]</f>
        <v>0</v>
      </c>
      <c r="R842" s="36">
        <v>5000</v>
      </c>
      <c r="S842" s="37" t="s">
        <v>1721</v>
      </c>
      <c r="T842" s="38">
        <v>45188</v>
      </c>
      <c r="U842" s="39"/>
      <c r="V842" s="39"/>
      <c r="W842" s="40">
        <v>0</v>
      </c>
      <c r="X842" s="40">
        <v>0</v>
      </c>
      <c r="Y842" s="40">
        <v>0</v>
      </c>
      <c r="Z842" s="40">
        <v>0</v>
      </c>
      <c r="AA842" s="40">
        <v>0</v>
      </c>
      <c r="AB842" s="40">
        <v>0</v>
      </c>
      <c r="AC842" s="40">
        <v>0</v>
      </c>
      <c r="AD842" s="40">
        <v>0</v>
      </c>
      <c r="AE842" s="40">
        <v>0</v>
      </c>
      <c r="AF842" s="40">
        <v>0</v>
      </c>
      <c r="AG842" s="40">
        <v>0</v>
      </c>
      <c r="AH842" s="40">
        <v>0</v>
      </c>
      <c r="AI842" s="41">
        <f t="shared" si="81"/>
        <v>0</v>
      </c>
      <c r="AJ842" s="42">
        <v>0</v>
      </c>
      <c r="AK842" s="42">
        <v>0</v>
      </c>
      <c r="AL842" s="42">
        <v>0</v>
      </c>
      <c r="AM842" s="42">
        <v>0</v>
      </c>
      <c r="AN842" s="42">
        <v>0</v>
      </c>
      <c r="AO842" s="42">
        <v>0</v>
      </c>
      <c r="AP842" s="42">
        <v>0</v>
      </c>
      <c r="AQ842" s="42">
        <v>0</v>
      </c>
      <c r="AR842" s="42">
        <v>0</v>
      </c>
      <c r="AS842" s="42">
        <v>0</v>
      </c>
      <c r="AT842" s="42">
        <v>0</v>
      </c>
      <c r="AU842" s="42">
        <v>0</v>
      </c>
      <c r="AV842" s="42">
        <f t="shared" si="82"/>
        <v>0</v>
      </c>
      <c r="AW842" s="42">
        <v>0</v>
      </c>
      <c r="AX842" s="42">
        <v>0</v>
      </c>
      <c r="AY842" s="42">
        <v>0</v>
      </c>
      <c r="AZ842" s="42">
        <v>0</v>
      </c>
      <c r="BA842" s="42">
        <v>0</v>
      </c>
      <c r="BB842" s="42">
        <v>0</v>
      </c>
      <c r="BC842" s="42">
        <v>0</v>
      </c>
      <c r="BD842" s="42">
        <v>0</v>
      </c>
      <c r="BE842" s="42">
        <v>0</v>
      </c>
      <c r="BF842" s="42">
        <v>0</v>
      </c>
      <c r="BG842" s="42">
        <v>0</v>
      </c>
      <c r="BH842" s="42">
        <v>0</v>
      </c>
      <c r="BI842" s="42">
        <v>0</v>
      </c>
      <c r="BJ842" s="42">
        <v>0</v>
      </c>
      <c r="BK842" s="42">
        <v>0</v>
      </c>
      <c r="BL842" s="42">
        <v>0</v>
      </c>
      <c r="BM842" s="42">
        <v>0</v>
      </c>
      <c r="BN842" s="42">
        <v>0</v>
      </c>
      <c r="BO842" s="42">
        <v>0</v>
      </c>
      <c r="BP842" s="42">
        <v>0</v>
      </c>
      <c r="BQ842" s="42">
        <v>0</v>
      </c>
      <c r="BR842" s="42">
        <v>0</v>
      </c>
      <c r="BS842" s="42">
        <v>0</v>
      </c>
      <c r="BT842" s="42">
        <v>0</v>
      </c>
      <c r="BU842" s="42">
        <v>0</v>
      </c>
      <c r="BV842" s="42">
        <v>0</v>
      </c>
      <c r="BW842" s="42">
        <v>0</v>
      </c>
      <c r="BX842" s="42">
        <v>0</v>
      </c>
      <c r="BY842" s="42">
        <v>0</v>
      </c>
      <c r="BZ842" s="42">
        <v>0</v>
      </c>
      <c r="CA842" s="42">
        <v>0</v>
      </c>
      <c r="CB842" s="42">
        <v>0</v>
      </c>
      <c r="CC842" s="42">
        <v>0</v>
      </c>
      <c r="CD842" s="42">
        <v>0</v>
      </c>
      <c r="CE842" s="42">
        <v>0</v>
      </c>
      <c r="CF842" s="42">
        <v>0</v>
      </c>
      <c r="CG842" s="42">
        <v>0</v>
      </c>
      <c r="CH842" s="42">
        <v>0</v>
      </c>
      <c r="CI842" s="42">
        <v>0</v>
      </c>
      <c r="CJ842" s="42">
        <v>0</v>
      </c>
      <c r="CK842" s="43">
        <f t="shared" si="79"/>
        <v>0</v>
      </c>
      <c r="CL842" s="66"/>
      <c r="CM842" s="66">
        <v>0</v>
      </c>
      <c r="CN842" s="66">
        <v>0</v>
      </c>
      <c r="CO842" s="66">
        <v>0</v>
      </c>
      <c r="CP842" s="66">
        <v>0</v>
      </c>
      <c r="CQ842" s="66">
        <v>0</v>
      </c>
      <c r="CR842" s="66">
        <v>0</v>
      </c>
      <c r="CS842" s="66">
        <v>0</v>
      </c>
      <c r="CT842" s="66">
        <v>0</v>
      </c>
      <c r="CU842" s="66">
        <v>0</v>
      </c>
      <c r="CV842" s="66">
        <v>0</v>
      </c>
      <c r="CW842" s="66">
        <v>0</v>
      </c>
      <c r="CX842" s="66">
        <v>0</v>
      </c>
      <c r="CY842" s="66">
        <v>0</v>
      </c>
      <c r="CZ842" s="66">
        <v>0</v>
      </c>
      <c r="DA842" s="66"/>
      <c r="DB842" s="66"/>
      <c r="DC842" s="66"/>
      <c r="DD842" s="66"/>
      <c r="DE842" s="66"/>
      <c r="DF842" s="66"/>
      <c r="DG842" s="66"/>
      <c r="DH842" s="66"/>
      <c r="DI842" s="66"/>
      <c r="DJ842" s="66"/>
      <c r="DK842" s="66">
        <f>SUM(Table1[[#This Row],[01-03 Apr]:[Mar-26]])</f>
        <v>0</v>
      </c>
    </row>
    <row r="843" spans="1:115" hidden="1" x14ac:dyDescent="0.2">
      <c r="A843" s="28" t="s">
        <v>2367</v>
      </c>
      <c r="B843" s="29" t="s">
        <v>1729</v>
      </c>
      <c r="C843" s="29" t="s">
        <v>3336</v>
      </c>
      <c r="D843" s="30" t="s">
        <v>1730</v>
      </c>
      <c r="E843" s="30" t="s">
        <v>217</v>
      </c>
      <c r="F843" s="30"/>
      <c r="G843" s="31"/>
      <c r="H843" s="30"/>
      <c r="I843" s="30" t="str">
        <f>IF(Table1[[#This Row],[Centre Status]]="Returned","NA",IF(Table1[[#This Row],[SD]]&gt;19000,"Full Payment",IF(Table1[[#This Row],[SD]]&lt;1,"No Payment","Partial Payment")))</f>
        <v>NA</v>
      </c>
      <c r="J843" s="30" t="s">
        <v>1903</v>
      </c>
      <c r="K843" s="32">
        <v>110000</v>
      </c>
      <c r="L843" s="33">
        <f>Q843+R843+U843+Table1[[#This Row],[Farmer Payment]]</f>
        <v>10359</v>
      </c>
      <c r="M843" s="30"/>
      <c r="N843" s="34"/>
      <c r="O843" s="34"/>
      <c r="P843" s="35">
        <f t="shared" si="80"/>
        <v>99641</v>
      </c>
      <c r="Q843" s="33">
        <f>AI843+AV843+CK843+Table1[[#This Row],[FY 25-26]]</f>
        <v>359</v>
      </c>
      <c r="R843" s="36">
        <v>10000</v>
      </c>
      <c r="S843" s="37" t="s">
        <v>1731</v>
      </c>
      <c r="T843" s="38">
        <v>45207</v>
      </c>
      <c r="U843" s="39"/>
      <c r="V843" s="39"/>
      <c r="W843" s="40">
        <v>0</v>
      </c>
      <c r="X843" s="40">
        <v>0</v>
      </c>
      <c r="Y843" s="40">
        <v>0</v>
      </c>
      <c r="Z843" s="40">
        <v>0</v>
      </c>
      <c r="AA843" s="40">
        <v>0</v>
      </c>
      <c r="AB843" s="40">
        <v>0</v>
      </c>
      <c r="AC843" s="40">
        <v>0</v>
      </c>
      <c r="AD843" s="40">
        <v>0</v>
      </c>
      <c r="AE843" s="40">
        <v>0</v>
      </c>
      <c r="AF843" s="40">
        <v>0</v>
      </c>
      <c r="AG843" s="40">
        <v>0</v>
      </c>
      <c r="AH843" s="40">
        <v>0</v>
      </c>
      <c r="AI843" s="41">
        <f t="shared" si="81"/>
        <v>0</v>
      </c>
      <c r="AJ843" s="42">
        <v>0</v>
      </c>
      <c r="AK843" s="42">
        <v>0</v>
      </c>
      <c r="AL843" s="42">
        <v>0</v>
      </c>
      <c r="AM843" s="42">
        <v>0</v>
      </c>
      <c r="AN843" s="42">
        <v>0</v>
      </c>
      <c r="AO843" s="42">
        <v>0</v>
      </c>
      <c r="AP843" s="42">
        <v>0</v>
      </c>
      <c r="AQ843" s="42">
        <v>359</v>
      </c>
      <c r="AR843" s="42">
        <v>0</v>
      </c>
      <c r="AS843" s="42">
        <v>0</v>
      </c>
      <c r="AT843" s="42">
        <v>0</v>
      </c>
      <c r="AU843" s="42">
        <v>0</v>
      </c>
      <c r="AV843" s="42">
        <f t="shared" si="82"/>
        <v>359</v>
      </c>
      <c r="AW843" s="42">
        <v>0</v>
      </c>
      <c r="AX843" s="42">
        <v>0</v>
      </c>
      <c r="AY843" s="42">
        <v>0</v>
      </c>
      <c r="AZ843" s="42">
        <v>0</v>
      </c>
      <c r="BA843" s="42">
        <v>0</v>
      </c>
      <c r="BB843" s="42">
        <v>0</v>
      </c>
      <c r="BC843" s="42">
        <v>0</v>
      </c>
      <c r="BD843" s="42">
        <v>0</v>
      </c>
      <c r="BE843" s="42">
        <v>0</v>
      </c>
      <c r="BF843" s="42">
        <v>0</v>
      </c>
      <c r="BG843" s="42">
        <v>0</v>
      </c>
      <c r="BH843" s="42">
        <v>0</v>
      </c>
      <c r="BI843" s="42">
        <v>0</v>
      </c>
      <c r="BJ843" s="42">
        <v>0</v>
      </c>
      <c r="BK843" s="42">
        <v>0</v>
      </c>
      <c r="BL843" s="42">
        <v>0</v>
      </c>
      <c r="BM843" s="42">
        <v>0</v>
      </c>
      <c r="BN843" s="42">
        <v>0</v>
      </c>
      <c r="BO843" s="42">
        <v>0</v>
      </c>
      <c r="BP843" s="42">
        <v>0</v>
      </c>
      <c r="BQ843" s="42">
        <v>0</v>
      </c>
      <c r="BR843" s="42">
        <v>0</v>
      </c>
      <c r="BS843" s="42">
        <v>0</v>
      </c>
      <c r="BT843" s="42">
        <v>0</v>
      </c>
      <c r="BU843" s="42">
        <v>0</v>
      </c>
      <c r="BV843" s="42">
        <v>0</v>
      </c>
      <c r="BW843" s="42">
        <v>0</v>
      </c>
      <c r="BX843" s="42">
        <v>0</v>
      </c>
      <c r="BY843" s="42">
        <v>0</v>
      </c>
      <c r="BZ843" s="42">
        <v>0</v>
      </c>
      <c r="CA843" s="42">
        <v>0</v>
      </c>
      <c r="CB843" s="42">
        <v>0</v>
      </c>
      <c r="CC843" s="42">
        <v>0</v>
      </c>
      <c r="CD843" s="42">
        <v>0</v>
      </c>
      <c r="CE843" s="42">
        <v>0</v>
      </c>
      <c r="CF843" s="42">
        <v>0</v>
      </c>
      <c r="CG843" s="42">
        <v>0</v>
      </c>
      <c r="CH843" s="42">
        <v>0</v>
      </c>
      <c r="CI843" s="42">
        <v>0</v>
      </c>
      <c r="CJ843" s="42">
        <v>0</v>
      </c>
      <c r="CK843" s="43">
        <f t="shared" si="79"/>
        <v>0</v>
      </c>
      <c r="CL843" s="66"/>
      <c r="CM843" s="66">
        <v>0</v>
      </c>
      <c r="CN843" s="66">
        <v>0</v>
      </c>
      <c r="CO843" s="66">
        <v>0</v>
      </c>
      <c r="CP843" s="66">
        <v>0</v>
      </c>
      <c r="CQ843" s="66">
        <v>0</v>
      </c>
      <c r="CR843" s="66">
        <v>0</v>
      </c>
      <c r="CS843" s="66">
        <v>0</v>
      </c>
      <c r="CT843" s="66">
        <v>0</v>
      </c>
      <c r="CU843" s="66">
        <v>0</v>
      </c>
      <c r="CV843" s="66">
        <v>0</v>
      </c>
      <c r="CW843" s="66">
        <v>0</v>
      </c>
      <c r="CX843" s="66">
        <v>0</v>
      </c>
      <c r="CY843" s="66">
        <v>0</v>
      </c>
      <c r="CZ843" s="66">
        <v>0</v>
      </c>
      <c r="DA843" s="66"/>
      <c r="DB843" s="66"/>
      <c r="DC843" s="66"/>
      <c r="DD843" s="66"/>
      <c r="DE843" s="66"/>
      <c r="DF843" s="66"/>
      <c r="DG843" s="66"/>
      <c r="DH843" s="66"/>
      <c r="DI843" s="66"/>
      <c r="DJ843" s="66"/>
      <c r="DK843" s="66">
        <f>SUM(Table1[[#This Row],[01-03 Apr]:[Mar-26]])</f>
        <v>0</v>
      </c>
    </row>
    <row r="844" spans="1:115" hidden="1" x14ac:dyDescent="0.2">
      <c r="A844" s="28" t="s">
        <v>2367</v>
      </c>
      <c r="B844" s="29" t="s">
        <v>1732</v>
      </c>
      <c r="C844" s="29" t="s">
        <v>3348</v>
      </c>
      <c r="D844" s="30" t="s">
        <v>1733</v>
      </c>
      <c r="E844" s="30" t="s">
        <v>217</v>
      </c>
      <c r="F844" s="30"/>
      <c r="G844" s="31"/>
      <c r="H844" s="30"/>
      <c r="I844" s="30" t="str">
        <f>IF(Table1[[#This Row],[Centre Status]]="Returned","NA",IF(Table1[[#This Row],[SD]]&gt;19000,"Full Payment",IF(Table1[[#This Row],[SD]]&lt;1,"No Payment","Partial Payment")))</f>
        <v>NA</v>
      </c>
      <c r="J844" s="30" t="s">
        <v>1903</v>
      </c>
      <c r="K844" s="32">
        <v>110000</v>
      </c>
      <c r="L844" s="33">
        <f>Q844+R844+U844+Table1[[#This Row],[Farmer Payment]]</f>
        <v>13226.905999999999</v>
      </c>
      <c r="M844" s="30"/>
      <c r="N844" s="34"/>
      <c r="O844" s="34"/>
      <c r="P844" s="35">
        <f t="shared" si="80"/>
        <v>96773.093999999997</v>
      </c>
      <c r="Q844" s="33">
        <f>AI844+AV844+CK844+Table1[[#This Row],[FY 25-26]]</f>
        <v>3226.9059999999999</v>
      </c>
      <c r="R844" s="36">
        <v>10000</v>
      </c>
      <c r="S844" s="37" t="s">
        <v>1734</v>
      </c>
      <c r="T844" s="38">
        <v>45227</v>
      </c>
      <c r="U844" s="39"/>
      <c r="V844" s="39"/>
      <c r="W844" s="40">
        <v>0</v>
      </c>
      <c r="X844" s="40">
        <v>0</v>
      </c>
      <c r="Y844" s="40">
        <v>0</v>
      </c>
      <c r="Z844" s="40">
        <v>0</v>
      </c>
      <c r="AA844" s="40">
        <v>0</v>
      </c>
      <c r="AB844" s="40">
        <v>0</v>
      </c>
      <c r="AC844" s="40">
        <v>0</v>
      </c>
      <c r="AD844" s="40">
        <v>0</v>
      </c>
      <c r="AE844" s="40">
        <v>0</v>
      </c>
      <c r="AF844" s="40">
        <v>0</v>
      </c>
      <c r="AG844" s="40">
        <v>0</v>
      </c>
      <c r="AH844" s="40">
        <v>0</v>
      </c>
      <c r="AI844" s="41">
        <f t="shared" si="81"/>
        <v>0</v>
      </c>
      <c r="AJ844" s="42">
        <v>0</v>
      </c>
      <c r="AK844" s="42">
        <v>0</v>
      </c>
      <c r="AL844" s="42">
        <v>0</v>
      </c>
      <c r="AM844" s="42">
        <v>0</v>
      </c>
      <c r="AN844" s="42">
        <v>0</v>
      </c>
      <c r="AO844" s="42">
        <v>0</v>
      </c>
      <c r="AP844" s="42">
        <v>0</v>
      </c>
      <c r="AQ844" s="42">
        <v>1277</v>
      </c>
      <c r="AR844" s="42">
        <v>44</v>
      </c>
      <c r="AS844" s="42">
        <v>1649</v>
      </c>
      <c r="AT844" s="42">
        <v>256.90600000000001</v>
      </c>
      <c r="AU844" s="42">
        <v>0</v>
      </c>
      <c r="AV844" s="42">
        <f t="shared" si="82"/>
        <v>3226.9059999999999</v>
      </c>
      <c r="AW844" s="42">
        <v>0</v>
      </c>
      <c r="AX844" s="42">
        <v>0</v>
      </c>
      <c r="AY844" s="42">
        <v>0</v>
      </c>
      <c r="AZ844" s="42">
        <v>0</v>
      </c>
      <c r="BA844" s="42">
        <v>0</v>
      </c>
      <c r="BB844" s="42">
        <v>0</v>
      </c>
      <c r="BC844" s="42">
        <v>0</v>
      </c>
      <c r="BD844" s="42">
        <v>0</v>
      </c>
      <c r="BE844" s="42">
        <v>0</v>
      </c>
      <c r="BF844" s="42">
        <v>0</v>
      </c>
      <c r="BG844" s="42">
        <v>0</v>
      </c>
      <c r="BH844" s="42">
        <v>0</v>
      </c>
      <c r="BI844" s="42">
        <v>0</v>
      </c>
      <c r="BJ844" s="42">
        <v>0</v>
      </c>
      <c r="BK844" s="42">
        <v>0</v>
      </c>
      <c r="BL844" s="42">
        <v>0</v>
      </c>
      <c r="BM844" s="42">
        <v>0</v>
      </c>
      <c r="BN844" s="42">
        <v>0</v>
      </c>
      <c r="BO844" s="42">
        <v>0</v>
      </c>
      <c r="BP844" s="42">
        <v>0</v>
      </c>
      <c r="BQ844" s="42">
        <v>0</v>
      </c>
      <c r="BR844" s="42">
        <v>0</v>
      </c>
      <c r="BS844" s="42">
        <v>0</v>
      </c>
      <c r="BT844" s="42">
        <v>0</v>
      </c>
      <c r="BU844" s="42">
        <v>0</v>
      </c>
      <c r="BV844" s="42">
        <v>0</v>
      </c>
      <c r="BW844" s="42">
        <v>0</v>
      </c>
      <c r="BX844" s="42">
        <v>0</v>
      </c>
      <c r="BY844" s="42">
        <v>0</v>
      </c>
      <c r="BZ844" s="42">
        <v>0</v>
      </c>
      <c r="CA844" s="42">
        <v>0</v>
      </c>
      <c r="CB844" s="42">
        <v>0</v>
      </c>
      <c r="CC844" s="42">
        <v>0</v>
      </c>
      <c r="CD844" s="42">
        <v>0</v>
      </c>
      <c r="CE844" s="42">
        <v>0</v>
      </c>
      <c r="CF844" s="42">
        <v>0</v>
      </c>
      <c r="CG844" s="42">
        <v>0</v>
      </c>
      <c r="CH844" s="42">
        <v>0</v>
      </c>
      <c r="CI844" s="42">
        <v>0</v>
      </c>
      <c r="CJ844" s="42">
        <v>0</v>
      </c>
      <c r="CK844" s="43">
        <f t="shared" si="79"/>
        <v>0</v>
      </c>
      <c r="CL844" s="66"/>
      <c r="CM844" s="66">
        <v>0</v>
      </c>
      <c r="CN844" s="66">
        <v>0</v>
      </c>
      <c r="CO844" s="66">
        <v>0</v>
      </c>
      <c r="CP844" s="66">
        <v>0</v>
      </c>
      <c r="CQ844" s="66">
        <v>0</v>
      </c>
      <c r="CR844" s="66">
        <v>0</v>
      </c>
      <c r="CS844" s="66">
        <v>0</v>
      </c>
      <c r="CT844" s="66">
        <v>0</v>
      </c>
      <c r="CU844" s="66">
        <v>0</v>
      </c>
      <c r="CV844" s="66">
        <v>0</v>
      </c>
      <c r="CW844" s="66">
        <v>0</v>
      </c>
      <c r="CX844" s="66">
        <v>0</v>
      </c>
      <c r="CY844" s="66">
        <v>0</v>
      </c>
      <c r="CZ844" s="66">
        <v>0</v>
      </c>
      <c r="DA844" s="66"/>
      <c r="DB844" s="66"/>
      <c r="DC844" s="66"/>
      <c r="DD844" s="66"/>
      <c r="DE844" s="66"/>
      <c r="DF844" s="66"/>
      <c r="DG844" s="66"/>
      <c r="DH844" s="66"/>
      <c r="DI844" s="66"/>
      <c r="DJ844" s="66"/>
      <c r="DK844" s="66">
        <f>SUM(Table1[[#This Row],[01-03 Apr]:[Mar-26]])</f>
        <v>0</v>
      </c>
    </row>
    <row r="845" spans="1:115" hidden="1" x14ac:dyDescent="0.2">
      <c r="A845" s="28" t="s">
        <v>2255</v>
      </c>
      <c r="B845" s="29" t="s">
        <v>1747</v>
      </c>
      <c r="C845" s="29" t="s">
        <v>3349</v>
      </c>
      <c r="D845" s="30" t="s">
        <v>1748</v>
      </c>
      <c r="E845" s="30" t="s">
        <v>85</v>
      </c>
      <c r="F845" s="30"/>
      <c r="G845" s="31"/>
      <c r="H845" s="30">
        <v>378123</v>
      </c>
      <c r="I845" s="30" t="str">
        <f>IF(Table1[[#This Row],[Centre Status]]="Returned","NA",IF(Table1[[#This Row],[SD]]&gt;19000,"Full Payment",IF(Table1[[#This Row],[SD]]&lt;1,"No Payment","Partial Payment")))</f>
        <v>NA</v>
      </c>
      <c r="J845" s="30" t="s">
        <v>1903</v>
      </c>
      <c r="K845" s="32">
        <v>110000</v>
      </c>
      <c r="L845" s="33">
        <f>Q845+R845+U845+Table1[[#This Row],[Farmer Payment]]</f>
        <v>26437</v>
      </c>
      <c r="M845" s="30">
        <v>20000</v>
      </c>
      <c r="N845" s="34">
        <v>45443</v>
      </c>
      <c r="O845" s="34" t="s">
        <v>2457</v>
      </c>
      <c r="P845" s="35">
        <f t="shared" si="80"/>
        <v>103563</v>
      </c>
      <c r="Q845" s="33">
        <f>AI845+AV845+CK845+Table1[[#This Row],[FY 25-26]]</f>
        <v>6437</v>
      </c>
      <c r="R845" s="36">
        <v>20000</v>
      </c>
      <c r="S845" s="37" t="s">
        <v>2564</v>
      </c>
      <c r="T845" s="38">
        <v>45186</v>
      </c>
      <c r="U845" s="39"/>
      <c r="V845" s="39"/>
      <c r="W845" s="40">
        <v>0</v>
      </c>
      <c r="X845" s="40">
        <v>0</v>
      </c>
      <c r="Y845" s="40">
        <v>0</v>
      </c>
      <c r="Z845" s="40">
        <v>0</v>
      </c>
      <c r="AA845" s="40">
        <v>0</v>
      </c>
      <c r="AB845" s="40">
        <v>0</v>
      </c>
      <c r="AC845" s="40">
        <v>0</v>
      </c>
      <c r="AD845" s="40">
        <v>0</v>
      </c>
      <c r="AE845" s="40">
        <v>0</v>
      </c>
      <c r="AF845" s="40">
        <v>0</v>
      </c>
      <c r="AG845" s="40">
        <v>0</v>
      </c>
      <c r="AH845" s="40">
        <v>0</v>
      </c>
      <c r="AI845" s="41">
        <f t="shared" si="81"/>
        <v>0</v>
      </c>
      <c r="AJ845" s="42">
        <v>0</v>
      </c>
      <c r="AK845" s="42">
        <v>0</v>
      </c>
      <c r="AL845" s="42">
        <v>0</v>
      </c>
      <c r="AM845" s="42">
        <v>0</v>
      </c>
      <c r="AN845" s="42">
        <v>0</v>
      </c>
      <c r="AO845" s="42">
        <v>0</v>
      </c>
      <c r="AP845" s="42">
        <v>0</v>
      </c>
      <c r="AQ845" s="42">
        <v>0</v>
      </c>
      <c r="AR845" s="42">
        <v>1861</v>
      </c>
      <c r="AS845" s="42">
        <v>1861</v>
      </c>
      <c r="AT845" s="42">
        <v>1861</v>
      </c>
      <c r="AU845" s="42">
        <v>854</v>
      </c>
      <c r="AV845" s="42">
        <f t="shared" si="82"/>
        <v>6437</v>
      </c>
      <c r="AW845" s="42">
        <v>0</v>
      </c>
      <c r="AX845" s="42">
        <v>0</v>
      </c>
      <c r="AY845" s="42">
        <v>0</v>
      </c>
      <c r="AZ845" s="42">
        <v>0</v>
      </c>
      <c r="BA845" s="42">
        <v>0</v>
      </c>
      <c r="BB845" s="42">
        <v>0</v>
      </c>
      <c r="BC845" s="42">
        <v>0</v>
      </c>
      <c r="BD845" s="42">
        <v>0</v>
      </c>
      <c r="BE845" s="42">
        <v>0</v>
      </c>
      <c r="BF845" s="42">
        <v>0</v>
      </c>
      <c r="BG845" s="42">
        <v>0</v>
      </c>
      <c r="BH845" s="42">
        <v>0</v>
      </c>
      <c r="BI845" s="42">
        <v>0</v>
      </c>
      <c r="BJ845" s="42">
        <v>0</v>
      </c>
      <c r="BK845" s="42">
        <v>0</v>
      </c>
      <c r="BL845" s="42">
        <v>0</v>
      </c>
      <c r="BM845" s="42">
        <v>0</v>
      </c>
      <c r="BN845" s="42">
        <v>0</v>
      </c>
      <c r="BO845" s="42">
        <v>0</v>
      </c>
      <c r="BP845" s="42">
        <v>0</v>
      </c>
      <c r="BQ845" s="42">
        <v>0</v>
      </c>
      <c r="BR845" s="42">
        <v>0</v>
      </c>
      <c r="BS845" s="42">
        <v>0</v>
      </c>
      <c r="BT845" s="42">
        <v>0</v>
      </c>
      <c r="BU845" s="42">
        <v>0</v>
      </c>
      <c r="BV845" s="42">
        <v>0</v>
      </c>
      <c r="BW845" s="42">
        <v>0</v>
      </c>
      <c r="BX845" s="42">
        <v>0</v>
      </c>
      <c r="BY845" s="42">
        <v>0</v>
      </c>
      <c r="BZ845" s="42">
        <v>0</v>
      </c>
      <c r="CA845" s="42">
        <v>0</v>
      </c>
      <c r="CB845" s="42">
        <v>0</v>
      </c>
      <c r="CC845" s="42">
        <v>0</v>
      </c>
      <c r="CD845" s="42">
        <v>0</v>
      </c>
      <c r="CE845" s="42">
        <v>0</v>
      </c>
      <c r="CF845" s="42">
        <v>0</v>
      </c>
      <c r="CG845" s="42">
        <v>0</v>
      </c>
      <c r="CH845" s="42">
        <v>0</v>
      </c>
      <c r="CI845" s="42">
        <v>0</v>
      </c>
      <c r="CJ845" s="42">
        <v>0</v>
      </c>
      <c r="CK845" s="43">
        <f t="shared" si="79"/>
        <v>0</v>
      </c>
      <c r="CL845" s="66"/>
      <c r="CM845" s="66">
        <v>0</v>
      </c>
      <c r="CN845" s="66">
        <v>0</v>
      </c>
      <c r="CO845" s="66">
        <v>0</v>
      </c>
      <c r="CP845" s="66">
        <v>0</v>
      </c>
      <c r="CQ845" s="66">
        <v>0</v>
      </c>
      <c r="CR845" s="66">
        <v>0</v>
      </c>
      <c r="CS845" s="66">
        <v>0</v>
      </c>
      <c r="CT845" s="66">
        <v>0</v>
      </c>
      <c r="CU845" s="66">
        <v>0</v>
      </c>
      <c r="CV845" s="66">
        <v>0</v>
      </c>
      <c r="CW845" s="66">
        <v>0</v>
      </c>
      <c r="CX845" s="66">
        <v>0</v>
      </c>
      <c r="CY845" s="66">
        <v>0</v>
      </c>
      <c r="CZ845" s="66">
        <v>0</v>
      </c>
      <c r="DA845" s="66"/>
      <c r="DB845" s="66"/>
      <c r="DC845" s="66"/>
      <c r="DD845" s="66"/>
      <c r="DE845" s="66"/>
      <c r="DF845" s="66"/>
      <c r="DG845" s="66"/>
      <c r="DH845" s="66"/>
      <c r="DI845" s="66"/>
      <c r="DJ845" s="66"/>
      <c r="DK845" s="66">
        <f>SUM(Table1[[#This Row],[01-03 Apr]:[Mar-26]])</f>
        <v>0</v>
      </c>
    </row>
    <row r="846" spans="1:115" hidden="1" x14ac:dyDescent="0.2">
      <c r="A846" s="28" t="s">
        <v>2255</v>
      </c>
      <c r="B846" s="29" t="s">
        <v>1769</v>
      </c>
      <c r="C846" s="29" t="s">
        <v>3350</v>
      </c>
      <c r="D846" s="30" t="s">
        <v>211</v>
      </c>
      <c r="E846" s="30" t="s">
        <v>85</v>
      </c>
      <c r="F846" s="30"/>
      <c r="G846" s="31"/>
      <c r="H846" s="30">
        <v>378733</v>
      </c>
      <c r="I846" s="30" t="str">
        <f>IF(Table1[[#This Row],[Centre Status]]="Returned","NA",IF(Table1[[#This Row],[SD]]&gt;19000,"Full Payment",IF(Table1[[#This Row],[SD]]&lt;1,"No Payment","Partial Payment")))</f>
        <v>NA</v>
      </c>
      <c r="J846" s="30" t="s">
        <v>1903</v>
      </c>
      <c r="K846" s="32">
        <v>1861</v>
      </c>
      <c r="L846" s="33">
        <f>Q846+R846+U846+Table1[[#This Row],[Farmer Payment]]</f>
        <v>31861</v>
      </c>
      <c r="M846" s="30">
        <v>20000</v>
      </c>
      <c r="N846" s="34">
        <v>45481</v>
      </c>
      <c r="O846" s="34" t="s">
        <v>2425</v>
      </c>
      <c r="P846" s="35">
        <f t="shared" si="80"/>
        <v>-10000</v>
      </c>
      <c r="Q846" s="33">
        <f>AI846+AV846+CK846+Table1[[#This Row],[FY 25-26]]</f>
        <v>1861</v>
      </c>
      <c r="R846" s="36">
        <f>20000+10000</f>
        <v>30000</v>
      </c>
      <c r="S846" s="37" t="s">
        <v>2362</v>
      </c>
      <c r="T846" s="38">
        <v>45392</v>
      </c>
      <c r="U846" s="39"/>
      <c r="V846" s="39"/>
      <c r="W846" s="40">
        <v>0</v>
      </c>
      <c r="X846" s="40">
        <v>0</v>
      </c>
      <c r="Y846" s="40">
        <v>0</v>
      </c>
      <c r="Z846" s="40">
        <v>0</v>
      </c>
      <c r="AA846" s="40">
        <v>0</v>
      </c>
      <c r="AB846" s="40">
        <v>0</v>
      </c>
      <c r="AC846" s="40">
        <v>0</v>
      </c>
      <c r="AD846" s="40">
        <v>0</v>
      </c>
      <c r="AE846" s="40">
        <v>0</v>
      </c>
      <c r="AF846" s="40">
        <v>0</v>
      </c>
      <c r="AG846" s="40">
        <v>0</v>
      </c>
      <c r="AH846" s="40">
        <v>0</v>
      </c>
      <c r="AI846" s="41">
        <f t="shared" si="81"/>
        <v>0</v>
      </c>
      <c r="AJ846" s="42">
        <v>0</v>
      </c>
      <c r="AK846" s="42">
        <v>0</v>
      </c>
      <c r="AL846" s="42">
        <v>0</v>
      </c>
      <c r="AM846" s="42">
        <v>0</v>
      </c>
      <c r="AN846" s="42">
        <v>0</v>
      </c>
      <c r="AO846" s="42">
        <v>0</v>
      </c>
      <c r="AP846" s="42">
        <v>0</v>
      </c>
      <c r="AQ846" s="42">
        <v>0</v>
      </c>
      <c r="AR846" s="42">
        <v>1861</v>
      </c>
      <c r="AS846" s="42">
        <v>0</v>
      </c>
      <c r="AT846" s="42">
        <v>0</v>
      </c>
      <c r="AU846" s="42">
        <v>0</v>
      </c>
      <c r="AV846" s="42">
        <f t="shared" si="82"/>
        <v>1861</v>
      </c>
      <c r="AW846" s="42">
        <v>0</v>
      </c>
      <c r="AX846" s="42">
        <v>0</v>
      </c>
      <c r="AY846" s="42">
        <v>0</v>
      </c>
      <c r="AZ846" s="42">
        <v>0</v>
      </c>
      <c r="BA846" s="42">
        <v>0</v>
      </c>
      <c r="BB846" s="42">
        <v>0</v>
      </c>
      <c r="BC846" s="42">
        <v>0</v>
      </c>
      <c r="BD846" s="42">
        <v>0</v>
      </c>
      <c r="BE846" s="42">
        <v>0</v>
      </c>
      <c r="BF846" s="42">
        <v>0</v>
      </c>
      <c r="BG846" s="42">
        <v>0</v>
      </c>
      <c r="BH846" s="42">
        <v>0</v>
      </c>
      <c r="BI846" s="42">
        <v>0</v>
      </c>
      <c r="BJ846" s="42">
        <v>0</v>
      </c>
      <c r="BK846" s="42">
        <v>0</v>
      </c>
      <c r="BL846" s="42">
        <v>0</v>
      </c>
      <c r="BM846" s="42">
        <v>0</v>
      </c>
      <c r="BN846" s="42">
        <v>0</v>
      </c>
      <c r="BO846" s="42">
        <v>0</v>
      </c>
      <c r="BP846" s="42">
        <v>0</v>
      </c>
      <c r="BQ846" s="42">
        <v>0</v>
      </c>
      <c r="BR846" s="42">
        <v>0</v>
      </c>
      <c r="BS846" s="42">
        <v>0</v>
      </c>
      <c r="BT846" s="42">
        <v>0</v>
      </c>
      <c r="BU846" s="42">
        <v>0</v>
      </c>
      <c r="BV846" s="42">
        <v>0</v>
      </c>
      <c r="BW846" s="42">
        <v>0</v>
      </c>
      <c r="BX846" s="42">
        <v>0</v>
      </c>
      <c r="BY846" s="42">
        <v>0</v>
      </c>
      <c r="BZ846" s="42">
        <v>0</v>
      </c>
      <c r="CA846" s="42">
        <v>0</v>
      </c>
      <c r="CB846" s="42">
        <v>0</v>
      </c>
      <c r="CC846" s="42">
        <v>0</v>
      </c>
      <c r="CD846" s="42">
        <v>0</v>
      </c>
      <c r="CE846" s="42">
        <v>0</v>
      </c>
      <c r="CF846" s="42">
        <v>0</v>
      </c>
      <c r="CG846" s="42">
        <v>0</v>
      </c>
      <c r="CH846" s="42">
        <v>0</v>
      </c>
      <c r="CI846" s="42">
        <v>0</v>
      </c>
      <c r="CJ846" s="42">
        <v>0</v>
      </c>
      <c r="CK846" s="43">
        <f t="shared" si="79"/>
        <v>0</v>
      </c>
      <c r="CL846" s="66"/>
      <c r="CM846" s="66">
        <v>0</v>
      </c>
      <c r="CN846" s="66">
        <v>0</v>
      </c>
      <c r="CO846" s="66">
        <v>0</v>
      </c>
      <c r="CP846" s="66">
        <v>0</v>
      </c>
      <c r="CQ846" s="66">
        <v>0</v>
      </c>
      <c r="CR846" s="66">
        <v>0</v>
      </c>
      <c r="CS846" s="66">
        <v>0</v>
      </c>
      <c r="CT846" s="66">
        <v>0</v>
      </c>
      <c r="CU846" s="66">
        <v>0</v>
      </c>
      <c r="CV846" s="66">
        <v>0</v>
      </c>
      <c r="CW846" s="66">
        <v>0</v>
      </c>
      <c r="CX846" s="66">
        <v>0</v>
      </c>
      <c r="CY846" s="66">
        <v>0</v>
      </c>
      <c r="CZ846" s="66">
        <v>0</v>
      </c>
      <c r="DA846" s="66"/>
      <c r="DB846" s="66"/>
      <c r="DC846" s="66"/>
      <c r="DD846" s="66"/>
      <c r="DE846" s="66"/>
      <c r="DF846" s="66"/>
      <c r="DG846" s="66"/>
      <c r="DH846" s="66"/>
      <c r="DI846" s="66"/>
      <c r="DJ846" s="66"/>
      <c r="DK846" s="66">
        <f>SUM(Table1[[#This Row],[01-03 Apr]:[Mar-26]])</f>
        <v>0</v>
      </c>
    </row>
    <row r="847" spans="1:115" hidden="1" x14ac:dyDescent="0.2">
      <c r="A847" s="28" t="s">
        <v>2367</v>
      </c>
      <c r="B847" s="29" t="s">
        <v>1770</v>
      </c>
      <c r="C847" s="29" t="s">
        <v>3351</v>
      </c>
      <c r="D847" s="30" t="s">
        <v>1771</v>
      </c>
      <c r="E847" s="30" t="s">
        <v>85</v>
      </c>
      <c r="F847" s="30"/>
      <c r="G847" s="31"/>
      <c r="H847" s="30"/>
      <c r="I847" s="30" t="str">
        <f>IF(Table1[[#This Row],[Centre Status]]="Returned","NA",IF(Table1[[#This Row],[SD]]&gt;19000,"Full Payment",IF(Table1[[#This Row],[SD]]&lt;1,"No Payment","Partial Payment")))</f>
        <v>NA</v>
      </c>
      <c r="J847" s="30" t="s">
        <v>1903</v>
      </c>
      <c r="K847" s="32">
        <v>110000</v>
      </c>
      <c r="L847" s="33">
        <f>Q847+R847+U847+Table1[[#This Row],[Farmer Payment]]</f>
        <v>11588</v>
      </c>
      <c r="M847" s="30">
        <v>10000</v>
      </c>
      <c r="N847" s="34">
        <v>45386</v>
      </c>
      <c r="O847" s="34" t="s">
        <v>2425</v>
      </c>
      <c r="P847" s="35">
        <f t="shared" si="80"/>
        <v>108412</v>
      </c>
      <c r="Q847" s="33">
        <f>AI847+AV847+CK847+Table1[[#This Row],[FY 25-26]]</f>
        <v>1588</v>
      </c>
      <c r="R847" s="36">
        <v>10000</v>
      </c>
      <c r="S847" s="37" t="s">
        <v>2571</v>
      </c>
      <c r="T847" s="38">
        <v>45229</v>
      </c>
      <c r="U847" s="39"/>
      <c r="V847" s="39"/>
      <c r="W847" s="40">
        <v>0</v>
      </c>
      <c r="X847" s="40">
        <v>0</v>
      </c>
      <c r="Y847" s="40">
        <v>0</v>
      </c>
      <c r="Z847" s="40">
        <v>0</v>
      </c>
      <c r="AA847" s="40">
        <v>0</v>
      </c>
      <c r="AB847" s="40">
        <v>0</v>
      </c>
      <c r="AC847" s="40">
        <v>0</v>
      </c>
      <c r="AD847" s="40">
        <v>0</v>
      </c>
      <c r="AE847" s="40">
        <v>0</v>
      </c>
      <c r="AF847" s="40">
        <v>0</v>
      </c>
      <c r="AG847" s="40">
        <v>0</v>
      </c>
      <c r="AH847" s="40">
        <v>0</v>
      </c>
      <c r="AI847" s="41">
        <f t="shared" si="81"/>
        <v>0</v>
      </c>
      <c r="AJ847" s="42">
        <v>0</v>
      </c>
      <c r="AK847" s="42">
        <v>0</v>
      </c>
      <c r="AL847" s="42">
        <v>0</v>
      </c>
      <c r="AM847" s="42">
        <v>0</v>
      </c>
      <c r="AN847" s="42">
        <v>0</v>
      </c>
      <c r="AO847" s="42">
        <v>0</v>
      </c>
      <c r="AP847" s="42">
        <v>0</v>
      </c>
      <c r="AQ847" s="42">
        <v>0</v>
      </c>
      <c r="AR847" s="42">
        <v>1588</v>
      </c>
      <c r="AS847" s="42">
        <v>0</v>
      </c>
      <c r="AT847" s="42">
        <v>0</v>
      </c>
      <c r="AU847" s="42">
        <v>0</v>
      </c>
      <c r="AV847" s="42">
        <f t="shared" si="82"/>
        <v>1588</v>
      </c>
      <c r="AW847" s="42">
        <v>0</v>
      </c>
      <c r="AX847" s="42">
        <v>0</v>
      </c>
      <c r="AY847" s="42">
        <v>0</v>
      </c>
      <c r="AZ847" s="42">
        <v>0</v>
      </c>
      <c r="BA847" s="42">
        <v>0</v>
      </c>
      <c r="BB847" s="42">
        <v>0</v>
      </c>
      <c r="BC847" s="42">
        <v>0</v>
      </c>
      <c r="BD847" s="42">
        <v>0</v>
      </c>
      <c r="BE847" s="42">
        <v>0</v>
      </c>
      <c r="BF847" s="42">
        <v>0</v>
      </c>
      <c r="BG847" s="42">
        <v>0</v>
      </c>
      <c r="BH847" s="42">
        <v>0</v>
      </c>
      <c r="BI847" s="42">
        <v>0</v>
      </c>
      <c r="BJ847" s="42">
        <v>0</v>
      </c>
      <c r="BK847" s="42">
        <v>0</v>
      </c>
      <c r="BL847" s="42">
        <v>0</v>
      </c>
      <c r="BM847" s="42">
        <v>0</v>
      </c>
      <c r="BN847" s="42">
        <v>0</v>
      </c>
      <c r="BO847" s="42">
        <v>0</v>
      </c>
      <c r="BP847" s="42">
        <v>0</v>
      </c>
      <c r="BQ847" s="42">
        <v>0</v>
      </c>
      <c r="BR847" s="42">
        <v>0</v>
      </c>
      <c r="BS847" s="42">
        <v>0</v>
      </c>
      <c r="BT847" s="42">
        <v>0</v>
      </c>
      <c r="BU847" s="42">
        <v>0</v>
      </c>
      <c r="BV847" s="42">
        <v>0</v>
      </c>
      <c r="BW847" s="42">
        <v>0</v>
      </c>
      <c r="BX847" s="42">
        <v>0</v>
      </c>
      <c r="BY847" s="42">
        <v>0</v>
      </c>
      <c r="BZ847" s="42">
        <v>0</v>
      </c>
      <c r="CA847" s="42">
        <v>0</v>
      </c>
      <c r="CB847" s="42">
        <v>0</v>
      </c>
      <c r="CC847" s="42">
        <v>0</v>
      </c>
      <c r="CD847" s="42">
        <v>0</v>
      </c>
      <c r="CE847" s="42">
        <v>0</v>
      </c>
      <c r="CF847" s="42">
        <v>0</v>
      </c>
      <c r="CG847" s="42">
        <v>0</v>
      </c>
      <c r="CH847" s="42">
        <v>0</v>
      </c>
      <c r="CI847" s="42">
        <v>0</v>
      </c>
      <c r="CJ847" s="42">
        <v>0</v>
      </c>
      <c r="CK847" s="43">
        <f t="shared" si="79"/>
        <v>0</v>
      </c>
      <c r="CL847" s="66"/>
      <c r="CM847" s="66">
        <v>0</v>
      </c>
      <c r="CN847" s="66">
        <v>0</v>
      </c>
      <c r="CO847" s="66">
        <v>0</v>
      </c>
      <c r="CP847" s="66">
        <v>0</v>
      </c>
      <c r="CQ847" s="66">
        <v>0</v>
      </c>
      <c r="CR847" s="66">
        <v>0</v>
      </c>
      <c r="CS847" s="66">
        <v>0</v>
      </c>
      <c r="CT847" s="66">
        <v>0</v>
      </c>
      <c r="CU847" s="66">
        <v>0</v>
      </c>
      <c r="CV847" s="66">
        <v>0</v>
      </c>
      <c r="CW847" s="66">
        <v>0</v>
      </c>
      <c r="CX847" s="66">
        <v>0</v>
      </c>
      <c r="CY847" s="66">
        <v>0</v>
      </c>
      <c r="CZ847" s="66">
        <v>0</v>
      </c>
      <c r="DA847" s="66"/>
      <c r="DB847" s="66"/>
      <c r="DC847" s="66"/>
      <c r="DD847" s="66"/>
      <c r="DE847" s="66"/>
      <c r="DF847" s="66"/>
      <c r="DG847" s="66"/>
      <c r="DH847" s="66"/>
      <c r="DI847" s="66"/>
      <c r="DJ847" s="66"/>
      <c r="DK847" s="66">
        <f>SUM(Table1[[#This Row],[01-03 Apr]:[Mar-26]])</f>
        <v>0</v>
      </c>
    </row>
    <row r="848" spans="1:115" hidden="1" x14ac:dyDescent="0.2">
      <c r="A848" s="28" t="s">
        <v>2255</v>
      </c>
      <c r="B848" s="29" t="s">
        <v>1775</v>
      </c>
      <c r="C848" s="29" t="s">
        <v>1776</v>
      </c>
      <c r="D848" s="30" t="s">
        <v>1777</v>
      </c>
      <c r="E848" s="30" t="s">
        <v>85</v>
      </c>
      <c r="F848" s="30"/>
      <c r="G848" s="31"/>
      <c r="H848" s="30">
        <v>385650</v>
      </c>
      <c r="I848" s="30" t="str">
        <f>IF(Table1[[#This Row],[Centre Status]]="Returned","NA",IF(Table1[[#This Row],[SD]]&gt;19000,"Full Payment",IF(Table1[[#This Row],[SD]]&lt;1,"No Payment","Partial Payment")))</f>
        <v>NA</v>
      </c>
      <c r="J848" s="30" t="s">
        <v>1903</v>
      </c>
      <c r="K848" s="32">
        <v>110000</v>
      </c>
      <c r="L848" s="33">
        <f>Q848+R848+U848+Table1[[#This Row],[Farmer Payment]]</f>
        <v>20179.4918</v>
      </c>
      <c r="M848" s="30">
        <v>20000</v>
      </c>
      <c r="N848" s="34">
        <v>45491</v>
      </c>
      <c r="O848" s="34" t="s">
        <v>2425</v>
      </c>
      <c r="P848" s="35">
        <f t="shared" si="80"/>
        <v>109820.5082</v>
      </c>
      <c r="Q848" s="33">
        <f>AI848+AV848+CK848+Table1[[#This Row],[FY 25-26]]</f>
        <v>10179.4918</v>
      </c>
      <c r="R848" s="36">
        <v>10000</v>
      </c>
      <c r="S848" s="37" t="s">
        <v>2402</v>
      </c>
      <c r="T848" s="38">
        <v>45162</v>
      </c>
      <c r="U848" s="39"/>
      <c r="V848" s="39"/>
      <c r="W848" s="40">
        <v>0</v>
      </c>
      <c r="X848" s="40">
        <v>0</v>
      </c>
      <c r="Y848" s="40">
        <v>0</v>
      </c>
      <c r="Z848" s="40">
        <v>0</v>
      </c>
      <c r="AA848" s="40">
        <v>0</v>
      </c>
      <c r="AB848" s="40">
        <v>0</v>
      </c>
      <c r="AC848" s="40">
        <v>0</v>
      </c>
      <c r="AD848" s="40">
        <v>0</v>
      </c>
      <c r="AE848" s="40">
        <v>0</v>
      </c>
      <c r="AF848" s="40">
        <v>0</v>
      </c>
      <c r="AG848" s="40">
        <v>0</v>
      </c>
      <c r="AH848" s="40">
        <v>0</v>
      </c>
      <c r="AI848" s="41">
        <f t="shared" si="81"/>
        <v>0</v>
      </c>
      <c r="AJ848" s="42">
        <v>0</v>
      </c>
      <c r="AK848" s="42">
        <v>0</v>
      </c>
      <c r="AL848" s="42">
        <v>0</v>
      </c>
      <c r="AM848" s="42">
        <v>0</v>
      </c>
      <c r="AN848" s="42">
        <v>0</v>
      </c>
      <c r="AO848" s="42">
        <v>0</v>
      </c>
      <c r="AP848" s="42">
        <v>0</v>
      </c>
      <c r="AQ848" s="42">
        <v>0</v>
      </c>
      <c r="AR848" s="42">
        <v>2096.9578000000001</v>
      </c>
      <c r="AS848" s="42">
        <v>3080.8212000000008</v>
      </c>
      <c r="AT848" s="42">
        <v>2757.3471999999997</v>
      </c>
      <c r="AU848" s="42">
        <v>2244.3656000000001</v>
      </c>
      <c r="AV848" s="42">
        <f t="shared" si="82"/>
        <v>10179.4918</v>
      </c>
      <c r="AW848" s="42">
        <v>0</v>
      </c>
      <c r="AX848" s="42">
        <v>0</v>
      </c>
      <c r="AY848" s="42">
        <v>0</v>
      </c>
      <c r="AZ848" s="42">
        <v>0</v>
      </c>
      <c r="BA848" s="42">
        <v>0</v>
      </c>
      <c r="BB848" s="42">
        <v>0</v>
      </c>
      <c r="BC848" s="42">
        <v>0</v>
      </c>
      <c r="BD848" s="42">
        <v>0</v>
      </c>
      <c r="BE848" s="42">
        <v>0</v>
      </c>
      <c r="BF848" s="42">
        <v>0</v>
      </c>
      <c r="BG848" s="42">
        <v>0</v>
      </c>
      <c r="BH848" s="42">
        <v>0</v>
      </c>
      <c r="BI848" s="42">
        <v>0</v>
      </c>
      <c r="BJ848" s="42">
        <v>0</v>
      </c>
      <c r="BK848" s="42">
        <v>0</v>
      </c>
      <c r="BL848" s="42">
        <v>0</v>
      </c>
      <c r="BM848" s="42">
        <v>0</v>
      </c>
      <c r="BN848" s="42">
        <v>0</v>
      </c>
      <c r="BO848" s="42">
        <v>0</v>
      </c>
      <c r="BP848" s="42">
        <v>0</v>
      </c>
      <c r="BQ848" s="42">
        <v>0</v>
      </c>
      <c r="BR848" s="42">
        <v>0</v>
      </c>
      <c r="BS848" s="42">
        <v>0</v>
      </c>
      <c r="BT848" s="42">
        <v>0</v>
      </c>
      <c r="BU848" s="42">
        <v>0</v>
      </c>
      <c r="BV848" s="42">
        <v>0</v>
      </c>
      <c r="BW848" s="42">
        <v>0</v>
      </c>
      <c r="BX848" s="42">
        <v>0</v>
      </c>
      <c r="BY848" s="42">
        <v>0</v>
      </c>
      <c r="BZ848" s="42">
        <v>0</v>
      </c>
      <c r="CA848" s="42">
        <v>0</v>
      </c>
      <c r="CB848" s="42">
        <v>0</v>
      </c>
      <c r="CC848" s="42">
        <v>0</v>
      </c>
      <c r="CD848" s="42">
        <v>0</v>
      </c>
      <c r="CE848" s="42">
        <v>0</v>
      </c>
      <c r="CF848" s="42">
        <v>0</v>
      </c>
      <c r="CG848" s="42">
        <v>0</v>
      </c>
      <c r="CH848" s="42">
        <v>0</v>
      </c>
      <c r="CI848" s="42">
        <v>0</v>
      </c>
      <c r="CJ848" s="42">
        <v>0</v>
      </c>
      <c r="CK848" s="43">
        <f t="shared" si="79"/>
        <v>0</v>
      </c>
      <c r="CL848" s="66"/>
      <c r="CM848" s="66">
        <v>0</v>
      </c>
      <c r="CN848" s="66">
        <v>0</v>
      </c>
      <c r="CO848" s="66">
        <v>0</v>
      </c>
      <c r="CP848" s="66">
        <v>0</v>
      </c>
      <c r="CQ848" s="66">
        <v>0</v>
      </c>
      <c r="CR848" s="66">
        <v>0</v>
      </c>
      <c r="CS848" s="66">
        <v>0</v>
      </c>
      <c r="CT848" s="66">
        <v>0</v>
      </c>
      <c r="CU848" s="66">
        <v>0</v>
      </c>
      <c r="CV848" s="66">
        <v>0</v>
      </c>
      <c r="CW848" s="66">
        <v>0</v>
      </c>
      <c r="CX848" s="66">
        <v>0</v>
      </c>
      <c r="CY848" s="66">
        <v>0</v>
      </c>
      <c r="CZ848" s="66">
        <v>0</v>
      </c>
      <c r="DA848" s="66"/>
      <c r="DB848" s="66"/>
      <c r="DC848" s="66"/>
      <c r="DD848" s="66"/>
      <c r="DE848" s="66"/>
      <c r="DF848" s="66"/>
      <c r="DG848" s="66"/>
      <c r="DH848" s="66"/>
      <c r="DI848" s="66"/>
      <c r="DJ848" s="66"/>
      <c r="DK848" s="66">
        <f>SUM(Table1[[#This Row],[01-03 Apr]:[Mar-26]])</f>
        <v>0</v>
      </c>
    </row>
    <row r="849" spans="1:115" hidden="1" x14ac:dyDescent="0.2">
      <c r="A849" s="28">
        <v>0</v>
      </c>
      <c r="B849" s="29" t="s">
        <v>1791</v>
      </c>
      <c r="C849" s="29" t="s">
        <v>1792</v>
      </c>
      <c r="D849" s="30" t="s">
        <v>1793</v>
      </c>
      <c r="E849" s="30" t="s">
        <v>203</v>
      </c>
      <c r="F849" s="30"/>
      <c r="G849" s="31"/>
      <c r="H849" s="30">
        <v>362926</v>
      </c>
      <c r="I849" s="30" t="str">
        <f>IF(Table1[[#This Row],[Centre Status]]="Returned","NA",IF(Table1[[#This Row],[SD]]&gt;19000,"Full Payment",IF(Table1[[#This Row],[SD]]&lt;1,"No Payment","Partial Payment")))</f>
        <v>NA</v>
      </c>
      <c r="J849" s="30" t="s">
        <v>1903</v>
      </c>
      <c r="K849" s="32">
        <v>110000</v>
      </c>
      <c r="L849" s="33">
        <f>Q849+R849+U849+Table1[[#This Row],[Farmer Payment]]</f>
        <v>18151.655999999999</v>
      </c>
      <c r="M849" s="30">
        <v>10000</v>
      </c>
      <c r="N849" s="34">
        <v>45541</v>
      </c>
      <c r="O849" s="34" t="s">
        <v>2604</v>
      </c>
      <c r="P849" s="35">
        <f t="shared" si="80"/>
        <v>101848.344</v>
      </c>
      <c r="Q849" s="33">
        <f>AI849+AV849+CK849+Table1[[#This Row],[FY 25-26]]</f>
        <v>8151.6559999999999</v>
      </c>
      <c r="R849" s="36">
        <v>10000</v>
      </c>
      <c r="S849" s="37" t="s">
        <v>1794</v>
      </c>
      <c r="T849" s="38">
        <v>45198</v>
      </c>
      <c r="U849" s="39"/>
      <c r="V849" s="39"/>
      <c r="W849" s="40">
        <v>0</v>
      </c>
      <c r="X849" s="40">
        <v>0</v>
      </c>
      <c r="Y849" s="40">
        <v>0</v>
      </c>
      <c r="Z849" s="40">
        <v>0</v>
      </c>
      <c r="AA849" s="40">
        <v>0</v>
      </c>
      <c r="AB849" s="40">
        <v>0</v>
      </c>
      <c r="AC849" s="40">
        <v>0</v>
      </c>
      <c r="AD849" s="40">
        <v>0</v>
      </c>
      <c r="AE849" s="40">
        <v>0</v>
      </c>
      <c r="AF849" s="40">
        <v>0</v>
      </c>
      <c r="AG849" s="40">
        <v>0</v>
      </c>
      <c r="AH849" s="40">
        <v>0</v>
      </c>
      <c r="AI849" s="41">
        <f t="shared" si="81"/>
        <v>0</v>
      </c>
      <c r="AJ849" s="42">
        <v>0</v>
      </c>
      <c r="AK849" s="42">
        <v>0</v>
      </c>
      <c r="AL849" s="42">
        <v>0</v>
      </c>
      <c r="AM849" s="42">
        <v>0</v>
      </c>
      <c r="AN849" s="42">
        <v>0</v>
      </c>
      <c r="AO849" s="42">
        <v>0</v>
      </c>
      <c r="AP849" s="42">
        <v>0</v>
      </c>
      <c r="AQ849" s="42">
        <v>0</v>
      </c>
      <c r="AR849" s="42">
        <v>1213</v>
      </c>
      <c r="AS849" s="42">
        <v>1861</v>
      </c>
      <c r="AT849" s="42">
        <v>1861</v>
      </c>
      <c r="AU849" s="42">
        <v>2008.6559999999997</v>
      </c>
      <c r="AV849" s="42">
        <f t="shared" si="82"/>
        <v>6943.6559999999999</v>
      </c>
      <c r="AW849" s="42">
        <v>1208</v>
      </c>
      <c r="AX849" s="42">
        <v>0</v>
      </c>
      <c r="AY849" s="42">
        <v>0</v>
      </c>
      <c r="AZ849" s="42">
        <v>0</v>
      </c>
      <c r="BA849" s="42">
        <v>0</v>
      </c>
      <c r="BB849" s="42">
        <v>0</v>
      </c>
      <c r="BC849" s="42">
        <v>0</v>
      </c>
      <c r="BD849" s="42">
        <v>0</v>
      </c>
      <c r="BE849" s="42">
        <v>0</v>
      </c>
      <c r="BF849" s="42">
        <v>0</v>
      </c>
      <c r="BG849" s="42">
        <v>0</v>
      </c>
      <c r="BH849" s="42">
        <v>0</v>
      </c>
      <c r="BI849" s="42">
        <v>0</v>
      </c>
      <c r="BJ849" s="42">
        <v>0</v>
      </c>
      <c r="BK849" s="42">
        <v>0</v>
      </c>
      <c r="BL849" s="42">
        <v>0</v>
      </c>
      <c r="BM849" s="42">
        <v>0</v>
      </c>
      <c r="BN849" s="42">
        <v>0</v>
      </c>
      <c r="BO849" s="42">
        <v>0</v>
      </c>
      <c r="BP849" s="42">
        <v>0</v>
      </c>
      <c r="BQ849" s="42">
        <v>0</v>
      </c>
      <c r="BR849" s="42">
        <v>0</v>
      </c>
      <c r="BS849" s="42">
        <v>0</v>
      </c>
      <c r="BT849" s="42">
        <v>0</v>
      </c>
      <c r="BU849" s="42">
        <v>0</v>
      </c>
      <c r="BV849" s="42">
        <v>0</v>
      </c>
      <c r="BW849" s="42">
        <v>0</v>
      </c>
      <c r="BX849" s="42">
        <v>0</v>
      </c>
      <c r="BY849" s="42">
        <v>0</v>
      </c>
      <c r="BZ849" s="42">
        <v>0</v>
      </c>
      <c r="CA849" s="42">
        <v>0</v>
      </c>
      <c r="CB849" s="42">
        <v>0</v>
      </c>
      <c r="CC849" s="42">
        <v>0</v>
      </c>
      <c r="CD849" s="42">
        <v>0</v>
      </c>
      <c r="CE849" s="42">
        <v>0</v>
      </c>
      <c r="CF849" s="42">
        <v>0</v>
      </c>
      <c r="CG849" s="42">
        <v>0</v>
      </c>
      <c r="CH849" s="42">
        <v>0</v>
      </c>
      <c r="CI849" s="42">
        <v>0</v>
      </c>
      <c r="CJ849" s="42">
        <v>0</v>
      </c>
      <c r="CK849" s="43">
        <f t="shared" si="79"/>
        <v>1208</v>
      </c>
      <c r="CL849" s="66"/>
      <c r="CM849" s="66">
        <v>0</v>
      </c>
      <c r="CN849" s="66">
        <v>0</v>
      </c>
      <c r="CO849" s="66">
        <v>0</v>
      </c>
      <c r="CP849" s="66">
        <v>0</v>
      </c>
      <c r="CQ849" s="66">
        <v>0</v>
      </c>
      <c r="CR849" s="66">
        <v>0</v>
      </c>
      <c r="CS849" s="66">
        <v>0</v>
      </c>
      <c r="CT849" s="66">
        <v>0</v>
      </c>
      <c r="CU849" s="66">
        <v>0</v>
      </c>
      <c r="CV849" s="66">
        <v>0</v>
      </c>
      <c r="CW849" s="66">
        <v>0</v>
      </c>
      <c r="CX849" s="66">
        <v>0</v>
      </c>
      <c r="CY849" s="66">
        <v>0</v>
      </c>
      <c r="CZ849" s="66">
        <v>0</v>
      </c>
      <c r="DA849" s="66"/>
      <c r="DB849" s="66"/>
      <c r="DC849" s="66"/>
      <c r="DD849" s="66"/>
      <c r="DE849" s="66"/>
      <c r="DF849" s="66"/>
      <c r="DG849" s="66"/>
      <c r="DH849" s="66"/>
      <c r="DI849" s="66"/>
      <c r="DJ849" s="66"/>
      <c r="DK849" s="66">
        <f>SUM(Table1[[#This Row],[01-03 Apr]:[Mar-26]])</f>
        <v>0</v>
      </c>
    </row>
    <row r="850" spans="1:115" hidden="1" x14ac:dyDescent="0.2">
      <c r="A850" s="28">
        <v>0</v>
      </c>
      <c r="B850" s="29" t="s">
        <v>1795</v>
      </c>
      <c r="C850" s="29" t="s">
        <v>3352</v>
      </c>
      <c r="D850" s="30" t="s">
        <v>1796</v>
      </c>
      <c r="E850" s="30" t="s">
        <v>203</v>
      </c>
      <c r="F850" s="30"/>
      <c r="G850" s="31"/>
      <c r="H850" s="30"/>
      <c r="I850" s="30" t="str">
        <f>IF(Table1[[#This Row],[Centre Status]]="Returned","NA",IF(Table1[[#This Row],[SD]]&gt;19000,"Full Payment",IF(Table1[[#This Row],[SD]]&lt;1,"No Payment","Partial Payment")))</f>
        <v>NA</v>
      </c>
      <c r="J850" s="30" t="s">
        <v>1903</v>
      </c>
      <c r="K850" s="32">
        <v>110000</v>
      </c>
      <c r="L850" s="33">
        <f>Q850+R850+U850+Table1[[#This Row],[Farmer Payment]]</f>
        <v>1047.3234976798142</v>
      </c>
      <c r="M850" s="30"/>
      <c r="N850" s="34"/>
      <c r="O850" s="34"/>
      <c r="P850" s="35">
        <f t="shared" si="80"/>
        <v>108952.67650232019</v>
      </c>
      <c r="Q850" s="33">
        <f>AI850+AV850+CK850+Table1[[#This Row],[FY 25-26]]</f>
        <v>1047.3234976798142</v>
      </c>
      <c r="R850" s="36"/>
      <c r="S850" s="37"/>
      <c r="T850" s="38"/>
      <c r="U850" s="39"/>
      <c r="V850" s="39"/>
      <c r="W850" s="40">
        <v>0</v>
      </c>
      <c r="X850" s="40">
        <v>0</v>
      </c>
      <c r="Y850" s="40">
        <v>0</v>
      </c>
      <c r="Z850" s="40">
        <v>0</v>
      </c>
      <c r="AA850" s="40">
        <v>0</v>
      </c>
      <c r="AB850" s="40">
        <v>0</v>
      </c>
      <c r="AC850" s="40">
        <v>0</v>
      </c>
      <c r="AD850" s="40">
        <v>0</v>
      </c>
      <c r="AE850" s="40">
        <v>0</v>
      </c>
      <c r="AF850" s="40">
        <v>0</v>
      </c>
      <c r="AG850" s="40">
        <v>0</v>
      </c>
      <c r="AH850" s="40">
        <v>0</v>
      </c>
      <c r="AI850" s="41">
        <f t="shared" si="81"/>
        <v>0</v>
      </c>
      <c r="AJ850" s="42">
        <v>0</v>
      </c>
      <c r="AK850" s="42">
        <v>0</v>
      </c>
      <c r="AL850" s="42">
        <v>0</v>
      </c>
      <c r="AM850" s="42">
        <v>0</v>
      </c>
      <c r="AN850" s="42">
        <v>0</v>
      </c>
      <c r="AO850" s="42">
        <v>0</v>
      </c>
      <c r="AP850" s="42">
        <v>0</v>
      </c>
      <c r="AQ850" s="42">
        <v>0</v>
      </c>
      <c r="AR850" s="42">
        <v>0</v>
      </c>
      <c r="AS850" s="42">
        <v>0</v>
      </c>
      <c r="AT850" s="42">
        <v>1047.3234976798142</v>
      </c>
      <c r="AU850" s="42">
        <v>0</v>
      </c>
      <c r="AV850" s="42">
        <f t="shared" si="82"/>
        <v>1047.3234976798142</v>
      </c>
      <c r="AW850" s="42">
        <v>0</v>
      </c>
      <c r="AX850" s="42">
        <v>0</v>
      </c>
      <c r="AY850" s="42">
        <v>0</v>
      </c>
      <c r="AZ850" s="42">
        <v>0</v>
      </c>
      <c r="BA850" s="42">
        <v>0</v>
      </c>
      <c r="BB850" s="42">
        <v>0</v>
      </c>
      <c r="BC850" s="42">
        <v>0</v>
      </c>
      <c r="BD850" s="42">
        <v>0</v>
      </c>
      <c r="BE850" s="42">
        <v>0</v>
      </c>
      <c r="BF850" s="42">
        <v>0</v>
      </c>
      <c r="BG850" s="42">
        <v>0</v>
      </c>
      <c r="BH850" s="42">
        <v>0</v>
      </c>
      <c r="BI850" s="42">
        <v>0</v>
      </c>
      <c r="BJ850" s="42">
        <v>0</v>
      </c>
      <c r="BK850" s="42">
        <v>0</v>
      </c>
      <c r="BL850" s="42">
        <v>0</v>
      </c>
      <c r="BM850" s="42">
        <v>0</v>
      </c>
      <c r="BN850" s="42">
        <v>0</v>
      </c>
      <c r="BO850" s="42">
        <v>0</v>
      </c>
      <c r="BP850" s="42">
        <v>0</v>
      </c>
      <c r="BQ850" s="42">
        <v>0</v>
      </c>
      <c r="BR850" s="42">
        <v>0</v>
      </c>
      <c r="BS850" s="42">
        <v>0</v>
      </c>
      <c r="BT850" s="42">
        <v>0</v>
      </c>
      <c r="BU850" s="42">
        <v>0</v>
      </c>
      <c r="BV850" s="42">
        <v>0</v>
      </c>
      <c r="BW850" s="42">
        <v>0</v>
      </c>
      <c r="BX850" s="42">
        <v>0</v>
      </c>
      <c r="BY850" s="42">
        <v>0</v>
      </c>
      <c r="BZ850" s="42">
        <v>0</v>
      </c>
      <c r="CA850" s="42">
        <v>0</v>
      </c>
      <c r="CB850" s="42">
        <v>0</v>
      </c>
      <c r="CC850" s="42">
        <v>0</v>
      </c>
      <c r="CD850" s="42">
        <v>0</v>
      </c>
      <c r="CE850" s="42">
        <v>0</v>
      </c>
      <c r="CF850" s="42">
        <v>0</v>
      </c>
      <c r="CG850" s="42">
        <v>0</v>
      </c>
      <c r="CH850" s="42">
        <v>0</v>
      </c>
      <c r="CI850" s="42">
        <v>0</v>
      </c>
      <c r="CJ850" s="42">
        <v>0</v>
      </c>
      <c r="CK850" s="43">
        <f t="shared" si="79"/>
        <v>0</v>
      </c>
      <c r="CL850" s="66"/>
      <c r="CM850" s="66">
        <v>0</v>
      </c>
      <c r="CN850" s="66">
        <v>0</v>
      </c>
      <c r="CO850" s="66">
        <v>0</v>
      </c>
      <c r="CP850" s="66">
        <v>0</v>
      </c>
      <c r="CQ850" s="66">
        <v>0</v>
      </c>
      <c r="CR850" s="66">
        <v>0</v>
      </c>
      <c r="CS850" s="66">
        <v>0</v>
      </c>
      <c r="CT850" s="66">
        <v>0</v>
      </c>
      <c r="CU850" s="66">
        <v>0</v>
      </c>
      <c r="CV850" s="66">
        <v>0</v>
      </c>
      <c r="CW850" s="66">
        <v>0</v>
      </c>
      <c r="CX850" s="66">
        <v>0</v>
      </c>
      <c r="CY850" s="66">
        <v>0</v>
      </c>
      <c r="CZ850" s="66">
        <v>0</v>
      </c>
      <c r="DA850" s="66"/>
      <c r="DB850" s="66"/>
      <c r="DC850" s="66"/>
      <c r="DD850" s="66"/>
      <c r="DE850" s="66"/>
      <c r="DF850" s="66"/>
      <c r="DG850" s="66"/>
      <c r="DH850" s="66"/>
      <c r="DI850" s="66"/>
      <c r="DJ850" s="66"/>
      <c r="DK850" s="66">
        <f>SUM(Table1[[#This Row],[01-03 Apr]:[Mar-26]])</f>
        <v>0</v>
      </c>
    </row>
    <row r="851" spans="1:115" hidden="1" x14ac:dyDescent="0.2">
      <c r="A851" s="28">
        <v>0</v>
      </c>
      <c r="B851" s="29" t="s">
        <v>1797</v>
      </c>
      <c r="C851" s="29" t="s">
        <v>3336</v>
      </c>
      <c r="D851" s="30" t="s">
        <v>1798</v>
      </c>
      <c r="E851" s="30" t="s">
        <v>203</v>
      </c>
      <c r="F851" s="30"/>
      <c r="G851" s="31"/>
      <c r="H851" s="30"/>
      <c r="I851" s="30" t="str">
        <f>IF(Table1[[#This Row],[Centre Status]]="Returned","NA",IF(Table1[[#This Row],[SD]]&gt;19000,"Full Payment",IF(Table1[[#This Row],[SD]]&lt;1,"No Payment","Partial Payment")))</f>
        <v>NA</v>
      </c>
      <c r="J851" s="30" t="s">
        <v>1903</v>
      </c>
      <c r="K851" s="32">
        <v>110000</v>
      </c>
      <c r="L851" s="33">
        <f>Q851+R851+U851+Table1[[#This Row],[Farmer Payment]]</f>
        <v>0</v>
      </c>
      <c r="M851" s="30"/>
      <c r="N851" s="34"/>
      <c r="O851" s="34"/>
      <c r="P851" s="35">
        <f t="shared" si="80"/>
        <v>110000</v>
      </c>
      <c r="Q851" s="33">
        <f>AI851+AV851+CK851+Table1[[#This Row],[FY 25-26]]</f>
        <v>0</v>
      </c>
      <c r="R851" s="36"/>
      <c r="S851" s="37"/>
      <c r="T851" s="38"/>
      <c r="U851" s="39"/>
      <c r="V851" s="39"/>
      <c r="W851" s="40">
        <v>0</v>
      </c>
      <c r="X851" s="40">
        <v>0</v>
      </c>
      <c r="Y851" s="40">
        <v>0</v>
      </c>
      <c r="Z851" s="40">
        <v>0</v>
      </c>
      <c r="AA851" s="40">
        <v>0</v>
      </c>
      <c r="AB851" s="40">
        <v>0</v>
      </c>
      <c r="AC851" s="40">
        <v>0</v>
      </c>
      <c r="AD851" s="40">
        <v>0</v>
      </c>
      <c r="AE851" s="40">
        <v>0</v>
      </c>
      <c r="AF851" s="40">
        <v>0</v>
      </c>
      <c r="AG851" s="40">
        <v>0</v>
      </c>
      <c r="AH851" s="40">
        <v>0</v>
      </c>
      <c r="AI851" s="41">
        <f t="shared" si="81"/>
        <v>0</v>
      </c>
      <c r="AJ851" s="42">
        <v>0</v>
      </c>
      <c r="AK851" s="42">
        <v>0</v>
      </c>
      <c r="AL851" s="42">
        <v>0</v>
      </c>
      <c r="AM851" s="42">
        <v>0</v>
      </c>
      <c r="AN851" s="42">
        <v>0</v>
      </c>
      <c r="AO851" s="42">
        <v>0</v>
      </c>
      <c r="AP851" s="42">
        <v>0</v>
      </c>
      <c r="AQ851" s="42">
        <v>0</v>
      </c>
      <c r="AR851" s="42">
        <v>0</v>
      </c>
      <c r="AS851" s="42">
        <v>0</v>
      </c>
      <c r="AT851" s="42">
        <v>0</v>
      </c>
      <c r="AU851" s="42">
        <v>0</v>
      </c>
      <c r="AV851" s="42">
        <f t="shared" si="82"/>
        <v>0</v>
      </c>
      <c r="AW851" s="42">
        <v>0</v>
      </c>
      <c r="AX851" s="42">
        <v>0</v>
      </c>
      <c r="AY851" s="42">
        <v>0</v>
      </c>
      <c r="AZ851" s="42">
        <v>0</v>
      </c>
      <c r="BA851" s="42">
        <v>0</v>
      </c>
      <c r="BB851" s="42">
        <v>0</v>
      </c>
      <c r="BC851" s="42">
        <v>0</v>
      </c>
      <c r="BD851" s="42">
        <v>0</v>
      </c>
      <c r="BE851" s="42">
        <v>0</v>
      </c>
      <c r="BF851" s="42">
        <v>0</v>
      </c>
      <c r="BG851" s="42">
        <v>0</v>
      </c>
      <c r="BH851" s="42">
        <v>0</v>
      </c>
      <c r="BI851" s="42">
        <v>0</v>
      </c>
      <c r="BJ851" s="42">
        <v>0</v>
      </c>
      <c r="BK851" s="42">
        <v>0</v>
      </c>
      <c r="BL851" s="42">
        <v>0</v>
      </c>
      <c r="BM851" s="42">
        <v>0</v>
      </c>
      <c r="BN851" s="42">
        <v>0</v>
      </c>
      <c r="BO851" s="42">
        <v>0</v>
      </c>
      <c r="BP851" s="42">
        <v>0</v>
      </c>
      <c r="BQ851" s="42">
        <v>0</v>
      </c>
      <c r="BR851" s="42">
        <v>0</v>
      </c>
      <c r="BS851" s="42">
        <v>0</v>
      </c>
      <c r="BT851" s="42">
        <v>0</v>
      </c>
      <c r="BU851" s="42">
        <v>0</v>
      </c>
      <c r="BV851" s="42">
        <v>0</v>
      </c>
      <c r="BW851" s="42">
        <v>0</v>
      </c>
      <c r="BX851" s="42">
        <v>0</v>
      </c>
      <c r="BY851" s="42">
        <v>0</v>
      </c>
      <c r="BZ851" s="42">
        <v>0</v>
      </c>
      <c r="CA851" s="42">
        <v>0</v>
      </c>
      <c r="CB851" s="42">
        <v>0</v>
      </c>
      <c r="CC851" s="42">
        <v>0</v>
      </c>
      <c r="CD851" s="42">
        <v>0</v>
      </c>
      <c r="CE851" s="42">
        <v>0</v>
      </c>
      <c r="CF851" s="42">
        <v>0</v>
      </c>
      <c r="CG851" s="42">
        <v>0</v>
      </c>
      <c r="CH851" s="42">
        <v>0</v>
      </c>
      <c r="CI851" s="42">
        <v>0</v>
      </c>
      <c r="CJ851" s="42">
        <v>0</v>
      </c>
      <c r="CK851" s="43">
        <f t="shared" si="79"/>
        <v>0</v>
      </c>
      <c r="CL851" s="66"/>
      <c r="CM851" s="66">
        <v>0</v>
      </c>
      <c r="CN851" s="66">
        <v>0</v>
      </c>
      <c r="CO851" s="66">
        <v>0</v>
      </c>
      <c r="CP851" s="66">
        <v>0</v>
      </c>
      <c r="CQ851" s="66">
        <v>0</v>
      </c>
      <c r="CR851" s="66">
        <v>0</v>
      </c>
      <c r="CS851" s="66">
        <v>0</v>
      </c>
      <c r="CT851" s="66">
        <v>0</v>
      </c>
      <c r="CU851" s="66">
        <v>0</v>
      </c>
      <c r="CV851" s="66">
        <v>0</v>
      </c>
      <c r="CW851" s="66">
        <v>0</v>
      </c>
      <c r="CX851" s="66">
        <v>0</v>
      </c>
      <c r="CY851" s="66">
        <v>0</v>
      </c>
      <c r="CZ851" s="66">
        <v>0</v>
      </c>
      <c r="DA851" s="66"/>
      <c r="DB851" s="66"/>
      <c r="DC851" s="66"/>
      <c r="DD851" s="66"/>
      <c r="DE851" s="66"/>
      <c r="DF851" s="66"/>
      <c r="DG851" s="66"/>
      <c r="DH851" s="66"/>
      <c r="DI851" s="66"/>
      <c r="DJ851" s="66"/>
      <c r="DK851" s="66">
        <f>SUM(Table1[[#This Row],[01-03 Apr]:[Mar-26]])</f>
        <v>0</v>
      </c>
    </row>
    <row r="852" spans="1:115" hidden="1" x14ac:dyDescent="0.2">
      <c r="A852" s="28">
        <v>0</v>
      </c>
      <c r="B852" s="29" t="s">
        <v>1799</v>
      </c>
      <c r="C852" s="29" t="s">
        <v>3353</v>
      </c>
      <c r="D852" s="30" t="s">
        <v>1800</v>
      </c>
      <c r="E852" s="30" t="s">
        <v>203</v>
      </c>
      <c r="F852" s="30"/>
      <c r="G852" s="31"/>
      <c r="H852" s="30"/>
      <c r="I852" s="30" t="str">
        <f>IF(Table1[[#This Row],[Centre Status]]="Returned","NA",IF(Table1[[#This Row],[SD]]&gt;19000,"Full Payment",IF(Table1[[#This Row],[SD]]&lt;1,"No Payment","Partial Payment")))</f>
        <v>NA</v>
      </c>
      <c r="J852" s="30" t="s">
        <v>1903</v>
      </c>
      <c r="K852" s="32">
        <v>110000</v>
      </c>
      <c r="L852" s="33">
        <f>Q852+R852+U852+Table1[[#This Row],[Farmer Payment]]</f>
        <v>11993</v>
      </c>
      <c r="M852" s="30">
        <v>10000</v>
      </c>
      <c r="N852" s="34">
        <v>45426</v>
      </c>
      <c r="O852" s="34" t="s">
        <v>2450</v>
      </c>
      <c r="P852" s="35">
        <f t="shared" si="80"/>
        <v>108007</v>
      </c>
      <c r="Q852" s="33">
        <f>AI852+AV852+CK852+Table1[[#This Row],[FY 25-26]]</f>
        <v>1993</v>
      </c>
      <c r="R852" s="36">
        <v>10000</v>
      </c>
      <c r="S852" s="37" t="s">
        <v>1801</v>
      </c>
      <c r="T852" s="38">
        <v>45222</v>
      </c>
      <c r="U852" s="39"/>
      <c r="V852" s="39"/>
      <c r="W852" s="40">
        <v>0</v>
      </c>
      <c r="X852" s="40">
        <v>0</v>
      </c>
      <c r="Y852" s="40">
        <v>0</v>
      </c>
      <c r="Z852" s="40">
        <v>0</v>
      </c>
      <c r="AA852" s="40">
        <v>0</v>
      </c>
      <c r="AB852" s="40">
        <v>0</v>
      </c>
      <c r="AC852" s="40">
        <v>0</v>
      </c>
      <c r="AD852" s="40">
        <v>0</v>
      </c>
      <c r="AE852" s="40">
        <v>0</v>
      </c>
      <c r="AF852" s="40">
        <v>0</v>
      </c>
      <c r="AG852" s="40">
        <v>0</v>
      </c>
      <c r="AH852" s="40">
        <v>0</v>
      </c>
      <c r="AI852" s="41">
        <f t="shared" si="81"/>
        <v>0</v>
      </c>
      <c r="AJ852" s="42">
        <v>0</v>
      </c>
      <c r="AK852" s="42">
        <v>0</v>
      </c>
      <c r="AL852" s="42">
        <v>0</v>
      </c>
      <c r="AM852" s="42">
        <v>0</v>
      </c>
      <c r="AN852" s="42">
        <v>0</v>
      </c>
      <c r="AO852" s="42">
        <v>0</v>
      </c>
      <c r="AP852" s="42">
        <v>0</v>
      </c>
      <c r="AQ852" s="42">
        <v>0</v>
      </c>
      <c r="AR852" s="42">
        <v>0</v>
      </c>
      <c r="AS852" s="42">
        <v>0</v>
      </c>
      <c r="AT852" s="42">
        <v>1861</v>
      </c>
      <c r="AU852" s="42">
        <v>132</v>
      </c>
      <c r="AV852" s="42">
        <f t="shared" si="82"/>
        <v>1993</v>
      </c>
      <c r="AW852" s="42">
        <v>0</v>
      </c>
      <c r="AX852" s="42">
        <v>0</v>
      </c>
      <c r="AY852" s="42">
        <v>0</v>
      </c>
      <c r="AZ852" s="42">
        <v>0</v>
      </c>
      <c r="BA852" s="42">
        <v>0</v>
      </c>
      <c r="BB852" s="42">
        <v>0</v>
      </c>
      <c r="BC852" s="42">
        <v>0</v>
      </c>
      <c r="BD852" s="42">
        <v>0</v>
      </c>
      <c r="BE852" s="42">
        <v>0</v>
      </c>
      <c r="BF852" s="42">
        <v>0</v>
      </c>
      <c r="BG852" s="42">
        <v>0</v>
      </c>
      <c r="BH852" s="42">
        <v>0</v>
      </c>
      <c r="BI852" s="42">
        <v>0</v>
      </c>
      <c r="BJ852" s="42">
        <v>0</v>
      </c>
      <c r="BK852" s="42">
        <v>0</v>
      </c>
      <c r="BL852" s="42">
        <v>0</v>
      </c>
      <c r="BM852" s="42">
        <v>0</v>
      </c>
      <c r="BN852" s="42">
        <v>0</v>
      </c>
      <c r="BO852" s="42">
        <v>0</v>
      </c>
      <c r="BP852" s="42">
        <v>0</v>
      </c>
      <c r="BQ852" s="42">
        <v>0</v>
      </c>
      <c r="BR852" s="42">
        <v>0</v>
      </c>
      <c r="BS852" s="42">
        <v>0</v>
      </c>
      <c r="BT852" s="42">
        <v>0</v>
      </c>
      <c r="BU852" s="42">
        <v>0</v>
      </c>
      <c r="BV852" s="42">
        <v>0</v>
      </c>
      <c r="BW852" s="42">
        <v>0</v>
      </c>
      <c r="BX852" s="42">
        <v>0</v>
      </c>
      <c r="BY852" s="42">
        <v>0</v>
      </c>
      <c r="BZ852" s="42">
        <v>0</v>
      </c>
      <c r="CA852" s="42">
        <v>0</v>
      </c>
      <c r="CB852" s="42">
        <v>0</v>
      </c>
      <c r="CC852" s="42">
        <v>0</v>
      </c>
      <c r="CD852" s="42">
        <v>0</v>
      </c>
      <c r="CE852" s="42">
        <v>0</v>
      </c>
      <c r="CF852" s="42">
        <v>0</v>
      </c>
      <c r="CG852" s="42">
        <v>0</v>
      </c>
      <c r="CH852" s="42">
        <v>0</v>
      </c>
      <c r="CI852" s="42">
        <v>0</v>
      </c>
      <c r="CJ852" s="42">
        <v>0</v>
      </c>
      <c r="CK852" s="43">
        <f t="shared" si="79"/>
        <v>0</v>
      </c>
      <c r="CL852" s="66"/>
      <c r="CM852" s="66">
        <v>0</v>
      </c>
      <c r="CN852" s="66">
        <v>0</v>
      </c>
      <c r="CO852" s="66">
        <v>0</v>
      </c>
      <c r="CP852" s="66">
        <v>0</v>
      </c>
      <c r="CQ852" s="66">
        <v>0</v>
      </c>
      <c r="CR852" s="66">
        <v>0</v>
      </c>
      <c r="CS852" s="66">
        <v>0</v>
      </c>
      <c r="CT852" s="66">
        <v>0</v>
      </c>
      <c r="CU852" s="66">
        <v>0</v>
      </c>
      <c r="CV852" s="66">
        <v>0</v>
      </c>
      <c r="CW852" s="66">
        <v>0</v>
      </c>
      <c r="CX852" s="66">
        <v>0</v>
      </c>
      <c r="CY852" s="66">
        <v>0</v>
      </c>
      <c r="CZ852" s="66">
        <v>0</v>
      </c>
      <c r="DA852" s="66"/>
      <c r="DB852" s="66"/>
      <c r="DC852" s="66"/>
      <c r="DD852" s="66"/>
      <c r="DE852" s="66"/>
      <c r="DF852" s="66"/>
      <c r="DG852" s="66"/>
      <c r="DH852" s="66"/>
      <c r="DI852" s="66"/>
      <c r="DJ852" s="66"/>
      <c r="DK852" s="66">
        <f>SUM(Table1[[#This Row],[01-03 Apr]:[Mar-26]])</f>
        <v>0</v>
      </c>
    </row>
    <row r="853" spans="1:115" hidden="1" x14ac:dyDescent="0.2">
      <c r="A853" s="28">
        <v>0</v>
      </c>
      <c r="B853" s="29" t="s">
        <v>1802</v>
      </c>
      <c r="C853" s="29" t="s">
        <v>3336</v>
      </c>
      <c r="D853" s="30" t="s">
        <v>1803</v>
      </c>
      <c r="E853" s="30" t="s">
        <v>203</v>
      </c>
      <c r="F853" s="30"/>
      <c r="G853" s="31"/>
      <c r="H853" s="30"/>
      <c r="I853" s="30" t="str">
        <f>IF(Table1[[#This Row],[Centre Status]]="Returned","NA",IF(Table1[[#This Row],[SD]]&gt;19000,"Full Payment",IF(Table1[[#This Row],[SD]]&lt;1,"No Payment","Partial Payment")))</f>
        <v>NA</v>
      </c>
      <c r="J853" s="30" t="s">
        <v>1903</v>
      </c>
      <c r="K853" s="32">
        <v>110000</v>
      </c>
      <c r="L853" s="33">
        <f>Q853+R853+U853+Table1[[#This Row],[Farmer Payment]]</f>
        <v>0</v>
      </c>
      <c r="M853" s="30"/>
      <c r="N853" s="34"/>
      <c r="O853" s="34"/>
      <c r="P853" s="35">
        <f t="shared" si="80"/>
        <v>110000</v>
      </c>
      <c r="Q853" s="33">
        <f>AI853+AV853+CK853+Table1[[#This Row],[FY 25-26]]</f>
        <v>0</v>
      </c>
      <c r="R853" s="36"/>
      <c r="S853" s="37"/>
      <c r="T853" s="38"/>
      <c r="U853" s="39"/>
      <c r="V853" s="39"/>
      <c r="W853" s="40">
        <v>0</v>
      </c>
      <c r="X853" s="40">
        <v>0</v>
      </c>
      <c r="Y853" s="40">
        <v>0</v>
      </c>
      <c r="Z853" s="40">
        <v>0</v>
      </c>
      <c r="AA853" s="40">
        <v>0</v>
      </c>
      <c r="AB853" s="40">
        <v>0</v>
      </c>
      <c r="AC853" s="40">
        <v>0</v>
      </c>
      <c r="AD853" s="40">
        <v>0</v>
      </c>
      <c r="AE853" s="40">
        <v>0</v>
      </c>
      <c r="AF853" s="40">
        <v>0</v>
      </c>
      <c r="AG853" s="40">
        <v>0</v>
      </c>
      <c r="AH853" s="40">
        <v>0</v>
      </c>
      <c r="AI853" s="41">
        <f t="shared" si="81"/>
        <v>0</v>
      </c>
      <c r="AJ853" s="42">
        <v>0</v>
      </c>
      <c r="AK853" s="42">
        <v>0</v>
      </c>
      <c r="AL853" s="42">
        <v>0</v>
      </c>
      <c r="AM853" s="42">
        <v>0</v>
      </c>
      <c r="AN853" s="42">
        <v>0</v>
      </c>
      <c r="AO853" s="42">
        <v>0</v>
      </c>
      <c r="AP853" s="42">
        <v>0</v>
      </c>
      <c r="AQ853" s="42">
        <v>0</v>
      </c>
      <c r="AR853" s="42">
        <v>0</v>
      </c>
      <c r="AS853" s="42">
        <v>0</v>
      </c>
      <c r="AT853" s="42">
        <v>0</v>
      </c>
      <c r="AU853" s="42">
        <v>0</v>
      </c>
      <c r="AV853" s="42">
        <f t="shared" si="82"/>
        <v>0</v>
      </c>
      <c r="AW853" s="42">
        <v>0</v>
      </c>
      <c r="AX853" s="42">
        <v>0</v>
      </c>
      <c r="AY853" s="42">
        <v>0</v>
      </c>
      <c r="AZ853" s="42">
        <v>0</v>
      </c>
      <c r="BA853" s="42">
        <v>0</v>
      </c>
      <c r="BB853" s="42">
        <v>0</v>
      </c>
      <c r="BC853" s="42">
        <v>0</v>
      </c>
      <c r="BD853" s="42">
        <v>0</v>
      </c>
      <c r="BE853" s="42">
        <v>0</v>
      </c>
      <c r="BF853" s="42">
        <v>0</v>
      </c>
      <c r="BG853" s="42">
        <v>0</v>
      </c>
      <c r="BH853" s="42">
        <v>0</v>
      </c>
      <c r="BI853" s="42">
        <v>0</v>
      </c>
      <c r="BJ853" s="42">
        <v>0</v>
      </c>
      <c r="BK853" s="42">
        <v>0</v>
      </c>
      <c r="BL853" s="42">
        <v>0</v>
      </c>
      <c r="BM853" s="42">
        <v>0</v>
      </c>
      <c r="BN853" s="42">
        <v>0</v>
      </c>
      <c r="BO853" s="42">
        <v>0</v>
      </c>
      <c r="BP853" s="42">
        <v>0</v>
      </c>
      <c r="BQ853" s="42">
        <v>0</v>
      </c>
      <c r="BR853" s="42">
        <v>0</v>
      </c>
      <c r="BS853" s="42">
        <v>0</v>
      </c>
      <c r="BT853" s="42">
        <v>0</v>
      </c>
      <c r="BU853" s="42">
        <v>0</v>
      </c>
      <c r="BV853" s="42">
        <v>0</v>
      </c>
      <c r="BW853" s="42">
        <v>0</v>
      </c>
      <c r="BX853" s="42">
        <v>0</v>
      </c>
      <c r="BY853" s="42">
        <v>0</v>
      </c>
      <c r="BZ853" s="42">
        <v>0</v>
      </c>
      <c r="CA853" s="42">
        <v>0</v>
      </c>
      <c r="CB853" s="42">
        <v>0</v>
      </c>
      <c r="CC853" s="42">
        <v>0</v>
      </c>
      <c r="CD853" s="42">
        <v>0</v>
      </c>
      <c r="CE853" s="42">
        <v>0</v>
      </c>
      <c r="CF853" s="42">
        <v>0</v>
      </c>
      <c r="CG853" s="42">
        <v>0</v>
      </c>
      <c r="CH853" s="42">
        <v>0</v>
      </c>
      <c r="CI853" s="42">
        <v>0</v>
      </c>
      <c r="CJ853" s="42">
        <v>0</v>
      </c>
      <c r="CK853" s="43">
        <f t="shared" si="79"/>
        <v>0</v>
      </c>
      <c r="CL853" s="66"/>
      <c r="CM853" s="66">
        <v>0</v>
      </c>
      <c r="CN853" s="66">
        <v>0</v>
      </c>
      <c r="CO853" s="66">
        <v>0</v>
      </c>
      <c r="CP853" s="66">
        <v>0</v>
      </c>
      <c r="CQ853" s="66">
        <v>0</v>
      </c>
      <c r="CR853" s="66">
        <v>0</v>
      </c>
      <c r="CS853" s="66">
        <v>0</v>
      </c>
      <c r="CT853" s="66">
        <v>0</v>
      </c>
      <c r="CU853" s="66">
        <v>0</v>
      </c>
      <c r="CV853" s="66">
        <v>0</v>
      </c>
      <c r="CW853" s="66">
        <v>0</v>
      </c>
      <c r="CX853" s="66">
        <v>0</v>
      </c>
      <c r="CY853" s="66">
        <v>0</v>
      </c>
      <c r="CZ853" s="66">
        <v>0</v>
      </c>
      <c r="DA853" s="66"/>
      <c r="DB853" s="66"/>
      <c r="DC853" s="66"/>
      <c r="DD853" s="66"/>
      <c r="DE853" s="66"/>
      <c r="DF853" s="66"/>
      <c r="DG853" s="66"/>
      <c r="DH853" s="66"/>
      <c r="DI853" s="66"/>
      <c r="DJ853" s="66"/>
      <c r="DK853" s="66">
        <f>SUM(Table1[[#This Row],[01-03 Apr]:[Mar-26]])</f>
        <v>0</v>
      </c>
    </row>
    <row r="854" spans="1:115" hidden="1" x14ac:dyDescent="0.2">
      <c r="A854" s="28">
        <v>0</v>
      </c>
      <c r="B854" s="29" t="s">
        <v>1804</v>
      </c>
      <c r="C854" s="29" t="s">
        <v>3354</v>
      </c>
      <c r="D854" s="30" t="s">
        <v>1805</v>
      </c>
      <c r="E854" s="30" t="s">
        <v>203</v>
      </c>
      <c r="F854" s="30"/>
      <c r="G854" s="31"/>
      <c r="H854" s="30">
        <v>378758</v>
      </c>
      <c r="I854" s="30" t="str">
        <f>IF(Table1[[#This Row],[Centre Status]]="Returned","NA",IF(Table1[[#This Row],[SD]]&gt;19000,"Full Payment",IF(Table1[[#This Row],[SD]]&lt;1,"No Payment","Partial Payment")))</f>
        <v>NA</v>
      </c>
      <c r="J854" s="30" t="s">
        <v>1903</v>
      </c>
      <c r="K854" s="32">
        <v>110000</v>
      </c>
      <c r="L854" s="33">
        <f>Q854+R854+U854+Table1[[#This Row],[Farmer Payment]]</f>
        <v>22653</v>
      </c>
      <c r="M854" s="30">
        <v>20000</v>
      </c>
      <c r="N854" s="34">
        <v>45684</v>
      </c>
      <c r="O854" s="34" t="s">
        <v>2947</v>
      </c>
      <c r="P854" s="35">
        <f t="shared" si="80"/>
        <v>107347</v>
      </c>
      <c r="Q854" s="33">
        <f>AI854+AV854+CK854+Table1[[#This Row],[FY 25-26]]</f>
        <v>2653</v>
      </c>
      <c r="R854" s="36">
        <v>20000</v>
      </c>
      <c r="S854" s="37" t="s">
        <v>2550</v>
      </c>
      <c r="T854" s="38">
        <v>45309</v>
      </c>
      <c r="U854" s="39"/>
      <c r="V854" s="39"/>
      <c r="W854" s="40">
        <v>0</v>
      </c>
      <c r="X854" s="40">
        <v>0</v>
      </c>
      <c r="Y854" s="40">
        <v>0</v>
      </c>
      <c r="Z854" s="40">
        <v>0</v>
      </c>
      <c r="AA854" s="40">
        <v>0</v>
      </c>
      <c r="AB854" s="40">
        <v>0</v>
      </c>
      <c r="AC854" s="40">
        <v>0</v>
      </c>
      <c r="AD854" s="40">
        <v>0</v>
      </c>
      <c r="AE854" s="40">
        <v>0</v>
      </c>
      <c r="AF854" s="40">
        <v>0</v>
      </c>
      <c r="AG854" s="40">
        <v>0</v>
      </c>
      <c r="AH854" s="40">
        <v>0</v>
      </c>
      <c r="AI854" s="41">
        <f t="shared" si="81"/>
        <v>0</v>
      </c>
      <c r="AJ854" s="42">
        <v>0</v>
      </c>
      <c r="AK854" s="42">
        <v>0</v>
      </c>
      <c r="AL854" s="42">
        <v>0</v>
      </c>
      <c r="AM854" s="42">
        <v>0</v>
      </c>
      <c r="AN854" s="42">
        <v>0</v>
      </c>
      <c r="AO854" s="42">
        <v>0</v>
      </c>
      <c r="AP854" s="42">
        <v>0</v>
      </c>
      <c r="AQ854" s="42">
        <v>0</v>
      </c>
      <c r="AR854" s="42">
        <v>0</v>
      </c>
      <c r="AS854" s="42">
        <v>0</v>
      </c>
      <c r="AT854" s="42">
        <v>1678.9999999999998</v>
      </c>
      <c r="AU854" s="42">
        <v>974</v>
      </c>
      <c r="AV854" s="42">
        <f t="shared" si="82"/>
        <v>2653</v>
      </c>
      <c r="AW854" s="42">
        <v>0</v>
      </c>
      <c r="AX854" s="42">
        <v>0</v>
      </c>
      <c r="AY854" s="42">
        <v>0</v>
      </c>
      <c r="AZ854" s="42">
        <v>0</v>
      </c>
      <c r="BA854" s="42">
        <v>0</v>
      </c>
      <c r="BB854" s="42">
        <v>0</v>
      </c>
      <c r="BC854" s="42">
        <v>0</v>
      </c>
      <c r="BD854" s="42">
        <v>0</v>
      </c>
      <c r="BE854" s="42">
        <v>0</v>
      </c>
      <c r="BF854" s="42">
        <v>0</v>
      </c>
      <c r="BG854" s="42">
        <v>0</v>
      </c>
      <c r="BH854" s="42">
        <v>0</v>
      </c>
      <c r="BI854" s="42">
        <v>0</v>
      </c>
      <c r="BJ854" s="42">
        <v>0</v>
      </c>
      <c r="BK854" s="42">
        <v>0</v>
      </c>
      <c r="BL854" s="42">
        <v>0</v>
      </c>
      <c r="BM854" s="42">
        <v>0</v>
      </c>
      <c r="BN854" s="42">
        <v>0</v>
      </c>
      <c r="BO854" s="42">
        <v>0</v>
      </c>
      <c r="BP854" s="42">
        <v>0</v>
      </c>
      <c r="BQ854" s="42">
        <v>0</v>
      </c>
      <c r="BR854" s="42">
        <v>0</v>
      </c>
      <c r="BS854" s="42">
        <v>0</v>
      </c>
      <c r="BT854" s="42">
        <v>0</v>
      </c>
      <c r="BU854" s="42">
        <v>0</v>
      </c>
      <c r="BV854" s="42">
        <v>0</v>
      </c>
      <c r="BW854" s="42">
        <v>0</v>
      </c>
      <c r="BX854" s="42">
        <v>0</v>
      </c>
      <c r="BY854" s="42">
        <v>0</v>
      </c>
      <c r="BZ854" s="42">
        <v>0</v>
      </c>
      <c r="CA854" s="42">
        <v>0</v>
      </c>
      <c r="CB854" s="42">
        <v>0</v>
      </c>
      <c r="CC854" s="42">
        <v>0</v>
      </c>
      <c r="CD854" s="42">
        <v>0</v>
      </c>
      <c r="CE854" s="42">
        <v>0</v>
      </c>
      <c r="CF854" s="42">
        <v>0</v>
      </c>
      <c r="CG854" s="42">
        <v>0</v>
      </c>
      <c r="CH854" s="42">
        <v>0</v>
      </c>
      <c r="CI854" s="42">
        <v>0</v>
      </c>
      <c r="CJ854" s="42">
        <v>0</v>
      </c>
      <c r="CK854" s="43">
        <f t="shared" si="79"/>
        <v>0</v>
      </c>
      <c r="CL854" s="66"/>
      <c r="CM854" s="66">
        <v>0</v>
      </c>
      <c r="CN854" s="66">
        <v>0</v>
      </c>
      <c r="CO854" s="66">
        <v>0</v>
      </c>
      <c r="CP854" s="66">
        <v>0</v>
      </c>
      <c r="CQ854" s="66">
        <v>0</v>
      </c>
      <c r="CR854" s="66">
        <v>0</v>
      </c>
      <c r="CS854" s="66">
        <v>0</v>
      </c>
      <c r="CT854" s="66">
        <v>0</v>
      </c>
      <c r="CU854" s="66">
        <v>0</v>
      </c>
      <c r="CV854" s="66">
        <v>0</v>
      </c>
      <c r="CW854" s="66">
        <v>0</v>
      </c>
      <c r="CX854" s="66">
        <v>0</v>
      </c>
      <c r="CY854" s="66">
        <v>0</v>
      </c>
      <c r="CZ854" s="66">
        <v>0</v>
      </c>
      <c r="DA854" s="66"/>
      <c r="DB854" s="66"/>
      <c r="DC854" s="66"/>
      <c r="DD854" s="66"/>
      <c r="DE854" s="66"/>
      <c r="DF854" s="66"/>
      <c r="DG854" s="66"/>
      <c r="DH854" s="66"/>
      <c r="DI854" s="66"/>
      <c r="DJ854" s="66"/>
      <c r="DK854" s="66">
        <f>SUM(Table1[[#This Row],[01-03 Apr]:[Mar-26]])</f>
        <v>0</v>
      </c>
    </row>
    <row r="855" spans="1:115" hidden="1" x14ac:dyDescent="0.2">
      <c r="A855" s="28">
        <v>0</v>
      </c>
      <c r="B855" s="29" t="s">
        <v>1806</v>
      </c>
      <c r="C855" s="29" t="s">
        <v>3336</v>
      </c>
      <c r="D855" s="30" t="s">
        <v>1807</v>
      </c>
      <c r="E855" s="30" t="s">
        <v>203</v>
      </c>
      <c r="F855" s="30"/>
      <c r="G855" s="31"/>
      <c r="H855" s="30"/>
      <c r="I855" s="30" t="str">
        <f>IF(Table1[[#This Row],[Centre Status]]="Returned","NA",IF(Table1[[#This Row],[SD]]&gt;19000,"Full Payment",IF(Table1[[#This Row],[SD]]&lt;1,"No Payment","Partial Payment")))</f>
        <v>NA</v>
      </c>
      <c r="J855" s="30" t="s">
        <v>1903</v>
      </c>
      <c r="K855" s="32">
        <v>110000</v>
      </c>
      <c r="L855" s="33">
        <f>Q855+R855+U855+Table1[[#This Row],[Farmer Payment]]</f>
        <v>0</v>
      </c>
      <c r="M855" s="30"/>
      <c r="N855" s="34"/>
      <c r="O855" s="34"/>
      <c r="P855" s="35">
        <f t="shared" si="80"/>
        <v>110000</v>
      </c>
      <c r="Q855" s="33">
        <f>AI855+AV855+CK855+Table1[[#This Row],[FY 25-26]]</f>
        <v>0</v>
      </c>
      <c r="R855" s="36"/>
      <c r="S855" s="37"/>
      <c r="T855" s="38"/>
      <c r="U855" s="39"/>
      <c r="V855" s="39"/>
      <c r="W855" s="40">
        <v>0</v>
      </c>
      <c r="X855" s="40">
        <v>0</v>
      </c>
      <c r="Y855" s="40">
        <v>0</v>
      </c>
      <c r="Z855" s="40">
        <v>0</v>
      </c>
      <c r="AA855" s="40">
        <v>0</v>
      </c>
      <c r="AB855" s="40">
        <v>0</v>
      </c>
      <c r="AC855" s="40">
        <v>0</v>
      </c>
      <c r="AD855" s="40">
        <v>0</v>
      </c>
      <c r="AE855" s="40">
        <v>0</v>
      </c>
      <c r="AF855" s="40">
        <v>0</v>
      </c>
      <c r="AG855" s="40">
        <v>0</v>
      </c>
      <c r="AH855" s="40">
        <v>0</v>
      </c>
      <c r="AI855" s="41">
        <f t="shared" si="81"/>
        <v>0</v>
      </c>
      <c r="AJ855" s="42">
        <v>0</v>
      </c>
      <c r="AK855" s="42">
        <v>0</v>
      </c>
      <c r="AL855" s="42">
        <v>0</v>
      </c>
      <c r="AM855" s="42">
        <v>0</v>
      </c>
      <c r="AN855" s="42">
        <v>0</v>
      </c>
      <c r="AO855" s="42">
        <v>0</v>
      </c>
      <c r="AP855" s="42">
        <v>0</v>
      </c>
      <c r="AQ855" s="42">
        <v>0</v>
      </c>
      <c r="AR855" s="42">
        <v>0</v>
      </c>
      <c r="AS855" s="42">
        <v>0</v>
      </c>
      <c r="AT855" s="42">
        <v>0</v>
      </c>
      <c r="AU855" s="42">
        <v>0</v>
      </c>
      <c r="AV855" s="42">
        <f t="shared" si="82"/>
        <v>0</v>
      </c>
      <c r="AW855" s="42">
        <v>0</v>
      </c>
      <c r="AX855" s="42">
        <v>0</v>
      </c>
      <c r="AY855" s="42">
        <v>0</v>
      </c>
      <c r="AZ855" s="42">
        <v>0</v>
      </c>
      <c r="BA855" s="42">
        <v>0</v>
      </c>
      <c r="BB855" s="42">
        <v>0</v>
      </c>
      <c r="BC855" s="42">
        <v>0</v>
      </c>
      <c r="BD855" s="42">
        <v>0</v>
      </c>
      <c r="BE855" s="42">
        <v>0</v>
      </c>
      <c r="BF855" s="42">
        <v>0</v>
      </c>
      <c r="BG855" s="42">
        <v>0</v>
      </c>
      <c r="BH855" s="42">
        <v>0</v>
      </c>
      <c r="BI855" s="42">
        <v>0</v>
      </c>
      <c r="BJ855" s="42">
        <v>0</v>
      </c>
      <c r="BK855" s="42">
        <v>0</v>
      </c>
      <c r="BL855" s="42">
        <v>0</v>
      </c>
      <c r="BM855" s="42">
        <v>0</v>
      </c>
      <c r="BN855" s="42">
        <v>0</v>
      </c>
      <c r="BO855" s="42">
        <v>0</v>
      </c>
      <c r="BP855" s="42">
        <v>0</v>
      </c>
      <c r="BQ855" s="42">
        <v>0</v>
      </c>
      <c r="BR855" s="42">
        <v>0</v>
      </c>
      <c r="BS855" s="42">
        <v>0</v>
      </c>
      <c r="BT855" s="42">
        <v>0</v>
      </c>
      <c r="BU855" s="42">
        <v>0</v>
      </c>
      <c r="BV855" s="42">
        <v>0</v>
      </c>
      <c r="BW855" s="42">
        <v>0</v>
      </c>
      <c r="BX855" s="42">
        <v>0</v>
      </c>
      <c r="BY855" s="42">
        <v>0</v>
      </c>
      <c r="BZ855" s="42">
        <v>0</v>
      </c>
      <c r="CA855" s="42">
        <v>0</v>
      </c>
      <c r="CB855" s="42">
        <v>0</v>
      </c>
      <c r="CC855" s="42">
        <v>0</v>
      </c>
      <c r="CD855" s="42">
        <v>0</v>
      </c>
      <c r="CE855" s="42">
        <v>0</v>
      </c>
      <c r="CF855" s="42">
        <v>0</v>
      </c>
      <c r="CG855" s="42">
        <v>0</v>
      </c>
      <c r="CH855" s="42">
        <v>0</v>
      </c>
      <c r="CI855" s="42">
        <v>0</v>
      </c>
      <c r="CJ855" s="42">
        <v>0</v>
      </c>
      <c r="CK855" s="43">
        <f t="shared" si="79"/>
        <v>0</v>
      </c>
      <c r="CL855" s="66"/>
      <c r="CM855" s="66">
        <v>0</v>
      </c>
      <c r="CN855" s="66">
        <v>0</v>
      </c>
      <c r="CO855" s="66">
        <v>0</v>
      </c>
      <c r="CP855" s="66">
        <v>0</v>
      </c>
      <c r="CQ855" s="66">
        <v>0</v>
      </c>
      <c r="CR855" s="66">
        <v>0</v>
      </c>
      <c r="CS855" s="66">
        <v>0</v>
      </c>
      <c r="CT855" s="66">
        <v>0</v>
      </c>
      <c r="CU855" s="66">
        <v>0</v>
      </c>
      <c r="CV855" s="66">
        <v>0</v>
      </c>
      <c r="CW855" s="66">
        <v>0</v>
      </c>
      <c r="CX855" s="66">
        <v>0</v>
      </c>
      <c r="CY855" s="66">
        <v>0</v>
      </c>
      <c r="CZ855" s="66">
        <v>0</v>
      </c>
      <c r="DA855" s="66"/>
      <c r="DB855" s="66"/>
      <c r="DC855" s="66"/>
      <c r="DD855" s="66"/>
      <c r="DE855" s="66"/>
      <c r="DF855" s="66"/>
      <c r="DG855" s="66"/>
      <c r="DH855" s="66"/>
      <c r="DI855" s="66"/>
      <c r="DJ855" s="66"/>
      <c r="DK855" s="66">
        <f>SUM(Table1[[#This Row],[01-03 Apr]:[Mar-26]])</f>
        <v>0</v>
      </c>
    </row>
    <row r="856" spans="1:115" hidden="1" x14ac:dyDescent="0.2">
      <c r="A856" s="28">
        <v>0</v>
      </c>
      <c r="B856" s="29" t="s">
        <v>1810</v>
      </c>
      <c r="C856" s="29" t="s">
        <v>1811</v>
      </c>
      <c r="D856" s="30" t="s">
        <v>1812</v>
      </c>
      <c r="E856" s="30" t="s">
        <v>203</v>
      </c>
      <c r="F856" s="30"/>
      <c r="G856" s="31"/>
      <c r="H856" s="30">
        <v>386965</v>
      </c>
      <c r="I856" s="30" t="str">
        <f>IF(Table1[[#This Row],[Centre Status]]="Returned","NA",IF(Table1[[#This Row],[SD]]&gt;19000,"Full Payment",IF(Table1[[#This Row],[SD]]&lt;1,"No Payment","Partial Payment")))</f>
        <v>NA</v>
      </c>
      <c r="J856" s="30" t="s">
        <v>1903</v>
      </c>
      <c r="K856" s="32">
        <v>110000</v>
      </c>
      <c r="L856" s="33">
        <f>Q856+R856+U856+Table1[[#This Row],[Farmer Payment]]</f>
        <v>24030.967155667146</v>
      </c>
      <c r="M856" s="30">
        <v>20000</v>
      </c>
      <c r="N856" s="34">
        <v>45541</v>
      </c>
      <c r="O856" s="34" t="s">
        <v>2603</v>
      </c>
      <c r="P856" s="35">
        <f t="shared" si="80"/>
        <v>105969.03284433286</v>
      </c>
      <c r="Q856" s="33">
        <f>AI856+AV856+CK856+Table1[[#This Row],[FY 25-26]]</f>
        <v>4030.9671556671447</v>
      </c>
      <c r="R856" s="36">
        <v>20000</v>
      </c>
      <c r="S856" s="37" t="s">
        <v>2558</v>
      </c>
      <c r="T856" s="38">
        <v>45288</v>
      </c>
      <c r="U856" s="39"/>
      <c r="V856" s="39"/>
      <c r="W856" s="40">
        <v>0</v>
      </c>
      <c r="X856" s="40">
        <v>0</v>
      </c>
      <c r="Y856" s="40">
        <v>0</v>
      </c>
      <c r="Z856" s="40">
        <v>0</v>
      </c>
      <c r="AA856" s="40">
        <v>0</v>
      </c>
      <c r="AB856" s="40">
        <v>0</v>
      </c>
      <c r="AC856" s="40">
        <v>0</v>
      </c>
      <c r="AD856" s="40">
        <v>0</v>
      </c>
      <c r="AE856" s="40">
        <v>0</v>
      </c>
      <c r="AF856" s="40">
        <v>0</v>
      </c>
      <c r="AG856" s="40">
        <v>0</v>
      </c>
      <c r="AH856" s="40">
        <v>0</v>
      </c>
      <c r="AI856" s="41">
        <f t="shared" si="81"/>
        <v>0</v>
      </c>
      <c r="AJ856" s="42">
        <v>0</v>
      </c>
      <c r="AK856" s="42">
        <v>0</v>
      </c>
      <c r="AL856" s="42">
        <v>0</v>
      </c>
      <c r="AM856" s="42">
        <v>0</v>
      </c>
      <c r="AN856" s="42">
        <v>0</v>
      </c>
      <c r="AO856" s="42">
        <v>0</v>
      </c>
      <c r="AP856" s="42">
        <v>0</v>
      </c>
      <c r="AQ856" s="42">
        <v>0</v>
      </c>
      <c r="AR856" s="42">
        <v>0</v>
      </c>
      <c r="AS856" s="42">
        <v>308</v>
      </c>
      <c r="AT856" s="42">
        <v>793.96715566714488</v>
      </c>
      <c r="AU856" s="42">
        <v>1823</v>
      </c>
      <c r="AV856" s="42">
        <f t="shared" si="82"/>
        <v>2924.9671556671447</v>
      </c>
      <c r="AW856" s="42">
        <v>1059</v>
      </c>
      <c r="AX856" s="42">
        <v>47</v>
      </c>
      <c r="AY856" s="42">
        <v>0</v>
      </c>
      <c r="AZ856" s="42">
        <v>0</v>
      </c>
      <c r="BA856" s="42">
        <v>0</v>
      </c>
      <c r="BB856" s="42">
        <v>0</v>
      </c>
      <c r="BC856" s="42">
        <v>0</v>
      </c>
      <c r="BD856" s="42">
        <v>0</v>
      </c>
      <c r="BE856" s="42">
        <v>0</v>
      </c>
      <c r="BF856" s="42">
        <v>0</v>
      </c>
      <c r="BG856" s="42">
        <v>0</v>
      </c>
      <c r="BH856" s="42">
        <v>0</v>
      </c>
      <c r="BI856" s="42">
        <v>0</v>
      </c>
      <c r="BJ856" s="42">
        <v>0</v>
      </c>
      <c r="BK856" s="42">
        <v>0</v>
      </c>
      <c r="BL856" s="42">
        <v>0</v>
      </c>
      <c r="BM856" s="42">
        <v>0</v>
      </c>
      <c r="BN856" s="42">
        <v>0</v>
      </c>
      <c r="BO856" s="42">
        <v>0</v>
      </c>
      <c r="BP856" s="42">
        <v>0</v>
      </c>
      <c r="BQ856" s="42">
        <v>0</v>
      </c>
      <c r="BR856" s="42">
        <v>0</v>
      </c>
      <c r="BS856" s="42">
        <v>0</v>
      </c>
      <c r="BT856" s="42">
        <v>0</v>
      </c>
      <c r="BU856" s="42">
        <v>0</v>
      </c>
      <c r="BV856" s="42">
        <v>0</v>
      </c>
      <c r="BW856" s="42">
        <v>0</v>
      </c>
      <c r="BX856" s="42">
        <v>0</v>
      </c>
      <c r="BY856" s="42">
        <v>0</v>
      </c>
      <c r="BZ856" s="42">
        <v>0</v>
      </c>
      <c r="CA856" s="42">
        <v>0</v>
      </c>
      <c r="CB856" s="42">
        <v>0</v>
      </c>
      <c r="CC856" s="42">
        <v>0</v>
      </c>
      <c r="CD856" s="42">
        <v>0</v>
      </c>
      <c r="CE856" s="42">
        <v>0</v>
      </c>
      <c r="CF856" s="42">
        <v>0</v>
      </c>
      <c r="CG856" s="42">
        <v>0</v>
      </c>
      <c r="CH856" s="42">
        <v>0</v>
      </c>
      <c r="CI856" s="42">
        <v>0</v>
      </c>
      <c r="CJ856" s="42">
        <v>0</v>
      </c>
      <c r="CK856" s="43">
        <f t="shared" si="79"/>
        <v>1106</v>
      </c>
      <c r="CL856" s="66"/>
      <c r="CM856" s="66">
        <v>0</v>
      </c>
      <c r="CN856" s="66">
        <v>0</v>
      </c>
      <c r="CO856" s="66">
        <v>0</v>
      </c>
      <c r="CP856" s="66">
        <v>0</v>
      </c>
      <c r="CQ856" s="66">
        <v>0</v>
      </c>
      <c r="CR856" s="66">
        <v>0</v>
      </c>
      <c r="CS856" s="66">
        <v>0</v>
      </c>
      <c r="CT856" s="66">
        <v>0</v>
      </c>
      <c r="CU856" s="66">
        <v>0</v>
      </c>
      <c r="CV856" s="66">
        <v>0</v>
      </c>
      <c r="CW856" s="66">
        <v>0</v>
      </c>
      <c r="CX856" s="66">
        <v>0</v>
      </c>
      <c r="CY856" s="66">
        <v>0</v>
      </c>
      <c r="CZ856" s="66">
        <v>0</v>
      </c>
      <c r="DA856" s="66"/>
      <c r="DB856" s="66"/>
      <c r="DC856" s="66"/>
      <c r="DD856" s="66"/>
      <c r="DE856" s="66"/>
      <c r="DF856" s="66"/>
      <c r="DG856" s="66"/>
      <c r="DH856" s="66"/>
      <c r="DI856" s="66"/>
      <c r="DJ856" s="66"/>
      <c r="DK856" s="66">
        <f>SUM(Table1[[#This Row],[01-03 Apr]:[Mar-26]])</f>
        <v>0</v>
      </c>
    </row>
    <row r="857" spans="1:115" hidden="1" x14ac:dyDescent="0.2">
      <c r="A857" s="28" t="s">
        <v>2255</v>
      </c>
      <c r="B857" s="29" t="s">
        <v>1813</v>
      </c>
      <c r="C857" s="29" t="s">
        <v>3355</v>
      </c>
      <c r="D857" s="30" t="s">
        <v>1814</v>
      </c>
      <c r="E857" s="30" t="s">
        <v>203</v>
      </c>
      <c r="F857" s="30"/>
      <c r="G857" s="31"/>
      <c r="H857" s="30">
        <v>378764</v>
      </c>
      <c r="I857" s="30" t="str">
        <f>IF(Table1[[#This Row],[Centre Status]]="Returned","NA",IF(Table1[[#This Row],[SD]]&gt;19000,"Full Payment",IF(Table1[[#This Row],[SD]]&lt;1,"No Payment","Partial Payment")))</f>
        <v>NA</v>
      </c>
      <c r="J857" s="30" t="s">
        <v>1903</v>
      </c>
      <c r="K857" s="32">
        <v>110000</v>
      </c>
      <c r="L857" s="33">
        <f>Q857+R857+U857+Table1[[#This Row],[Farmer Payment]]</f>
        <v>20344</v>
      </c>
      <c r="M857" s="30">
        <f>10000+6000</f>
        <v>16000</v>
      </c>
      <c r="N857" s="34">
        <v>45665</v>
      </c>
      <c r="O857" s="34" t="s">
        <v>2634</v>
      </c>
      <c r="P857" s="35">
        <f t="shared" si="80"/>
        <v>105656</v>
      </c>
      <c r="Q857" s="33">
        <f>AI857+AV857+CK857+Table1[[#This Row],[FY 25-26]]</f>
        <v>4344</v>
      </c>
      <c r="R857" s="36">
        <v>16000</v>
      </c>
      <c r="S857" s="37" t="s">
        <v>2553</v>
      </c>
      <c r="T857" s="38">
        <v>45287</v>
      </c>
      <c r="U857" s="39"/>
      <c r="V857" s="39"/>
      <c r="W857" s="40">
        <v>0</v>
      </c>
      <c r="X857" s="40">
        <v>0</v>
      </c>
      <c r="Y857" s="40">
        <v>0</v>
      </c>
      <c r="Z857" s="40">
        <v>0</v>
      </c>
      <c r="AA857" s="40">
        <v>0</v>
      </c>
      <c r="AB857" s="40">
        <v>0</v>
      </c>
      <c r="AC857" s="40">
        <v>0</v>
      </c>
      <c r="AD857" s="40">
        <v>0</v>
      </c>
      <c r="AE857" s="40">
        <v>0</v>
      </c>
      <c r="AF857" s="40">
        <v>0</v>
      </c>
      <c r="AG857" s="40">
        <v>0</v>
      </c>
      <c r="AH857" s="40">
        <v>0</v>
      </c>
      <c r="AI857" s="41">
        <f t="shared" si="81"/>
        <v>0</v>
      </c>
      <c r="AJ857" s="42">
        <v>0</v>
      </c>
      <c r="AK857" s="42">
        <v>0</v>
      </c>
      <c r="AL857" s="42">
        <v>0</v>
      </c>
      <c r="AM857" s="42">
        <v>0</v>
      </c>
      <c r="AN857" s="42">
        <v>0</v>
      </c>
      <c r="AO857" s="42">
        <v>0</v>
      </c>
      <c r="AP857" s="42">
        <v>0</v>
      </c>
      <c r="AQ857" s="42">
        <v>0</v>
      </c>
      <c r="AR857" s="42">
        <v>0</v>
      </c>
      <c r="AS857" s="42">
        <v>622</v>
      </c>
      <c r="AT857" s="42">
        <v>1861</v>
      </c>
      <c r="AU857" s="42">
        <v>1861</v>
      </c>
      <c r="AV857" s="42">
        <f t="shared" si="82"/>
        <v>4344</v>
      </c>
      <c r="AW857" s="42">
        <v>0</v>
      </c>
      <c r="AX857" s="42">
        <v>0</v>
      </c>
      <c r="AY857" s="42">
        <v>0</v>
      </c>
      <c r="AZ857" s="42">
        <v>0</v>
      </c>
      <c r="BA857" s="42">
        <v>0</v>
      </c>
      <c r="BB857" s="42">
        <v>0</v>
      </c>
      <c r="BC857" s="42">
        <v>0</v>
      </c>
      <c r="BD857" s="42">
        <v>0</v>
      </c>
      <c r="BE857" s="42">
        <v>0</v>
      </c>
      <c r="BF857" s="42">
        <v>0</v>
      </c>
      <c r="BG857" s="42">
        <v>0</v>
      </c>
      <c r="BH857" s="42">
        <v>0</v>
      </c>
      <c r="BI857" s="42">
        <v>0</v>
      </c>
      <c r="BJ857" s="42">
        <v>0</v>
      </c>
      <c r="BK857" s="42">
        <v>0</v>
      </c>
      <c r="BL857" s="42">
        <v>0</v>
      </c>
      <c r="BM857" s="42">
        <v>0</v>
      </c>
      <c r="BN857" s="42">
        <v>0</v>
      </c>
      <c r="BO857" s="42">
        <v>0</v>
      </c>
      <c r="BP857" s="42">
        <v>0</v>
      </c>
      <c r="BQ857" s="42">
        <v>0</v>
      </c>
      <c r="BR857" s="42">
        <v>0</v>
      </c>
      <c r="BS857" s="42">
        <v>0</v>
      </c>
      <c r="BT857" s="42">
        <v>0</v>
      </c>
      <c r="BU857" s="42">
        <v>0</v>
      </c>
      <c r="BV857" s="42">
        <v>0</v>
      </c>
      <c r="BW857" s="42">
        <v>0</v>
      </c>
      <c r="BX857" s="42">
        <v>0</v>
      </c>
      <c r="BY857" s="42">
        <v>0</v>
      </c>
      <c r="BZ857" s="42">
        <v>0</v>
      </c>
      <c r="CA857" s="42">
        <v>0</v>
      </c>
      <c r="CB857" s="42">
        <v>0</v>
      </c>
      <c r="CC857" s="42">
        <v>0</v>
      </c>
      <c r="CD857" s="42">
        <v>0</v>
      </c>
      <c r="CE857" s="42">
        <v>0</v>
      </c>
      <c r="CF857" s="42">
        <v>0</v>
      </c>
      <c r="CG857" s="42">
        <v>0</v>
      </c>
      <c r="CH857" s="42">
        <v>0</v>
      </c>
      <c r="CI857" s="42">
        <v>0</v>
      </c>
      <c r="CJ857" s="42">
        <v>0</v>
      </c>
      <c r="CK857" s="43">
        <f t="shared" si="79"/>
        <v>0</v>
      </c>
      <c r="CL857" s="66"/>
      <c r="CM857" s="66">
        <v>0</v>
      </c>
      <c r="CN857" s="66">
        <v>0</v>
      </c>
      <c r="CO857" s="66">
        <v>0</v>
      </c>
      <c r="CP857" s="66">
        <v>0</v>
      </c>
      <c r="CQ857" s="66">
        <v>0</v>
      </c>
      <c r="CR857" s="66">
        <v>0</v>
      </c>
      <c r="CS857" s="66">
        <v>0</v>
      </c>
      <c r="CT857" s="66">
        <v>0</v>
      </c>
      <c r="CU857" s="66">
        <v>0</v>
      </c>
      <c r="CV857" s="66">
        <v>0</v>
      </c>
      <c r="CW857" s="66">
        <v>0</v>
      </c>
      <c r="CX857" s="66">
        <v>0</v>
      </c>
      <c r="CY857" s="66">
        <v>0</v>
      </c>
      <c r="CZ857" s="66">
        <v>0</v>
      </c>
      <c r="DA857" s="66"/>
      <c r="DB857" s="66"/>
      <c r="DC857" s="66"/>
      <c r="DD857" s="66"/>
      <c r="DE857" s="66"/>
      <c r="DF857" s="66"/>
      <c r="DG857" s="66"/>
      <c r="DH857" s="66"/>
      <c r="DI857" s="66"/>
      <c r="DJ857" s="66"/>
      <c r="DK857" s="66">
        <f>SUM(Table1[[#This Row],[01-03 Apr]:[Mar-26]])</f>
        <v>0</v>
      </c>
    </row>
    <row r="858" spans="1:115" hidden="1" x14ac:dyDescent="0.2">
      <c r="A858" s="28">
        <v>0</v>
      </c>
      <c r="B858" s="29" t="s">
        <v>1815</v>
      </c>
      <c r="C858" s="29" t="s">
        <v>3336</v>
      </c>
      <c r="D858" s="30" t="s">
        <v>1816</v>
      </c>
      <c r="E858" s="30" t="s">
        <v>203</v>
      </c>
      <c r="F858" s="30"/>
      <c r="G858" s="31"/>
      <c r="H858" s="30"/>
      <c r="I858" s="30" t="str">
        <f>IF(Table1[[#This Row],[Centre Status]]="Returned","NA",IF(Table1[[#This Row],[SD]]&gt;19000,"Full Payment",IF(Table1[[#This Row],[SD]]&lt;1,"No Payment","Partial Payment")))</f>
        <v>NA</v>
      </c>
      <c r="J858" s="30" t="s">
        <v>1903</v>
      </c>
      <c r="K858" s="32">
        <v>110000</v>
      </c>
      <c r="L858" s="33">
        <f>Q858+R858+U858+Table1[[#This Row],[Farmer Payment]]</f>
        <v>0</v>
      </c>
      <c r="M858" s="30">
        <v>20000</v>
      </c>
      <c r="N858" s="34">
        <v>45426</v>
      </c>
      <c r="O858" s="34" t="s">
        <v>2446</v>
      </c>
      <c r="P858" s="35">
        <f t="shared" si="80"/>
        <v>130000</v>
      </c>
      <c r="Q858" s="33">
        <f>AI858+AV858+CK858+Table1[[#This Row],[FY 25-26]]</f>
        <v>0</v>
      </c>
      <c r="R858" s="36"/>
      <c r="S858" s="37"/>
      <c r="T858" s="38"/>
      <c r="U858" s="39"/>
      <c r="V858" s="39"/>
      <c r="W858" s="40">
        <v>0</v>
      </c>
      <c r="X858" s="40">
        <v>0</v>
      </c>
      <c r="Y858" s="40">
        <v>0</v>
      </c>
      <c r="Z858" s="40">
        <v>0</v>
      </c>
      <c r="AA858" s="40">
        <v>0</v>
      </c>
      <c r="AB858" s="40">
        <v>0</v>
      </c>
      <c r="AC858" s="40">
        <v>0</v>
      </c>
      <c r="AD858" s="40">
        <v>0</v>
      </c>
      <c r="AE858" s="40">
        <v>0</v>
      </c>
      <c r="AF858" s="40">
        <v>0</v>
      </c>
      <c r="AG858" s="40">
        <v>0</v>
      </c>
      <c r="AH858" s="40">
        <v>0</v>
      </c>
      <c r="AI858" s="41">
        <f t="shared" si="81"/>
        <v>0</v>
      </c>
      <c r="AJ858" s="42">
        <v>0</v>
      </c>
      <c r="AK858" s="42">
        <v>0</v>
      </c>
      <c r="AL858" s="42">
        <v>0</v>
      </c>
      <c r="AM858" s="42">
        <v>0</v>
      </c>
      <c r="AN858" s="42">
        <v>0</v>
      </c>
      <c r="AO858" s="42">
        <v>0</v>
      </c>
      <c r="AP858" s="42">
        <v>0</v>
      </c>
      <c r="AQ858" s="42">
        <v>0</v>
      </c>
      <c r="AR858" s="42">
        <v>0</v>
      </c>
      <c r="AS858" s="42">
        <v>0</v>
      </c>
      <c r="AT858" s="42">
        <v>0</v>
      </c>
      <c r="AU858" s="42">
        <v>0</v>
      </c>
      <c r="AV858" s="42">
        <f t="shared" si="82"/>
        <v>0</v>
      </c>
      <c r="AW858" s="42">
        <v>0</v>
      </c>
      <c r="AX858" s="42">
        <v>0</v>
      </c>
      <c r="AY858" s="42">
        <v>0</v>
      </c>
      <c r="AZ858" s="42">
        <v>0</v>
      </c>
      <c r="BA858" s="42">
        <v>0</v>
      </c>
      <c r="BB858" s="42">
        <v>0</v>
      </c>
      <c r="BC858" s="42">
        <v>0</v>
      </c>
      <c r="BD858" s="42">
        <v>0</v>
      </c>
      <c r="BE858" s="42">
        <v>0</v>
      </c>
      <c r="BF858" s="42">
        <v>0</v>
      </c>
      <c r="BG858" s="42">
        <v>0</v>
      </c>
      <c r="BH858" s="42">
        <v>0</v>
      </c>
      <c r="BI858" s="42">
        <v>0</v>
      </c>
      <c r="BJ858" s="42">
        <v>0</v>
      </c>
      <c r="BK858" s="42">
        <v>0</v>
      </c>
      <c r="BL858" s="42">
        <v>0</v>
      </c>
      <c r="BM858" s="42">
        <v>0</v>
      </c>
      <c r="BN858" s="42">
        <v>0</v>
      </c>
      <c r="BO858" s="42">
        <v>0</v>
      </c>
      <c r="BP858" s="42">
        <v>0</v>
      </c>
      <c r="BQ858" s="42">
        <v>0</v>
      </c>
      <c r="BR858" s="42">
        <v>0</v>
      </c>
      <c r="BS858" s="42">
        <v>0</v>
      </c>
      <c r="BT858" s="42">
        <v>0</v>
      </c>
      <c r="BU858" s="42">
        <v>0</v>
      </c>
      <c r="BV858" s="42">
        <v>0</v>
      </c>
      <c r="BW858" s="42">
        <v>0</v>
      </c>
      <c r="BX858" s="42">
        <v>0</v>
      </c>
      <c r="BY858" s="42">
        <v>0</v>
      </c>
      <c r="BZ858" s="42">
        <v>0</v>
      </c>
      <c r="CA858" s="42">
        <v>0</v>
      </c>
      <c r="CB858" s="42">
        <v>0</v>
      </c>
      <c r="CC858" s="42">
        <v>0</v>
      </c>
      <c r="CD858" s="42">
        <v>0</v>
      </c>
      <c r="CE858" s="42">
        <v>0</v>
      </c>
      <c r="CF858" s="42">
        <v>0</v>
      </c>
      <c r="CG858" s="42">
        <v>0</v>
      </c>
      <c r="CH858" s="42">
        <v>0</v>
      </c>
      <c r="CI858" s="42">
        <v>0</v>
      </c>
      <c r="CJ858" s="42">
        <v>0</v>
      </c>
      <c r="CK858" s="43">
        <f t="shared" si="79"/>
        <v>0</v>
      </c>
      <c r="CL858" s="66"/>
      <c r="CM858" s="66">
        <v>0</v>
      </c>
      <c r="CN858" s="66">
        <v>0</v>
      </c>
      <c r="CO858" s="66">
        <v>0</v>
      </c>
      <c r="CP858" s="66">
        <v>0</v>
      </c>
      <c r="CQ858" s="66">
        <v>0</v>
      </c>
      <c r="CR858" s="66">
        <v>0</v>
      </c>
      <c r="CS858" s="66">
        <v>0</v>
      </c>
      <c r="CT858" s="66">
        <v>0</v>
      </c>
      <c r="CU858" s="66">
        <v>0</v>
      </c>
      <c r="CV858" s="66">
        <v>0</v>
      </c>
      <c r="CW858" s="66">
        <v>0</v>
      </c>
      <c r="CX858" s="66">
        <v>0</v>
      </c>
      <c r="CY858" s="66">
        <v>0</v>
      </c>
      <c r="CZ858" s="66">
        <v>0</v>
      </c>
      <c r="DA858" s="66"/>
      <c r="DB858" s="66"/>
      <c r="DC858" s="66"/>
      <c r="DD858" s="66"/>
      <c r="DE858" s="66"/>
      <c r="DF858" s="66"/>
      <c r="DG858" s="66"/>
      <c r="DH858" s="66"/>
      <c r="DI858" s="66"/>
      <c r="DJ858" s="66"/>
      <c r="DK858" s="66">
        <f>SUM(Table1[[#This Row],[01-03 Apr]:[Mar-26]])</f>
        <v>0</v>
      </c>
    </row>
    <row r="859" spans="1:115" hidden="1" x14ac:dyDescent="0.2">
      <c r="A859" s="28">
        <v>0</v>
      </c>
      <c r="B859" s="29" t="s">
        <v>1817</v>
      </c>
      <c r="C859" s="29" t="s">
        <v>1818</v>
      </c>
      <c r="D859" s="30" t="s">
        <v>1819</v>
      </c>
      <c r="E859" s="30" t="s">
        <v>203</v>
      </c>
      <c r="F859" s="30"/>
      <c r="G859" s="31"/>
      <c r="H859" s="30">
        <v>388800</v>
      </c>
      <c r="I859" s="30" t="str">
        <f>IF(Table1[[#This Row],[Centre Status]]="Returned","NA",IF(Table1[[#This Row],[SD]]&gt;19000,"Full Payment",IF(Table1[[#This Row],[SD]]&lt;1,"No Payment","Partial Payment")))</f>
        <v>Full Payment</v>
      </c>
      <c r="J859" s="30" t="s">
        <v>58</v>
      </c>
      <c r="K859" s="32">
        <v>110000</v>
      </c>
      <c r="L859" s="33">
        <f>Q859+R859+U859+Table1[[#This Row],[Farmer Payment]]</f>
        <v>47658.733771097133</v>
      </c>
      <c r="M859" s="30"/>
      <c r="N859" s="34"/>
      <c r="O859" s="34"/>
      <c r="P859" s="35">
        <f t="shared" si="80"/>
        <v>62341.266228902867</v>
      </c>
      <c r="Q859" s="33">
        <f>AI859+AV859+CK859+Table1[[#This Row],[FY 25-26]]</f>
        <v>27658.73377109713</v>
      </c>
      <c r="R859" s="36">
        <v>20000</v>
      </c>
      <c r="S859" s="37" t="s">
        <v>1820</v>
      </c>
      <c r="T859" s="38">
        <v>45289</v>
      </c>
      <c r="U859" s="39"/>
      <c r="V859" s="39"/>
      <c r="W859" s="40">
        <v>0</v>
      </c>
      <c r="X859" s="40">
        <v>0</v>
      </c>
      <c r="Y859" s="40">
        <v>0</v>
      </c>
      <c r="Z859" s="40">
        <v>0</v>
      </c>
      <c r="AA859" s="40">
        <v>0</v>
      </c>
      <c r="AB859" s="40">
        <v>0</v>
      </c>
      <c r="AC859" s="40">
        <v>0</v>
      </c>
      <c r="AD859" s="40">
        <v>0</v>
      </c>
      <c r="AE859" s="40">
        <v>0</v>
      </c>
      <c r="AF859" s="40">
        <v>0</v>
      </c>
      <c r="AG859" s="40">
        <v>0</v>
      </c>
      <c r="AH859" s="40">
        <v>0</v>
      </c>
      <c r="AI859" s="41">
        <f t="shared" si="81"/>
        <v>0</v>
      </c>
      <c r="AJ859" s="42">
        <v>0</v>
      </c>
      <c r="AK859" s="42">
        <v>0</v>
      </c>
      <c r="AL859" s="42">
        <v>0</v>
      </c>
      <c r="AM859" s="42">
        <v>0</v>
      </c>
      <c r="AN859" s="42">
        <v>0</v>
      </c>
      <c r="AO859" s="42">
        <v>0</v>
      </c>
      <c r="AP859" s="42">
        <v>0</v>
      </c>
      <c r="AQ859" s="42">
        <v>0</v>
      </c>
      <c r="AR859" s="42">
        <v>0</v>
      </c>
      <c r="AS859" s="42">
        <v>4312.8395999999993</v>
     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
        <v>1861</v>
      </c>
      <c r="AX859" s="42">
        <v>2660.8482270336012</v>
      </c>
      <c r="AY859" s="42">
        <v>2534.0953475110409</v>
      </c>
      <c r="AZ859" s="42">
        <v>0</v>
      </c>
      <c r="BA859" s="42">
        <v>0</v>
      </c>
      <c r="BB859" s="42">
        <v>0</v>
      </c>
      <c r="BC859" s="42">
        <v>0</v>
      </c>
      <c r="BD859" s="42">
        <v>0</v>
      </c>
      <c r="BE859" s="42">
        <v>0</v>
      </c>
      <c r="BF859" s="42">
        <v>0</v>
      </c>
      <c r="BG859" s="42">
        <v>0</v>
      </c>
      <c r="BH859" s="42">
        <v>0</v>
      </c>
      <c r="BI859" s="42">
        <v>0</v>
      </c>
      <c r="BJ859" s="42">
        <v>0</v>
      </c>
      <c r="BK859" s="42">
        <v>0</v>
      </c>
      <c r="BL859" s="42">
        <v>0</v>
      </c>
      <c r="BM859" s="42">
        <v>0</v>
      </c>
      <c r="BN859" s="42">
        <v>0</v>
      </c>
      <c r="BO859" s="42">
        <v>0</v>
      </c>
      <c r="BP859" s="42">
        <v>0</v>
      </c>
      <c r="BQ859" s="42">
        <v>0</v>
      </c>
      <c r="BR859" s="42">
        <v>0</v>
      </c>
      <c r="BS859" s="42">
        <v>0</v>
      </c>
      <c r="BT859" s="42">
        <v>0</v>
      </c>
      <c r="BU859" s="42">
        <v>0</v>
      </c>
      <c r="BV859" s="42">
        <v>0</v>
      </c>
      <c r="BW859" s="42">
        <v>0</v>
      </c>
      <c r="BX859" s="42">
        <v>0</v>
      </c>
      <c r="BY859" s="42">
        <v>0</v>
      </c>
      <c r="BZ859" s="42">
        <v>0</v>
      </c>
      <c r="CA859" s="42">
        <v>0</v>
      </c>
      <c r="CB859" s="42">
        <v>0</v>
      </c>
      <c r="CC859" s="42">
        <v>0</v>
      </c>
      <c r="CD859" s="42">
        <v>1861</v>
      </c>
      <c r="CE859" s="42">
        <v>0</v>
      </c>
      <c r="CF859" s="42">
        <v>0</v>
      </c>
      <c r="CG859" s="42">
        <v>0</v>
      </c>
      <c r="CH859" s="42">
        <v>0</v>
      </c>
      <c r="CI859" s="42">
        <v>0</v>
      </c>
      <c r="CJ859" s="42">
        <v>2873.1581965524897</v>
      </c>
      <c r="CK859" s="43">
        <f t="shared" si="79"/>
        <v>11790.101771097132</v>
      </c>
      <c r="CL859" s="66"/>
      <c r="CM859" s="66">
        <v>0</v>
      </c>
      <c r="CN859" s="66">
        <v>0</v>
      </c>
      <c r="CO859" s="66">
        <v>0</v>
      </c>
      <c r="CP859" s="66">
        <v>1861</v>
      </c>
      <c r="CQ859" s="66">
        <v>0</v>
      </c>
      <c r="CR859" s="66">
        <v>0</v>
      </c>
      <c r="CS859" s="66">
        <v>0</v>
      </c>
      <c r="CT859" s="66">
        <v>0</v>
      </c>
      <c r="CU859" s="66">
        <v>0</v>
      </c>
      <c r="CV859" s="66">
        <v>1861</v>
      </c>
      <c r="CW859" s="66">
        <v>0</v>
      </c>
      <c r="CX859" s="66">
        <v>0</v>
      </c>
      <c r="CY859" s="66">
        <v>0</v>
      </c>
      <c r="CZ859" s="66">
        <v>0</v>
      </c>
      <c r="DA859" s="66"/>
      <c r="DB859" s="66"/>
      <c r="DC859" s="66"/>
      <c r="DD859" s="66"/>
      <c r="DE859" s="66"/>
      <c r="DF859" s="66"/>
      <c r="DG859" s="66"/>
      <c r="DH859" s="66"/>
      <c r="DI859" s="66"/>
      <c r="DJ859" s="66"/>
      <c r="DK859" s="66">
        <f>SUM(Table1[[#This Row],[01-03 Apr]:[Mar-26]])</f>
        <v>3722</v>
      </c>
    </row>
    <row r="860" spans="1:115" hidden="1" x14ac:dyDescent="0.2">
      <c r="A860" s="28" t="s">
        <v>2255</v>
      </c>
      <c r="B860" s="29" t="s">
        <v>1833</v>
      </c>
      <c r="C860" s="29" t="s">
        <v>3356</v>
      </c>
      <c r="D860" s="30" t="s">
        <v>1834</v>
      </c>
      <c r="E860" s="30" t="s">
        <v>906</v>
      </c>
      <c r="F860" s="30"/>
      <c r="G860" s="31"/>
      <c r="H860" s="30">
        <v>2347810</v>
      </c>
      <c r="I860" s="30" t="str">
        <f>IF(Table1[[#This Row],[Centre Status]]="Returned","NA",IF(Table1[[#This Row],[SD]]&gt;19000,"Full Payment",IF(Table1[[#This Row],[SD]]&lt;1,"No Payment","Partial Payment")))</f>
        <v>NA</v>
      </c>
      <c r="J860" s="30" t="s">
        <v>1903</v>
      </c>
      <c r="K860" s="32">
        <v>110000</v>
      </c>
      <c r="L860" s="33">
        <f>Q860+R860+U860+Table1[[#This Row],[Farmer Payment]]</f>
        <v>15583</v>
      </c>
      <c r="M860" s="30">
        <v>10000</v>
      </c>
      <c r="N860" s="34">
        <v>45429</v>
      </c>
      <c r="O860" s="34" t="s">
        <v>2427</v>
      </c>
      <c r="P860" s="35">
        <f t="shared" si="80"/>
        <v>104417</v>
      </c>
      <c r="Q860" s="33">
        <f>AI860+AV860+CK860+Table1[[#This Row],[FY 25-26]]</f>
        <v>5583</v>
      </c>
      <c r="R860" s="36">
        <v>10000</v>
      </c>
      <c r="S860" s="37" t="s">
        <v>1835</v>
      </c>
      <c r="T860" s="38">
        <v>45192</v>
      </c>
      <c r="U860" s="39"/>
      <c r="V860" s="39"/>
      <c r="W860" s="40">
        <v>0</v>
      </c>
      <c r="X860" s="40">
        <v>0</v>
      </c>
      <c r="Y860" s="40">
        <v>0</v>
      </c>
      <c r="Z860" s="40">
        <v>0</v>
      </c>
      <c r="AA860" s="40">
        <v>0</v>
      </c>
      <c r="AB860" s="40">
        <v>0</v>
      </c>
      <c r="AC860" s="40">
        <v>0</v>
      </c>
      <c r="AD860" s="40">
        <v>0</v>
      </c>
      <c r="AE860" s="40">
        <v>0</v>
      </c>
      <c r="AF860" s="40">
        <v>0</v>
      </c>
      <c r="AG860" s="40">
        <v>0</v>
      </c>
      <c r="AH860" s="40">
        <v>0</v>
      </c>
      <c r="AI860" s="41">
        <f t="shared" si="81"/>
        <v>0</v>
      </c>
      <c r="AJ860" s="42">
        <v>0</v>
      </c>
      <c r="AK860" s="42">
        <v>0</v>
      </c>
      <c r="AL860" s="42">
        <v>0</v>
      </c>
      <c r="AM860" s="42">
        <v>0</v>
      </c>
      <c r="AN860" s="42">
        <v>0</v>
      </c>
      <c r="AO860" s="42">
        <v>0</v>
      </c>
      <c r="AP860" s="42">
        <v>0</v>
      </c>
      <c r="AQ860" s="42">
        <v>1861</v>
      </c>
      <c r="AR860" s="42">
        <v>1861</v>
      </c>
      <c r="AS860" s="42">
        <v>1861</v>
      </c>
      <c r="AT860" s="42">
        <v>0</v>
      </c>
      <c r="AU860" s="42">
        <v>0</v>
      </c>
      <c r="AV860" s="42">
        <f t="shared" si="82"/>
        <v>5583</v>
      </c>
      <c r="AW860" s="42">
        <v>0</v>
      </c>
      <c r="AX860" s="42">
        <v>0</v>
      </c>
      <c r="AY860" s="42">
        <v>0</v>
      </c>
      <c r="AZ860" s="42">
        <v>0</v>
      </c>
      <c r="BA860" s="42">
        <v>0</v>
      </c>
      <c r="BB860" s="42">
        <v>0</v>
      </c>
      <c r="BC860" s="42">
        <v>0</v>
      </c>
      <c r="BD860" s="42">
        <v>0</v>
      </c>
      <c r="BE860" s="42">
        <v>0</v>
      </c>
      <c r="BF860" s="42">
        <v>0</v>
      </c>
      <c r="BG860" s="42">
        <v>0</v>
      </c>
      <c r="BH860" s="42">
        <v>0</v>
      </c>
      <c r="BI860" s="42">
        <v>0</v>
      </c>
      <c r="BJ860" s="42">
        <v>0</v>
      </c>
      <c r="BK860" s="42">
        <v>0</v>
      </c>
      <c r="BL860" s="42">
        <v>0</v>
      </c>
      <c r="BM860" s="42">
        <v>0</v>
      </c>
      <c r="BN860" s="42">
        <v>0</v>
      </c>
      <c r="BO860" s="42">
        <v>0</v>
      </c>
      <c r="BP860" s="42">
        <v>0</v>
      </c>
      <c r="BQ860" s="42">
        <v>0</v>
      </c>
      <c r="BR860" s="42">
        <v>0</v>
      </c>
      <c r="BS860" s="42">
        <v>0</v>
      </c>
      <c r="BT860" s="42">
        <v>0</v>
      </c>
      <c r="BU860" s="42">
        <v>0</v>
      </c>
      <c r="BV860" s="42">
        <v>0</v>
      </c>
      <c r="BW860" s="42">
        <v>0</v>
      </c>
      <c r="BX860" s="42">
        <v>0</v>
      </c>
      <c r="BY860" s="42">
        <v>0</v>
      </c>
      <c r="BZ860" s="42">
        <v>0</v>
      </c>
      <c r="CA860" s="42">
        <v>0</v>
      </c>
      <c r="CB860" s="42">
        <v>0</v>
      </c>
      <c r="CC860" s="42">
        <v>0</v>
      </c>
      <c r="CD860" s="42">
        <v>0</v>
      </c>
      <c r="CE860" s="42">
        <v>0</v>
      </c>
      <c r="CF860" s="42">
        <v>0</v>
      </c>
      <c r="CG860" s="42">
        <v>0</v>
      </c>
      <c r="CH860" s="42">
        <v>0</v>
      </c>
      <c r="CI860" s="42">
        <v>0</v>
      </c>
      <c r="CJ860" s="42">
        <v>0</v>
      </c>
      <c r="CK860" s="43">
        <f t="shared" si="79"/>
        <v>0</v>
      </c>
      <c r="CL860" s="66"/>
      <c r="CM860" s="66">
        <v>0</v>
      </c>
      <c r="CN860" s="66">
        <v>0</v>
      </c>
      <c r="CO860" s="66">
        <v>0</v>
      </c>
      <c r="CP860" s="66">
        <v>0</v>
      </c>
      <c r="CQ860" s="66">
        <v>0</v>
      </c>
      <c r="CR860" s="66">
        <v>0</v>
      </c>
      <c r="CS860" s="66">
        <v>0</v>
      </c>
      <c r="CT860" s="66">
        <v>0</v>
      </c>
      <c r="CU860" s="66">
        <v>0</v>
      </c>
      <c r="CV860" s="66">
        <v>0</v>
      </c>
      <c r="CW860" s="66">
        <v>0</v>
      </c>
      <c r="CX860" s="66">
        <v>0</v>
      </c>
      <c r="CY860" s="66">
        <v>0</v>
      </c>
      <c r="CZ860" s="66">
        <v>0</v>
      </c>
      <c r="DA860" s="66"/>
      <c r="DB860" s="66"/>
      <c r="DC860" s="66"/>
      <c r="DD860" s="66"/>
      <c r="DE860" s="66"/>
      <c r="DF860" s="66"/>
      <c r="DG860" s="66"/>
      <c r="DH860" s="66"/>
      <c r="DI860" s="66"/>
      <c r="DJ860" s="66"/>
      <c r="DK860" s="66">
        <f>SUM(Table1[[#This Row],[01-03 Apr]:[Mar-26]])</f>
        <v>0</v>
      </c>
    </row>
    <row r="861" spans="1:115" hidden="1" x14ac:dyDescent="0.2">
      <c r="A861" s="28">
        <v>0</v>
      </c>
      <c r="B861" s="29" t="s">
        <v>1843</v>
      </c>
      <c r="C861" s="29" t="s">
        <v>3357</v>
      </c>
      <c r="D861" s="30" t="s">
        <v>1844</v>
      </c>
      <c r="E861" s="30" t="s">
        <v>1630</v>
      </c>
      <c r="F861" s="30"/>
      <c r="G861" s="31"/>
      <c r="H861" s="30"/>
      <c r="I861" s="30" t="str">
        <f>IF(Table1[[#This Row],[Centre Status]]="Returned","NA",IF(Table1[[#This Row],[SD]]&gt;19000,"Full Payment",IF(Table1[[#This Row],[SD]]&lt;1,"No Payment","Partial Payment")))</f>
        <v>NA</v>
      </c>
      <c r="J861" s="30" t="s">
        <v>1903</v>
      </c>
      <c r="K861" s="32">
        <v>110000</v>
      </c>
      <c r="L861" s="33">
        <f>Q861+R861+U861+Table1[[#This Row],[Farmer Payment]]</f>
        <v>10000</v>
      </c>
      <c r="M861" s="30">
        <v>10000</v>
      </c>
      <c r="N861" s="34">
        <v>45535</v>
      </c>
      <c r="O861" s="34" t="s">
        <v>2589</v>
      </c>
      <c r="P861" s="35">
        <f t="shared" si="80"/>
        <v>110000</v>
      </c>
      <c r="Q861" s="33">
        <f>AI861+AV861+CK861+Table1[[#This Row],[FY 25-26]]</f>
        <v>0</v>
      </c>
      <c r="R861" s="36">
        <v>10000</v>
      </c>
      <c r="S861" s="37" t="s">
        <v>1845</v>
      </c>
      <c r="T861" s="38">
        <v>45279</v>
      </c>
      <c r="U861" s="39"/>
      <c r="V861" s="39"/>
      <c r="W861" s="40">
        <v>0</v>
      </c>
      <c r="X861" s="40">
        <v>0</v>
      </c>
      <c r="Y861" s="40">
        <v>0</v>
      </c>
      <c r="Z861" s="40">
        <v>0</v>
      </c>
      <c r="AA861" s="40">
        <v>0</v>
      </c>
      <c r="AB861" s="40">
        <v>0</v>
      </c>
      <c r="AC861" s="40">
        <v>0</v>
      </c>
      <c r="AD861" s="40">
        <v>0</v>
      </c>
      <c r="AE861" s="40">
        <v>0</v>
      </c>
      <c r="AF861" s="40">
        <v>0</v>
      </c>
      <c r="AG861" s="40">
        <v>0</v>
      </c>
      <c r="AH861" s="40">
        <v>0</v>
      </c>
      <c r="AI861" s="41">
        <f t="shared" si="81"/>
        <v>0</v>
      </c>
      <c r="AJ861" s="42">
        <v>0</v>
      </c>
      <c r="AK861" s="42">
        <v>0</v>
      </c>
      <c r="AL861" s="42">
        <v>0</v>
      </c>
      <c r="AM861" s="42">
        <v>0</v>
      </c>
      <c r="AN861" s="42">
        <v>0</v>
      </c>
      <c r="AO861" s="42">
        <v>0</v>
      </c>
      <c r="AP861" s="42">
        <v>0</v>
      </c>
      <c r="AQ861" s="42">
        <v>0</v>
      </c>
      <c r="AR861" s="42">
        <v>0</v>
      </c>
      <c r="AS861" s="42">
        <v>0</v>
      </c>
      <c r="AT861" s="42">
        <v>0</v>
      </c>
      <c r="AU861" s="42">
        <v>0</v>
      </c>
      <c r="AV861" s="42">
        <f t="shared" si="82"/>
        <v>0</v>
      </c>
      <c r="AW861" s="42">
        <v>0</v>
      </c>
      <c r="AX861" s="42">
        <v>0</v>
      </c>
      <c r="AY861" s="42">
        <v>0</v>
      </c>
      <c r="AZ861" s="42">
        <v>0</v>
      </c>
      <c r="BA861" s="42">
        <v>0</v>
      </c>
      <c r="BB861" s="42">
        <v>0</v>
      </c>
      <c r="BC861" s="42">
        <v>0</v>
      </c>
      <c r="BD861" s="42">
        <v>0</v>
      </c>
      <c r="BE861" s="42">
        <v>0</v>
      </c>
      <c r="BF861" s="42">
        <v>0</v>
      </c>
      <c r="BG861" s="42">
        <v>0</v>
      </c>
      <c r="BH861" s="42">
        <v>0</v>
      </c>
      <c r="BI861" s="42">
        <v>0</v>
      </c>
      <c r="BJ861" s="42">
        <v>0</v>
      </c>
      <c r="BK861" s="42">
        <v>0</v>
      </c>
      <c r="BL861" s="42">
        <v>0</v>
      </c>
      <c r="BM861" s="42">
        <v>0</v>
      </c>
      <c r="BN861" s="42">
        <v>0</v>
      </c>
      <c r="BO861" s="42">
        <v>0</v>
      </c>
      <c r="BP861" s="42">
        <v>0</v>
      </c>
      <c r="BQ861" s="42">
        <v>0</v>
      </c>
      <c r="BR861" s="42">
        <v>0</v>
      </c>
      <c r="BS861" s="42">
        <v>0</v>
      </c>
      <c r="BT861" s="42">
        <v>0</v>
      </c>
      <c r="BU861" s="42">
        <v>0</v>
      </c>
      <c r="BV861" s="42">
        <v>0</v>
      </c>
      <c r="BW861" s="42">
        <v>0</v>
      </c>
      <c r="BX861" s="42">
        <v>0</v>
      </c>
      <c r="BY861" s="42">
        <v>0</v>
      </c>
      <c r="BZ861" s="42">
        <v>0</v>
      </c>
      <c r="CA861" s="42">
        <v>0</v>
      </c>
      <c r="CB861" s="42">
        <v>0</v>
      </c>
      <c r="CC861" s="42">
        <v>0</v>
      </c>
      <c r="CD861" s="42">
        <v>0</v>
      </c>
      <c r="CE861" s="42">
        <v>0</v>
      </c>
      <c r="CF861" s="42">
        <v>0</v>
      </c>
      <c r="CG861" s="42">
        <v>0</v>
      </c>
      <c r="CH861" s="42">
        <v>0</v>
      </c>
      <c r="CI861" s="42">
        <v>0</v>
      </c>
      <c r="CJ861" s="42">
        <v>0</v>
      </c>
      <c r="CK861" s="43">
        <f t="shared" si="79"/>
        <v>0</v>
      </c>
      <c r="CL861" s="66"/>
      <c r="CM861" s="66">
        <v>0</v>
      </c>
      <c r="CN861" s="66">
        <v>0</v>
      </c>
      <c r="CO861" s="66">
        <v>0</v>
      </c>
      <c r="CP861" s="66">
        <v>0</v>
      </c>
      <c r="CQ861" s="66">
        <v>0</v>
      </c>
      <c r="CR861" s="66">
        <v>0</v>
      </c>
      <c r="CS861" s="66">
        <v>0</v>
      </c>
      <c r="CT861" s="66">
        <v>0</v>
      </c>
      <c r="CU861" s="66">
        <v>0</v>
      </c>
      <c r="CV861" s="66">
        <v>0</v>
      </c>
      <c r="CW861" s="66">
        <v>0</v>
      </c>
      <c r="CX861" s="66">
        <v>0</v>
      </c>
      <c r="CY861" s="66">
        <v>0</v>
      </c>
      <c r="CZ861" s="66">
        <v>0</v>
      </c>
      <c r="DA861" s="66"/>
      <c r="DB861" s="66"/>
      <c r="DC861" s="66"/>
      <c r="DD861" s="66"/>
      <c r="DE861" s="66"/>
      <c r="DF861" s="66"/>
      <c r="DG861" s="66"/>
      <c r="DH861" s="66"/>
      <c r="DI861" s="66"/>
      <c r="DJ861" s="66"/>
      <c r="DK861" s="66">
        <f>SUM(Table1[[#This Row],[01-03 Apr]:[Mar-26]])</f>
        <v>0</v>
      </c>
    </row>
    <row r="862" spans="1:115" hidden="1" x14ac:dyDescent="0.2">
      <c r="A862" s="28" t="s">
        <v>2367</v>
      </c>
      <c r="B862" s="29" t="s">
        <v>1846</v>
      </c>
      <c r="C862" s="29" t="s">
        <v>1847</v>
      </c>
      <c r="D862" s="30" t="s">
        <v>1848</v>
      </c>
      <c r="E862" s="30" t="s">
        <v>2257</v>
      </c>
      <c r="F862" s="30"/>
      <c r="G862" s="31"/>
      <c r="H862" s="30"/>
      <c r="I862" s="30" t="str">
        <f>IF(Table1[[#This Row],[Centre Status]]="Returned","NA",IF(Table1[[#This Row],[SD]]&gt;19000,"Full Payment",IF(Table1[[#This Row],[SD]]&lt;1,"No Payment","Partial Payment")))</f>
        <v>NA</v>
      </c>
      <c r="J862" s="30" t="s">
        <v>1903</v>
      </c>
      <c r="K862" s="32">
        <v>110000</v>
      </c>
      <c r="L862" s="33">
        <f>Q862+R862+U862+Table1[[#This Row],[Farmer Payment]]</f>
        <v>25341</v>
      </c>
      <c r="M862" s="30">
        <v>20000</v>
      </c>
      <c r="N862" s="34">
        <v>45435</v>
      </c>
      <c r="O862" s="34" t="s">
        <v>2452</v>
      </c>
      <c r="P862" s="35">
        <f t="shared" si="80"/>
        <v>104659</v>
      </c>
      <c r="Q862" s="33">
        <f>AI862+AV862+CK862+Table1[[#This Row],[FY 25-26]]</f>
        <v>5341</v>
      </c>
      <c r="R862" s="36">
        <v>20000</v>
      </c>
      <c r="S862" s="37" t="s">
        <v>1849</v>
      </c>
      <c r="T862" s="38">
        <v>45194</v>
      </c>
      <c r="U862" s="39"/>
      <c r="V862" s="39"/>
      <c r="W862" s="40">
        <v>0</v>
      </c>
      <c r="X862" s="40">
        <v>0</v>
      </c>
      <c r="Y862" s="40">
        <v>0</v>
      </c>
      <c r="Z862" s="40">
        <v>0</v>
      </c>
      <c r="AA862" s="40">
        <v>0</v>
      </c>
      <c r="AB862" s="40">
        <v>0</v>
      </c>
      <c r="AC862" s="40">
        <v>0</v>
      </c>
      <c r="AD862" s="40">
        <v>0</v>
      </c>
      <c r="AE862" s="40">
        <v>0</v>
      </c>
      <c r="AF862" s="40">
        <v>0</v>
      </c>
      <c r="AG862" s="40">
        <v>0</v>
      </c>
      <c r="AH862" s="40">
        <v>0</v>
      </c>
      <c r="AI862" s="41">
        <f t="shared" si="81"/>
        <v>0</v>
      </c>
      <c r="AJ862" s="42">
        <v>0</v>
      </c>
      <c r="AK862" s="42">
        <v>0</v>
      </c>
      <c r="AL862" s="42">
        <v>0</v>
      </c>
      <c r="AM862" s="42">
        <v>0</v>
      </c>
      <c r="AN862" s="42">
        <v>0</v>
      </c>
      <c r="AO862" s="42">
        <v>0</v>
      </c>
      <c r="AP862" s="42">
        <v>0</v>
      </c>
      <c r="AQ862" s="42">
        <v>259</v>
      </c>
      <c r="AR862" s="42">
        <v>692</v>
      </c>
      <c r="AS862" s="42">
        <v>1012</v>
      </c>
      <c r="AT862" s="42">
        <v>0</v>
      </c>
      <c r="AU862" s="42">
        <v>312</v>
      </c>
      <c r="AV862" s="42">
        <f t="shared" si="82"/>
        <v>2275</v>
      </c>
      <c r="AW862" s="42">
        <v>0</v>
      </c>
      <c r="AX862" s="42">
        <v>0</v>
      </c>
      <c r="AY862" s="42">
        <v>821</v>
      </c>
      <c r="AZ862" s="42">
        <v>1245</v>
      </c>
      <c r="BA862" s="42">
        <v>0</v>
      </c>
      <c r="BB862" s="42">
        <v>500</v>
      </c>
      <c r="BC862" s="42">
        <v>0</v>
      </c>
      <c r="BD862" s="42">
        <v>500</v>
      </c>
      <c r="BE862" s="42">
        <v>0</v>
      </c>
      <c r="BF862" s="42">
        <v>0</v>
      </c>
      <c r="BG862" s="42">
        <v>0</v>
      </c>
      <c r="BH862" s="42">
        <v>0</v>
      </c>
      <c r="BI862" s="42">
        <v>0</v>
      </c>
      <c r="BJ862" s="42">
        <v>0</v>
      </c>
      <c r="BK862" s="42">
        <v>0</v>
      </c>
      <c r="BL862" s="42">
        <v>0</v>
      </c>
      <c r="BM862" s="42">
        <v>0</v>
      </c>
      <c r="BN862" s="42">
        <v>0</v>
      </c>
      <c r="BO862" s="42">
        <v>0</v>
      </c>
      <c r="BP862" s="42">
        <v>0</v>
      </c>
      <c r="BQ862" s="42">
        <v>0</v>
      </c>
      <c r="BR862" s="42">
        <v>0</v>
      </c>
      <c r="BS862" s="42">
        <v>0</v>
      </c>
      <c r="BT862" s="42">
        <v>0</v>
      </c>
      <c r="BU862" s="42">
        <v>0</v>
      </c>
      <c r="BV862" s="42">
        <v>0</v>
      </c>
      <c r="BW862" s="42">
        <v>0</v>
      </c>
      <c r="BX862" s="42">
        <v>0</v>
      </c>
      <c r="BY862" s="42">
        <v>0</v>
      </c>
      <c r="BZ862" s="42">
        <v>0</v>
      </c>
      <c r="CA862" s="42">
        <v>0</v>
      </c>
      <c r="CB862" s="42">
        <v>0</v>
      </c>
      <c r="CC862" s="42">
        <v>0</v>
      </c>
      <c r="CD862" s="42">
        <v>0</v>
      </c>
      <c r="CE862" s="42">
        <v>0</v>
      </c>
      <c r="CF862" s="42">
        <v>0</v>
      </c>
      <c r="CG862" s="42">
        <v>0</v>
      </c>
      <c r="CH862" s="42">
        <v>0</v>
      </c>
      <c r="CI862" s="42">
        <v>0</v>
      </c>
      <c r="CJ862" s="42">
        <v>0</v>
      </c>
      <c r="CK862" s="43">
        <f t="shared" si="79"/>
        <v>3066</v>
      </c>
      <c r="CL862" s="66"/>
      <c r="CM862" s="66">
        <v>0</v>
      </c>
      <c r="CN862" s="66">
        <v>0</v>
      </c>
      <c r="CO862" s="66">
        <v>0</v>
      </c>
      <c r="CP862" s="66">
        <v>0</v>
      </c>
      <c r="CQ862" s="66">
        <v>0</v>
      </c>
      <c r="CR862" s="66">
        <v>0</v>
      </c>
      <c r="CS862" s="66">
        <v>0</v>
      </c>
      <c r="CT862" s="66">
        <v>0</v>
      </c>
      <c r="CU862" s="66">
        <v>0</v>
      </c>
      <c r="CV862" s="66">
        <v>0</v>
      </c>
      <c r="CW862" s="66">
        <v>0</v>
      </c>
      <c r="CX862" s="66">
        <v>0</v>
      </c>
      <c r="CY862" s="66">
        <v>0</v>
      </c>
      <c r="CZ862" s="66">
        <v>0</v>
      </c>
      <c r="DA862" s="66"/>
      <c r="DB862" s="66"/>
      <c r="DC862" s="66"/>
      <c r="DD862" s="66"/>
      <c r="DE862" s="66"/>
      <c r="DF862" s="66"/>
      <c r="DG862" s="66"/>
      <c r="DH862" s="66"/>
      <c r="DI862" s="66"/>
      <c r="DJ862" s="66"/>
      <c r="DK862" s="66">
        <f>SUM(Table1[[#This Row],[01-03 Apr]:[Mar-26]])</f>
        <v>0</v>
      </c>
    </row>
    <row r="863" spans="1:115" hidden="1" x14ac:dyDescent="0.2">
      <c r="A863" s="28" t="s">
        <v>2255</v>
      </c>
      <c r="B863" s="29" t="s">
        <v>1854</v>
      </c>
      <c r="C863" s="29" t="s">
        <v>1855</v>
      </c>
      <c r="D863" s="30" t="s">
        <v>1856</v>
      </c>
      <c r="E863" s="30" t="s">
        <v>217</v>
      </c>
      <c r="F863" s="30"/>
      <c r="G863" s="31"/>
      <c r="H863" s="30">
        <v>2346388</v>
      </c>
      <c r="I863" s="30" t="str">
        <f>IF(Table1[[#This Row],[Centre Status]]="Returned","NA",IF(Table1[[#This Row],[SD]]&gt;19000,"Full Payment",IF(Table1[[#This Row],[SD]]&lt;1,"No Payment","Partial Payment")))</f>
        <v>NA</v>
      </c>
      <c r="J863" s="30" t="s">
        <v>1903</v>
      </c>
      <c r="K863" s="32">
        <v>110000</v>
      </c>
      <c r="L863" s="33">
        <f>Q863+R863+U863+Table1[[#This Row],[Farmer Payment]]</f>
        <v>11593.929874129199</v>
      </c>
      <c r="M863" s="30">
        <f>10000-10000</f>
        <v>0</v>
      </c>
      <c r="N863" s="34">
        <v>45486</v>
      </c>
      <c r="O863" s="34" t="s">
        <v>2468</v>
      </c>
      <c r="P863" s="35">
        <f t="shared" si="80"/>
        <v>98406.0701258708</v>
      </c>
      <c r="Q863" s="33">
        <f>AI863+AV863+CK863+Table1[[#This Row],[FY 25-26]]</f>
        <v>1593.9298741291984</v>
      </c>
      <c r="R863" s="36">
        <v>10000</v>
      </c>
      <c r="S863" s="37" t="s">
        <v>1858</v>
      </c>
      <c r="T863" s="38">
        <v>45221</v>
      </c>
      <c r="U863" s="39"/>
      <c r="V863" s="39"/>
      <c r="W863" s="40">
        <v>0</v>
      </c>
      <c r="X863" s="40">
        <v>0</v>
      </c>
      <c r="Y863" s="40">
        <v>0</v>
      </c>
      <c r="Z863" s="40">
        <v>0</v>
      </c>
      <c r="AA863" s="40">
        <v>0</v>
      </c>
      <c r="AB863" s="40">
        <v>0</v>
      </c>
      <c r="AC863" s="40">
        <v>0</v>
      </c>
      <c r="AD863" s="40">
        <v>0</v>
      </c>
      <c r="AE863" s="40">
        <v>0</v>
      </c>
      <c r="AF863" s="40">
        <v>0</v>
      </c>
      <c r="AG863" s="40">
        <v>0</v>
      </c>
      <c r="AH863" s="40">
        <v>0</v>
      </c>
      <c r="AI863" s="41">
        <f t="shared" si="81"/>
        <v>0</v>
      </c>
      <c r="AJ863" s="42">
        <v>0</v>
      </c>
      <c r="AK863" s="42">
        <v>0</v>
      </c>
      <c r="AL863" s="42">
        <v>0</v>
      </c>
      <c r="AM863" s="42">
        <v>0</v>
      </c>
      <c r="AN863" s="42">
        <v>0</v>
      </c>
      <c r="AO863" s="42">
        <v>0</v>
      </c>
      <c r="AP863" s="42">
        <v>0</v>
      </c>
      <c r="AQ863" s="42">
        <v>0</v>
      </c>
      <c r="AR863" s="42">
        <v>140</v>
      </c>
      <c r="AS863" s="42">
        <v>670</v>
      </c>
      <c r="AT863" s="42">
        <v>548.92987412919842</v>
      </c>
      <c r="AU863" s="42">
        <v>0</v>
      </c>
      <c r="AV863" s="42">
        <f t="shared" si="82"/>
        <v>1358.9298741291984</v>
      </c>
      <c r="AW863" s="42">
        <v>235</v>
      </c>
      <c r="AX863" s="42">
        <v>0</v>
      </c>
      <c r="AY863" s="42">
        <v>0</v>
      </c>
      <c r="AZ863" s="42">
        <v>0</v>
      </c>
      <c r="BA863" s="42">
        <v>0</v>
      </c>
      <c r="BB863" s="42">
        <v>0</v>
      </c>
      <c r="BC863" s="42">
        <v>0</v>
      </c>
      <c r="BD863" s="42">
        <v>0</v>
      </c>
      <c r="BE863" s="42">
        <v>0</v>
      </c>
      <c r="BF863" s="42">
        <v>0</v>
      </c>
      <c r="BG863" s="42">
        <v>0</v>
      </c>
      <c r="BH863" s="42">
        <v>0</v>
      </c>
      <c r="BI863" s="42">
        <v>0</v>
      </c>
      <c r="BJ863" s="42">
        <v>0</v>
      </c>
      <c r="BK863" s="42">
        <v>0</v>
      </c>
      <c r="BL863" s="42">
        <v>0</v>
      </c>
      <c r="BM863" s="42">
        <v>0</v>
      </c>
      <c r="BN863" s="42">
        <v>0</v>
      </c>
      <c r="BO863" s="42">
        <v>0</v>
      </c>
      <c r="BP863" s="42">
        <v>0</v>
      </c>
      <c r="BQ863" s="42">
        <v>0</v>
      </c>
      <c r="BR863" s="42">
        <v>0</v>
      </c>
      <c r="BS863" s="42">
        <v>0</v>
      </c>
      <c r="BT863" s="42">
        <v>0</v>
      </c>
      <c r="BU863" s="42">
        <v>0</v>
      </c>
      <c r="BV863" s="42">
        <v>0</v>
      </c>
      <c r="BW863" s="42">
        <v>0</v>
      </c>
      <c r="BX863" s="42">
        <v>0</v>
      </c>
      <c r="BY863" s="42">
        <v>0</v>
      </c>
      <c r="BZ863" s="42">
        <v>0</v>
      </c>
      <c r="CA863" s="42">
        <v>0</v>
      </c>
      <c r="CB863" s="42">
        <v>0</v>
      </c>
      <c r="CC863" s="42">
        <v>0</v>
      </c>
      <c r="CD863" s="42">
        <v>0</v>
      </c>
      <c r="CE863" s="42">
        <v>0</v>
      </c>
      <c r="CF863" s="42">
        <v>0</v>
      </c>
      <c r="CG863" s="42">
        <v>0</v>
      </c>
      <c r="CH863" s="42">
        <v>0</v>
      </c>
      <c r="CI863" s="42">
        <v>0</v>
      </c>
      <c r="CJ863" s="42">
        <v>0</v>
      </c>
      <c r="CK863" s="43">
        <f t="shared" si="79"/>
        <v>235</v>
      </c>
      <c r="CL863" s="66"/>
      <c r="CM863" s="66">
        <v>0</v>
      </c>
      <c r="CN863" s="66">
        <v>0</v>
      </c>
      <c r="CO863" s="66">
        <v>0</v>
      </c>
      <c r="CP863" s="66">
        <v>0</v>
      </c>
      <c r="CQ863" s="66">
        <v>0</v>
      </c>
      <c r="CR863" s="66">
        <v>0</v>
      </c>
      <c r="CS863" s="66">
        <v>0</v>
      </c>
      <c r="CT863" s="66">
        <v>0</v>
      </c>
      <c r="CU863" s="66">
        <v>0</v>
      </c>
      <c r="CV863" s="66">
        <v>0</v>
      </c>
      <c r="CW863" s="66">
        <v>0</v>
      </c>
      <c r="CX863" s="66">
        <v>0</v>
      </c>
      <c r="CY863" s="66">
        <v>0</v>
      </c>
      <c r="CZ863" s="66">
        <v>0</v>
      </c>
      <c r="DA863" s="66"/>
      <c r="DB863" s="66"/>
      <c r="DC863" s="66"/>
      <c r="DD863" s="66"/>
      <c r="DE863" s="66"/>
      <c r="DF863" s="66"/>
      <c r="DG863" s="66"/>
      <c r="DH863" s="66"/>
      <c r="DI863" s="66"/>
      <c r="DJ863" s="66"/>
      <c r="DK863" s="66">
        <f>SUM(Table1[[#This Row],[01-03 Apr]:[Mar-26]])</f>
        <v>0</v>
      </c>
    </row>
    <row r="864" spans="1:115" hidden="1" x14ac:dyDescent="0.2">
      <c r="A864" s="28" t="s">
        <v>2255</v>
      </c>
      <c r="B864" s="29" t="s">
        <v>1859</v>
      </c>
      <c r="C864" s="29" t="s">
        <v>1860</v>
      </c>
      <c r="D864" s="30" t="s">
        <v>1861</v>
      </c>
      <c r="E864" s="30" t="s">
        <v>217</v>
      </c>
      <c r="F864" s="30"/>
      <c r="G864" s="31"/>
      <c r="H864" s="30">
        <v>2346107</v>
      </c>
      <c r="I864" s="30" t="str">
        <f>IF(Table1[[#This Row],[Centre Status]]="Returned","NA",IF(Table1[[#This Row],[SD]]&gt;19000,"Full Payment",IF(Table1[[#This Row],[SD]]&lt;1,"No Payment","Partial Payment")))</f>
        <v>NA</v>
      </c>
      <c r="J864" s="30" t="s">
        <v>1903</v>
      </c>
      <c r="K864" s="32">
        <v>110000</v>
      </c>
      <c r="L864" s="33">
        <f>Q864+R864+U864+Table1[[#This Row],[Farmer Payment]]</f>
        <v>43647.508040621076</v>
      </c>
      <c r="M864" s="30"/>
      <c r="N864" s="34"/>
      <c r="O864" s="34"/>
      <c r="P864" s="35">
        <f t="shared" si="80"/>
        <v>66352.491959378924</v>
      </c>
      <c r="Q864" s="33">
        <f>AI864+AV864+CK864+Table1[[#This Row],[FY 25-26]]</f>
        <v>33647.508040621076</v>
      </c>
      <c r="R864" s="36">
        <v>10000</v>
      </c>
      <c r="S864" s="37" t="s">
        <v>1862</v>
      </c>
      <c r="T864" s="38">
        <v>45221</v>
      </c>
      <c r="U864" s="39"/>
      <c r="V864" s="39"/>
      <c r="W864" s="40">
        <v>0</v>
      </c>
      <c r="X864" s="40">
        <v>0</v>
      </c>
      <c r="Y864" s="40">
        <v>0</v>
      </c>
      <c r="Z864" s="40">
        <v>0</v>
      </c>
      <c r="AA864" s="40">
        <v>0</v>
      </c>
      <c r="AB864" s="40">
        <v>0</v>
      </c>
      <c r="AC864" s="40">
        <v>0</v>
      </c>
      <c r="AD864" s="40">
        <v>0</v>
      </c>
      <c r="AE864" s="40">
        <v>0</v>
      </c>
      <c r="AF864" s="40">
        <v>0</v>
      </c>
      <c r="AG864" s="40">
        <v>0</v>
      </c>
      <c r="AH864" s="40">
        <v>0</v>
      </c>
      <c r="AI864" s="41">
        <f t="shared" si="81"/>
        <v>0</v>
      </c>
      <c r="AJ864" s="42">
        <v>0</v>
      </c>
      <c r="AK864" s="42">
        <v>0</v>
      </c>
      <c r="AL864" s="42">
        <v>0</v>
      </c>
      <c r="AM864" s="42">
        <v>0</v>
      </c>
      <c r="AN864" s="42">
        <v>0</v>
      </c>
      <c r="AO864" s="42">
        <v>0</v>
      </c>
      <c r="AP864" s="42">
        <v>0</v>
      </c>
      <c r="AQ864" s="42">
        <v>2018.4918000000002</v>
      </c>
      <c r="AR864" s="42">
        <v>2759.2593999999999</v>
      </c>
      <c r="AS864" s="42">
        <v>3574.0862000000002</v>
      </c>
      <c r="AT864" s="42">
        <v>3962.2165999999997</v>
      </c>
      <c r="AU864" s="42">
        <v>4655.9610000000002</v>
      </c>
      <c r="AV864" s="42">
        <f t="shared" si="82"/>
        <v>16970.014999999999</v>
      </c>
      <c r="AW864" s="42">
        <v>3848.1044623355642</v>
      </c>
      <c r="AX864" s="42">
        <v>2498.5522764671741</v>
      </c>
      <c r="AY864" s="42">
        <v>2156.0618282568421</v>
      </c>
      <c r="AZ864" s="42">
        <v>2068.5293241762561</v>
      </c>
      <c r="BA864" s="42">
        <v>2007.2729987381447</v>
      </c>
      <c r="BB864" s="42">
        <v>0</v>
      </c>
      <c r="BC864" s="42">
        <v>0</v>
      </c>
      <c r="BD864" s="42">
        <v>0</v>
      </c>
      <c r="BE864" s="42">
        <v>0</v>
      </c>
      <c r="BF864" s="42">
        <v>0</v>
      </c>
      <c r="BG864" s="42">
        <v>0</v>
      </c>
      <c r="BH864" s="42">
        <v>0</v>
      </c>
      <c r="BI864" s="42">
        <v>0</v>
      </c>
      <c r="BJ864" s="42">
        <v>0</v>
      </c>
      <c r="BK864" s="42">
        <v>0</v>
      </c>
      <c r="BL864" s="42">
        <v>0</v>
      </c>
      <c r="BM864" s="42">
        <v>0</v>
      </c>
      <c r="BN864" s="42">
        <v>0</v>
      </c>
      <c r="BO864" s="42">
        <v>0</v>
      </c>
      <c r="BP864" s="42">
        <v>0</v>
      </c>
      <c r="BQ864" s="42">
        <v>0</v>
      </c>
      <c r="BR864" s="42">
        <v>0</v>
      </c>
      <c r="BS864" s="42">
        <v>0</v>
      </c>
      <c r="BT864" s="42">
        <v>0</v>
      </c>
      <c r="BU864" s="42">
        <v>0</v>
      </c>
      <c r="BV864" s="42">
        <v>0</v>
      </c>
      <c r="BW864" s="42">
        <v>0</v>
      </c>
      <c r="BX864" s="42">
        <v>0</v>
      </c>
      <c r="BY864" s="42">
        <v>0</v>
      </c>
      <c r="BZ864" s="42">
        <v>0</v>
      </c>
      <c r="CA864" s="42">
        <v>0</v>
      </c>
      <c r="CB864" s="42">
        <v>0</v>
      </c>
      <c r="CC864" s="42">
        <v>0</v>
      </c>
      <c r="CD864" s="42">
        <v>4098.9721506470951</v>
      </c>
      <c r="CE864" s="42">
        <v>0</v>
      </c>
      <c r="CF864" s="42">
        <v>0</v>
      </c>
      <c r="CG864" s="42">
        <v>0</v>
      </c>
      <c r="CH864" s="42">
        <v>0</v>
      </c>
      <c r="CI864" s="42">
        <v>0</v>
      </c>
      <c r="CJ864" s="42">
        <v>0</v>
      </c>
      <c r="CK864" s="43">
        <f t="shared" si="79"/>
        <v>16677.493040621073</v>
      </c>
      <c r="CL864" s="66"/>
      <c r="CM864" s="66">
        <v>0</v>
      </c>
      <c r="CN864" s="66">
        <v>0</v>
      </c>
      <c r="CO864" s="66">
        <v>0</v>
      </c>
      <c r="CP864" s="66">
        <v>0</v>
      </c>
      <c r="CQ864" s="66">
        <v>0</v>
      </c>
      <c r="CR864" s="66">
        <v>0</v>
      </c>
      <c r="CS864" s="66">
        <v>0</v>
      </c>
      <c r="CT864" s="66">
        <v>0</v>
      </c>
      <c r="CU864" s="66">
        <v>0</v>
      </c>
      <c r="CV864" s="66">
        <v>0</v>
      </c>
      <c r="CW864" s="66">
        <v>0</v>
      </c>
      <c r="CX864" s="66">
        <v>0</v>
      </c>
      <c r="CY864" s="66">
        <v>0</v>
      </c>
      <c r="CZ864" s="66">
        <v>0</v>
      </c>
      <c r="DA864" s="66"/>
      <c r="DB864" s="66"/>
      <c r="DC864" s="66"/>
      <c r="DD864" s="66"/>
      <c r="DE864" s="66"/>
      <c r="DF864" s="66"/>
      <c r="DG864" s="66"/>
      <c r="DH864" s="66"/>
      <c r="DI864" s="66"/>
      <c r="DJ864" s="66"/>
      <c r="DK864" s="66">
        <f>SUM(Table1[[#This Row],[01-03 Apr]:[Mar-26]])</f>
        <v>0</v>
      </c>
    </row>
    <row r="865" spans="1:115" hidden="1" x14ac:dyDescent="0.2">
      <c r="A865" s="28" t="s">
        <v>2367</v>
      </c>
      <c r="B865" s="29" t="s">
        <v>1863</v>
      </c>
      <c r="C865" s="29" t="s">
        <v>3336</v>
      </c>
      <c r="D865" s="30" t="s">
        <v>1864</v>
      </c>
      <c r="E865" s="30" t="s">
        <v>1857</v>
      </c>
      <c r="F865" s="30"/>
      <c r="G865" s="31"/>
      <c r="H865" s="30"/>
      <c r="I865" s="30" t="str">
        <f>IF(Table1[[#This Row],[Centre Status]]="Returned","NA",IF(Table1[[#This Row],[SD]]&gt;19000,"Full Payment",IF(Table1[[#This Row],[SD]]&lt;1,"No Payment","Partial Payment")))</f>
        <v>NA</v>
      </c>
      <c r="J865" s="30" t="s">
        <v>1903</v>
      </c>
      <c r="K865" s="32">
        <v>110000</v>
      </c>
      <c r="L865" s="33">
        <f>Q865+R865+U865+Table1[[#This Row],[Farmer Payment]]</f>
        <v>0</v>
      </c>
      <c r="M865" s="30"/>
      <c r="N865" s="34"/>
      <c r="O865" s="34"/>
      <c r="P865" s="35">
        <f t="shared" si="80"/>
        <v>110000</v>
      </c>
      <c r="Q865" s="33">
        <f>AI865+AV865+CK865+Table1[[#This Row],[FY 25-26]]</f>
        <v>0</v>
      </c>
      <c r="R865" s="36"/>
      <c r="S865" s="37"/>
      <c r="T865" s="38"/>
      <c r="U865" s="39"/>
      <c r="V865" s="39"/>
      <c r="W865" s="40">
        <v>0</v>
      </c>
      <c r="X865" s="40">
        <v>0</v>
      </c>
      <c r="Y865" s="40">
        <v>0</v>
      </c>
      <c r="Z865" s="40">
        <v>0</v>
      </c>
      <c r="AA865" s="40">
        <v>0</v>
      </c>
      <c r="AB865" s="40">
        <v>0</v>
      </c>
      <c r="AC865" s="40">
        <v>0</v>
      </c>
      <c r="AD865" s="40">
        <v>0</v>
      </c>
      <c r="AE865" s="40">
        <v>0</v>
      </c>
      <c r="AF865" s="40">
        <v>0</v>
      </c>
      <c r="AG865" s="40">
        <v>0</v>
      </c>
      <c r="AH865" s="40">
        <v>0</v>
      </c>
      <c r="AI865" s="41">
        <f t="shared" si="81"/>
        <v>0</v>
      </c>
      <c r="AJ865" s="42">
        <v>0</v>
      </c>
      <c r="AK865" s="42">
        <v>0</v>
      </c>
      <c r="AL865" s="42">
        <v>0</v>
      </c>
      <c r="AM865" s="42">
        <v>0</v>
      </c>
      <c r="AN865" s="42">
        <v>0</v>
      </c>
      <c r="AO865" s="42">
        <v>0</v>
      </c>
      <c r="AP865" s="42">
        <v>0</v>
      </c>
      <c r="AQ865" s="42">
        <v>0</v>
      </c>
      <c r="AR865" s="42">
        <v>0</v>
      </c>
      <c r="AS865" s="42">
        <v>0</v>
      </c>
      <c r="AT865" s="42">
        <v>0</v>
      </c>
      <c r="AU865" s="42">
        <v>0</v>
      </c>
      <c r="AV865" s="42">
        <f t="shared" si="82"/>
        <v>0</v>
      </c>
      <c r="AW865" s="42">
        <v>0</v>
      </c>
      <c r="AX865" s="42">
        <v>0</v>
      </c>
      <c r="AY865" s="42">
        <v>0</v>
      </c>
      <c r="AZ865" s="42">
        <v>0</v>
      </c>
      <c r="BA865" s="42">
        <v>0</v>
      </c>
      <c r="BB865" s="42">
        <v>0</v>
      </c>
      <c r="BC865" s="42">
        <v>0</v>
      </c>
      <c r="BD865" s="42">
        <v>0</v>
      </c>
      <c r="BE865" s="42">
        <v>0</v>
      </c>
      <c r="BF865" s="42">
        <v>0</v>
      </c>
      <c r="BG865" s="42">
        <v>0</v>
      </c>
      <c r="BH865" s="42">
        <v>0</v>
      </c>
      <c r="BI865" s="42">
        <v>0</v>
      </c>
      <c r="BJ865" s="42">
        <v>0</v>
      </c>
      <c r="BK865" s="42">
        <v>0</v>
      </c>
      <c r="BL865" s="42">
        <v>0</v>
      </c>
      <c r="BM865" s="42">
        <v>0</v>
      </c>
      <c r="BN865" s="42">
        <v>0</v>
      </c>
      <c r="BO865" s="42">
        <v>0</v>
      </c>
      <c r="BP865" s="42">
        <v>0</v>
      </c>
      <c r="BQ865" s="42">
        <v>0</v>
      </c>
      <c r="BR865" s="42">
        <v>0</v>
      </c>
      <c r="BS865" s="42">
        <v>0</v>
      </c>
      <c r="BT865" s="42">
        <v>0</v>
      </c>
      <c r="BU865" s="42">
        <v>0</v>
      </c>
      <c r="BV865" s="42">
        <v>0</v>
      </c>
      <c r="BW865" s="42">
        <v>0</v>
      </c>
      <c r="BX865" s="42">
        <v>0</v>
      </c>
      <c r="BY865" s="42">
        <v>0</v>
      </c>
      <c r="BZ865" s="42">
        <v>0</v>
      </c>
      <c r="CA865" s="42">
        <v>0</v>
      </c>
      <c r="CB865" s="42">
        <v>0</v>
      </c>
      <c r="CC865" s="42">
        <v>0</v>
      </c>
      <c r="CD865" s="42">
        <v>0</v>
      </c>
      <c r="CE865" s="42">
        <v>0</v>
      </c>
      <c r="CF865" s="42">
        <v>0</v>
      </c>
      <c r="CG865" s="42">
        <v>0</v>
      </c>
      <c r="CH865" s="42">
        <v>0</v>
      </c>
      <c r="CI865" s="42">
        <v>0</v>
      </c>
      <c r="CJ865" s="42">
        <v>0</v>
      </c>
      <c r="CK865" s="43">
        <f t="shared" si="79"/>
        <v>0</v>
      </c>
      <c r="CL865" s="66"/>
      <c r="CM865" s="66">
        <v>0</v>
      </c>
      <c r="CN865" s="66">
        <v>0</v>
      </c>
      <c r="CO865" s="66">
        <v>0</v>
      </c>
      <c r="CP865" s="66">
        <v>0</v>
      </c>
      <c r="CQ865" s="66">
        <v>0</v>
      </c>
      <c r="CR865" s="66">
        <v>0</v>
      </c>
      <c r="CS865" s="66">
        <v>0</v>
      </c>
      <c r="CT865" s="66">
        <v>0</v>
      </c>
      <c r="CU865" s="66">
        <v>0</v>
      </c>
      <c r="CV865" s="66">
        <v>0</v>
      </c>
      <c r="CW865" s="66">
        <v>0</v>
      </c>
      <c r="CX865" s="66">
        <v>0</v>
      </c>
      <c r="CY865" s="66">
        <v>0</v>
      </c>
      <c r="CZ865" s="66">
        <v>0</v>
      </c>
      <c r="DA865" s="66"/>
      <c r="DB865" s="66"/>
      <c r="DC865" s="66"/>
      <c r="DD865" s="66"/>
      <c r="DE865" s="66"/>
      <c r="DF865" s="66"/>
      <c r="DG865" s="66"/>
      <c r="DH865" s="66"/>
      <c r="DI865" s="66"/>
      <c r="DJ865" s="66"/>
      <c r="DK865" s="66">
        <f>SUM(Table1[[#This Row],[01-03 Apr]:[Mar-26]])</f>
        <v>0</v>
      </c>
    </row>
    <row r="866" spans="1:115" hidden="1" x14ac:dyDescent="0.2">
      <c r="A866" s="28" t="s">
        <v>2367</v>
      </c>
      <c r="B866" s="29" t="s">
        <v>1865</v>
      </c>
      <c r="C866" s="29" t="s">
        <v>3336</v>
      </c>
      <c r="D866" s="30" t="s">
        <v>1866</v>
      </c>
      <c r="E866" s="30" t="s">
        <v>1857</v>
      </c>
      <c r="F866" s="30"/>
      <c r="G866" s="31"/>
      <c r="H866" s="30"/>
      <c r="I866" s="30" t="str">
        <f>IF(Table1[[#This Row],[Centre Status]]="Returned","NA",IF(Table1[[#This Row],[SD]]&gt;19000,"Full Payment",IF(Table1[[#This Row],[SD]]&lt;1,"No Payment","Partial Payment")))</f>
        <v>NA</v>
      </c>
      <c r="J866" s="30" t="s">
        <v>1903</v>
      </c>
      <c r="K866" s="32">
        <v>110000</v>
      </c>
      <c r="L866" s="33">
        <f>Q866+R866+U866+Table1[[#This Row],[Farmer Payment]]</f>
        <v>0</v>
      </c>
      <c r="M866" s="30"/>
      <c r="N866" s="34"/>
      <c r="O866" s="34"/>
      <c r="P866" s="35">
        <f t="shared" si="80"/>
        <v>110000</v>
      </c>
      <c r="Q866" s="33">
        <f>AI866+AV866+CK866+Table1[[#This Row],[FY 25-26]]</f>
        <v>0</v>
      </c>
      <c r="R866" s="36"/>
      <c r="S866" s="37"/>
      <c r="T866" s="38"/>
      <c r="U866" s="39"/>
      <c r="V866" s="39"/>
      <c r="W866" s="40">
        <v>0</v>
      </c>
      <c r="X866" s="40">
        <v>0</v>
      </c>
      <c r="Y866" s="40">
        <v>0</v>
      </c>
      <c r="Z866" s="40">
        <v>0</v>
      </c>
      <c r="AA866" s="40">
        <v>0</v>
      </c>
      <c r="AB866" s="40">
        <v>0</v>
      </c>
      <c r="AC866" s="40">
        <v>0</v>
      </c>
      <c r="AD866" s="40">
        <v>0</v>
      </c>
      <c r="AE866" s="40">
        <v>0</v>
      </c>
      <c r="AF866" s="40">
        <v>0</v>
      </c>
      <c r="AG866" s="40">
        <v>0</v>
      </c>
      <c r="AH866" s="40">
        <v>0</v>
      </c>
      <c r="AI866" s="41">
        <f t="shared" si="81"/>
        <v>0</v>
      </c>
      <c r="AJ866" s="42">
        <v>0</v>
      </c>
      <c r="AK866" s="42">
        <v>0</v>
      </c>
      <c r="AL866" s="42">
        <v>0</v>
      </c>
      <c r="AM866" s="42">
        <v>0</v>
      </c>
      <c r="AN866" s="42">
        <v>0</v>
      </c>
      <c r="AO866" s="42">
        <v>0</v>
      </c>
      <c r="AP866" s="42">
        <v>0</v>
      </c>
      <c r="AQ866" s="42">
        <v>0</v>
      </c>
      <c r="AR866" s="42">
        <v>0</v>
      </c>
      <c r="AS866" s="42">
        <v>0</v>
      </c>
      <c r="AT866" s="42">
        <v>0</v>
      </c>
      <c r="AU866" s="42">
        <v>0</v>
      </c>
      <c r="AV866" s="42">
        <f t="shared" si="82"/>
        <v>0</v>
      </c>
      <c r="AW866" s="42">
        <v>0</v>
      </c>
      <c r="AX866" s="42">
        <v>0</v>
      </c>
      <c r="AY866" s="42">
        <v>0</v>
      </c>
      <c r="AZ866" s="42">
        <v>0</v>
      </c>
      <c r="BA866" s="42">
        <v>0</v>
      </c>
      <c r="BB866" s="42">
        <v>0</v>
      </c>
      <c r="BC866" s="42">
        <v>0</v>
      </c>
      <c r="BD866" s="42">
        <v>0</v>
      </c>
      <c r="BE866" s="42">
        <v>0</v>
      </c>
      <c r="BF866" s="42">
        <v>0</v>
      </c>
      <c r="BG866" s="42">
        <v>0</v>
      </c>
      <c r="BH866" s="42">
        <v>0</v>
      </c>
      <c r="BI866" s="42">
        <v>0</v>
      </c>
      <c r="BJ866" s="42">
        <v>0</v>
      </c>
      <c r="BK866" s="42">
        <v>0</v>
      </c>
      <c r="BL866" s="42">
        <v>0</v>
      </c>
      <c r="BM866" s="42">
        <v>0</v>
      </c>
      <c r="BN866" s="42">
        <v>0</v>
      </c>
      <c r="BO866" s="42">
        <v>0</v>
      </c>
      <c r="BP866" s="42">
        <v>0</v>
      </c>
      <c r="BQ866" s="42">
        <v>0</v>
      </c>
      <c r="BR866" s="42">
        <v>0</v>
      </c>
      <c r="BS866" s="42">
        <v>0</v>
      </c>
      <c r="BT866" s="42">
        <v>0</v>
      </c>
      <c r="BU866" s="42">
        <v>0</v>
      </c>
      <c r="BV866" s="42">
        <v>0</v>
      </c>
      <c r="BW866" s="42">
        <v>0</v>
      </c>
      <c r="BX866" s="42">
        <v>0</v>
      </c>
      <c r="BY866" s="42">
        <v>0</v>
      </c>
      <c r="BZ866" s="42">
        <v>0</v>
      </c>
      <c r="CA866" s="42">
        <v>0</v>
      </c>
      <c r="CB866" s="42">
        <v>0</v>
      </c>
      <c r="CC866" s="42">
        <v>0</v>
      </c>
      <c r="CD866" s="42">
        <v>0</v>
      </c>
      <c r="CE866" s="42">
        <v>0</v>
      </c>
      <c r="CF866" s="42">
        <v>0</v>
      </c>
      <c r="CG866" s="42">
        <v>0</v>
      </c>
      <c r="CH866" s="42">
        <v>0</v>
      </c>
      <c r="CI866" s="42">
        <v>0</v>
      </c>
      <c r="CJ866" s="42">
        <v>0</v>
      </c>
      <c r="CK866" s="43">
        <f t="shared" si="79"/>
        <v>0</v>
      </c>
      <c r="CL866" s="66"/>
      <c r="CM866" s="66">
        <v>0</v>
      </c>
      <c r="CN866" s="66">
        <v>0</v>
      </c>
      <c r="CO866" s="66">
        <v>0</v>
      </c>
      <c r="CP866" s="66">
        <v>0</v>
      </c>
      <c r="CQ866" s="66">
        <v>0</v>
      </c>
      <c r="CR866" s="66">
        <v>0</v>
      </c>
      <c r="CS866" s="66">
        <v>0</v>
      </c>
      <c r="CT866" s="66">
        <v>0</v>
      </c>
      <c r="CU866" s="66">
        <v>0</v>
      </c>
      <c r="CV866" s="66">
        <v>0</v>
      </c>
      <c r="CW866" s="66">
        <v>0</v>
      </c>
      <c r="CX866" s="66">
        <v>0</v>
      </c>
      <c r="CY866" s="66">
        <v>0</v>
      </c>
      <c r="CZ866" s="66">
        <v>0</v>
      </c>
      <c r="DA866" s="66"/>
      <c r="DB866" s="66"/>
      <c r="DC866" s="66"/>
      <c r="DD866" s="66"/>
      <c r="DE866" s="66"/>
      <c r="DF866" s="66"/>
      <c r="DG866" s="66"/>
      <c r="DH866" s="66"/>
      <c r="DI866" s="66"/>
      <c r="DJ866" s="66"/>
      <c r="DK866" s="66">
        <f>SUM(Table1[[#This Row],[01-03 Apr]:[Mar-26]])</f>
        <v>0</v>
      </c>
    </row>
    <row r="867" spans="1:115" hidden="1" x14ac:dyDescent="0.2">
      <c r="A867" s="28" t="s">
        <v>371</v>
      </c>
      <c r="B867" s="29" t="s">
        <v>1901</v>
      </c>
      <c r="C867" s="29" t="s">
        <v>3336</v>
      </c>
      <c r="D867" s="30" t="s">
        <v>1902</v>
      </c>
      <c r="E867" s="30" t="s">
        <v>85</v>
      </c>
      <c r="F867" s="30"/>
      <c r="G867" s="31"/>
      <c r="H867" s="30"/>
      <c r="I867" s="30" t="str">
        <f>IF(Table1[[#This Row],[Centre Status]]="Returned","NA",IF(Table1[[#This Row],[SD]]&gt;19000,"Full Payment",IF(Table1[[#This Row],[SD]]&lt;1,"No Payment","Partial Payment")))</f>
        <v>NA</v>
      </c>
      <c r="J867" s="30" t="s">
        <v>1903</v>
      </c>
      <c r="K867" s="32">
        <v>0</v>
      </c>
      <c r="L867" s="33">
        <f>Q867+R867+U867+Table1[[#This Row],[Farmer Payment]]</f>
        <v>20000</v>
      </c>
      <c r="M867" s="30">
        <v>20000</v>
      </c>
      <c r="N867" s="34">
        <v>44680</v>
      </c>
      <c r="O867" s="34"/>
      <c r="P867" s="35">
        <f t="shared" si="80"/>
        <v>0</v>
      </c>
      <c r="Q867" s="33">
        <f>AI867+AV867+CK867+Table1[[#This Row],[FY 25-26]]</f>
        <v>0</v>
      </c>
      <c r="R867" s="36">
        <v>20000</v>
      </c>
      <c r="S867" s="37" t="s">
        <v>2143</v>
      </c>
      <c r="T867" s="38">
        <v>44662</v>
      </c>
      <c r="U867" s="39"/>
      <c r="V867" s="39"/>
      <c r="W867" s="40">
        <v>0</v>
      </c>
      <c r="X867" s="40">
        <v>0</v>
      </c>
      <c r="Y867" s="40">
        <v>0</v>
      </c>
      <c r="Z867" s="40">
        <v>0</v>
      </c>
      <c r="AA867" s="40">
        <v>0</v>
      </c>
      <c r="AB867" s="40">
        <v>0</v>
      </c>
      <c r="AC867" s="40">
        <v>0</v>
      </c>
      <c r="AD867" s="40">
        <v>0</v>
      </c>
      <c r="AE867" s="40">
        <v>0</v>
      </c>
      <c r="AF867" s="40">
        <v>0</v>
      </c>
      <c r="AG867" s="40">
        <v>0</v>
      </c>
      <c r="AH867" s="40">
        <v>0</v>
      </c>
      <c r="AI867" s="41">
        <f t="shared" si="81"/>
        <v>0</v>
      </c>
      <c r="AJ867" s="42">
        <v>0</v>
      </c>
      <c r="AK867" s="42">
        <v>0</v>
      </c>
      <c r="AL867" s="42">
        <v>0</v>
      </c>
      <c r="AM867" s="42">
        <v>0</v>
      </c>
      <c r="AN867" s="42">
        <v>0</v>
      </c>
      <c r="AO867" s="42">
        <v>0</v>
      </c>
      <c r="AP867" s="42">
        <v>0</v>
      </c>
      <c r="AQ867" s="42">
        <v>0</v>
      </c>
      <c r="AR867" s="42">
        <v>0</v>
      </c>
      <c r="AS867" s="42">
        <v>0</v>
      </c>
      <c r="AT867" s="42">
        <v>0</v>
      </c>
      <c r="AU867" s="42">
        <v>0</v>
      </c>
      <c r="AV867" s="42">
        <f t="shared" si="82"/>
        <v>0</v>
      </c>
      <c r="AW867" s="42">
        <v>0</v>
      </c>
      <c r="AX867" s="42">
        <v>0</v>
      </c>
      <c r="AY867" s="42">
        <v>0</v>
      </c>
      <c r="AZ867" s="42">
        <v>0</v>
      </c>
      <c r="BA867" s="42">
        <v>0</v>
      </c>
      <c r="BB867" s="42">
        <v>0</v>
      </c>
      <c r="BC867" s="42">
        <v>0</v>
      </c>
      <c r="BD867" s="42">
        <v>0</v>
      </c>
      <c r="BE867" s="42">
        <v>0</v>
      </c>
      <c r="BF867" s="42">
        <v>0</v>
      </c>
      <c r="BG867" s="42">
        <v>0</v>
      </c>
      <c r="BH867" s="42">
        <v>0</v>
      </c>
      <c r="BI867" s="42">
        <v>0</v>
      </c>
      <c r="BJ867" s="42">
        <v>0</v>
      </c>
      <c r="BK867" s="42">
        <v>0</v>
      </c>
      <c r="BL867" s="42">
        <v>0</v>
      </c>
      <c r="BM867" s="42">
        <v>0</v>
      </c>
      <c r="BN867" s="42">
        <v>0</v>
      </c>
      <c r="BO867" s="42">
        <v>0</v>
      </c>
      <c r="BP867" s="42">
        <v>0</v>
      </c>
      <c r="BQ867" s="42">
        <v>0</v>
      </c>
      <c r="BR867" s="42">
        <v>0</v>
      </c>
      <c r="BS867" s="42">
        <v>0</v>
      </c>
      <c r="BT867" s="42">
        <v>0</v>
      </c>
      <c r="BU867" s="42">
        <v>0</v>
      </c>
      <c r="BV867" s="42">
        <v>0</v>
      </c>
      <c r="BW867" s="42">
        <v>0</v>
      </c>
      <c r="BX867" s="42">
        <v>0</v>
      </c>
      <c r="BY867" s="42">
        <v>0</v>
      </c>
      <c r="BZ867" s="42">
        <v>0</v>
      </c>
      <c r="CA867" s="42">
        <v>0</v>
      </c>
      <c r="CB867" s="42">
        <v>0</v>
      </c>
      <c r="CC867" s="42">
        <v>0</v>
      </c>
      <c r="CD867" s="42">
        <v>0</v>
      </c>
      <c r="CE867" s="42">
        <v>0</v>
      </c>
      <c r="CF867" s="42">
        <v>0</v>
      </c>
      <c r="CG867" s="42">
        <v>0</v>
      </c>
      <c r="CH867" s="42">
        <v>0</v>
      </c>
      <c r="CI867" s="42">
        <v>0</v>
      </c>
      <c r="CJ867" s="42">
        <v>0</v>
      </c>
      <c r="CK867" s="43">
        <f t="shared" si="79"/>
        <v>0</v>
      </c>
      <c r="CL867" s="66"/>
      <c r="CM867" s="66">
        <v>0</v>
      </c>
      <c r="CN867" s="66">
        <v>0</v>
      </c>
      <c r="CO867" s="66">
        <v>0</v>
      </c>
      <c r="CP867" s="66">
        <v>0</v>
      </c>
      <c r="CQ867" s="66">
        <v>0</v>
      </c>
      <c r="CR867" s="66">
        <v>0</v>
      </c>
      <c r="CS867" s="66">
        <v>0</v>
      </c>
      <c r="CT867" s="66">
        <v>0</v>
      </c>
      <c r="CU867" s="66">
        <v>0</v>
      </c>
      <c r="CV867" s="66">
        <v>0</v>
      </c>
      <c r="CW867" s="66">
        <v>0</v>
      </c>
      <c r="CX867" s="66">
        <v>0</v>
      </c>
      <c r="CY867" s="66">
        <v>0</v>
      </c>
      <c r="CZ867" s="66">
        <v>0</v>
      </c>
      <c r="DA867" s="66"/>
      <c r="DB867" s="66"/>
      <c r="DC867" s="66"/>
      <c r="DD867" s="66"/>
      <c r="DE867" s="66"/>
      <c r="DF867" s="66"/>
      <c r="DG867" s="66"/>
      <c r="DH867" s="66"/>
      <c r="DI867" s="66"/>
      <c r="DJ867" s="66"/>
      <c r="DK867" s="66">
        <f>SUM(Table1[[#This Row],[01-03 Apr]:[Mar-26]])</f>
        <v>0</v>
      </c>
    </row>
    <row r="868" spans="1:115" hidden="1" x14ac:dyDescent="0.2">
      <c r="A868" s="28" t="s">
        <v>371</v>
      </c>
      <c r="B868" s="29"/>
      <c r="C868" s="29" t="s">
        <v>3336</v>
      </c>
      <c r="D868" s="30" t="s">
        <v>1904</v>
      </c>
      <c r="E868" s="30"/>
      <c r="F868" s="30"/>
      <c r="G868" s="31"/>
      <c r="H868" s="30"/>
      <c r="I868" s="30" t="str">
        <f>IF(Table1[[#This Row],[Centre Status]]="Returned","NA",IF(Table1[[#This Row],[SD]]&gt;19000,"Full Payment",IF(Table1[[#This Row],[SD]]&lt;1,"No Payment","Partial Payment")))</f>
        <v>NA</v>
      </c>
      <c r="J868" s="30" t="s">
        <v>1903</v>
      </c>
      <c r="K868" s="32">
        <v>0</v>
      </c>
      <c r="L868" s="33">
        <f>Q868+R868+U868+Table1[[#This Row],[Farmer Payment]]</f>
        <v>0</v>
      </c>
      <c r="M868" s="30">
        <v>10000</v>
      </c>
      <c r="N868" s="34">
        <v>44846</v>
      </c>
      <c r="O868" s="34"/>
      <c r="P868" s="35">
        <f t="shared" si="80"/>
        <v>10000</v>
      </c>
      <c r="Q868" s="33">
        <f>AI868+AV868+CK868+Table1[[#This Row],[FY 25-26]]</f>
        <v>0</v>
      </c>
      <c r="R868" s="36"/>
      <c r="S868" s="37"/>
      <c r="T868" s="38"/>
      <c r="U868" s="39"/>
      <c r="V868" s="39"/>
      <c r="W868" s="40">
        <v>0</v>
      </c>
      <c r="X868" s="40">
        <v>0</v>
      </c>
      <c r="Y868" s="40">
        <v>0</v>
      </c>
      <c r="Z868" s="40">
        <v>0</v>
      </c>
      <c r="AA868" s="40">
        <v>0</v>
      </c>
      <c r="AB868" s="40">
        <v>0</v>
      </c>
      <c r="AC868" s="40">
        <v>0</v>
      </c>
      <c r="AD868" s="40">
        <v>0</v>
      </c>
      <c r="AE868" s="40">
        <v>0</v>
      </c>
      <c r="AF868" s="40">
        <v>0</v>
      </c>
      <c r="AG868" s="40">
        <v>0</v>
      </c>
      <c r="AH868" s="40">
        <v>0</v>
      </c>
      <c r="AI868" s="41">
        <f t="shared" si="81"/>
        <v>0</v>
      </c>
      <c r="AJ868" s="42">
        <v>0</v>
      </c>
      <c r="AK868" s="42">
        <v>0</v>
      </c>
      <c r="AL868" s="42">
        <v>0</v>
      </c>
      <c r="AM868" s="42">
        <v>0</v>
      </c>
      <c r="AN868" s="42">
        <v>0</v>
      </c>
      <c r="AO868" s="42">
        <v>0</v>
      </c>
      <c r="AP868" s="42">
        <v>0</v>
      </c>
      <c r="AQ868" s="42">
        <v>0</v>
      </c>
      <c r="AR868" s="42">
        <v>0</v>
      </c>
      <c r="AS868" s="42">
        <v>0</v>
      </c>
      <c r="AT868" s="42">
        <v>0</v>
      </c>
      <c r="AU868" s="42">
        <v>0</v>
      </c>
      <c r="AV868" s="42">
        <f t="shared" si="82"/>
        <v>0</v>
      </c>
      <c r="AW868" s="42">
        <v>0</v>
      </c>
      <c r="AX868" s="42">
        <v>0</v>
      </c>
      <c r="AY868" s="42">
        <v>0</v>
      </c>
      <c r="AZ868" s="42">
        <v>0</v>
      </c>
      <c r="BA868" s="42">
        <v>0</v>
      </c>
      <c r="BB868" s="42">
        <v>0</v>
      </c>
      <c r="BC868" s="42">
        <v>0</v>
      </c>
      <c r="BD868" s="42">
        <v>0</v>
      </c>
      <c r="BE868" s="42">
        <v>0</v>
      </c>
      <c r="BF868" s="42">
        <v>0</v>
      </c>
      <c r="BG868" s="42">
        <v>0</v>
      </c>
      <c r="BH868" s="42">
        <v>0</v>
      </c>
      <c r="BI868" s="42">
        <v>0</v>
      </c>
      <c r="BJ868" s="42">
        <v>0</v>
      </c>
      <c r="BK868" s="42">
        <v>0</v>
      </c>
      <c r="BL868" s="42">
        <v>0</v>
      </c>
      <c r="BM868" s="42">
        <v>0</v>
      </c>
      <c r="BN868" s="42">
        <v>0</v>
      </c>
      <c r="BO868" s="42">
        <v>0</v>
      </c>
      <c r="BP868" s="42">
        <v>0</v>
      </c>
      <c r="BQ868" s="42">
        <v>0</v>
      </c>
      <c r="BR868" s="42">
        <v>0</v>
      </c>
      <c r="BS868" s="42">
        <v>0</v>
      </c>
      <c r="BT868" s="42">
        <v>0</v>
      </c>
      <c r="BU868" s="42">
        <v>0</v>
      </c>
      <c r="BV868" s="42">
        <v>0</v>
      </c>
      <c r="BW868" s="42">
        <v>0</v>
      </c>
      <c r="BX868" s="42">
        <v>0</v>
      </c>
      <c r="BY868" s="42">
        <v>0</v>
      </c>
      <c r="BZ868" s="42">
        <v>0</v>
      </c>
      <c r="CA868" s="42">
        <v>0</v>
      </c>
      <c r="CB868" s="42">
        <v>0</v>
      </c>
      <c r="CC868" s="42">
        <v>0</v>
      </c>
      <c r="CD868" s="42">
        <v>0</v>
      </c>
      <c r="CE868" s="42">
        <v>0</v>
      </c>
      <c r="CF868" s="42">
        <v>0</v>
      </c>
      <c r="CG868" s="42">
        <v>0</v>
      </c>
      <c r="CH868" s="42">
        <v>0</v>
      </c>
      <c r="CI868" s="42">
        <v>0</v>
      </c>
      <c r="CJ868" s="42">
        <v>0</v>
      </c>
      <c r="CK868" s="43">
        <f t="shared" si="79"/>
        <v>0</v>
      </c>
      <c r="CL868" s="66"/>
      <c r="CM868" s="66">
        <v>0</v>
      </c>
      <c r="CN868" s="66">
        <v>0</v>
      </c>
      <c r="CO868" s="66">
        <v>0</v>
      </c>
      <c r="CP868" s="66">
        <v>0</v>
      </c>
      <c r="CQ868" s="66">
        <v>0</v>
      </c>
      <c r="CR868" s="66">
        <v>0</v>
      </c>
      <c r="CS868" s="66">
        <v>0</v>
      </c>
      <c r="CT868" s="66">
        <v>0</v>
      </c>
      <c r="CU868" s="66">
        <v>0</v>
      </c>
      <c r="CV868" s="66">
        <v>0</v>
      </c>
      <c r="CW868" s="66">
        <v>0</v>
      </c>
      <c r="CX868" s="66">
        <v>0</v>
      </c>
      <c r="CY868" s="66">
        <v>0</v>
      </c>
      <c r="CZ868" s="66">
        <v>0</v>
      </c>
      <c r="DA868" s="66"/>
      <c r="DB868" s="66"/>
      <c r="DC868" s="66"/>
      <c r="DD868" s="66"/>
      <c r="DE868" s="66"/>
      <c r="DF868" s="66"/>
      <c r="DG868" s="66"/>
      <c r="DH868" s="66"/>
      <c r="DI868" s="66"/>
      <c r="DJ868" s="66"/>
      <c r="DK868" s="66">
        <f>SUM(Table1[[#This Row],[01-03 Apr]:[Mar-26]])</f>
        <v>0</v>
      </c>
    </row>
    <row r="869" spans="1:115" hidden="1" x14ac:dyDescent="0.2">
      <c r="A869" s="28" t="s">
        <v>371</v>
      </c>
      <c r="B869" s="29"/>
      <c r="C869" s="29" t="s">
        <v>3336</v>
      </c>
      <c r="D869" s="30" t="s">
        <v>1905</v>
      </c>
      <c r="E869" s="30"/>
      <c r="F869" s="30"/>
      <c r="G869" s="31"/>
      <c r="H869" s="30"/>
      <c r="I869" s="30" t="str">
        <f>IF(Table1[[#This Row],[Centre Status]]="Returned","NA",IF(Table1[[#This Row],[SD]]&gt;19000,"Full Payment",IF(Table1[[#This Row],[SD]]&lt;1,"No Payment","Partial Payment")))</f>
        <v>NA</v>
      </c>
      <c r="J869" s="30" t="s">
        <v>1903</v>
      </c>
      <c r="K869" s="32">
        <v>0</v>
      </c>
      <c r="L869" s="33">
        <f>Q869+R869+U869+Table1[[#This Row],[Farmer Payment]]</f>
        <v>0</v>
      </c>
      <c r="M869" s="30">
        <v>5000</v>
      </c>
      <c r="N869" s="34">
        <v>45118</v>
      </c>
      <c r="O869" s="34"/>
      <c r="P869" s="35">
        <f t="shared" si="80"/>
        <v>5000</v>
      </c>
      <c r="Q869" s="33">
        <f>AI869+AV869+CK869+Table1[[#This Row],[FY 25-26]]</f>
        <v>0</v>
      </c>
      <c r="R869" s="36"/>
      <c r="S869" s="37"/>
      <c r="T869" s="38"/>
      <c r="U869" s="39"/>
      <c r="V869" s="39"/>
      <c r="W869" s="40">
        <v>0</v>
      </c>
      <c r="X869" s="40">
        <v>0</v>
      </c>
      <c r="Y869" s="40">
        <v>0</v>
      </c>
      <c r="Z869" s="40">
        <v>0</v>
      </c>
      <c r="AA869" s="40">
        <v>0</v>
      </c>
      <c r="AB869" s="40">
        <v>0</v>
      </c>
      <c r="AC869" s="40">
        <v>0</v>
      </c>
      <c r="AD869" s="40">
        <v>0</v>
      </c>
      <c r="AE869" s="40">
        <v>0</v>
      </c>
      <c r="AF869" s="40">
        <v>0</v>
      </c>
      <c r="AG869" s="40">
        <v>0</v>
      </c>
      <c r="AH869" s="40">
        <v>0</v>
      </c>
      <c r="AI869" s="41">
        <f t="shared" si="81"/>
        <v>0</v>
      </c>
      <c r="AJ869" s="42">
        <v>0</v>
      </c>
      <c r="AK869" s="42">
        <v>0</v>
      </c>
      <c r="AL869" s="42">
        <v>0</v>
      </c>
      <c r="AM869" s="42">
        <v>0</v>
      </c>
      <c r="AN869" s="42">
        <v>0</v>
      </c>
      <c r="AO869" s="42">
        <v>0</v>
      </c>
      <c r="AP869" s="42">
        <v>0</v>
      </c>
      <c r="AQ869" s="42">
        <v>0</v>
      </c>
      <c r="AR869" s="42">
        <v>0</v>
      </c>
      <c r="AS869" s="42">
        <v>0</v>
      </c>
      <c r="AT869" s="42">
        <v>0</v>
      </c>
      <c r="AU869" s="42">
        <v>0</v>
      </c>
      <c r="AV869" s="42">
        <f t="shared" si="82"/>
        <v>0</v>
      </c>
      <c r="AW869" s="42">
        <v>0</v>
      </c>
      <c r="AX869" s="42">
        <v>0</v>
      </c>
      <c r="AY869" s="42">
        <v>0</v>
      </c>
      <c r="AZ869" s="42">
        <v>0</v>
      </c>
      <c r="BA869" s="42">
        <v>0</v>
      </c>
      <c r="BB869" s="42">
        <v>0</v>
      </c>
      <c r="BC869" s="42">
        <v>0</v>
      </c>
      <c r="BD869" s="42">
        <v>0</v>
      </c>
      <c r="BE869" s="42">
        <v>0</v>
      </c>
      <c r="BF869" s="42">
        <v>0</v>
      </c>
      <c r="BG869" s="42">
        <v>0</v>
      </c>
      <c r="BH869" s="42">
        <v>0</v>
      </c>
      <c r="BI869" s="42">
        <v>0</v>
      </c>
      <c r="BJ869" s="42">
        <v>0</v>
      </c>
      <c r="BK869" s="42">
        <v>0</v>
      </c>
      <c r="BL869" s="42">
        <v>0</v>
      </c>
      <c r="BM869" s="42">
        <v>0</v>
      </c>
      <c r="BN869" s="42">
        <v>0</v>
      </c>
      <c r="BO869" s="42">
        <v>0</v>
      </c>
      <c r="BP869" s="42">
        <v>0</v>
      </c>
      <c r="BQ869" s="42">
        <v>0</v>
      </c>
      <c r="BR869" s="42">
        <v>0</v>
      </c>
      <c r="BS869" s="42">
        <v>0</v>
      </c>
      <c r="BT869" s="42">
        <v>0</v>
      </c>
      <c r="BU869" s="42">
        <v>0</v>
      </c>
      <c r="BV869" s="42">
        <v>0</v>
      </c>
      <c r="BW869" s="42">
        <v>0</v>
      </c>
      <c r="BX869" s="42">
        <v>0</v>
      </c>
      <c r="BY869" s="42">
        <v>0</v>
      </c>
      <c r="BZ869" s="42">
        <v>0</v>
      </c>
      <c r="CA869" s="42">
        <v>0</v>
      </c>
      <c r="CB869" s="42">
        <v>0</v>
      </c>
      <c r="CC869" s="42">
        <v>0</v>
      </c>
      <c r="CD869" s="42">
        <v>0</v>
      </c>
      <c r="CE869" s="42">
        <v>0</v>
      </c>
      <c r="CF869" s="42">
        <v>0</v>
      </c>
      <c r="CG869" s="42">
        <v>0</v>
      </c>
      <c r="CH869" s="42">
        <v>0</v>
      </c>
      <c r="CI869" s="42">
        <v>0</v>
      </c>
      <c r="CJ869" s="42">
        <v>0</v>
      </c>
      <c r="CK869" s="43">
        <f t="shared" si="79"/>
        <v>0</v>
      </c>
      <c r="CL869" s="66"/>
      <c r="CM869" s="66">
        <v>0</v>
      </c>
      <c r="CN869" s="66">
        <v>0</v>
      </c>
      <c r="CO869" s="66">
        <v>0</v>
      </c>
      <c r="CP869" s="66">
        <v>0</v>
      </c>
      <c r="CQ869" s="66">
        <v>0</v>
      </c>
      <c r="CR869" s="66">
        <v>0</v>
      </c>
      <c r="CS869" s="66">
        <v>0</v>
      </c>
      <c r="CT869" s="66">
        <v>0</v>
      </c>
      <c r="CU869" s="66">
        <v>0</v>
      </c>
      <c r="CV869" s="66">
        <v>0</v>
      </c>
      <c r="CW869" s="66">
        <v>0</v>
      </c>
      <c r="CX869" s="66">
        <v>0</v>
      </c>
      <c r="CY869" s="66">
        <v>0</v>
      </c>
      <c r="CZ869" s="66">
        <v>0</v>
      </c>
      <c r="DA869" s="66"/>
      <c r="DB869" s="66"/>
      <c r="DC869" s="66"/>
      <c r="DD869" s="66"/>
      <c r="DE869" s="66"/>
      <c r="DF869" s="66"/>
      <c r="DG869" s="66"/>
      <c r="DH869" s="66"/>
      <c r="DI869" s="66"/>
      <c r="DJ869" s="66"/>
      <c r="DK869" s="66">
        <f>SUM(Table1[[#This Row],[01-03 Apr]:[Mar-26]])</f>
        <v>0</v>
      </c>
    </row>
    <row r="870" spans="1:115" hidden="1" x14ac:dyDescent="0.2">
      <c r="A870" s="28" t="s">
        <v>371</v>
      </c>
      <c r="B870" s="29"/>
      <c r="C870" s="29" t="s">
        <v>3336</v>
      </c>
      <c r="D870" s="30" t="s">
        <v>1906</v>
      </c>
      <c r="E870" s="30"/>
      <c r="F870" s="30"/>
      <c r="G870" s="31"/>
      <c r="H870" s="30"/>
      <c r="I870" s="30" t="str">
        <f>IF(Table1[[#This Row],[Centre Status]]="Returned","NA",IF(Table1[[#This Row],[SD]]&gt;19000,"Full Payment",IF(Table1[[#This Row],[SD]]&lt;1,"No Payment","Partial Payment")))</f>
        <v>NA</v>
      </c>
      <c r="J870" s="30" t="s">
        <v>1903</v>
      </c>
      <c r="K870" s="32">
        <v>0</v>
      </c>
      <c r="L870" s="33">
        <f>Q870+R870+U870+Table1[[#This Row],[Farmer Payment]]</f>
        <v>0</v>
      </c>
      <c r="M870" s="30">
        <v>5000</v>
      </c>
      <c r="N870" s="34">
        <v>45118</v>
      </c>
      <c r="O870" s="34"/>
      <c r="P870" s="35">
        <f t="shared" si="80"/>
        <v>5000</v>
      </c>
      <c r="Q870" s="33">
        <f>AI870+AV870+CK870+Table1[[#This Row],[FY 25-26]]</f>
        <v>0</v>
      </c>
      <c r="R870" s="36"/>
      <c r="S870" s="37"/>
      <c r="T870" s="38"/>
      <c r="U870" s="39"/>
      <c r="V870" s="39"/>
      <c r="W870" s="40">
        <v>0</v>
      </c>
      <c r="X870" s="40">
        <v>0</v>
      </c>
      <c r="Y870" s="40">
        <v>0</v>
      </c>
      <c r="Z870" s="40">
        <v>0</v>
      </c>
      <c r="AA870" s="40">
        <v>0</v>
      </c>
      <c r="AB870" s="40">
        <v>0</v>
      </c>
      <c r="AC870" s="40">
        <v>0</v>
      </c>
      <c r="AD870" s="40">
        <v>0</v>
      </c>
      <c r="AE870" s="40">
        <v>0</v>
      </c>
      <c r="AF870" s="40">
        <v>0</v>
      </c>
      <c r="AG870" s="40">
        <v>0</v>
      </c>
      <c r="AH870" s="40">
        <v>0</v>
      </c>
      <c r="AI870" s="41">
        <f t="shared" si="81"/>
        <v>0</v>
      </c>
      <c r="AJ870" s="42">
        <v>0</v>
      </c>
      <c r="AK870" s="42">
        <v>0</v>
      </c>
      <c r="AL870" s="42">
        <v>0</v>
      </c>
      <c r="AM870" s="42">
        <v>0</v>
      </c>
      <c r="AN870" s="42">
        <v>0</v>
      </c>
      <c r="AO870" s="42">
        <v>0</v>
      </c>
      <c r="AP870" s="42">
        <v>0</v>
      </c>
      <c r="AQ870" s="42">
        <v>0</v>
      </c>
      <c r="AR870" s="42">
        <v>0</v>
      </c>
      <c r="AS870" s="42">
        <v>0</v>
      </c>
      <c r="AT870" s="42">
        <v>0</v>
      </c>
      <c r="AU870" s="42">
        <v>0</v>
      </c>
      <c r="AV870" s="42">
        <f t="shared" si="82"/>
        <v>0</v>
      </c>
      <c r="AW870" s="42">
        <v>0</v>
      </c>
      <c r="AX870" s="42">
        <v>0</v>
      </c>
      <c r="AY870" s="42">
        <v>0</v>
      </c>
      <c r="AZ870" s="42">
        <v>0</v>
      </c>
      <c r="BA870" s="42">
        <v>0</v>
      </c>
      <c r="BB870" s="42">
        <v>0</v>
      </c>
      <c r="BC870" s="42">
        <v>0</v>
      </c>
      <c r="BD870" s="42">
        <v>0</v>
      </c>
      <c r="BE870" s="42">
        <v>0</v>
      </c>
      <c r="BF870" s="42">
        <v>0</v>
      </c>
      <c r="BG870" s="42">
        <v>0</v>
      </c>
      <c r="BH870" s="42">
        <v>0</v>
      </c>
      <c r="BI870" s="42">
        <v>0</v>
      </c>
      <c r="BJ870" s="42">
        <v>0</v>
      </c>
      <c r="BK870" s="42">
        <v>0</v>
      </c>
      <c r="BL870" s="42">
        <v>0</v>
      </c>
      <c r="BM870" s="42">
        <v>0</v>
      </c>
      <c r="BN870" s="42">
        <v>0</v>
      </c>
      <c r="BO870" s="42">
        <v>0</v>
      </c>
      <c r="BP870" s="42">
        <v>0</v>
      </c>
      <c r="BQ870" s="42">
        <v>0</v>
      </c>
      <c r="BR870" s="42">
        <v>0</v>
      </c>
      <c r="BS870" s="42">
        <v>0</v>
      </c>
      <c r="BT870" s="42">
        <v>0</v>
      </c>
      <c r="BU870" s="42">
        <v>0</v>
      </c>
      <c r="BV870" s="42">
        <v>0</v>
      </c>
      <c r="BW870" s="42">
        <v>0</v>
      </c>
      <c r="BX870" s="42">
        <v>0</v>
      </c>
      <c r="BY870" s="42">
        <v>0</v>
      </c>
      <c r="BZ870" s="42">
        <v>0</v>
      </c>
      <c r="CA870" s="42">
        <v>0</v>
      </c>
      <c r="CB870" s="42">
        <v>0</v>
      </c>
      <c r="CC870" s="42">
        <v>0</v>
      </c>
      <c r="CD870" s="42">
        <v>0</v>
      </c>
      <c r="CE870" s="42">
        <v>0</v>
      </c>
      <c r="CF870" s="42">
        <v>0</v>
      </c>
      <c r="CG870" s="42">
        <v>0</v>
      </c>
      <c r="CH870" s="42">
        <v>0</v>
      </c>
      <c r="CI870" s="42">
        <v>0</v>
      </c>
      <c r="CJ870" s="42">
        <v>0</v>
      </c>
      <c r="CK870" s="43">
        <f t="shared" si="79"/>
        <v>0</v>
      </c>
      <c r="CL870" s="66"/>
      <c r="CM870" s="66">
        <v>0</v>
      </c>
      <c r="CN870" s="66">
        <v>0</v>
      </c>
      <c r="CO870" s="66">
        <v>0</v>
      </c>
      <c r="CP870" s="66">
        <v>0</v>
      </c>
      <c r="CQ870" s="66">
        <v>0</v>
      </c>
      <c r="CR870" s="66">
        <v>0</v>
      </c>
      <c r="CS870" s="66">
        <v>0</v>
      </c>
      <c r="CT870" s="66">
        <v>0</v>
      </c>
      <c r="CU870" s="66">
        <v>0</v>
      </c>
      <c r="CV870" s="66">
        <v>0</v>
      </c>
      <c r="CW870" s="66">
        <v>0</v>
      </c>
      <c r="CX870" s="66">
        <v>0</v>
      </c>
      <c r="CY870" s="66">
        <v>0</v>
      </c>
      <c r="CZ870" s="66">
        <v>0</v>
      </c>
      <c r="DA870" s="66"/>
      <c r="DB870" s="66"/>
      <c r="DC870" s="66"/>
      <c r="DD870" s="66"/>
      <c r="DE870" s="66"/>
      <c r="DF870" s="66"/>
      <c r="DG870" s="66"/>
      <c r="DH870" s="66"/>
      <c r="DI870" s="66"/>
      <c r="DJ870" s="66"/>
      <c r="DK870" s="66">
        <f>SUM(Table1[[#This Row],[01-03 Apr]:[Mar-26]])</f>
        <v>0</v>
      </c>
    </row>
    <row r="871" spans="1:115" hidden="1" x14ac:dyDescent="0.2">
      <c r="A871" s="28" t="s">
        <v>371</v>
      </c>
      <c r="B871" s="29" t="s">
        <v>1907</v>
      </c>
      <c r="C871" s="29" t="s">
        <v>3358</v>
      </c>
      <c r="D871" s="30" t="s">
        <v>1908</v>
      </c>
      <c r="E871" s="30" t="s">
        <v>584</v>
      </c>
      <c r="F871" s="30"/>
      <c r="G871" s="31"/>
      <c r="H871" s="30">
        <v>378737</v>
      </c>
      <c r="I871" s="30" t="str">
        <f>IF(Table1[[#This Row],[Centre Status]]="Returned","NA",IF(Table1[[#This Row],[SD]]&gt;19000,"Full Payment",IF(Table1[[#This Row],[SD]]&lt;1,"No Payment","Partial Payment")))</f>
        <v>NA</v>
      </c>
      <c r="J871" s="30" t="s">
        <v>1903</v>
      </c>
      <c r="K871" s="32">
        <v>0</v>
      </c>
      <c r="L871" s="33">
        <f>Q871+R871+U871+Table1[[#This Row],[Farmer Payment]]</f>
        <v>31113</v>
      </c>
      <c r="M871" s="30">
        <v>31113</v>
      </c>
      <c r="N871" s="34">
        <v>45380</v>
      </c>
      <c r="O871" s="34"/>
      <c r="P871" s="35">
        <f t="shared" si="80"/>
        <v>0</v>
      </c>
      <c r="Q871" s="33">
        <f>AI871+AV871+CK871+Table1[[#This Row],[FY 25-26]]</f>
        <v>11113</v>
      </c>
      <c r="R871" s="36">
        <v>20000</v>
      </c>
      <c r="S871" s="37" t="s">
        <v>2144</v>
      </c>
      <c r="T871" s="38">
        <v>44889</v>
      </c>
      <c r="U871" s="39"/>
      <c r="V871" s="39"/>
      <c r="W871" s="40">
        <v>0</v>
      </c>
      <c r="X871" s="40">
        <v>0</v>
      </c>
      <c r="Y871" s="40">
        <v>0</v>
      </c>
      <c r="Z871" s="40">
        <v>0</v>
      </c>
      <c r="AA871" s="40">
        <v>0</v>
      </c>
      <c r="AB871" s="40">
        <v>0</v>
      </c>
      <c r="AC871" s="40">
        <v>0</v>
      </c>
      <c r="AD871" s="40">
        <v>0</v>
      </c>
      <c r="AE871" s="40">
        <v>0</v>
      </c>
      <c r="AF871" s="40">
        <v>0</v>
      </c>
      <c r="AG871" s="40">
        <v>0</v>
      </c>
      <c r="AH871" s="40">
        <v>1861</v>
      </c>
      <c r="AI871" s="41">
        <f t="shared" si="81"/>
        <v>1861</v>
      </c>
      <c r="AJ871" s="42">
        <v>1808</v>
      </c>
      <c r="AK871" s="42">
        <v>1861</v>
      </c>
      <c r="AL871" s="42">
        <v>1861</v>
      </c>
      <c r="AM871" s="42">
        <v>1861</v>
      </c>
      <c r="AN871" s="42">
        <v>1861</v>
      </c>
      <c r="AO871" s="42">
        <v>0</v>
      </c>
      <c r="AP871" s="42">
        <v>0</v>
      </c>
      <c r="AQ871" s="42">
        <v>0</v>
      </c>
      <c r="AR871" s="42">
        <v>0</v>
      </c>
      <c r="AS871" s="42">
        <v>0</v>
      </c>
      <c r="AT871" s="42">
        <v>0</v>
      </c>
      <c r="AU871" s="42">
        <v>0</v>
      </c>
      <c r="AV871" s="42">
        <f t="shared" si="82"/>
        <v>9252</v>
      </c>
      <c r="AW871" s="42">
        <v>0</v>
      </c>
      <c r="AX871" s="42">
        <v>0</v>
      </c>
      <c r="AY871" s="42">
        <v>0</v>
      </c>
      <c r="AZ871" s="42">
        <v>0</v>
      </c>
      <c r="BA871" s="42">
        <v>0</v>
      </c>
      <c r="BB871" s="42">
        <v>0</v>
      </c>
      <c r="BC871" s="42">
        <v>0</v>
      </c>
      <c r="BD871" s="42">
        <v>0</v>
      </c>
      <c r="BE871" s="42">
        <v>0</v>
      </c>
      <c r="BF871" s="42">
        <v>0</v>
      </c>
      <c r="BG871" s="42">
        <v>0</v>
      </c>
      <c r="BH871" s="42">
        <v>0</v>
      </c>
      <c r="BI871" s="42">
        <v>0</v>
      </c>
      <c r="BJ871" s="42">
        <v>0</v>
      </c>
      <c r="BK871" s="42">
        <v>0</v>
      </c>
      <c r="BL871" s="42">
        <v>0</v>
      </c>
      <c r="BM871" s="42">
        <v>0</v>
      </c>
      <c r="BN871" s="42">
        <v>0</v>
      </c>
      <c r="BO871" s="42">
        <v>0</v>
      </c>
      <c r="BP871" s="42">
        <v>0</v>
      </c>
      <c r="BQ871" s="42">
        <v>0</v>
      </c>
      <c r="BR871" s="42">
        <v>0</v>
      </c>
      <c r="BS871" s="42">
        <v>0</v>
      </c>
      <c r="BT871" s="42">
        <v>0</v>
      </c>
      <c r="BU871" s="42">
        <v>0</v>
      </c>
      <c r="BV871" s="42">
        <v>0</v>
      </c>
      <c r="BW871" s="42">
        <v>0</v>
      </c>
      <c r="BX871" s="42">
        <v>0</v>
      </c>
      <c r="BY871" s="42">
        <v>0</v>
      </c>
      <c r="BZ871" s="42">
        <v>0</v>
      </c>
      <c r="CA871" s="42">
        <v>0</v>
      </c>
      <c r="CB871" s="42">
        <v>0</v>
      </c>
      <c r="CC871" s="42">
        <v>0</v>
      </c>
      <c r="CD871" s="42">
        <v>0</v>
      </c>
      <c r="CE871" s="42">
        <v>0</v>
      </c>
      <c r="CF871" s="42">
        <v>0</v>
      </c>
      <c r="CG871" s="42">
        <v>0</v>
      </c>
      <c r="CH871" s="42">
        <v>0</v>
      </c>
      <c r="CI871" s="42">
        <v>0</v>
      </c>
      <c r="CJ871" s="42">
        <v>0</v>
      </c>
      <c r="CK871" s="43">
        <f t="shared" si="79"/>
        <v>0</v>
      </c>
      <c r="CL871" s="66"/>
      <c r="CM871" s="66">
        <v>0</v>
      </c>
      <c r="CN871" s="66">
        <v>0</v>
      </c>
      <c r="CO871" s="66">
        <v>0</v>
      </c>
      <c r="CP871" s="66">
        <v>0</v>
      </c>
      <c r="CQ871" s="66">
        <v>0</v>
      </c>
      <c r="CR871" s="66">
        <v>0</v>
      </c>
      <c r="CS871" s="66">
        <v>0</v>
      </c>
      <c r="CT871" s="66">
        <v>0</v>
      </c>
      <c r="CU871" s="66">
        <v>0</v>
      </c>
      <c r="CV871" s="66">
        <v>0</v>
      </c>
      <c r="CW871" s="66">
        <v>0</v>
      </c>
      <c r="CX871" s="66">
        <v>0</v>
      </c>
      <c r="CY871" s="66">
        <v>0</v>
      </c>
      <c r="CZ871" s="66">
        <v>0</v>
      </c>
      <c r="DA871" s="66"/>
      <c r="DB871" s="66"/>
      <c r="DC871" s="66"/>
      <c r="DD871" s="66"/>
      <c r="DE871" s="66"/>
      <c r="DF871" s="66"/>
      <c r="DG871" s="66"/>
      <c r="DH871" s="66"/>
      <c r="DI871" s="66"/>
      <c r="DJ871" s="66"/>
      <c r="DK871" s="66">
        <f>SUM(Table1[[#This Row],[01-03 Apr]:[Mar-26]])</f>
        <v>0</v>
      </c>
    </row>
    <row r="872" spans="1:115" hidden="1" x14ac:dyDescent="0.2">
      <c r="A872" s="28" t="s">
        <v>371</v>
      </c>
      <c r="B872" s="29" t="s">
        <v>1909</v>
      </c>
      <c r="C872" s="29" t="s">
        <v>3359</v>
      </c>
      <c r="D872" s="30" t="s">
        <v>1608</v>
      </c>
      <c r="E872" s="30" t="s">
        <v>584</v>
      </c>
      <c r="F872" s="30"/>
      <c r="G872" s="31"/>
      <c r="H872" s="30">
        <v>360247</v>
      </c>
      <c r="I872" s="30" t="str">
        <f>IF(Table1[[#This Row],[Centre Status]]="Returned","NA",IF(Table1[[#This Row],[SD]]&gt;19000,"Full Payment",IF(Table1[[#This Row],[SD]]&lt;1,"No Payment","Partial Payment")))</f>
        <v>NA</v>
      </c>
      <c r="J872" s="30" t="s">
        <v>1903</v>
      </c>
      <c r="K872" s="32">
        <v>0</v>
      </c>
      <c r="L872" s="33">
        <f>Q872+R872+U872+Table1[[#This Row],[Farmer Payment]]</f>
        <v>31581</v>
      </c>
      <c r="M872" s="30">
        <v>31581</v>
      </c>
      <c r="N872" s="34">
        <v>45384</v>
      </c>
      <c r="O872" s="34"/>
      <c r="P872" s="35">
        <f t="shared" si="80"/>
        <v>0</v>
      </c>
      <c r="Q872" s="33">
        <f>AI872+AV872+CK872+Table1[[#This Row],[FY 25-26]]</f>
        <v>11581</v>
      </c>
      <c r="R872" s="36">
        <v>20000</v>
      </c>
      <c r="S872" s="37" t="s">
        <v>2543</v>
      </c>
      <c r="T872" s="38">
        <v>44963</v>
      </c>
      <c r="U872" s="39"/>
      <c r="V872" s="39"/>
      <c r="W872" s="40">
        <v>0</v>
      </c>
      <c r="X872" s="40">
        <v>0</v>
      </c>
      <c r="Y872" s="40">
        <v>0</v>
      </c>
      <c r="Z872" s="40">
        <v>0</v>
      </c>
      <c r="AA872" s="40">
        <v>0</v>
      </c>
      <c r="AB872" s="40">
        <v>0</v>
      </c>
      <c r="AC872" s="40">
        <v>0</v>
      </c>
      <c r="AD872" s="40">
        <v>0</v>
      </c>
      <c r="AE872" s="40">
        <v>0</v>
      </c>
      <c r="AF872" s="40">
        <v>0</v>
      </c>
      <c r="AG872" s="40">
        <v>0</v>
      </c>
      <c r="AH872" s="40">
        <v>731</v>
      </c>
      <c r="AI872" s="41">
        <f t="shared" si="81"/>
        <v>731</v>
      </c>
      <c r="AJ872" s="42">
        <v>778</v>
      </c>
      <c r="AK872" s="42">
        <v>1343</v>
      </c>
      <c r="AL872" s="42">
        <v>0</v>
      </c>
      <c r="AM872" s="42">
        <v>1861</v>
      </c>
      <c r="AN872" s="42">
        <v>1861</v>
      </c>
      <c r="AO872" s="42">
        <v>1861</v>
      </c>
      <c r="AP872" s="42">
        <v>1861</v>
      </c>
      <c r="AQ872" s="42">
        <v>1285</v>
      </c>
      <c r="AR872" s="42">
        <v>0</v>
      </c>
      <c r="AS872" s="42">
        <v>0</v>
      </c>
      <c r="AT872" s="42">
        <v>0</v>
      </c>
      <c r="AU872" s="42">
        <v>0</v>
      </c>
      <c r="AV872" s="42">
        <f t="shared" si="82"/>
        <v>10850</v>
      </c>
      <c r="AW872" s="42">
        <v>0</v>
      </c>
      <c r="AX872" s="42">
        <v>0</v>
      </c>
      <c r="AY872" s="42">
        <v>0</v>
      </c>
      <c r="AZ872" s="42">
        <v>0</v>
      </c>
      <c r="BA872" s="42">
        <v>0</v>
      </c>
      <c r="BB872" s="42">
        <v>0</v>
      </c>
      <c r="BC872" s="42">
        <v>0</v>
      </c>
      <c r="BD872" s="42">
        <v>0</v>
      </c>
      <c r="BE872" s="42">
        <v>0</v>
      </c>
      <c r="BF872" s="42">
        <v>0</v>
      </c>
      <c r="BG872" s="42">
        <v>0</v>
      </c>
      <c r="BH872" s="42">
        <v>0</v>
      </c>
      <c r="BI872" s="42">
        <v>0</v>
      </c>
      <c r="BJ872" s="42">
        <v>0</v>
      </c>
      <c r="BK872" s="42">
        <v>0</v>
      </c>
      <c r="BL872" s="42">
        <v>0</v>
      </c>
      <c r="BM872" s="42">
        <v>0</v>
      </c>
      <c r="BN872" s="42">
        <v>0</v>
      </c>
      <c r="BO872" s="42">
        <v>0</v>
      </c>
      <c r="BP872" s="42">
        <v>0</v>
      </c>
      <c r="BQ872" s="42">
        <v>0</v>
      </c>
      <c r="BR872" s="42">
        <v>0</v>
      </c>
      <c r="BS872" s="42">
        <v>0</v>
      </c>
      <c r="BT872" s="42">
        <v>0</v>
      </c>
      <c r="BU872" s="42">
        <v>0</v>
      </c>
      <c r="BV872" s="42">
        <v>0</v>
      </c>
      <c r="BW872" s="42">
        <v>0</v>
      </c>
      <c r="BX872" s="42">
        <v>0</v>
      </c>
      <c r="BY872" s="42">
        <v>0</v>
      </c>
      <c r="BZ872" s="42">
        <v>0</v>
      </c>
      <c r="CA872" s="42">
        <v>0</v>
      </c>
      <c r="CB872" s="42">
        <v>0</v>
      </c>
      <c r="CC872" s="42">
        <v>0</v>
      </c>
      <c r="CD872" s="42">
        <v>0</v>
      </c>
      <c r="CE872" s="42">
        <v>0</v>
      </c>
      <c r="CF872" s="42">
        <v>0</v>
      </c>
      <c r="CG872" s="42">
        <v>0</v>
      </c>
      <c r="CH872" s="42">
        <v>0</v>
      </c>
      <c r="CI872" s="42">
        <v>0</v>
      </c>
      <c r="CJ872" s="42">
        <v>0</v>
      </c>
      <c r="CK872" s="43">
        <f t="shared" si="79"/>
        <v>0</v>
      </c>
      <c r="CL872" s="66"/>
      <c r="CM872" s="66">
        <v>0</v>
      </c>
      <c r="CN872" s="66">
        <v>0</v>
      </c>
      <c r="CO872" s="66">
        <v>0</v>
      </c>
      <c r="CP872" s="66">
        <v>0</v>
      </c>
      <c r="CQ872" s="66">
        <v>0</v>
      </c>
      <c r="CR872" s="66">
        <v>0</v>
      </c>
      <c r="CS872" s="66">
        <v>0</v>
      </c>
      <c r="CT872" s="66">
        <v>0</v>
      </c>
      <c r="CU872" s="66">
        <v>0</v>
      </c>
      <c r="CV872" s="66">
        <v>0</v>
      </c>
      <c r="CW872" s="66">
        <v>0</v>
      </c>
      <c r="CX872" s="66">
        <v>0</v>
      </c>
      <c r="CY872" s="66">
        <v>0</v>
      </c>
      <c r="CZ872" s="66">
        <v>0</v>
      </c>
      <c r="DA872" s="66"/>
      <c r="DB872" s="66"/>
      <c r="DC872" s="66"/>
      <c r="DD872" s="66"/>
      <c r="DE872" s="66"/>
      <c r="DF872" s="66"/>
      <c r="DG872" s="66"/>
      <c r="DH872" s="66"/>
      <c r="DI872" s="66"/>
      <c r="DJ872" s="66"/>
      <c r="DK872" s="66">
        <f>SUM(Table1[[#This Row],[01-03 Apr]:[Mar-26]])</f>
        <v>0</v>
      </c>
    </row>
    <row r="873" spans="1:115" hidden="1" x14ac:dyDescent="0.2">
      <c r="A873" s="28" t="s">
        <v>371</v>
      </c>
      <c r="B873" s="29" t="s">
        <v>1910</v>
      </c>
      <c r="C873" s="29" t="s">
        <v>3360</v>
      </c>
      <c r="D873" s="30" t="s">
        <v>1911</v>
      </c>
      <c r="E873" s="30" t="s">
        <v>584</v>
      </c>
      <c r="F873" s="30"/>
      <c r="G873" s="31"/>
      <c r="H873" s="30">
        <v>388113</v>
      </c>
      <c r="I873" s="30" t="str">
        <f>IF(Table1[[#This Row],[Centre Status]]="Returned","NA",IF(Table1[[#This Row],[SD]]&gt;19000,"Full Payment",IF(Table1[[#This Row],[SD]]&lt;1,"No Payment","Partial Payment")))</f>
        <v>NA</v>
      </c>
      <c r="J873" s="30" t="s">
        <v>1903</v>
      </c>
      <c r="K873" s="32">
        <v>0</v>
      </c>
      <c r="L873" s="33">
        <f>Q873+R873+U873+Table1[[#This Row],[Farmer Payment]]</f>
        <v>22504</v>
      </c>
      <c r="M873" s="30">
        <v>0</v>
      </c>
      <c r="N873" s="34">
        <v>45380</v>
      </c>
      <c r="O873" s="34"/>
      <c r="P873" s="35">
        <f t="shared" si="80"/>
        <v>-22504</v>
      </c>
      <c r="Q873" s="33">
        <f>AI873+AV873+CK873+Table1[[#This Row],[FY 25-26]]</f>
        <v>2504</v>
      </c>
      <c r="R873" s="36">
        <v>20000</v>
      </c>
      <c r="S873" s="37" t="s">
        <v>2145</v>
      </c>
      <c r="T873" s="38">
        <v>45100</v>
      </c>
      <c r="U873" s="39"/>
      <c r="V873" s="39"/>
      <c r="W873" s="40">
        <v>0</v>
      </c>
      <c r="X873" s="40">
        <v>0</v>
      </c>
      <c r="Y873" s="40">
        <v>0</v>
      </c>
      <c r="Z873" s="40">
        <v>0</v>
      </c>
      <c r="AA873" s="40">
        <v>0</v>
      </c>
      <c r="AB873" s="40">
        <v>0</v>
      </c>
      <c r="AC873" s="40">
        <v>0</v>
      </c>
      <c r="AD873" s="40">
        <v>0</v>
      </c>
      <c r="AE873" s="40">
        <v>0</v>
      </c>
      <c r="AF873" s="40">
        <v>0</v>
      </c>
      <c r="AG873" s="40">
        <v>0</v>
      </c>
      <c r="AH873" s="40">
        <v>0</v>
      </c>
      <c r="AI873" s="41">
        <f t="shared" si="81"/>
        <v>0</v>
      </c>
      <c r="AJ873" s="42">
        <v>0</v>
      </c>
      <c r="AK873" s="42">
        <v>0</v>
      </c>
      <c r="AL873" s="42">
        <v>0</v>
      </c>
      <c r="AM873" s="42">
        <v>1366</v>
      </c>
      <c r="AN873" s="42">
        <v>884</v>
      </c>
      <c r="AO873" s="42">
        <v>254</v>
      </c>
      <c r="AP873" s="42">
        <v>0</v>
      </c>
      <c r="AQ873" s="42">
        <v>0</v>
      </c>
      <c r="AR873" s="42">
        <v>0</v>
      </c>
      <c r="AS873" s="42">
        <v>0</v>
      </c>
      <c r="AT873" s="42">
        <v>0</v>
      </c>
      <c r="AU873" s="42">
        <v>0</v>
      </c>
      <c r="AV873" s="42">
        <f t="shared" si="82"/>
        <v>2504</v>
      </c>
      <c r="AW873" s="42">
        <v>0</v>
      </c>
      <c r="AX873" s="42">
        <v>0</v>
      </c>
      <c r="AY873" s="42">
        <v>0</v>
      </c>
      <c r="AZ873" s="42">
        <v>0</v>
      </c>
      <c r="BA873" s="42">
        <v>0</v>
      </c>
      <c r="BB873" s="42">
        <v>0</v>
      </c>
      <c r="BC873" s="42">
        <v>0</v>
      </c>
      <c r="BD873" s="42">
        <v>0</v>
      </c>
      <c r="BE873" s="42">
        <v>0</v>
      </c>
      <c r="BF873" s="42">
        <v>0</v>
      </c>
      <c r="BG873" s="42">
        <v>0</v>
      </c>
      <c r="BH873" s="42">
        <v>0</v>
      </c>
      <c r="BI873" s="42">
        <v>0</v>
      </c>
      <c r="BJ873" s="42">
        <v>0</v>
      </c>
      <c r="BK873" s="42">
        <v>0</v>
      </c>
      <c r="BL873" s="42">
        <v>0</v>
      </c>
      <c r="BM873" s="42">
        <v>0</v>
      </c>
      <c r="BN873" s="42">
        <v>0</v>
      </c>
      <c r="BO873" s="42">
        <v>0</v>
      </c>
      <c r="BP873" s="42">
        <v>0</v>
      </c>
      <c r="BQ873" s="42">
        <v>0</v>
      </c>
      <c r="BR873" s="42">
        <v>0</v>
      </c>
      <c r="BS873" s="42">
        <v>0</v>
      </c>
      <c r="BT873" s="42">
        <v>0</v>
      </c>
      <c r="BU873" s="42">
        <v>0</v>
      </c>
      <c r="BV873" s="42">
        <v>0</v>
      </c>
      <c r="BW873" s="42">
        <v>0</v>
      </c>
      <c r="BX873" s="42">
        <v>0</v>
      </c>
      <c r="BY873" s="42">
        <v>0</v>
      </c>
      <c r="BZ873" s="42">
        <v>0</v>
      </c>
      <c r="CA873" s="42">
        <v>0</v>
      </c>
      <c r="CB873" s="42">
        <v>0</v>
      </c>
      <c r="CC873" s="42">
        <v>0</v>
      </c>
      <c r="CD873" s="42">
        <v>0</v>
      </c>
      <c r="CE873" s="42">
        <v>0</v>
      </c>
      <c r="CF873" s="42">
        <v>0</v>
      </c>
      <c r="CG873" s="42">
        <v>0</v>
      </c>
      <c r="CH873" s="42">
        <v>0</v>
      </c>
      <c r="CI873" s="42">
        <v>0</v>
      </c>
      <c r="CJ873" s="42">
        <v>0</v>
      </c>
      <c r="CK873" s="43">
        <f t="shared" si="79"/>
        <v>0</v>
      </c>
      <c r="CL873" s="66"/>
      <c r="CM873" s="66">
        <v>0</v>
      </c>
      <c r="CN873" s="66">
        <v>0</v>
      </c>
      <c r="CO873" s="66">
        <v>0</v>
      </c>
      <c r="CP873" s="66">
        <v>0</v>
      </c>
      <c r="CQ873" s="66">
        <v>0</v>
      </c>
      <c r="CR873" s="66">
        <v>0</v>
      </c>
      <c r="CS873" s="66">
        <v>0</v>
      </c>
      <c r="CT873" s="66">
        <v>0</v>
      </c>
      <c r="CU873" s="66">
        <v>0</v>
      </c>
      <c r="CV873" s="66">
        <v>0</v>
      </c>
      <c r="CW873" s="66">
        <v>0</v>
      </c>
      <c r="CX873" s="66">
        <v>0</v>
      </c>
      <c r="CY873" s="66">
        <v>0</v>
      </c>
      <c r="CZ873" s="66">
        <v>0</v>
      </c>
      <c r="DA873" s="66"/>
      <c r="DB873" s="66"/>
      <c r="DC873" s="66"/>
      <c r="DD873" s="66"/>
      <c r="DE873" s="66"/>
      <c r="DF873" s="66"/>
      <c r="DG873" s="66"/>
      <c r="DH873" s="66"/>
      <c r="DI873" s="66"/>
      <c r="DJ873" s="66"/>
      <c r="DK873" s="66">
        <f>SUM(Table1[[#This Row],[01-03 Apr]:[Mar-26]])</f>
        <v>0</v>
      </c>
    </row>
    <row r="874" spans="1:115" hidden="1" x14ac:dyDescent="0.2">
      <c r="A874" s="28" t="s">
        <v>371</v>
      </c>
      <c r="B874" s="29" t="s">
        <v>1912</v>
      </c>
      <c r="C874" s="29" t="s">
        <v>3361</v>
      </c>
      <c r="D874" s="30" t="s">
        <v>1913</v>
      </c>
      <c r="E874" s="30" t="s">
        <v>1321</v>
      </c>
      <c r="F874" s="30"/>
      <c r="G874" s="31"/>
      <c r="H874" s="30">
        <v>388022</v>
      </c>
      <c r="I874" s="30" t="str">
        <f>IF(Table1[[#This Row],[Centre Status]]="Returned","NA",IF(Table1[[#This Row],[SD]]&gt;19000,"Full Payment",IF(Table1[[#This Row],[SD]]&lt;1,"No Payment","Partial Payment")))</f>
        <v>NA</v>
      </c>
      <c r="J874" s="30" t="s">
        <v>1903</v>
      </c>
      <c r="K874" s="32">
        <v>0</v>
      </c>
      <c r="L874" s="33">
        <f>Q874+R874+U874+Table1[[#This Row],[Farmer Payment]]</f>
        <v>29537.294999999998</v>
      </c>
      <c r="M874" s="30">
        <v>22937</v>
      </c>
      <c r="N874" s="34">
        <v>45380</v>
      </c>
      <c r="O874" s="34"/>
      <c r="P874" s="35">
        <f t="shared" si="80"/>
        <v>-6600.2949999999983</v>
      </c>
      <c r="Q874" s="33">
        <f>AI874+AV874+CK874+Table1[[#This Row],[FY 25-26]]</f>
        <v>19537.294999999998</v>
      </c>
      <c r="R874" s="36">
        <v>10000</v>
      </c>
      <c r="S874" s="37" t="s">
        <v>2146</v>
      </c>
      <c r="T874" s="38">
        <v>45115</v>
      </c>
      <c r="U874" s="39"/>
      <c r="V874" s="39"/>
      <c r="W874" s="40">
        <v>0</v>
      </c>
      <c r="X874" s="40">
        <v>0</v>
      </c>
      <c r="Y874" s="40">
        <v>0</v>
      </c>
      <c r="Z874" s="40">
        <v>0</v>
      </c>
      <c r="AA874" s="40">
        <v>0</v>
      </c>
      <c r="AB874" s="40">
        <v>0</v>
      </c>
      <c r="AC874" s="40">
        <v>0</v>
      </c>
      <c r="AD874" s="40">
        <v>0</v>
      </c>
      <c r="AE874" s="40">
        <v>0</v>
      </c>
      <c r="AF874" s="40">
        <v>0</v>
      </c>
      <c r="AG874" s="40">
        <v>0</v>
      </c>
      <c r="AH874" s="40">
        <v>0</v>
      </c>
      <c r="AI874" s="41">
        <f t="shared" si="81"/>
        <v>0</v>
      </c>
      <c r="AJ874" s="42">
        <v>0</v>
      </c>
      <c r="AK874" s="42">
        <v>0</v>
      </c>
      <c r="AL874" s="42">
        <v>0</v>
      </c>
      <c r="AM874" s="42">
        <v>0</v>
      </c>
      <c r="AN874" s="42">
        <v>2601.0455999999999</v>
      </c>
      <c r="AO874" s="42">
        <v>2207.9828000000002</v>
      </c>
      <c r="AP874" s="42">
        <v>2178.8201999999997</v>
      </c>
      <c r="AQ874" s="42">
        <v>1861</v>
      </c>
      <c r="AR874" s="42">
        <v>1861</v>
      </c>
      <c r="AS874" s="42">
        <v>2227.4539999999997</v>
      </c>
      <c r="AT874" s="42">
        <v>2189.4967999999999</v>
      </c>
      <c r="AU874" s="42">
        <v>2549.4955999999997</v>
      </c>
      <c r="AV874" s="42">
        <f t="shared" si="82"/>
        <v>17676.294999999998</v>
      </c>
      <c r="AW874" s="42">
        <v>1861</v>
      </c>
      <c r="AX874" s="42">
        <v>0</v>
      </c>
      <c r="AY874" s="42">
        <v>0</v>
      </c>
      <c r="AZ874" s="42">
        <v>0</v>
      </c>
      <c r="BA874" s="42">
        <v>0</v>
      </c>
      <c r="BB874" s="42">
        <v>0</v>
      </c>
      <c r="BC874" s="42">
        <v>0</v>
      </c>
      <c r="BD874" s="42">
        <v>0</v>
      </c>
      <c r="BE874" s="42">
        <v>0</v>
      </c>
      <c r="BF874" s="42">
        <v>0</v>
      </c>
      <c r="BG874" s="42">
        <v>0</v>
      </c>
      <c r="BH874" s="42">
        <v>0</v>
      </c>
      <c r="BI874" s="42">
        <v>0</v>
      </c>
      <c r="BJ874" s="42">
        <v>0</v>
      </c>
      <c r="BK874" s="42">
        <v>0</v>
      </c>
      <c r="BL874" s="42">
        <v>0</v>
      </c>
      <c r="BM874" s="42">
        <v>0</v>
      </c>
      <c r="BN874" s="42">
        <v>0</v>
      </c>
      <c r="BO874" s="42">
        <v>0</v>
      </c>
      <c r="BP874" s="42">
        <v>0</v>
      </c>
      <c r="BQ874" s="42">
        <v>0</v>
      </c>
      <c r="BR874" s="42">
        <v>0</v>
      </c>
      <c r="BS874" s="42">
        <v>0</v>
      </c>
      <c r="BT874" s="42">
        <v>0</v>
      </c>
      <c r="BU874" s="42">
        <v>0</v>
      </c>
      <c r="BV874" s="42">
        <v>0</v>
      </c>
      <c r="BW874" s="42">
        <v>0</v>
      </c>
      <c r="BX874" s="42">
        <v>0</v>
      </c>
      <c r="BY874" s="42">
        <v>0</v>
      </c>
      <c r="BZ874" s="42">
        <v>0</v>
      </c>
      <c r="CA874" s="42">
        <v>0</v>
      </c>
      <c r="CB874" s="42">
        <v>0</v>
      </c>
      <c r="CC874" s="42">
        <v>0</v>
      </c>
      <c r="CD874" s="42">
        <v>0</v>
      </c>
      <c r="CE874" s="42">
        <v>0</v>
      </c>
      <c r="CF874" s="42">
        <v>0</v>
      </c>
      <c r="CG874" s="42">
        <v>0</v>
      </c>
      <c r="CH874" s="42">
        <v>0</v>
      </c>
      <c r="CI874" s="42">
        <v>0</v>
      </c>
      <c r="CJ874" s="42">
        <v>0</v>
      </c>
      <c r="CK874" s="43">
        <f t="shared" ref="CK874:CK937" si="83">SUM(AW874:CJ874)</f>
        <v>1861</v>
      </c>
      <c r="CL874" s="66"/>
      <c r="CM874" s="66">
        <v>0</v>
      </c>
      <c r="CN874" s="66">
        <v>0</v>
      </c>
      <c r="CO874" s="66">
        <v>0</v>
      </c>
      <c r="CP874" s="66">
        <v>0</v>
      </c>
      <c r="CQ874" s="66">
        <v>0</v>
      </c>
      <c r="CR874" s="66">
        <v>0</v>
      </c>
      <c r="CS874" s="66">
        <v>0</v>
      </c>
      <c r="CT874" s="66">
        <v>0</v>
      </c>
      <c r="CU874" s="66">
        <v>0</v>
      </c>
      <c r="CV874" s="66">
        <v>0</v>
      </c>
      <c r="CW874" s="66">
        <v>0</v>
      </c>
      <c r="CX874" s="66">
        <v>0</v>
      </c>
      <c r="CY874" s="66">
        <v>0</v>
      </c>
      <c r="CZ874" s="66">
        <v>0</v>
      </c>
      <c r="DA874" s="66"/>
      <c r="DB874" s="66"/>
      <c r="DC874" s="66"/>
      <c r="DD874" s="66"/>
      <c r="DE874" s="66"/>
      <c r="DF874" s="66"/>
      <c r="DG874" s="66"/>
      <c r="DH874" s="66"/>
      <c r="DI874" s="66"/>
      <c r="DJ874" s="66"/>
      <c r="DK874" s="66">
        <f>SUM(Table1[[#This Row],[01-03 Apr]:[Mar-26]])</f>
        <v>0</v>
      </c>
    </row>
    <row r="875" spans="1:115" hidden="1" x14ac:dyDescent="0.2">
      <c r="A875" s="28" t="s">
        <v>371</v>
      </c>
      <c r="B875" s="29" t="s">
        <v>1914</v>
      </c>
      <c r="C875" s="29" t="s">
        <v>3362</v>
      </c>
      <c r="D875" s="30" t="s">
        <v>1915</v>
      </c>
      <c r="E875" s="30" t="s">
        <v>584</v>
      </c>
      <c r="F875" s="30"/>
      <c r="G875" s="31"/>
      <c r="H875" s="30">
        <v>277193</v>
      </c>
      <c r="I875" s="30" t="str">
        <f>IF(Table1[[#This Row],[Centre Status]]="Returned","NA",IF(Table1[[#This Row],[SD]]&gt;19000,"Full Payment",IF(Table1[[#This Row],[SD]]&lt;1,"No Payment","Partial Payment")))</f>
        <v>NA</v>
      </c>
      <c r="J875" s="30" t="s">
        <v>1903</v>
      </c>
      <c r="K875" s="32">
        <v>0</v>
      </c>
      <c r="L875" s="33">
        <f>Q875+R875+U875+Table1[[#This Row],[Farmer Payment]]</f>
        <v>35573</v>
      </c>
      <c r="M875" s="30">
        <f>35573-15573</f>
        <v>20000</v>
      </c>
      <c r="N875" s="34">
        <v>45380</v>
      </c>
      <c r="O875" s="34"/>
      <c r="P875" s="35">
        <f t="shared" si="80"/>
        <v>-15573</v>
      </c>
      <c r="Q875" s="33">
        <f>AI875+AV875+CK875+Table1[[#This Row],[FY 25-26]]</f>
        <v>15573</v>
      </c>
      <c r="R875" s="36">
        <v>20000</v>
      </c>
      <c r="S875" s="37" t="s">
        <v>2147</v>
      </c>
      <c r="T875" s="38">
        <v>44985</v>
      </c>
      <c r="U875" s="39"/>
      <c r="V875" s="39"/>
      <c r="W875" s="40">
        <v>0</v>
      </c>
      <c r="X875" s="40">
        <v>0</v>
      </c>
      <c r="Y875" s="40">
        <v>0</v>
      </c>
      <c r="Z875" s="40">
        <v>0</v>
      </c>
      <c r="AA875" s="40">
        <v>0</v>
      </c>
      <c r="AB875" s="40">
        <v>0</v>
      </c>
      <c r="AC875" s="40">
        <v>0</v>
      </c>
      <c r="AD875" s="40">
        <v>0</v>
      </c>
      <c r="AE875" s="40">
        <v>0</v>
      </c>
      <c r="AF875" s="40">
        <v>0</v>
      </c>
      <c r="AG875" s="40">
        <v>0</v>
      </c>
      <c r="AH875" s="40">
        <v>0</v>
      </c>
      <c r="AI875" s="41">
        <f t="shared" si="81"/>
        <v>0</v>
      </c>
      <c r="AJ875" s="42">
        <v>1078</v>
      </c>
      <c r="AK875" s="42">
        <v>1861</v>
      </c>
      <c r="AL875" s="42">
        <v>1861</v>
      </c>
      <c r="AM875" s="42">
        <v>1861</v>
      </c>
      <c r="AN875" s="42">
        <v>1861</v>
      </c>
      <c r="AO875" s="42">
        <v>1468</v>
      </c>
      <c r="AP875" s="42">
        <v>1861</v>
      </c>
      <c r="AQ875" s="42">
        <v>1861</v>
      </c>
      <c r="AR875" s="42">
        <v>1861</v>
      </c>
      <c r="AS875" s="42">
        <v>0</v>
      </c>
      <c r="AT875" s="42">
        <v>0</v>
      </c>
      <c r="AU875" s="42">
        <v>0</v>
      </c>
      <c r="AV875" s="42">
        <f t="shared" si="82"/>
        <v>15573</v>
      </c>
      <c r="AW875" s="42">
        <v>0</v>
      </c>
      <c r="AX875" s="42">
        <v>0</v>
      </c>
      <c r="AY875" s="42">
        <v>0</v>
      </c>
      <c r="AZ875" s="42">
        <v>0</v>
      </c>
      <c r="BA875" s="42">
        <v>0</v>
      </c>
      <c r="BB875" s="42">
        <v>0</v>
      </c>
      <c r="BC875" s="42">
        <v>0</v>
      </c>
      <c r="BD875" s="42">
        <v>0</v>
      </c>
      <c r="BE875" s="42">
        <v>0</v>
      </c>
      <c r="BF875" s="42">
        <v>0</v>
      </c>
      <c r="BG875" s="42">
        <v>0</v>
      </c>
      <c r="BH875" s="42">
        <v>0</v>
      </c>
      <c r="BI875" s="42">
        <v>0</v>
      </c>
      <c r="BJ875" s="42">
        <v>0</v>
      </c>
      <c r="BK875" s="42">
        <v>0</v>
      </c>
      <c r="BL875" s="42">
        <v>0</v>
      </c>
      <c r="BM875" s="42">
        <v>0</v>
      </c>
      <c r="BN875" s="42">
        <v>0</v>
      </c>
      <c r="BO875" s="42">
        <v>0</v>
      </c>
      <c r="BP875" s="42">
        <v>0</v>
      </c>
      <c r="BQ875" s="42">
        <v>0</v>
      </c>
      <c r="BR875" s="42">
        <v>0</v>
      </c>
      <c r="BS875" s="42">
        <v>0</v>
      </c>
      <c r="BT875" s="42">
        <v>0</v>
      </c>
      <c r="BU875" s="42">
        <v>0</v>
      </c>
      <c r="BV875" s="42">
        <v>0</v>
      </c>
      <c r="BW875" s="42">
        <v>0</v>
      </c>
      <c r="BX875" s="42">
        <v>0</v>
      </c>
      <c r="BY875" s="42">
        <v>0</v>
      </c>
      <c r="BZ875" s="42">
        <v>0</v>
      </c>
      <c r="CA875" s="42">
        <v>0</v>
      </c>
      <c r="CB875" s="42">
        <v>0</v>
      </c>
      <c r="CC875" s="42">
        <v>0</v>
      </c>
      <c r="CD875" s="42">
        <v>0</v>
      </c>
      <c r="CE875" s="42">
        <v>0</v>
      </c>
      <c r="CF875" s="42">
        <v>0</v>
      </c>
      <c r="CG875" s="42">
        <v>0</v>
      </c>
      <c r="CH875" s="42">
        <v>0</v>
      </c>
      <c r="CI875" s="42">
        <v>0</v>
      </c>
      <c r="CJ875" s="42">
        <v>0</v>
      </c>
      <c r="CK875" s="43">
        <f t="shared" si="83"/>
        <v>0</v>
      </c>
      <c r="CL875" s="66"/>
      <c r="CM875" s="66">
        <v>0</v>
      </c>
      <c r="CN875" s="66">
        <v>0</v>
      </c>
      <c r="CO875" s="66">
        <v>0</v>
      </c>
      <c r="CP875" s="66">
        <v>0</v>
      </c>
      <c r="CQ875" s="66">
        <v>0</v>
      </c>
      <c r="CR875" s="66">
        <v>0</v>
      </c>
      <c r="CS875" s="66">
        <v>0</v>
      </c>
      <c r="CT875" s="66">
        <v>0</v>
      </c>
      <c r="CU875" s="66">
        <v>0</v>
      </c>
      <c r="CV875" s="66">
        <v>0</v>
      </c>
      <c r="CW875" s="66">
        <v>0</v>
      </c>
      <c r="CX875" s="66">
        <v>0</v>
      </c>
      <c r="CY875" s="66">
        <v>0</v>
      </c>
      <c r="CZ875" s="66">
        <v>0</v>
      </c>
      <c r="DA875" s="66"/>
      <c r="DB875" s="66"/>
      <c r="DC875" s="66"/>
      <c r="DD875" s="66"/>
      <c r="DE875" s="66"/>
      <c r="DF875" s="66"/>
      <c r="DG875" s="66"/>
      <c r="DH875" s="66"/>
      <c r="DI875" s="66"/>
      <c r="DJ875" s="66"/>
      <c r="DK875" s="66">
        <f>SUM(Table1[[#This Row],[01-03 Apr]:[Mar-26]])</f>
        <v>0</v>
      </c>
    </row>
    <row r="876" spans="1:115" hidden="1" x14ac:dyDescent="0.2">
      <c r="A876" s="28" t="s">
        <v>371</v>
      </c>
      <c r="B876" s="29" t="s">
        <v>1916</v>
      </c>
      <c r="C876" s="29" t="s">
        <v>3363</v>
      </c>
      <c r="D876" s="30" t="s">
        <v>1917</v>
      </c>
      <c r="E876" s="30" t="s">
        <v>584</v>
      </c>
      <c r="F876" s="30"/>
      <c r="G876" s="31"/>
      <c r="H876" s="30"/>
      <c r="I876" s="30" t="str">
        <f>IF(Table1[[#This Row],[Centre Status]]="Returned","NA",IF(Table1[[#This Row],[SD]]&gt;19000,"Full Payment",IF(Table1[[#This Row],[SD]]&lt;1,"No Payment","Partial Payment")))</f>
        <v>NA</v>
      </c>
      <c r="J876" s="30" t="s">
        <v>1903</v>
      </c>
      <c r="K876" s="32">
        <v>0</v>
      </c>
      <c r="L876" s="33">
        <f>Q876+R876+U876+Table1[[#This Row],[Farmer Payment]]</f>
        <v>33130.820800000001</v>
      </c>
      <c r="M876" s="30">
        <f>33131-13131</f>
        <v>20000</v>
      </c>
      <c r="N876" s="34">
        <v>45380</v>
      </c>
      <c r="O876" s="34"/>
      <c r="P876" s="35">
        <f t="shared" ref="P876:P939" si="84">K876-L876+M876</f>
        <v>-13130.820800000001</v>
      </c>
      <c r="Q876" s="33">
        <f>AI876+AV876+CK876+Table1[[#This Row],[FY 25-26]]</f>
        <v>13130.8208</v>
      </c>
      <c r="R876" s="36">
        <v>20000</v>
      </c>
      <c r="S876" s="37" t="s">
        <v>2148</v>
      </c>
      <c r="T876" s="38">
        <v>45000</v>
      </c>
      <c r="U876" s="39"/>
      <c r="V876" s="39"/>
      <c r="W876" s="40">
        <v>0</v>
      </c>
      <c r="X876" s="40">
        <v>0</v>
      </c>
      <c r="Y876" s="40">
        <v>0</v>
      </c>
      <c r="Z876" s="40">
        <v>0</v>
      </c>
      <c r="AA876" s="40">
        <v>0</v>
      </c>
      <c r="AB876" s="40">
        <v>0</v>
      </c>
      <c r="AC876" s="40">
        <v>0</v>
      </c>
      <c r="AD876" s="40">
        <v>0</v>
      </c>
      <c r="AE876" s="40">
        <v>0</v>
      </c>
      <c r="AF876" s="40">
        <v>0</v>
      </c>
      <c r="AG876" s="40">
        <v>0</v>
      </c>
      <c r="AH876" s="40">
        <v>14</v>
      </c>
      <c r="AI876" s="41">
        <f t="shared" ref="AI876:AI939" si="85">SUM(W876:AH876)</f>
        <v>14</v>
      </c>
      <c r="AJ876" s="42">
        <v>835</v>
      </c>
      <c r="AK876" s="42">
        <v>1861</v>
      </c>
      <c r="AL876" s="42">
        <v>935</v>
      </c>
      <c r="AM876" s="42">
        <v>2545.7598000000003</v>
      </c>
      <c r="AN876" s="42">
        <v>2700.9306000000001</v>
      </c>
      <c r="AO876" s="42">
        <v>2275.0149999999999</v>
      </c>
      <c r="AP876" s="42">
        <v>1964.1154000000001</v>
      </c>
      <c r="AQ876" s="42">
        <v>0</v>
      </c>
      <c r="AR876" s="42">
        <v>0</v>
      </c>
      <c r="AS876" s="42">
        <v>0</v>
      </c>
      <c r="AT876" s="42">
        <v>0</v>
      </c>
      <c r="AU876" s="42">
        <v>0</v>
      </c>
      <c r="AV876" s="42">
        <f t="shared" ref="AV876:AV939" si="86">SUM(AJ876:AU876)</f>
        <v>13116.8208</v>
      </c>
      <c r="AW876" s="42">
        <v>0</v>
      </c>
      <c r="AX876" s="42">
        <v>0</v>
      </c>
      <c r="AY876" s="42">
        <v>0</v>
      </c>
      <c r="AZ876" s="42">
        <v>0</v>
      </c>
      <c r="BA876" s="42">
        <v>0</v>
      </c>
      <c r="BB876" s="42">
        <v>0</v>
      </c>
      <c r="BC876" s="42">
        <v>0</v>
      </c>
      <c r="BD876" s="42">
        <v>0</v>
      </c>
      <c r="BE876" s="42">
        <v>0</v>
      </c>
      <c r="BF876" s="42">
        <v>0</v>
      </c>
      <c r="BG876" s="42">
        <v>0</v>
      </c>
      <c r="BH876" s="42">
        <v>0</v>
      </c>
      <c r="BI876" s="42">
        <v>0</v>
      </c>
      <c r="BJ876" s="42">
        <v>0</v>
      </c>
      <c r="BK876" s="42">
        <v>0</v>
      </c>
      <c r="BL876" s="42">
        <v>0</v>
      </c>
      <c r="BM876" s="42">
        <v>0</v>
      </c>
      <c r="BN876" s="42">
        <v>0</v>
      </c>
      <c r="BO876" s="42">
        <v>0</v>
      </c>
      <c r="BP876" s="42">
        <v>0</v>
      </c>
      <c r="BQ876" s="42">
        <v>0</v>
      </c>
      <c r="BR876" s="42">
        <v>0</v>
      </c>
      <c r="BS876" s="42">
        <v>0</v>
      </c>
      <c r="BT876" s="42">
        <v>0</v>
      </c>
      <c r="BU876" s="42">
        <v>0</v>
      </c>
      <c r="BV876" s="42">
        <v>0</v>
      </c>
      <c r="BW876" s="42">
        <v>0</v>
      </c>
      <c r="BX876" s="42">
        <v>0</v>
      </c>
      <c r="BY876" s="42">
        <v>0</v>
      </c>
      <c r="BZ876" s="42">
        <v>0</v>
      </c>
      <c r="CA876" s="42">
        <v>0</v>
      </c>
      <c r="CB876" s="42">
        <v>0</v>
      </c>
      <c r="CC876" s="42">
        <v>0</v>
      </c>
      <c r="CD876" s="42">
        <v>0</v>
      </c>
      <c r="CE876" s="42">
        <v>0</v>
      </c>
      <c r="CF876" s="42">
        <v>0</v>
      </c>
      <c r="CG876" s="42">
        <v>0</v>
      </c>
      <c r="CH876" s="42">
        <v>0</v>
      </c>
      <c r="CI876" s="42">
        <v>0</v>
      </c>
      <c r="CJ876" s="42">
        <v>0</v>
      </c>
      <c r="CK876" s="43">
        <f t="shared" si="83"/>
        <v>0</v>
      </c>
      <c r="CL876" s="66"/>
      <c r="CM876" s="66">
        <v>0</v>
      </c>
      <c r="CN876" s="66">
        <v>0</v>
      </c>
      <c r="CO876" s="66">
        <v>0</v>
      </c>
      <c r="CP876" s="66">
        <v>0</v>
      </c>
      <c r="CQ876" s="66">
        <v>0</v>
      </c>
      <c r="CR876" s="66">
        <v>0</v>
      </c>
      <c r="CS876" s="66">
        <v>0</v>
      </c>
      <c r="CT876" s="66">
        <v>0</v>
      </c>
      <c r="CU876" s="66">
        <v>0</v>
      </c>
      <c r="CV876" s="66">
        <v>0</v>
      </c>
      <c r="CW876" s="66">
        <v>0</v>
      </c>
      <c r="CX876" s="66">
        <v>0</v>
      </c>
      <c r="CY876" s="66">
        <v>0</v>
      </c>
      <c r="CZ876" s="66">
        <v>0</v>
      </c>
      <c r="DA876" s="66"/>
      <c r="DB876" s="66"/>
      <c r="DC876" s="66"/>
      <c r="DD876" s="66"/>
      <c r="DE876" s="66"/>
      <c r="DF876" s="66"/>
      <c r="DG876" s="66"/>
      <c r="DH876" s="66"/>
      <c r="DI876" s="66"/>
      <c r="DJ876" s="66"/>
      <c r="DK876" s="66">
        <f>SUM(Table1[[#This Row],[01-03 Apr]:[Mar-26]])</f>
        <v>0</v>
      </c>
    </row>
    <row r="877" spans="1:115" hidden="1" x14ac:dyDescent="0.2">
      <c r="A877" s="28" t="s">
        <v>371</v>
      </c>
      <c r="B877" s="29" t="s">
        <v>1918</v>
      </c>
      <c r="C877" s="29" t="s">
        <v>3336</v>
      </c>
      <c r="D877" s="30" t="s">
        <v>1919</v>
      </c>
      <c r="E877" s="30" t="s">
        <v>217</v>
      </c>
      <c r="F877" s="30"/>
      <c r="G877" s="31"/>
      <c r="H877" s="30"/>
      <c r="I877" s="30" t="str">
        <f>IF(Table1[[#This Row],[Centre Status]]="Returned","NA",IF(Table1[[#This Row],[SD]]&gt;19000,"Full Payment",IF(Table1[[#This Row],[SD]]&lt;1,"No Payment","Partial Payment")))</f>
        <v>NA</v>
      </c>
      <c r="J877" s="30" t="s">
        <v>1903</v>
      </c>
      <c r="K877" s="32">
        <v>0</v>
      </c>
      <c r="L877" s="33">
        <f>Q877+R877+U877+Table1[[#This Row],[Farmer Payment]]</f>
        <v>20000</v>
      </c>
      <c r="M877" s="30"/>
      <c r="N877" s="34"/>
      <c r="O877" s="34"/>
      <c r="P877" s="35">
        <f t="shared" si="84"/>
        <v>-20000</v>
      </c>
      <c r="Q877" s="33">
        <f>AI877+AV877+CK877+Table1[[#This Row],[FY 25-26]]</f>
        <v>0</v>
      </c>
      <c r="R877" s="36">
        <v>20000</v>
      </c>
      <c r="S877" s="37" t="s">
        <v>2547</v>
      </c>
      <c r="T877" s="38">
        <v>45147</v>
      </c>
      <c r="U877" s="39"/>
      <c r="V877" s="39"/>
      <c r="W877" s="40">
        <v>0</v>
      </c>
      <c r="X877" s="40">
        <v>0</v>
      </c>
      <c r="Y877" s="40">
        <v>0</v>
      </c>
      <c r="Z877" s="40">
        <v>0</v>
      </c>
      <c r="AA877" s="40">
        <v>0</v>
      </c>
      <c r="AB877" s="40">
        <v>0</v>
      </c>
      <c r="AC877" s="40">
        <v>0</v>
      </c>
      <c r="AD877" s="40">
        <v>0</v>
      </c>
      <c r="AE877" s="40">
        <v>0</v>
      </c>
      <c r="AF877" s="40">
        <v>0</v>
      </c>
      <c r="AG877" s="40">
        <v>0</v>
      </c>
      <c r="AH877" s="40">
        <v>0</v>
      </c>
      <c r="AI877" s="41">
        <f t="shared" si="85"/>
        <v>0</v>
      </c>
      <c r="AJ877" s="42">
        <v>0</v>
      </c>
      <c r="AK877" s="42">
        <v>0</v>
      </c>
      <c r="AL877" s="42">
        <v>0</v>
      </c>
      <c r="AM877" s="42">
        <v>0</v>
      </c>
      <c r="AN877" s="42">
        <v>0</v>
      </c>
      <c r="AO877" s="42">
        <v>0</v>
      </c>
      <c r="AP877" s="42">
        <v>0</v>
      </c>
      <c r="AQ877" s="42">
        <v>0</v>
      </c>
      <c r="AR877" s="42">
        <v>0</v>
      </c>
      <c r="AS877" s="42">
        <v>0</v>
      </c>
      <c r="AT877" s="42">
        <v>0</v>
      </c>
      <c r="AU877" s="42">
        <v>0</v>
      </c>
      <c r="AV877" s="42">
        <f t="shared" si="86"/>
        <v>0</v>
      </c>
      <c r="AW877" s="42">
        <v>0</v>
      </c>
      <c r="AX877" s="42">
        <v>0</v>
      </c>
      <c r="AY877" s="42">
        <v>0</v>
      </c>
      <c r="AZ877" s="42">
        <v>0</v>
      </c>
      <c r="BA877" s="42">
        <v>0</v>
      </c>
      <c r="BB877" s="42">
        <v>0</v>
      </c>
      <c r="BC877" s="42">
        <v>0</v>
      </c>
      <c r="BD877" s="42">
        <v>0</v>
      </c>
      <c r="BE877" s="42">
        <v>0</v>
      </c>
      <c r="BF877" s="42">
        <v>0</v>
      </c>
      <c r="BG877" s="42">
        <v>0</v>
      </c>
      <c r="BH877" s="42">
        <v>0</v>
      </c>
      <c r="BI877" s="42">
        <v>0</v>
      </c>
      <c r="BJ877" s="42">
        <v>0</v>
      </c>
      <c r="BK877" s="42">
        <v>0</v>
      </c>
      <c r="BL877" s="42">
        <v>0</v>
      </c>
      <c r="BM877" s="42">
        <v>0</v>
      </c>
      <c r="BN877" s="42">
        <v>0</v>
      </c>
      <c r="BO877" s="42">
        <v>0</v>
      </c>
      <c r="BP877" s="42">
        <v>0</v>
      </c>
      <c r="BQ877" s="42">
        <v>0</v>
      </c>
      <c r="BR877" s="42">
        <v>0</v>
      </c>
      <c r="BS877" s="42">
        <v>0</v>
      </c>
      <c r="BT877" s="42">
        <v>0</v>
      </c>
      <c r="BU877" s="42">
        <v>0</v>
      </c>
      <c r="BV877" s="42">
        <v>0</v>
      </c>
      <c r="BW877" s="42">
        <v>0</v>
      </c>
      <c r="BX877" s="42">
        <v>0</v>
      </c>
      <c r="BY877" s="42">
        <v>0</v>
      </c>
      <c r="BZ877" s="42">
        <v>0</v>
      </c>
      <c r="CA877" s="42">
        <v>0</v>
      </c>
      <c r="CB877" s="42">
        <v>0</v>
      </c>
      <c r="CC877" s="42">
        <v>0</v>
      </c>
      <c r="CD877" s="42">
        <v>0</v>
      </c>
      <c r="CE877" s="42">
        <v>0</v>
      </c>
      <c r="CF877" s="42">
        <v>0</v>
      </c>
      <c r="CG877" s="42">
        <v>0</v>
      </c>
      <c r="CH877" s="42">
        <v>0</v>
      </c>
      <c r="CI877" s="42">
        <v>0</v>
      </c>
      <c r="CJ877" s="42">
        <v>0</v>
      </c>
      <c r="CK877" s="43">
        <f t="shared" si="83"/>
        <v>0</v>
      </c>
      <c r="CL877" s="66"/>
      <c r="CM877" s="66">
        <v>0</v>
      </c>
      <c r="CN877" s="66">
        <v>0</v>
      </c>
      <c r="CO877" s="66">
        <v>0</v>
      </c>
      <c r="CP877" s="66">
        <v>0</v>
      </c>
      <c r="CQ877" s="66">
        <v>0</v>
      </c>
      <c r="CR877" s="66">
        <v>0</v>
      </c>
      <c r="CS877" s="66">
        <v>0</v>
      </c>
      <c r="CT877" s="66">
        <v>0</v>
      </c>
      <c r="CU877" s="66">
        <v>0</v>
      </c>
      <c r="CV877" s="66">
        <v>0</v>
      </c>
      <c r="CW877" s="66">
        <v>0</v>
      </c>
      <c r="CX877" s="66">
        <v>0</v>
      </c>
      <c r="CY877" s="66">
        <v>0</v>
      </c>
      <c r="CZ877" s="66">
        <v>0</v>
      </c>
      <c r="DA877" s="66"/>
      <c r="DB877" s="66"/>
      <c r="DC877" s="66"/>
      <c r="DD877" s="66"/>
      <c r="DE877" s="66"/>
      <c r="DF877" s="66"/>
      <c r="DG877" s="66"/>
      <c r="DH877" s="66"/>
      <c r="DI877" s="66"/>
      <c r="DJ877" s="66"/>
      <c r="DK877" s="66">
        <f>SUM(Table1[[#This Row],[01-03 Apr]:[Mar-26]])</f>
        <v>0</v>
      </c>
    </row>
    <row r="878" spans="1:115" hidden="1" x14ac:dyDescent="0.2">
      <c r="A878" s="28" t="s">
        <v>371</v>
      </c>
      <c r="B878" s="29" t="s">
        <v>1920</v>
      </c>
      <c r="C878" s="29" t="s">
        <v>3336</v>
      </c>
      <c r="D878" s="30" t="s">
        <v>1921</v>
      </c>
      <c r="E878" s="30" t="s">
        <v>217</v>
      </c>
      <c r="F878" s="30"/>
      <c r="G878" s="31"/>
      <c r="H878" s="30"/>
      <c r="I878" s="30" t="str">
        <f>IF(Table1[[#This Row],[Centre Status]]="Returned","NA",IF(Table1[[#This Row],[SD]]&gt;19000,"Full Payment",IF(Table1[[#This Row],[SD]]&lt;1,"No Payment","Partial Payment")))</f>
        <v>NA</v>
      </c>
      <c r="J878" s="30" t="s">
        <v>1903</v>
      </c>
      <c r="K878" s="32">
        <v>0</v>
      </c>
      <c r="L878" s="33">
        <f>Q878+R878+U878+Table1[[#This Row],[Farmer Payment]]</f>
        <v>15000</v>
      </c>
      <c r="M878" s="30"/>
      <c r="N878" s="34"/>
      <c r="O878" s="34"/>
      <c r="P878" s="35">
        <f t="shared" si="84"/>
        <v>-15000</v>
      </c>
      <c r="Q878" s="33">
        <f>AI878+AV878+CK878+Table1[[#This Row],[FY 25-26]]</f>
        <v>0</v>
      </c>
      <c r="R878" s="36">
        <v>15000</v>
      </c>
      <c r="S878" s="37" t="s">
        <v>2548</v>
      </c>
      <c r="T878" s="38">
        <v>45143</v>
      </c>
      <c r="U878" s="39"/>
      <c r="V878" s="39"/>
      <c r="W878" s="40">
        <v>0</v>
      </c>
      <c r="X878" s="40">
        <v>0</v>
      </c>
      <c r="Y878" s="40">
        <v>0</v>
      </c>
      <c r="Z878" s="40">
        <v>0</v>
      </c>
      <c r="AA878" s="40">
        <v>0</v>
      </c>
      <c r="AB878" s="40">
        <v>0</v>
      </c>
      <c r="AC878" s="40">
        <v>0</v>
      </c>
      <c r="AD878" s="40">
        <v>0</v>
      </c>
      <c r="AE878" s="40">
        <v>0</v>
      </c>
      <c r="AF878" s="40">
        <v>0</v>
      </c>
      <c r="AG878" s="40">
        <v>0</v>
      </c>
      <c r="AH878" s="40">
        <v>0</v>
      </c>
      <c r="AI878" s="41">
        <f t="shared" si="85"/>
        <v>0</v>
      </c>
      <c r="AJ878" s="42">
        <v>0</v>
      </c>
      <c r="AK878" s="42">
        <v>0</v>
      </c>
      <c r="AL878" s="42">
        <v>0</v>
      </c>
      <c r="AM878" s="42">
        <v>0</v>
      </c>
      <c r="AN878" s="42">
        <v>0</v>
      </c>
      <c r="AO878" s="42">
        <v>0</v>
      </c>
      <c r="AP878" s="42">
        <v>0</v>
      </c>
      <c r="AQ878" s="42">
        <v>0</v>
      </c>
      <c r="AR878" s="42">
        <v>0</v>
      </c>
      <c r="AS878" s="42">
        <v>0</v>
      </c>
      <c r="AT878" s="42">
        <v>0</v>
      </c>
      <c r="AU878" s="42">
        <v>0</v>
      </c>
      <c r="AV878" s="42">
        <f t="shared" si="86"/>
        <v>0</v>
      </c>
      <c r="AW878" s="42">
        <v>0</v>
      </c>
      <c r="AX878" s="42">
        <v>0</v>
      </c>
      <c r="AY878" s="42">
        <v>0</v>
      </c>
      <c r="AZ878" s="42">
        <v>0</v>
      </c>
      <c r="BA878" s="42">
        <v>0</v>
      </c>
      <c r="BB878" s="42">
        <v>0</v>
      </c>
      <c r="BC878" s="42">
        <v>0</v>
      </c>
      <c r="BD878" s="42">
        <v>0</v>
      </c>
      <c r="BE878" s="42">
        <v>0</v>
      </c>
      <c r="BF878" s="42">
        <v>0</v>
      </c>
      <c r="BG878" s="42">
        <v>0</v>
      </c>
      <c r="BH878" s="42">
        <v>0</v>
      </c>
      <c r="BI878" s="42">
        <v>0</v>
      </c>
      <c r="BJ878" s="42">
        <v>0</v>
      </c>
      <c r="BK878" s="42">
        <v>0</v>
      </c>
      <c r="BL878" s="42">
        <v>0</v>
      </c>
      <c r="BM878" s="42">
        <v>0</v>
      </c>
      <c r="BN878" s="42">
        <v>0</v>
      </c>
      <c r="BO878" s="42">
        <v>0</v>
      </c>
      <c r="BP878" s="42">
        <v>0</v>
      </c>
      <c r="BQ878" s="42">
        <v>0</v>
      </c>
      <c r="BR878" s="42">
        <v>0</v>
      </c>
      <c r="BS878" s="42">
        <v>0</v>
      </c>
      <c r="BT878" s="42">
        <v>0</v>
      </c>
      <c r="BU878" s="42">
        <v>0</v>
      </c>
      <c r="BV878" s="42">
        <v>0</v>
      </c>
      <c r="BW878" s="42">
        <v>0</v>
      </c>
      <c r="BX878" s="42">
        <v>0</v>
      </c>
      <c r="BY878" s="42">
        <v>0</v>
      </c>
      <c r="BZ878" s="42">
        <v>0</v>
      </c>
      <c r="CA878" s="42">
        <v>0</v>
      </c>
      <c r="CB878" s="42">
        <v>0</v>
      </c>
      <c r="CC878" s="42">
        <v>0</v>
      </c>
      <c r="CD878" s="42">
        <v>0</v>
      </c>
      <c r="CE878" s="42">
        <v>0</v>
      </c>
      <c r="CF878" s="42">
        <v>0</v>
      </c>
      <c r="CG878" s="42">
        <v>0</v>
      </c>
      <c r="CH878" s="42">
        <v>0</v>
      </c>
      <c r="CI878" s="42">
        <v>0</v>
      </c>
      <c r="CJ878" s="42">
        <v>0</v>
      </c>
      <c r="CK878" s="43">
        <f t="shared" si="83"/>
        <v>0</v>
      </c>
      <c r="CL878" s="66"/>
      <c r="CM878" s="66">
        <v>0</v>
      </c>
      <c r="CN878" s="66">
        <v>0</v>
      </c>
      <c r="CO878" s="66">
        <v>0</v>
      </c>
      <c r="CP878" s="66">
        <v>0</v>
      </c>
      <c r="CQ878" s="66">
        <v>0</v>
      </c>
      <c r="CR878" s="66">
        <v>0</v>
      </c>
      <c r="CS878" s="66">
        <v>0</v>
      </c>
      <c r="CT878" s="66">
        <v>0</v>
      </c>
      <c r="CU878" s="66">
        <v>0</v>
      </c>
      <c r="CV878" s="66">
        <v>0</v>
      </c>
      <c r="CW878" s="66">
        <v>0</v>
      </c>
      <c r="CX878" s="66">
        <v>0</v>
      </c>
      <c r="CY878" s="66">
        <v>0</v>
      </c>
      <c r="CZ878" s="66">
        <v>0</v>
      </c>
      <c r="DA878" s="66"/>
      <c r="DB878" s="66"/>
      <c r="DC878" s="66"/>
      <c r="DD878" s="66"/>
      <c r="DE878" s="66"/>
      <c r="DF878" s="66"/>
      <c r="DG878" s="66"/>
      <c r="DH878" s="66"/>
      <c r="DI878" s="66"/>
      <c r="DJ878" s="66"/>
      <c r="DK878" s="66">
        <f>SUM(Table1[[#This Row],[01-03 Apr]:[Mar-26]])</f>
        <v>0</v>
      </c>
    </row>
    <row r="879" spans="1:115" hidden="1" x14ac:dyDescent="0.2">
      <c r="A879" s="28" t="s">
        <v>371</v>
      </c>
      <c r="B879" s="29" t="s">
        <v>1922</v>
      </c>
      <c r="C879" s="29" t="s">
        <v>3336</v>
      </c>
      <c r="D879" s="30" t="s">
        <v>1923</v>
      </c>
      <c r="E879" s="30" t="s">
        <v>217</v>
      </c>
      <c r="F879" s="30"/>
      <c r="G879" s="31"/>
      <c r="H879" s="30"/>
      <c r="I879" s="30" t="str">
        <f>IF(Table1[[#This Row],[Centre Status]]="Returned","NA",IF(Table1[[#This Row],[SD]]&gt;19000,"Full Payment",IF(Table1[[#This Row],[SD]]&lt;1,"No Payment","Partial Payment")))</f>
        <v>NA</v>
      </c>
      <c r="J879" s="30" t="s">
        <v>1903</v>
      </c>
      <c r="K879" s="32">
        <v>0</v>
      </c>
      <c r="L879" s="33">
        <f>Q879+R879+U879+Table1[[#This Row],[Farmer Payment]]</f>
        <v>15830</v>
      </c>
      <c r="M879" s="30"/>
      <c r="N879" s="34"/>
      <c r="O879" s="34"/>
      <c r="P879" s="35">
        <f t="shared" si="84"/>
        <v>-15830</v>
      </c>
      <c r="Q879" s="33">
        <f>AI879+AV879+CK879+Table1[[#This Row],[FY 25-26]]</f>
        <v>830</v>
      </c>
      <c r="R879" s="36">
        <v>15000</v>
      </c>
      <c r="S879" s="37" t="s">
        <v>2149</v>
      </c>
      <c r="T879" s="38">
        <v>45006</v>
      </c>
      <c r="U879" s="39"/>
      <c r="V879" s="39"/>
      <c r="W879" s="40">
        <v>0</v>
      </c>
      <c r="X879" s="40">
        <v>0</v>
      </c>
      <c r="Y879" s="40">
        <v>0</v>
      </c>
      <c r="Z879" s="40">
        <v>0</v>
      </c>
      <c r="AA879" s="40">
        <v>0</v>
      </c>
      <c r="AB879" s="40">
        <v>0</v>
      </c>
      <c r="AC879" s="40">
        <v>0</v>
      </c>
      <c r="AD879" s="40">
        <v>0</v>
      </c>
      <c r="AE879" s="40">
        <v>0</v>
      </c>
      <c r="AF879" s="40">
        <v>0</v>
      </c>
      <c r="AG879" s="40">
        <v>0</v>
      </c>
      <c r="AH879" s="40">
        <v>5</v>
      </c>
      <c r="AI879" s="41">
        <f t="shared" si="85"/>
        <v>5</v>
      </c>
      <c r="AJ879" s="42">
        <v>825</v>
      </c>
      <c r="AK879" s="42">
        <v>0</v>
      </c>
      <c r="AL879" s="42">
        <v>0</v>
      </c>
      <c r="AM879" s="42">
        <v>0</v>
      </c>
      <c r="AN879" s="42">
        <v>0</v>
      </c>
      <c r="AO879" s="42">
        <v>0</v>
      </c>
      <c r="AP879" s="42">
        <v>0</v>
      </c>
      <c r="AQ879" s="42">
        <v>0</v>
      </c>
      <c r="AR879" s="42">
        <v>0</v>
      </c>
      <c r="AS879" s="42">
        <v>0</v>
      </c>
      <c r="AT879" s="42">
        <v>0</v>
      </c>
      <c r="AU879" s="42">
        <v>0</v>
      </c>
      <c r="AV879" s="42">
        <f t="shared" si="86"/>
        <v>825</v>
      </c>
      <c r="AW879" s="42">
        <v>0</v>
      </c>
      <c r="AX879" s="42">
        <v>0</v>
      </c>
      <c r="AY879" s="42">
        <v>0</v>
      </c>
      <c r="AZ879" s="42">
        <v>0</v>
      </c>
      <c r="BA879" s="42">
        <v>0</v>
      </c>
      <c r="BB879" s="42">
        <v>0</v>
      </c>
      <c r="BC879" s="42">
        <v>0</v>
      </c>
      <c r="BD879" s="42">
        <v>0</v>
      </c>
      <c r="BE879" s="42">
        <v>0</v>
      </c>
      <c r="BF879" s="42">
        <v>0</v>
      </c>
      <c r="BG879" s="42">
        <v>0</v>
      </c>
      <c r="BH879" s="42">
        <v>0</v>
      </c>
      <c r="BI879" s="42">
        <v>0</v>
      </c>
      <c r="BJ879" s="42">
        <v>0</v>
      </c>
      <c r="BK879" s="42">
        <v>0</v>
      </c>
      <c r="BL879" s="42">
        <v>0</v>
      </c>
      <c r="BM879" s="42">
        <v>0</v>
      </c>
      <c r="BN879" s="42">
        <v>0</v>
      </c>
      <c r="BO879" s="42">
        <v>0</v>
      </c>
      <c r="BP879" s="42">
        <v>0</v>
      </c>
      <c r="BQ879" s="42">
        <v>0</v>
      </c>
      <c r="BR879" s="42">
        <v>0</v>
      </c>
      <c r="BS879" s="42">
        <v>0</v>
      </c>
      <c r="BT879" s="42">
        <v>0</v>
      </c>
      <c r="BU879" s="42">
        <v>0</v>
      </c>
      <c r="BV879" s="42">
        <v>0</v>
      </c>
      <c r="BW879" s="42">
        <v>0</v>
      </c>
      <c r="BX879" s="42">
        <v>0</v>
      </c>
      <c r="BY879" s="42">
        <v>0</v>
      </c>
      <c r="BZ879" s="42">
        <v>0</v>
      </c>
      <c r="CA879" s="42">
        <v>0</v>
      </c>
      <c r="CB879" s="42">
        <v>0</v>
      </c>
      <c r="CC879" s="42">
        <v>0</v>
      </c>
      <c r="CD879" s="42">
        <v>0</v>
      </c>
      <c r="CE879" s="42">
        <v>0</v>
      </c>
      <c r="CF879" s="42">
        <v>0</v>
      </c>
      <c r="CG879" s="42">
        <v>0</v>
      </c>
      <c r="CH879" s="42">
        <v>0</v>
      </c>
      <c r="CI879" s="42">
        <v>0</v>
      </c>
      <c r="CJ879" s="42">
        <v>0</v>
      </c>
      <c r="CK879" s="43">
        <f t="shared" si="83"/>
        <v>0</v>
      </c>
      <c r="CL879" s="66"/>
      <c r="CM879" s="66">
        <v>0</v>
      </c>
      <c r="CN879" s="66">
        <v>0</v>
      </c>
      <c r="CO879" s="66">
        <v>0</v>
      </c>
      <c r="CP879" s="66">
        <v>0</v>
      </c>
      <c r="CQ879" s="66">
        <v>0</v>
      </c>
      <c r="CR879" s="66">
        <v>0</v>
      </c>
      <c r="CS879" s="66">
        <v>0</v>
      </c>
      <c r="CT879" s="66">
        <v>0</v>
      </c>
      <c r="CU879" s="66">
        <v>0</v>
      </c>
      <c r="CV879" s="66">
        <v>0</v>
      </c>
      <c r="CW879" s="66">
        <v>0</v>
      </c>
      <c r="CX879" s="66">
        <v>0</v>
      </c>
      <c r="CY879" s="66">
        <v>0</v>
      </c>
      <c r="CZ879" s="66">
        <v>0</v>
      </c>
      <c r="DA879" s="66"/>
      <c r="DB879" s="66"/>
      <c r="DC879" s="66"/>
      <c r="DD879" s="66"/>
      <c r="DE879" s="66"/>
      <c r="DF879" s="66"/>
      <c r="DG879" s="66"/>
      <c r="DH879" s="66"/>
      <c r="DI879" s="66"/>
      <c r="DJ879" s="66"/>
      <c r="DK879" s="66">
        <f>SUM(Table1[[#This Row],[01-03 Apr]:[Mar-26]])</f>
        <v>0</v>
      </c>
    </row>
    <row r="880" spans="1:115" hidden="1" x14ac:dyDescent="0.2">
      <c r="A880" s="28" t="s">
        <v>371</v>
      </c>
      <c r="B880" s="29" t="s">
        <v>1924</v>
      </c>
      <c r="C880" s="29" t="s">
        <v>3336</v>
      </c>
      <c r="D880" s="30" t="s">
        <v>1925</v>
      </c>
      <c r="E880" s="30" t="s">
        <v>217</v>
      </c>
      <c r="F880" s="30"/>
      <c r="G880" s="31"/>
      <c r="H880" s="30"/>
      <c r="I880" s="30" t="str">
        <f>IF(Table1[[#This Row],[Centre Status]]="Returned","NA",IF(Table1[[#This Row],[SD]]&gt;19000,"Full Payment",IF(Table1[[#This Row],[SD]]&lt;1,"No Payment","Partial Payment")))</f>
        <v>NA</v>
      </c>
      <c r="J880" s="30" t="s">
        <v>1903</v>
      </c>
      <c r="K880" s="32">
        <v>0</v>
      </c>
      <c r="L880" s="33">
        <f>Q880+R880+U880+Table1[[#This Row],[Farmer Payment]]</f>
        <v>36416.562399999995</v>
      </c>
      <c r="M880" s="30">
        <v>16800</v>
      </c>
      <c r="N880" s="34">
        <v>45419</v>
      </c>
      <c r="O880" s="34" t="s">
        <v>2435</v>
      </c>
      <c r="P880" s="35">
        <f t="shared" si="84"/>
        <v>-19616.562399999995</v>
      </c>
      <c r="Q880" s="33">
        <f>AI880+AV880+CK880+Table1[[#This Row],[FY 25-26]]</f>
        <v>16416.562399999999</v>
      </c>
      <c r="R880" s="36">
        <v>20000</v>
      </c>
      <c r="S880" s="37" t="s">
        <v>2150</v>
      </c>
      <c r="T880" s="38">
        <v>44760</v>
      </c>
      <c r="U880" s="39"/>
      <c r="V880" s="39"/>
      <c r="W880" s="40">
        <v>0</v>
      </c>
      <c r="X880" s="40">
        <v>0</v>
      </c>
      <c r="Y880" s="40">
        <v>0</v>
      </c>
      <c r="Z880" s="40">
        <v>0</v>
      </c>
      <c r="AA880" s="40">
        <v>2667.5623999999998</v>
      </c>
      <c r="AB880" s="40">
        <v>1861</v>
      </c>
      <c r="AC880" s="40">
        <v>1861</v>
      </c>
      <c r="AD880" s="40">
        <v>1861</v>
      </c>
      <c r="AE880" s="40">
        <v>246</v>
      </c>
      <c r="AF880" s="40">
        <v>476</v>
      </c>
      <c r="AG880" s="40">
        <v>1861</v>
      </c>
      <c r="AH880" s="40">
        <v>1861</v>
      </c>
      <c r="AI880" s="41">
        <f t="shared" si="85"/>
        <v>12694.562399999999</v>
      </c>
      <c r="AJ880" s="42">
        <v>1861</v>
      </c>
      <c r="AK880" s="42">
        <v>1861</v>
      </c>
      <c r="AL880" s="42">
        <v>0</v>
      </c>
      <c r="AM880" s="42">
        <v>0</v>
      </c>
      <c r="AN880" s="42">
        <v>0</v>
      </c>
      <c r="AO880" s="42">
        <v>0</v>
      </c>
      <c r="AP880" s="42">
        <v>0</v>
      </c>
      <c r="AQ880" s="42">
        <v>0</v>
      </c>
      <c r="AR880" s="42">
        <v>0</v>
      </c>
      <c r="AS880" s="42">
        <v>0</v>
      </c>
      <c r="AT880" s="42">
        <v>0</v>
      </c>
      <c r="AU880" s="42">
        <v>0</v>
      </c>
      <c r="AV880" s="42">
        <f t="shared" si="86"/>
        <v>3722</v>
      </c>
      <c r="AW880" s="42">
        <v>0</v>
      </c>
      <c r="AX880" s="42">
        <v>0</v>
      </c>
      <c r="AY880" s="42">
        <v>0</v>
      </c>
      <c r="AZ880" s="42">
        <v>0</v>
      </c>
      <c r="BA880" s="42">
        <v>0</v>
      </c>
      <c r="BB880" s="42">
        <v>0</v>
      </c>
      <c r="BC880" s="42">
        <v>0</v>
      </c>
      <c r="BD880" s="42">
        <v>0</v>
      </c>
      <c r="BE880" s="42">
        <v>0</v>
      </c>
      <c r="BF880" s="42">
        <v>0</v>
      </c>
      <c r="BG880" s="42">
        <v>0</v>
      </c>
      <c r="BH880" s="42">
        <v>0</v>
      </c>
      <c r="BI880" s="42">
        <v>0</v>
      </c>
      <c r="BJ880" s="42">
        <v>0</v>
      </c>
      <c r="BK880" s="42">
        <v>0</v>
      </c>
      <c r="BL880" s="42">
        <v>0</v>
      </c>
      <c r="BM880" s="42">
        <v>0</v>
      </c>
      <c r="BN880" s="42">
        <v>0</v>
      </c>
      <c r="BO880" s="42">
        <v>0</v>
      </c>
      <c r="BP880" s="42">
        <v>0</v>
      </c>
      <c r="BQ880" s="42">
        <v>0</v>
      </c>
      <c r="BR880" s="42">
        <v>0</v>
      </c>
      <c r="BS880" s="42">
        <v>0</v>
      </c>
      <c r="BT880" s="42">
        <v>0</v>
      </c>
      <c r="BU880" s="42">
        <v>0</v>
      </c>
      <c r="BV880" s="42">
        <v>0</v>
      </c>
      <c r="BW880" s="42">
        <v>0</v>
      </c>
      <c r="BX880" s="42">
        <v>0</v>
      </c>
      <c r="BY880" s="42">
        <v>0</v>
      </c>
      <c r="BZ880" s="42">
        <v>0</v>
      </c>
      <c r="CA880" s="42">
        <v>0</v>
      </c>
      <c r="CB880" s="42">
        <v>0</v>
      </c>
      <c r="CC880" s="42">
        <v>0</v>
      </c>
      <c r="CD880" s="42">
        <v>0</v>
      </c>
      <c r="CE880" s="42">
        <v>0</v>
      </c>
      <c r="CF880" s="42">
        <v>0</v>
      </c>
      <c r="CG880" s="42">
        <v>0</v>
      </c>
      <c r="CH880" s="42">
        <v>0</v>
      </c>
      <c r="CI880" s="42">
        <v>0</v>
      </c>
      <c r="CJ880" s="42">
        <v>0</v>
      </c>
      <c r="CK880" s="43">
        <f t="shared" si="83"/>
        <v>0</v>
      </c>
      <c r="CL880" s="66"/>
      <c r="CM880" s="66">
        <v>0</v>
      </c>
      <c r="CN880" s="66">
        <v>0</v>
      </c>
      <c r="CO880" s="66">
        <v>0</v>
      </c>
      <c r="CP880" s="66">
        <v>0</v>
      </c>
      <c r="CQ880" s="66">
        <v>0</v>
      </c>
      <c r="CR880" s="66">
        <v>0</v>
      </c>
      <c r="CS880" s="66">
        <v>0</v>
      </c>
      <c r="CT880" s="66">
        <v>0</v>
      </c>
      <c r="CU880" s="66">
        <v>0</v>
      </c>
      <c r="CV880" s="66">
        <v>0</v>
      </c>
      <c r="CW880" s="66">
        <v>0</v>
      </c>
      <c r="CX880" s="66">
        <v>0</v>
      </c>
      <c r="CY880" s="66">
        <v>0</v>
      </c>
      <c r="CZ880" s="66">
        <v>0</v>
      </c>
      <c r="DA880" s="66"/>
      <c r="DB880" s="66"/>
      <c r="DC880" s="66"/>
      <c r="DD880" s="66"/>
      <c r="DE880" s="66"/>
      <c r="DF880" s="66"/>
      <c r="DG880" s="66"/>
      <c r="DH880" s="66"/>
      <c r="DI880" s="66"/>
      <c r="DJ880" s="66"/>
      <c r="DK880" s="66">
        <f>SUM(Table1[[#This Row],[01-03 Apr]:[Mar-26]])</f>
        <v>0</v>
      </c>
    </row>
    <row r="881" spans="1:115" hidden="1" x14ac:dyDescent="0.2">
      <c r="A881" s="28" t="s">
        <v>371</v>
      </c>
      <c r="B881" s="29" t="s">
        <v>1926</v>
      </c>
      <c r="C881" s="29" t="s">
        <v>3336</v>
      </c>
      <c r="D881" s="30" t="s">
        <v>1927</v>
      </c>
      <c r="E881" s="30" t="s">
        <v>297</v>
      </c>
      <c r="F881" s="30"/>
      <c r="G881" s="31"/>
      <c r="H881" s="30"/>
      <c r="I881" s="30" t="str">
        <f>IF(Table1[[#This Row],[Centre Status]]="Returned","NA",IF(Table1[[#This Row],[SD]]&gt;19000,"Full Payment",IF(Table1[[#This Row],[SD]]&lt;1,"No Payment","Partial Payment")))</f>
        <v>NA</v>
      </c>
      <c r="J881" s="30" t="s">
        <v>1903</v>
      </c>
      <c r="K881" s="32">
        <v>0</v>
      </c>
      <c r="L881" s="33">
        <f>Q881+R881+U881+Table1[[#This Row],[Farmer Payment]]</f>
        <v>25360</v>
      </c>
      <c r="M881" s="30"/>
      <c r="N881" s="34"/>
      <c r="O881" s="34"/>
      <c r="P881" s="35">
        <f t="shared" si="84"/>
        <v>-25360</v>
      </c>
      <c r="Q881" s="33">
        <f>AI881+AV881+CK881+Table1[[#This Row],[FY 25-26]]</f>
        <v>5360</v>
      </c>
      <c r="R881" s="36">
        <v>20000</v>
      </c>
      <c r="S881" s="37" t="s">
        <v>2151</v>
      </c>
      <c r="T881" s="38">
        <v>44689</v>
      </c>
      <c r="U881" s="39"/>
      <c r="V881" s="39"/>
      <c r="W881" s="40">
        <v>0</v>
      </c>
      <c r="X881" s="40">
        <v>438</v>
      </c>
      <c r="Y881" s="40">
        <v>1700</v>
      </c>
      <c r="Z881" s="40">
        <v>122</v>
      </c>
      <c r="AA881" s="40">
        <v>868</v>
      </c>
      <c r="AB881" s="40">
        <v>1546</v>
      </c>
      <c r="AC881" s="40">
        <v>686</v>
      </c>
      <c r="AD881" s="40">
        <v>0</v>
      </c>
      <c r="AE881" s="40">
        <v>0</v>
      </c>
      <c r="AF881" s="40">
        <v>0</v>
      </c>
      <c r="AG881" s="40">
        <v>0</v>
      </c>
      <c r="AH881" s="40">
        <v>0</v>
      </c>
      <c r="AI881" s="41">
        <f t="shared" si="85"/>
        <v>5360</v>
      </c>
      <c r="AJ881" s="42">
        <v>0</v>
      </c>
      <c r="AK881" s="42">
        <v>0</v>
      </c>
      <c r="AL881" s="42">
        <v>0</v>
      </c>
      <c r="AM881" s="42">
        <v>0</v>
      </c>
      <c r="AN881" s="42">
        <v>0</v>
      </c>
      <c r="AO881" s="42">
        <v>0</v>
      </c>
      <c r="AP881" s="42">
        <v>0</v>
      </c>
      <c r="AQ881" s="42">
        <v>0</v>
      </c>
      <c r="AR881" s="42">
        <v>0</v>
      </c>
      <c r="AS881" s="42">
        <v>0</v>
      </c>
      <c r="AT881" s="42">
        <v>0</v>
      </c>
      <c r="AU881" s="42">
        <v>0</v>
      </c>
      <c r="AV881" s="42">
        <f t="shared" si="86"/>
        <v>0</v>
      </c>
      <c r="AW881" s="42">
        <v>0</v>
      </c>
      <c r="AX881" s="42">
        <v>0</v>
      </c>
      <c r="AY881" s="42">
        <v>0</v>
      </c>
      <c r="AZ881" s="42">
        <v>0</v>
      </c>
      <c r="BA881" s="42">
        <v>0</v>
      </c>
      <c r="BB881" s="42">
        <v>0</v>
      </c>
      <c r="BC881" s="42">
        <v>0</v>
      </c>
      <c r="BD881" s="42">
        <v>0</v>
      </c>
      <c r="BE881" s="42">
        <v>0</v>
      </c>
      <c r="BF881" s="42">
        <v>0</v>
      </c>
      <c r="BG881" s="42">
        <v>0</v>
      </c>
      <c r="BH881" s="42">
        <v>0</v>
      </c>
      <c r="BI881" s="42">
        <v>0</v>
      </c>
      <c r="BJ881" s="42">
        <v>0</v>
      </c>
      <c r="BK881" s="42">
        <v>0</v>
      </c>
      <c r="BL881" s="42">
        <v>0</v>
      </c>
      <c r="BM881" s="42">
        <v>0</v>
      </c>
      <c r="BN881" s="42">
        <v>0</v>
      </c>
      <c r="BO881" s="42">
        <v>0</v>
      </c>
      <c r="BP881" s="42">
        <v>0</v>
      </c>
      <c r="BQ881" s="42">
        <v>0</v>
      </c>
      <c r="BR881" s="42">
        <v>0</v>
      </c>
      <c r="BS881" s="42">
        <v>0</v>
      </c>
      <c r="BT881" s="42">
        <v>0</v>
      </c>
      <c r="BU881" s="42">
        <v>0</v>
      </c>
      <c r="BV881" s="42">
        <v>0</v>
      </c>
      <c r="BW881" s="42">
        <v>0</v>
      </c>
      <c r="BX881" s="42">
        <v>0</v>
      </c>
      <c r="BY881" s="42">
        <v>0</v>
      </c>
      <c r="BZ881" s="42">
        <v>0</v>
      </c>
      <c r="CA881" s="42">
        <v>0</v>
      </c>
      <c r="CB881" s="42">
        <v>0</v>
      </c>
      <c r="CC881" s="42">
        <v>0</v>
      </c>
      <c r="CD881" s="42">
        <v>0</v>
      </c>
      <c r="CE881" s="42">
        <v>0</v>
      </c>
      <c r="CF881" s="42">
        <v>0</v>
      </c>
      <c r="CG881" s="42">
        <v>0</v>
      </c>
      <c r="CH881" s="42">
        <v>0</v>
      </c>
      <c r="CI881" s="42">
        <v>0</v>
      </c>
      <c r="CJ881" s="42">
        <v>0</v>
      </c>
      <c r="CK881" s="43">
        <f t="shared" si="83"/>
        <v>0</v>
      </c>
      <c r="CL881" s="66"/>
      <c r="CM881" s="66">
        <v>0</v>
      </c>
      <c r="CN881" s="66">
        <v>0</v>
      </c>
      <c r="CO881" s="66">
        <v>0</v>
      </c>
      <c r="CP881" s="66">
        <v>0</v>
      </c>
      <c r="CQ881" s="66">
        <v>0</v>
      </c>
      <c r="CR881" s="66">
        <v>0</v>
      </c>
      <c r="CS881" s="66">
        <v>0</v>
      </c>
      <c r="CT881" s="66">
        <v>0</v>
      </c>
      <c r="CU881" s="66">
        <v>0</v>
      </c>
      <c r="CV881" s="66">
        <v>0</v>
      </c>
      <c r="CW881" s="66">
        <v>0</v>
      </c>
      <c r="CX881" s="66">
        <v>0</v>
      </c>
      <c r="CY881" s="66">
        <v>0</v>
      </c>
      <c r="CZ881" s="66">
        <v>0</v>
      </c>
      <c r="DA881" s="66"/>
      <c r="DB881" s="66"/>
      <c r="DC881" s="66"/>
      <c r="DD881" s="66"/>
      <c r="DE881" s="66"/>
      <c r="DF881" s="66"/>
      <c r="DG881" s="66"/>
      <c r="DH881" s="66"/>
      <c r="DI881" s="66"/>
      <c r="DJ881" s="66"/>
      <c r="DK881" s="66">
        <f>SUM(Table1[[#This Row],[01-03 Apr]:[Mar-26]])</f>
        <v>0</v>
      </c>
    </row>
    <row r="882" spans="1:115" hidden="1" x14ac:dyDescent="0.2">
      <c r="A882" s="28" t="s">
        <v>371</v>
      </c>
      <c r="B882" s="29" t="s">
        <v>1928</v>
      </c>
      <c r="C882" s="29" t="s">
        <v>3336</v>
      </c>
      <c r="D882" s="30" t="s">
        <v>1929</v>
      </c>
      <c r="E882" s="30" t="s">
        <v>297</v>
      </c>
      <c r="F882" s="30"/>
      <c r="G882" s="31"/>
      <c r="H882" s="30"/>
      <c r="I882" s="30" t="str">
        <f>IF(Table1[[#This Row],[Centre Status]]="Returned","NA",IF(Table1[[#This Row],[SD]]&gt;19000,"Full Payment",IF(Table1[[#This Row],[SD]]&lt;1,"No Payment","Partial Payment")))</f>
        <v>NA</v>
      </c>
      <c r="J882" s="30" t="s">
        <v>1903</v>
      </c>
      <c r="K882" s="32">
        <v>0</v>
      </c>
      <c r="L882" s="33">
        <f>Q882+R882+U882+Table1[[#This Row],[Farmer Payment]]</f>
        <v>65</v>
      </c>
      <c r="M882" s="30"/>
      <c r="N882" s="34"/>
      <c r="O882" s="34"/>
      <c r="P882" s="35">
        <f t="shared" si="84"/>
        <v>-65</v>
      </c>
      <c r="Q882" s="33">
        <f>AI882+AV882+CK882+Table1[[#This Row],[FY 25-26]]</f>
        <v>65</v>
      </c>
      <c r="R882" s="36"/>
      <c r="S882" s="37"/>
      <c r="T882" s="38"/>
      <c r="U882" s="39"/>
      <c r="V882" s="39"/>
      <c r="W882" s="40">
        <v>0</v>
      </c>
      <c r="X882" s="40">
        <v>0</v>
      </c>
      <c r="Y882" s="40">
        <v>0</v>
      </c>
      <c r="Z882" s="40">
        <v>0</v>
      </c>
      <c r="AA882" s="40">
        <v>0</v>
      </c>
      <c r="AB882" s="40">
        <v>0</v>
      </c>
      <c r="AC882" s="40">
        <v>0</v>
      </c>
      <c r="AD882" s="40">
        <v>0</v>
      </c>
      <c r="AE882" s="40">
        <v>0</v>
      </c>
      <c r="AF882" s="40">
        <v>0</v>
      </c>
      <c r="AG882" s="40">
        <v>0</v>
      </c>
      <c r="AH882" s="40">
        <v>0</v>
      </c>
      <c r="AI882" s="41">
        <f t="shared" si="85"/>
        <v>0</v>
      </c>
      <c r="AJ882" s="42">
        <v>0</v>
      </c>
      <c r="AK882" s="42">
        <v>65</v>
      </c>
      <c r="AL882" s="42">
        <v>0</v>
      </c>
      <c r="AM882" s="42">
        <v>0</v>
      </c>
      <c r="AN882" s="42">
        <v>0</v>
      </c>
      <c r="AO882" s="42">
        <v>0</v>
      </c>
      <c r="AP882" s="42">
        <v>0</v>
      </c>
      <c r="AQ882" s="42">
        <v>0</v>
      </c>
      <c r="AR882" s="42">
        <v>0</v>
      </c>
      <c r="AS882" s="42">
        <v>0</v>
      </c>
      <c r="AT882" s="42">
        <v>0</v>
      </c>
      <c r="AU882" s="42">
        <v>0</v>
      </c>
      <c r="AV882" s="42">
        <f t="shared" si="86"/>
        <v>65</v>
      </c>
      <c r="AW882" s="42">
        <v>0</v>
      </c>
      <c r="AX882" s="42">
        <v>0</v>
      </c>
      <c r="AY882" s="42">
        <v>0</v>
      </c>
      <c r="AZ882" s="42">
        <v>0</v>
      </c>
      <c r="BA882" s="42">
        <v>0</v>
      </c>
      <c r="BB882" s="42">
        <v>0</v>
      </c>
      <c r="BC882" s="42">
        <v>0</v>
      </c>
      <c r="BD882" s="42">
        <v>0</v>
      </c>
      <c r="BE882" s="42">
        <v>0</v>
      </c>
      <c r="BF882" s="42">
        <v>0</v>
      </c>
      <c r="BG882" s="42">
        <v>0</v>
      </c>
      <c r="BH882" s="42">
        <v>0</v>
      </c>
      <c r="BI882" s="42">
        <v>0</v>
      </c>
      <c r="BJ882" s="42">
        <v>0</v>
      </c>
      <c r="BK882" s="42">
        <v>0</v>
      </c>
      <c r="BL882" s="42">
        <v>0</v>
      </c>
      <c r="BM882" s="42">
        <v>0</v>
      </c>
      <c r="BN882" s="42">
        <v>0</v>
      </c>
      <c r="BO882" s="42">
        <v>0</v>
      </c>
      <c r="BP882" s="42">
        <v>0</v>
      </c>
      <c r="BQ882" s="42">
        <v>0</v>
      </c>
      <c r="BR882" s="42">
        <v>0</v>
      </c>
      <c r="BS882" s="42">
        <v>0</v>
      </c>
      <c r="BT882" s="42">
        <v>0</v>
      </c>
      <c r="BU882" s="42">
        <v>0</v>
      </c>
      <c r="BV882" s="42">
        <v>0</v>
      </c>
      <c r="BW882" s="42">
        <v>0</v>
      </c>
      <c r="BX882" s="42">
        <v>0</v>
      </c>
      <c r="BY882" s="42">
        <v>0</v>
      </c>
      <c r="BZ882" s="42">
        <v>0</v>
      </c>
      <c r="CA882" s="42">
        <v>0</v>
      </c>
      <c r="CB882" s="42">
        <v>0</v>
      </c>
      <c r="CC882" s="42">
        <v>0</v>
      </c>
      <c r="CD882" s="42">
        <v>0</v>
      </c>
      <c r="CE882" s="42">
        <v>0</v>
      </c>
      <c r="CF882" s="42">
        <v>0</v>
      </c>
      <c r="CG882" s="42">
        <v>0</v>
      </c>
      <c r="CH882" s="42">
        <v>0</v>
      </c>
      <c r="CI882" s="42">
        <v>0</v>
      </c>
      <c r="CJ882" s="42">
        <v>0</v>
      </c>
      <c r="CK882" s="43">
        <f t="shared" si="83"/>
        <v>0</v>
      </c>
      <c r="CL882" s="66"/>
      <c r="CM882" s="66">
        <v>0</v>
      </c>
      <c r="CN882" s="66">
        <v>0</v>
      </c>
      <c r="CO882" s="66">
        <v>0</v>
      </c>
      <c r="CP882" s="66">
        <v>0</v>
      </c>
      <c r="CQ882" s="66">
        <v>0</v>
      </c>
      <c r="CR882" s="66">
        <v>0</v>
      </c>
      <c r="CS882" s="66">
        <v>0</v>
      </c>
      <c r="CT882" s="66">
        <v>0</v>
      </c>
      <c r="CU882" s="66">
        <v>0</v>
      </c>
      <c r="CV882" s="66">
        <v>0</v>
      </c>
      <c r="CW882" s="66">
        <v>0</v>
      </c>
      <c r="CX882" s="66">
        <v>0</v>
      </c>
      <c r="CY882" s="66">
        <v>0</v>
      </c>
      <c r="CZ882" s="66">
        <v>0</v>
      </c>
      <c r="DA882" s="66"/>
      <c r="DB882" s="66"/>
      <c r="DC882" s="66"/>
      <c r="DD882" s="66"/>
      <c r="DE882" s="66"/>
      <c r="DF882" s="66"/>
      <c r="DG882" s="66"/>
      <c r="DH882" s="66"/>
      <c r="DI882" s="66"/>
      <c r="DJ882" s="66"/>
      <c r="DK882" s="66">
        <f>SUM(Table1[[#This Row],[01-03 Apr]:[Mar-26]])</f>
        <v>0</v>
      </c>
    </row>
    <row r="883" spans="1:115" hidden="1" x14ac:dyDescent="0.2">
      <c r="A883" s="28" t="s">
        <v>371</v>
      </c>
      <c r="B883" s="29" t="s">
        <v>1930</v>
      </c>
      <c r="C883" s="29" t="s">
        <v>3336</v>
      </c>
      <c r="D883" s="30" t="s">
        <v>1931</v>
      </c>
      <c r="E883" s="30" t="s">
        <v>297</v>
      </c>
      <c r="F883" s="30"/>
      <c r="G883" s="31"/>
      <c r="H883" s="30"/>
      <c r="I883" s="30" t="str">
        <f>IF(Table1[[#This Row],[Centre Status]]="Returned","NA",IF(Table1[[#This Row],[SD]]&gt;19000,"Full Payment",IF(Table1[[#This Row],[SD]]&lt;1,"No Payment","Partial Payment")))</f>
        <v>NA</v>
      </c>
      <c r="J883" s="30" t="s">
        <v>1903</v>
      </c>
      <c r="K883" s="32">
        <v>0</v>
      </c>
      <c r="L883" s="33">
        <f>Q883+R883+U883+Table1[[#This Row],[Farmer Payment]]</f>
        <v>0</v>
      </c>
      <c r="M883" s="30"/>
      <c r="N883" s="34"/>
      <c r="O883" s="34"/>
      <c r="P883" s="35">
        <f t="shared" si="84"/>
        <v>0</v>
      </c>
      <c r="Q883" s="33">
        <f>AI883+AV883+CK883+Table1[[#This Row],[FY 25-26]]</f>
        <v>0</v>
      </c>
      <c r="R883" s="36"/>
      <c r="S883" s="37"/>
      <c r="T883" s="38"/>
      <c r="U883" s="39"/>
      <c r="V883" s="39"/>
      <c r="W883" s="40">
        <v>0</v>
      </c>
      <c r="X883" s="40">
        <v>0</v>
      </c>
      <c r="Y883" s="40">
        <v>0</v>
      </c>
      <c r="Z883" s="40">
        <v>0</v>
      </c>
      <c r="AA883" s="40">
        <v>0</v>
      </c>
      <c r="AB883" s="40">
        <v>0</v>
      </c>
      <c r="AC883" s="40">
        <v>0</v>
      </c>
      <c r="AD883" s="40">
        <v>0</v>
      </c>
      <c r="AE883" s="40">
        <v>0</v>
      </c>
      <c r="AF883" s="40">
        <v>0</v>
      </c>
      <c r="AG883" s="40">
        <v>0</v>
      </c>
      <c r="AH883" s="40">
        <v>0</v>
      </c>
      <c r="AI883" s="41">
        <f t="shared" si="85"/>
        <v>0</v>
      </c>
      <c r="AJ883" s="42">
        <v>0</v>
      </c>
      <c r="AK883" s="42">
        <v>0</v>
      </c>
      <c r="AL883" s="42">
        <v>0</v>
      </c>
      <c r="AM883" s="42">
        <v>0</v>
      </c>
      <c r="AN883" s="42">
        <v>0</v>
      </c>
      <c r="AO883" s="42">
        <v>0</v>
      </c>
      <c r="AP883" s="42">
        <v>0</v>
      </c>
      <c r="AQ883" s="42">
        <v>0</v>
      </c>
      <c r="AR883" s="42">
        <v>0</v>
      </c>
      <c r="AS883" s="42">
        <v>0</v>
      </c>
      <c r="AT883" s="42">
        <v>0</v>
      </c>
      <c r="AU883" s="42">
        <v>0</v>
      </c>
      <c r="AV883" s="42">
        <f t="shared" si="86"/>
        <v>0</v>
      </c>
      <c r="AW883" s="42">
        <v>0</v>
      </c>
      <c r="AX883" s="42">
        <v>0</v>
      </c>
      <c r="AY883" s="42">
        <v>0</v>
      </c>
      <c r="AZ883" s="42">
        <v>0</v>
      </c>
      <c r="BA883" s="42">
        <v>0</v>
      </c>
      <c r="BB883" s="42">
        <v>0</v>
      </c>
      <c r="BC883" s="42">
        <v>0</v>
      </c>
      <c r="BD883" s="42">
        <v>0</v>
      </c>
      <c r="BE883" s="42">
        <v>0</v>
      </c>
      <c r="BF883" s="42">
        <v>0</v>
      </c>
      <c r="BG883" s="42">
        <v>0</v>
      </c>
      <c r="BH883" s="42">
        <v>0</v>
      </c>
      <c r="BI883" s="42">
        <v>0</v>
      </c>
      <c r="BJ883" s="42">
        <v>0</v>
      </c>
      <c r="BK883" s="42">
        <v>0</v>
      </c>
      <c r="BL883" s="42">
        <v>0</v>
      </c>
      <c r="BM883" s="42">
        <v>0</v>
      </c>
      <c r="BN883" s="42">
        <v>0</v>
      </c>
      <c r="BO883" s="42">
        <v>0</v>
      </c>
      <c r="BP883" s="42">
        <v>0</v>
      </c>
      <c r="BQ883" s="42">
        <v>0</v>
      </c>
      <c r="BR883" s="42">
        <v>0</v>
      </c>
      <c r="BS883" s="42">
        <v>0</v>
      </c>
      <c r="BT883" s="42">
        <v>0</v>
      </c>
      <c r="BU883" s="42">
        <v>0</v>
      </c>
      <c r="BV883" s="42">
        <v>0</v>
      </c>
      <c r="BW883" s="42">
        <v>0</v>
      </c>
      <c r="BX883" s="42">
        <v>0</v>
      </c>
      <c r="BY883" s="42">
        <v>0</v>
      </c>
      <c r="BZ883" s="42">
        <v>0</v>
      </c>
      <c r="CA883" s="42">
        <v>0</v>
      </c>
      <c r="CB883" s="42">
        <v>0</v>
      </c>
      <c r="CC883" s="42">
        <v>0</v>
      </c>
      <c r="CD883" s="42">
        <v>0</v>
      </c>
      <c r="CE883" s="42">
        <v>0</v>
      </c>
      <c r="CF883" s="42">
        <v>0</v>
      </c>
      <c r="CG883" s="42">
        <v>0</v>
      </c>
      <c r="CH883" s="42">
        <v>0</v>
      </c>
      <c r="CI883" s="42">
        <v>0</v>
      </c>
      <c r="CJ883" s="42">
        <v>0</v>
      </c>
      <c r="CK883" s="43">
        <f t="shared" si="83"/>
        <v>0</v>
      </c>
      <c r="CL883" s="66"/>
      <c r="CM883" s="66">
        <v>0</v>
      </c>
      <c r="CN883" s="66">
        <v>0</v>
      </c>
      <c r="CO883" s="66">
        <v>0</v>
      </c>
      <c r="CP883" s="66">
        <v>0</v>
      </c>
      <c r="CQ883" s="66">
        <v>0</v>
      </c>
      <c r="CR883" s="66">
        <v>0</v>
      </c>
      <c r="CS883" s="66">
        <v>0</v>
      </c>
      <c r="CT883" s="66">
        <v>0</v>
      </c>
      <c r="CU883" s="66">
        <v>0</v>
      </c>
      <c r="CV883" s="66">
        <v>0</v>
      </c>
      <c r="CW883" s="66">
        <v>0</v>
      </c>
      <c r="CX883" s="66">
        <v>0</v>
      </c>
      <c r="CY883" s="66">
        <v>0</v>
      </c>
      <c r="CZ883" s="66">
        <v>0</v>
      </c>
      <c r="DA883" s="66"/>
      <c r="DB883" s="66"/>
      <c r="DC883" s="66"/>
      <c r="DD883" s="66"/>
      <c r="DE883" s="66"/>
      <c r="DF883" s="66"/>
      <c r="DG883" s="66"/>
      <c r="DH883" s="66"/>
      <c r="DI883" s="66"/>
      <c r="DJ883" s="66"/>
      <c r="DK883" s="66">
        <f>SUM(Table1[[#This Row],[01-03 Apr]:[Mar-26]])</f>
        <v>0</v>
      </c>
    </row>
    <row r="884" spans="1:115" hidden="1" x14ac:dyDescent="0.2">
      <c r="A884" s="28" t="s">
        <v>2253</v>
      </c>
      <c r="B884" s="29" t="s">
        <v>1932</v>
      </c>
      <c r="C884" s="29" t="s">
        <v>3364</v>
      </c>
      <c r="D884" s="30" t="s">
        <v>1933</v>
      </c>
      <c r="E884" s="30" t="s">
        <v>63</v>
      </c>
      <c r="F884" s="30"/>
      <c r="G884" s="31"/>
      <c r="H884" s="30">
        <v>364724</v>
      </c>
      <c r="I884" s="30" t="str">
        <f>IF(Table1[[#This Row],[Centre Status]]="Returned","NA",IF(Table1[[#This Row],[SD]]&gt;19000,"Full Payment",IF(Table1[[#This Row],[SD]]&lt;1,"No Payment","Partial Payment")))</f>
        <v>NA</v>
      </c>
      <c r="J884" s="30" t="s">
        <v>1903</v>
      </c>
      <c r="K884" s="32">
        <v>0</v>
      </c>
      <c r="L884" s="33">
        <f>Q884+R884+U884+Table1[[#This Row],[Farmer Payment]]</f>
        <v>24637</v>
      </c>
      <c r="M884" s="30">
        <v>24637</v>
      </c>
      <c r="N884" s="34">
        <v>45380</v>
      </c>
      <c r="O884" s="34"/>
      <c r="P884" s="35">
        <f t="shared" si="84"/>
        <v>0</v>
      </c>
      <c r="Q884" s="33">
        <f>AI884+AV884+CK884+Table1[[#This Row],[FY 25-26]]</f>
        <v>4637</v>
      </c>
      <c r="R884" s="36">
        <v>20000</v>
      </c>
      <c r="S884" s="37" t="s">
        <v>2152</v>
      </c>
      <c r="T884" s="38">
        <v>44901</v>
      </c>
      <c r="U884" s="39"/>
      <c r="V884" s="39"/>
      <c r="W884" s="40">
        <v>0</v>
      </c>
      <c r="X884" s="40">
        <v>0</v>
      </c>
      <c r="Y884" s="40">
        <v>0</v>
      </c>
      <c r="Z884" s="40">
        <v>0</v>
      </c>
      <c r="AA884" s="40">
        <v>0</v>
      </c>
      <c r="AB884" s="40">
        <v>0</v>
      </c>
      <c r="AC884" s="40">
        <v>0</v>
      </c>
      <c r="AD884" s="40">
        <v>0</v>
      </c>
      <c r="AE884" s="40">
        <v>0</v>
      </c>
      <c r="AF884" s="40">
        <v>0</v>
      </c>
      <c r="AG884" s="40">
        <v>0</v>
      </c>
      <c r="AH884" s="40">
        <v>1313</v>
      </c>
      <c r="AI884" s="41">
        <f t="shared" si="85"/>
        <v>1313</v>
      </c>
      <c r="AJ884" s="42">
        <v>1463</v>
      </c>
      <c r="AK884" s="42">
        <v>1861</v>
      </c>
      <c r="AL884" s="42">
        <v>0</v>
      </c>
      <c r="AM884" s="42">
        <v>0</v>
      </c>
      <c r="AN884" s="42">
        <v>0</v>
      </c>
      <c r="AO884" s="42">
        <v>0</v>
      </c>
      <c r="AP884" s="42">
        <v>0</v>
      </c>
      <c r="AQ884" s="42">
        <v>0</v>
      </c>
      <c r="AR884" s="42">
        <v>0</v>
      </c>
      <c r="AS884" s="42">
        <v>0</v>
      </c>
      <c r="AT884" s="42">
        <v>0</v>
      </c>
      <c r="AU884" s="42">
        <v>0</v>
      </c>
      <c r="AV884" s="42">
        <f t="shared" si="86"/>
        <v>3324</v>
      </c>
      <c r="AW884" s="42">
        <v>0</v>
      </c>
      <c r="AX884" s="42">
        <v>0</v>
      </c>
      <c r="AY884" s="42">
        <v>0</v>
      </c>
      <c r="AZ884" s="42">
        <v>0</v>
      </c>
      <c r="BA884" s="42">
        <v>0</v>
      </c>
      <c r="BB884" s="42">
        <v>0</v>
      </c>
      <c r="BC884" s="42">
        <v>0</v>
      </c>
      <c r="BD884" s="42">
        <v>0</v>
      </c>
      <c r="BE884" s="42">
        <v>0</v>
      </c>
      <c r="BF884" s="42">
        <v>0</v>
      </c>
      <c r="BG884" s="42">
        <v>0</v>
      </c>
      <c r="BH884" s="42">
        <v>0</v>
      </c>
      <c r="BI884" s="42">
        <v>0</v>
      </c>
      <c r="BJ884" s="42">
        <v>0</v>
      </c>
      <c r="BK884" s="42">
        <v>0</v>
      </c>
      <c r="BL884" s="42">
        <v>0</v>
      </c>
      <c r="BM884" s="42">
        <v>0</v>
      </c>
      <c r="BN884" s="42">
        <v>0</v>
      </c>
      <c r="BO884" s="42">
        <v>0</v>
      </c>
      <c r="BP884" s="42">
        <v>0</v>
      </c>
      <c r="BQ884" s="42">
        <v>0</v>
      </c>
      <c r="BR884" s="42">
        <v>0</v>
      </c>
      <c r="BS884" s="42">
        <v>0</v>
      </c>
      <c r="BT884" s="42">
        <v>0</v>
      </c>
      <c r="BU884" s="42">
        <v>0</v>
      </c>
      <c r="BV884" s="42">
        <v>0</v>
      </c>
      <c r="BW884" s="42">
        <v>0</v>
      </c>
      <c r="BX884" s="42">
        <v>0</v>
      </c>
      <c r="BY884" s="42">
        <v>0</v>
      </c>
      <c r="BZ884" s="42">
        <v>0</v>
      </c>
      <c r="CA884" s="42">
        <v>0</v>
      </c>
      <c r="CB884" s="42">
        <v>0</v>
      </c>
      <c r="CC884" s="42">
        <v>0</v>
      </c>
      <c r="CD884" s="42">
        <v>0</v>
      </c>
      <c r="CE884" s="42">
        <v>0</v>
      </c>
      <c r="CF884" s="42">
        <v>0</v>
      </c>
      <c r="CG884" s="42">
        <v>0</v>
      </c>
      <c r="CH884" s="42">
        <v>0</v>
      </c>
      <c r="CI884" s="42">
        <v>0</v>
      </c>
      <c r="CJ884" s="42">
        <v>0</v>
      </c>
      <c r="CK884" s="43">
        <f t="shared" si="83"/>
        <v>0</v>
      </c>
      <c r="CL884" s="66"/>
      <c r="CM884" s="66">
        <v>0</v>
      </c>
      <c r="CN884" s="66">
        <v>0</v>
      </c>
      <c r="CO884" s="66">
        <v>0</v>
      </c>
      <c r="CP884" s="66">
        <v>0</v>
      </c>
      <c r="CQ884" s="66">
        <v>0</v>
      </c>
      <c r="CR884" s="66">
        <v>0</v>
      </c>
      <c r="CS884" s="66">
        <v>0</v>
      </c>
      <c r="CT884" s="66">
        <v>0</v>
      </c>
      <c r="CU884" s="66">
        <v>0</v>
      </c>
      <c r="CV884" s="66">
        <v>0</v>
      </c>
      <c r="CW884" s="66">
        <v>0</v>
      </c>
      <c r="CX884" s="66">
        <v>0</v>
      </c>
      <c r="CY884" s="66">
        <v>0</v>
      </c>
      <c r="CZ884" s="66">
        <v>0</v>
      </c>
      <c r="DA884" s="66"/>
      <c r="DB884" s="66"/>
      <c r="DC884" s="66"/>
      <c r="DD884" s="66"/>
      <c r="DE884" s="66"/>
      <c r="DF884" s="66"/>
      <c r="DG884" s="66"/>
      <c r="DH884" s="66"/>
      <c r="DI884" s="66"/>
      <c r="DJ884" s="66"/>
      <c r="DK884" s="66">
        <f>SUM(Table1[[#This Row],[01-03 Apr]:[Mar-26]])</f>
        <v>0</v>
      </c>
    </row>
    <row r="885" spans="1:115" hidden="1" x14ac:dyDescent="0.2">
      <c r="A885" s="28" t="s">
        <v>2254</v>
      </c>
      <c r="B885" s="29" t="s">
        <v>1934</v>
      </c>
      <c r="C885" s="29" t="s">
        <v>3336</v>
      </c>
      <c r="D885" s="30" t="s">
        <v>1935</v>
      </c>
      <c r="E885" s="30" t="s">
        <v>57</v>
      </c>
      <c r="F885" s="30"/>
      <c r="G885" s="31"/>
      <c r="H885" s="30">
        <v>381343</v>
      </c>
      <c r="I885" s="30" t="str">
        <f>IF(Table1[[#This Row],[Centre Status]]="Returned","NA",IF(Table1[[#This Row],[SD]]&gt;19000,"Full Payment",IF(Table1[[#This Row],[SD]]&lt;1,"No Payment","Partial Payment")))</f>
        <v>NA</v>
      </c>
      <c r="J885" s="30" t="s">
        <v>1903</v>
      </c>
      <c r="K885" s="32">
        <v>0</v>
      </c>
      <c r="L885" s="33">
        <f>Q885+R885+U885+Table1[[#This Row],[Farmer Payment]]</f>
        <v>28396.353800000001</v>
      </c>
      <c r="M885" s="30">
        <v>0</v>
      </c>
      <c r="N885" s="34">
        <v>45380</v>
      </c>
      <c r="O885" s="34"/>
      <c r="P885" s="35">
        <f t="shared" si="84"/>
        <v>-28396.353800000001</v>
      </c>
      <c r="Q885" s="33">
        <f>AI885+AV885+CK885+Table1[[#This Row],[FY 25-26]]</f>
        <v>8396.3538000000008</v>
      </c>
      <c r="R885" s="36">
        <v>20000</v>
      </c>
      <c r="S885" s="37" t="s">
        <v>2153</v>
      </c>
      <c r="T885" s="38">
        <v>44909</v>
      </c>
      <c r="U885" s="39"/>
      <c r="V885" s="39"/>
      <c r="W885" s="40">
        <v>0</v>
      </c>
      <c r="X885" s="40">
        <v>0</v>
      </c>
      <c r="Y885" s="40">
        <v>0</v>
      </c>
      <c r="Z885" s="40">
        <v>0</v>
      </c>
      <c r="AA885" s="40">
        <v>0</v>
      </c>
      <c r="AB885" s="40">
        <v>0</v>
      </c>
      <c r="AC885" s="40">
        <v>0</v>
      </c>
      <c r="AD885" s="40">
        <v>0</v>
      </c>
      <c r="AE885" s="40">
        <v>0</v>
      </c>
      <c r="AF885" s="40">
        <v>0</v>
      </c>
      <c r="AG885" s="40">
        <v>1861</v>
      </c>
      <c r="AH885" s="40">
        <v>1861</v>
      </c>
      <c r="AI885" s="41">
        <f t="shared" si="85"/>
        <v>3722</v>
      </c>
      <c r="AJ885" s="42">
        <v>1861</v>
      </c>
      <c r="AK885" s="42">
        <v>1973.3538000000001</v>
      </c>
      <c r="AL885" s="42">
        <v>840</v>
      </c>
      <c r="AM885" s="42">
        <v>0</v>
      </c>
      <c r="AN885" s="42">
        <v>0</v>
      </c>
      <c r="AO885" s="42">
        <v>0</v>
      </c>
      <c r="AP885" s="42">
        <v>0</v>
      </c>
      <c r="AQ885" s="42">
        <v>0</v>
      </c>
      <c r="AR885" s="42">
        <v>0</v>
      </c>
      <c r="AS885" s="42">
        <v>0</v>
      </c>
      <c r="AT885" s="42">
        <v>0</v>
      </c>
      <c r="AU885" s="42">
        <v>0</v>
      </c>
      <c r="AV885" s="42">
        <f t="shared" si="86"/>
        <v>4674.3537999999999</v>
      </c>
      <c r="AW885" s="42">
        <v>0</v>
      </c>
      <c r="AX885" s="42">
        <v>0</v>
      </c>
      <c r="AY885" s="42">
        <v>0</v>
      </c>
      <c r="AZ885" s="42">
        <v>0</v>
      </c>
      <c r="BA885" s="42">
        <v>0</v>
      </c>
      <c r="BB885" s="42">
        <v>0</v>
      </c>
      <c r="BC885" s="42">
        <v>0</v>
      </c>
      <c r="BD885" s="42">
        <v>0</v>
      </c>
      <c r="BE885" s="42">
        <v>0</v>
      </c>
      <c r="BF885" s="42">
        <v>0</v>
      </c>
      <c r="BG885" s="42">
        <v>0</v>
      </c>
      <c r="BH885" s="42">
        <v>0</v>
      </c>
      <c r="BI885" s="42">
        <v>0</v>
      </c>
      <c r="BJ885" s="42">
        <v>0</v>
      </c>
      <c r="BK885" s="42">
        <v>0</v>
      </c>
      <c r="BL885" s="42">
        <v>0</v>
      </c>
      <c r="BM885" s="42">
        <v>0</v>
      </c>
      <c r="BN885" s="42">
        <v>0</v>
      </c>
      <c r="BO885" s="42">
        <v>0</v>
      </c>
      <c r="BP885" s="42">
        <v>0</v>
      </c>
      <c r="BQ885" s="42">
        <v>0</v>
      </c>
      <c r="BR885" s="42">
        <v>0</v>
      </c>
      <c r="BS885" s="42">
        <v>0</v>
      </c>
      <c r="BT885" s="42">
        <v>0</v>
      </c>
      <c r="BU885" s="42">
        <v>0</v>
      </c>
      <c r="BV885" s="42">
        <v>0</v>
      </c>
      <c r="BW885" s="42">
        <v>0</v>
      </c>
      <c r="BX885" s="42">
        <v>0</v>
      </c>
      <c r="BY885" s="42">
        <v>0</v>
      </c>
      <c r="BZ885" s="42">
        <v>0</v>
      </c>
      <c r="CA885" s="42">
        <v>0</v>
      </c>
      <c r="CB885" s="42">
        <v>0</v>
      </c>
      <c r="CC885" s="42">
        <v>0</v>
      </c>
      <c r="CD885" s="42">
        <v>0</v>
      </c>
      <c r="CE885" s="42">
        <v>0</v>
      </c>
      <c r="CF885" s="42">
        <v>0</v>
      </c>
      <c r="CG885" s="42">
        <v>0</v>
      </c>
      <c r="CH885" s="42">
        <v>0</v>
      </c>
      <c r="CI885" s="42">
        <v>0</v>
      </c>
      <c r="CJ885" s="42">
        <v>0</v>
      </c>
      <c r="CK885" s="43">
        <f t="shared" si="83"/>
        <v>0</v>
      </c>
      <c r="CL885" s="66"/>
      <c r="CM885" s="66">
        <v>0</v>
      </c>
      <c r="CN885" s="66">
        <v>0</v>
      </c>
      <c r="CO885" s="66">
        <v>0</v>
      </c>
      <c r="CP885" s="66">
        <v>0</v>
      </c>
      <c r="CQ885" s="66">
        <v>0</v>
      </c>
      <c r="CR885" s="66">
        <v>0</v>
      </c>
      <c r="CS885" s="66">
        <v>0</v>
      </c>
      <c r="CT885" s="66">
        <v>0</v>
      </c>
      <c r="CU885" s="66">
        <v>0</v>
      </c>
      <c r="CV885" s="66">
        <v>0</v>
      </c>
      <c r="CW885" s="66">
        <v>0</v>
      </c>
      <c r="CX885" s="66">
        <v>0</v>
      </c>
      <c r="CY885" s="66">
        <v>0</v>
      </c>
      <c r="CZ885" s="66">
        <v>0</v>
      </c>
      <c r="DA885" s="66"/>
      <c r="DB885" s="66"/>
      <c r="DC885" s="66"/>
      <c r="DD885" s="66"/>
      <c r="DE885" s="66"/>
      <c r="DF885" s="66"/>
      <c r="DG885" s="66"/>
      <c r="DH885" s="66"/>
      <c r="DI885" s="66"/>
      <c r="DJ885" s="66"/>
      <c r="DK885" s="66">
        <f>SUM(Table1[[#This Row],[01-03 Apr]:[Mar-26]])</f>
        <v>0</v>
      </c>
    </row>
    <row r="886" spans="1:115" hidden="1" x14ac:dyDescent="0.2">
      <c r="A886" s="28" t="s">
        <v>371</v>
      </c>
      <c r="B886" s="29" t="s">
        <v>1936</v>
      </c>
      <c r="C886" s="29" t="s">
        <v>3336</v>
      </c>
      <c r="D886" s="30" t="s">
        <v>1937</v>
      </c>
      <c r="E886" s="30" t="s">
        <v>203</v>
      </c>
      <c r="F886" s="30"/>
      <c r="G886" s="31"/>
      <c r="H886" s="30"/>
      <c r="I886" s="30" t="str">
        <f>IF(Table1[[#This Row],[Centre Status]]="Returned","NA",IF(Table1[[#This Row],[SD]]&gt;19000,"Full Payment",IF(Table1[[#This Row],[SD]]&lt;1,"No Payment","Partial Payment")))</f>
        <v>NA</v>
      </c>
      <c r="J886" s="30" t="s">
        <v>1903</v>
      </c>
      <c r="K886" s="32">
        <v>0</v>
      </c>
      <c r="L886" s="33">
        <f>Q886+R886+U886+Table1[[#This Row],[Farmer Payment]]</f>
        <v>0</v>
      </c>
      <c r="M886" s="30"/>
      <c r="N886" s="34"/>
      <c r="O886" s="34"/>
      <c r="P886" s="35">
        <f t="shared" si="84"/>
        <v>0</v>
      </c>
      <c r="Q886" s="33">
        <f>AI886+AV886+CK886+Table1[[#This Row],[FY 25-26]]</f>
        <v>0</v>
      </c>
      <c r="R886" s="36"/>
      <c r="S886" s="37"/>
      <c r="T886" s="38"/>
      <c r="U886" s="39"/>
      <c r="V886" s="39"/>
      <c r="W886" s="40">
        <v>0</v>
      </c>
      <c r="X886" s="40">
        <v>0</v>
      </c>
      <c r="Y886" s="40">
        <v>0</v>
      </c>
      <c r="Z886" s="40">
        <v>0</v>
      </c>
      <c r="AA886" s="40">
        <v>0</v>
      </c>
      <c r="AB886" s="40">
        <v>0</v>
      </c>
      <c r="AC886" s="40">
        <v>0</v>
      </c>
      <c r="AD886" s="40">
        <v>0</v>
      </c>
      <c r="AE886" s="40">
        <v>0</v>
      </c>
      <c r="AF886" s="40">
        <v>0</v>
      </c>
      <c r="AG886" s="40">
        <v>0</v>
      </c>
      <c r="AH886" s="40">
        <v>0</v>
      </c>
      <c r="AI886" s="41">
        <f t="shared" si="85"/>
        <v>0</v>
      </c>
      <c r="AJ886" s="42">
        <v>0</v>
      </c>
      <c r="AK886" s="42">
        <v>0</v>
      </c>
      <c r="AL886" s="42">
        <v>0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>
        <v>0</v>
      </c>
      <c r="AS886" s="42">
        <v>0</v>
      </c>
      <c r="AT886" s="42">
        <v>0</v>
      </c>
      <c r="AU886" s="42">
        <v>0</v>
      </c>
      <c r="AV886" s="42">
        <f t="shared" si="86"/>
        <v>0</v>
      </c>
      <c r="AW886" s="42">
        <v>0</v>
      </c>
      <c r="AX886" s="42">
        <v>0</v>
      </c>
      <c r="AY886" s="42">
        <v>0</v>
      </c>
      <c r="AZ886" s="42">
        <v>0</v>
      </c>
      <c r="BA886" s="42">
        <v>0</v>
      </c>
      <c r="BB886" s="42">
        <v>0</v>
      </c>
      <c r="BC886" s="42">
        <v>0</v>
      </c>
      <c r="BD886" s="42">
        <v>0</v>
      </c>
      <c r="BE886" s="42">
        <v>0</v>
      </c>
      <c r="BF886" s="42">
        <v>0</v>
      </c>
      <c r="BG886" s="42">
        <v>0</v>
      </c>
      <c r="BH886" s="42">
        <v>0</v>
      </c>
      <c r="BI886" s="42">
        <v>0</v>
      </c>
      <c r="BJ886" s="42">
        <v>0</v>
      </c>
      <c r="BK886" s="42">
        <v>0</v>
      </c>
      <c r="BL886" s="42">
        <v>0</v>
      </c>
      <c r="BM886" s="42">
        <v>0</v>
      </c>
      <c r="BN886" s="42">
        <v>0</v>
      </c>
      <c r="BO886" s="42">
        <v>0</v>
      </c>
      <c r="BP886" s="42">
        <v>0</v>
      </c>
      <c r="BQ886" s="42">
        <v>0</v>
      </c>
      <c r="BR886" s="42">
        <v>0</v>
      </c>
      <c r="BS886" s="42">
        <v>0</v>
      </c>
      <c r="BT886" s="42">
        <v>0</v>
      </c>
      <c r="BU886" s="42">
        <v>0</v>
      </c>
      <c r="BV886" s="42">
        <v>0</v>
      </c>
      <c r="BW886" s="42">
        <v>0</v>
      </c>
      <c r="BX886" s="42">
        <v>0</v>
      </c>
      <c r="BY886" s="42">
        <v>0</v>
      </c>
      <c r="BZ886" s="42">
        <v>0</v>
      </c>
      <c r="CA886" s="42">
        <v>0</v>
      </c>
      <c r="CB886" s="42">
        <v>0</v>
      </c>
      <c r="CC886" s="42">
        <v>0</v>
      </c>
      <c r="CD886" s="42">
        <v>0</v>
      </c>
      <c r="CE886" s="42">
        <v>0</v>
      </c>
      <c r="CF886" s="42">
        <v>0</v>
      </c>
      <c r="CG886" s="42">
        <v>0</v>
      </c>
      <c r="CH886" s="42">
        <v>0</v>
      </c>
      <c r="CI886" s="42">
        <v>0</v>
      </c>
      <c r="CJ886" s="42">
        <v>0</v>
      </c>
      <c r="CK886" s="43">
        <f t="shared" si="83"/>
        <v>0</v>
      </c>
      <c r="CL886" s="66"/>
      <c r="CM886" s="66">
        <v>0</v>
      </c>
      <c r="CN886" s="66">
        <v>0</v>
      </c>
      <c r="CO886" s="66">
        <v>0</v>
      </c>
      <c r="CP886" s="66">
        <v>0</v>
      </c>
      <c r="CQ886" s="66">
        <v>0</v>
      </c>
      <c r="CR886" s="66">
        <v>0</v>
      </c>
      <c r="CS886" s="66">
        <v>0</v>
      </c>
      <c r="CT886" s="66">
        <v>0</v>
      </c>
      <c r="CU886" s="66">
        <v>0</v>
      </c>
      <c r="CV886" s="66">
        <v>0</v>
      </c>
      <c r="CW886" s="66">
        <v>0</v>
      </c>
      <c r="CX886" s="66">
        <v>0</v>
      </c>
      <c r="CY886" s="66">
        <v>0</v>
      </c>
      <c r="CZ886" s="66">
        <v>0</v>
      </c>
      <c r="DA886" s="66"/>
      <c r="DB886" s="66"/>
      <c r="DC886" s="66"/>
      <c r="DD886" s="66"/>
      <c r="DE886" s="66"/>
      <c r="DF886" s="66"/>
      <c r="DG886" s="66"/>
      <c r="DH886" s="66"/>
      <c r="DI886" s="66"/>
      <c r="DJ886" s="66"/>
      <c r="DK886" s="66">
        <f>SUM(Table1[[#This Row],[01-03 Apr]:[Mar-26]])</f>
        <v>0</v>
      </c>
    </row>
    <row r="887" spans="1:115" hidden="1" x14ac:dyDescent="0.2">
      <c r="A887" s="28" t="s">
        <v>371</v>
      </c>
      <c r="B887" s="29" t="s">
        <v>1938</v>
      </c>
      <c r="C887" s="29" t="s">
        <v>3336</v>
      </c>
      <c r="D887" s="30" t="s">
        <v>1939</v>
      </c>
      <c r="E887" s="30" t="s">
        <v>297</v>
      </c>
      <c r="F887" s="30"/>
      <c r="G887" s="31"/>
      <c r="H887" s="30"/>
      <c r="I887" s="30" t="str">
        <f>IF(Table1[[#This Row],[Centre Status]]="Returned","NA",IF(Table1[[#This Row],[SD]]&gt;19000,"Full Payment",IF(Table1[[#This Row],[SD]]&lt;1,"No Payment","Partial Payment")))</f>
        <v>NA</v>
      </c>
      <c r="J887" s="30" t="s">
        <v>1903</v>
      </c>
      <c r="K887" s="32">
        <v>0</v>
      </c>
      <c r="L887" s="33">
        <f>Q887+R887+U887+Table1[[#This Row],[Farmer Payment]]</f>
        <v>20148</v>
      </c>
      <c r="M887" s="30"/>
      <c r="N887" s="34"/>
      <c r="O887" s="34"/>
      <c r="P887" s="35">
        <f t="shared" si="84"/>
        <v>-20148</v>
      </c>
      <c r="Q887" s="33">
        <f>AI887+AV887+CK887+Table1[[#This Row],[FY 25-26]]</f>
        <v>148</v>
      </c>
      <c r="R887" s="36">
        <v>20000</v>
      </c>
      <c r="S887" s="37" t="s">
        <v>2154</v>
      </c>
      <c r="T887" s="38">
        <v>44712</v>
      </c>
      <c r="U887" s="39"/>
      <c r="V887" s="39"/>
      <c r="W887" s="40">
        <v>0</v>
      </c>
      <c r="X887" s="40">
        <v>0</v>
      </c>
      <c r="Y887" s="40">
        <v>0</v>
      </c>
      <c r="Z887" s="40">
        <v>0</v>
      </c>
      <c r="AA887" s="40">
        <v>148</v>
      </c>
      <c r="AB887" s="40">
        <v>0</v>
      </c>
      <c r="AC887" s="40">
        <v>0</v>
      </c>
      <c r="AD887" s="40">
        <v>0</v>
      </c>
      <c r="AE887" s="40">
        <v>0</v>
      </c>
      <c r="AF887" s="40">
        <v>0</v>
      </c>
      <c r="AG887" s="40">
        <v>0</v>
      </c>
      <c r="AH887" s="40">
        <v>0</v>
      </c>
      <c r="AI887" s="41">
        <f t="shared" si="85"/>
        <v>148</v>
      </c>
      <c r="AJ887" s="42">
        <v>0</v>
      </c>
      <c r="AK887" s="42">
        <v>0</v>
      </c>
      <c r="AL887" s="42">
        <v>0</v>
      </c>
      <c r="AM887" s="42">
        <v>0</v>
      </c>
      <c r="AN887" s="42">
        <v>0</v>
      </c>
      <c r="AO887" s="42">
        <v>0</v>
      </c>
      <c r="AP887" s="42">
        <v>0</v>
      </c>
      <c r="AQ887" s="42">
        <v>0</v>
      </c>
      <c r="AR887" s="42">
        <v>0</v>
      </c>
      <c r="AS887" s="42">
        <v>0</v>
      </c>
      <c r="AT887" s="42">
        <v>0</v>
      </c>
      <c r="AU887" s="42">
        <v>0</v>
      </c>
      <c r="AV887" s="42">
        <f t="shared" si="86"/>
        <v>0</v>
      </c>
      <c r="AW887" s="42">
        <v>0</v>
      </c>
      <c r="AX887" s="42">
        <v>0</v>
      </c>
      <c r="AY887" s="42">
        <v>0</v>
      </c>
      <c r="AZ887" s="42">
        <v>0</v>
      </c>
      <c r="BA887" s="42">
        <v>0</v>
      </c>
      <c r="BB887" s="42">
        <v>0</v>
      </c>
      <c r="BC887" s="42">
        <v>0</v>
      </c>
      <c r="BD887" s="42">
        <v>0</v>
      </c>
      <c r="BE887" s="42">
        <v>0</v>
      </c>
      <c r="BF887" s="42">
        <v>0</v>
      </c>
      <c r="BG887" s="42">
        <v>0</v>
      </c>
      <c r="BH887" s="42">
        <v>0</v>
      </c>
      <c r="BI887" s="42">
        <v>0</v>
      </c>
      <c r="BJ887" s="42">
        <v>0</v>
      </c>
      <c r="BK887" s="42">
        <v>0</v>
      </c>
      <c r="BL887" s="42">
        <v>0</v>
      </c>
      <c r="BM887" s="42">
        <v>0</v>
      </c>
      <c r="BN887" s="42">
        <v>0</v>
      </c>
      <c r="BO887" s="42">
        <v>0</v>
      </c>
      <c r="BP887" s="42">
        <v>0</v>
      </c>
      <c r="BQ887" s="42">
        <v>0</v>
      </c>
      <c r="BR887" s="42">
        <v>0</v>
      </c>
      <c r="BS887" s="42">
        <v>0</v>
      </c>
      <c r="BT887" s="42">
        <v>0</v>
      </c>
      <c r="BU887" s="42">
        <v>0</v>
      </c>
      <c r="BV887" s="42">
        <v>0</v>
      </c>
      <c r="BW887" s="42">
        <v>0</v>
      </c>
      <c r="BX887" s="42">
        <v>0</v>
      </c>
      <c r="BY887" s="42">
        <v>0</v>
      </c>
      <c r="BZ887" s="42">
        <v>0</v>
      </c>
      <c r="CA887" s="42">
        <v>0</v>
      </c>
      <c r="CB887" s="42">
        <v>0</v>
      </c>
      <c r="CC887" s="42">
        <v>0</v>
      </c>
      <c r="CD887" s="42">
        <v>0</v>
      </c>
      <c r="CE887" s="42">
        <v>0</v>
      </c>
      <c r="CF887" s="42">
        <v>0</v>
      </c>
      <c r="CG887" s="42">
        <v>0</v>
      </c>
      <c r="CH887" s="42">
        <v>0</v>
      </c>
      <c r="CI887" s="42">
        <v>0</v>
      </c>
      <c r="CJ887" s="42">
        <v>0</v>
      </c>
      <c r="CK887" s="43">
        <f t="shared" si="83"/>
        <v>0</v>
      </c>
      <c r="CL887" s="66"/>
      <c r="CM887" s="66">
        <v>0</v>
      </c>
      <c r="CN887" s="66">
        <v>0</v>
      </c>
      <c r="CO887" s="66">
        <v>0</v>
      </c>
      <c r="CP887" s="66">
        <v>0</v>
      </c>
      <c r="CQ887" s="66">
        <v>0</v>
      </c>
      <c r="CR887" s="66">
        <v>0</v>
      </c>
      <c r="CS887" s="66">
        <v>0</v>
      </c>
      <c r="CT887" s="66">
        <v>0</v>
      </c>
      <c r="CU887" s="66">
        <v>0</v>
      </c>
      <c r="CV887" s="66">
        <v>0</v>
      </c>
      <c r="CW887" s="66">
        <v>0</v>
      </c>
      <c r="CX887" s="66">
        <v>0</v>
      </c>
      <c r="CY887" s="66">
        <v>0</v>
      </c>
      <c r="CZ887" s="66">
        <v>0</v>
      </c>
      <c r="DA887" s="66"/>
      <c r="DB887" s="66"/>
      <c r="DC887" s="66"/>
      <c r="DD887" s="66"/>
      <c r="DE887" s="66"/>
      <c r="DF887" s="66"/>
      <c r="DG887" s="66"/>
      <c r="DH887" s="66"/>
      <c r="DI887" s="66"/>
      <c r="DJ887" s="66"/>
      <c r="DK887" s="66">
        <f>SUM(Table1[[#This Row],[01-03 Apr]:[Mar-26]])</f>
        <v>0</v>
      </c>
    </row>
    <row r="888" spans="1:115" hidden="1" x14ac:dyDescent="0.2">
      <c r="A888" s="28" t="s">
        <v>371</v>
      </c>
      <c r="B888" s="29" t="s">
        <v>1940</v>
      </c>
      <c r="C888" s="29" t="s">
        <v>3336</v>
      </c>
      <c r="D888" s="30" t="s">
        <v>1941</v>
      </c>
      <c r="E888" s="30" t="s">
        <v>203</v>
      </c>
      <c r="F888" s="30"/>
      <c r="G888" s="31"/>
      <c r="H888" s="30"/>
      <c r="I888" s="30" t="str">
        <f>IF(Table1[[#This Row],[Centre Status]]="Returned","NA",IF(Table1[[#This Row],[SD]]&gt;19000,"Full Payment",IF(Table1[[#This Row],[SD]]&lt;1,"No Payment","Partial Payment")))</f>
        <v>NA</v>
      </c>
      <c r="J888" s="30" t="s">
        <v>1903</v>
      </c>
      <c r="K888" s="32">
        <v>0</v>
      </c>
      <c r="L888" s="33">
        <f>Q888+R888+U888+Table1[[#This Row],[Farmer Payment]]</f>
        <v>0</v>
      </c>
      <c r="M888" s="30"/>
      <c r="N888" s="34"/>
      <c r="O888" s="34"/>
      <c r="P888" s="35">
        <f t="shared" si="84"/>
        <v>0</v>
      </c>
      <c r="Q888" s="33">
        <f>AI888+AV888+CK888+Table1[[#This Row],[FY 25-26]]</f>
        <v>0</v>
      </c>
      <c r="R888" s="36"/>
      <c r="S888" s="37"/>
      <c r="T888" s="38"/>
      <c r="U888" s="39"/>
      <c r="V888" s="39"/>
      <c r="W888" s="40">
        <v>0</v>
      </c>
      <c r="X888" s="40">
        <v>0</v>
      </c>
      <c r="Y888" s="40">
        <v>0</v>
      </c>
      <c r="Z888" s="40">
        <v>0</v>
      </c>
      <c r="AA888" s="40">
        <v>0</v>
      </c>
      <c r="AB888" s="40">
        <v>0</v>
      </c>
      <c r="AC888" s="40">
        <v>0</v>
      </c>
      <c r="AD888" s="40">
        <v>0</v>
      </c>
      <c r="AE888" s="40">
        <v>0</v>
      </c>
      <c r="AF888" s="40">
        <v>0</v>
      </c>
      <c r="AG888" s="40">
        <v>0</v>
      </c>
      <c r="AH888" s="40">
        <v>0</v>
      </c>
      <c r="AI888" s="41">
        <f t="shared" si="85"/>
        <v>0</v>
      </c>
      <c r="AJ888" s="42">
        <v>0</v>
      </c>
      <c r="AK888" s="42">
        <v>0</v>
      </c>
      <c r="AL888" s="42">
        <v>0</v>
      </c>
      <c r="AM888" s="42">
        <v>0</v>
      </c>
      <c r="AN888" s="42">
        <v>0</v>
      </c>
      <c r="AO888" s="42">
        <v>0</v>
      </c>
      <c r="AP888" s="42">
        <v>0</v>
      </c>
      <c r="AQ888" s="42">
        <v>0</v>
      </c>
      <c r="AR888" s="42">
        <v>0</v>
      </c>
      <c r="AS888" s="42">
        <v>0</v>
      </c>
      <c r="AT888" s="42">
        <v>0</v>
      </c>
      <c r="AU888" s="42">
        <v>0</v>
      </c>
      <c r="AV888" s="42">
        <f t="shared" si="86"/>
        <v>0</v>
      </c>
      <c r="AW888" s="42">
        <v>0</v>
      </c>
      <c r="AX888" s="42">
        <v>0</v>
      </c>
      <c r="AY888" s="42">
        <v>0</v>
      </c>
      <c r="AZ888" s="42">
        <v>0</v>
      </c>
      <c r="BA888" s="42">
        <v>0</v>
      </c>
      <c r="BB888" s="42">
        <v>0</v>
      </c>
      <c r="BC888" s="42">
        <v>0</v>
      </c>
      <c r="BD888" s="42">
        <v>0</v>
      </c>
      <c r="BE888" s="42">
        <v>0</v>
      </c>
      <c r="BF888" s="42">
        <v>0</v>
      </c>
      <c r="BG888" s="42">
        <v>0</v>
      </c>
      <c r="BH888" s="42">
        <v>0</v>
      </c>
      <c r="BI888" s="42">
        <v>0</v>
      </c>
      <c r="BJ888" s="42">
        <v>0</v>
      </c>
      <c r="BK888" s="42">
        <v>0</v>
      </c>
      <c r="BL888" s="42">
        <v>0</v>
      </c>
      <c r="BM888" s="42">
        <v>0</v>
      </c>
      <c r="BN888" s="42">
        <v>0</v>
      </c>
      <c r="BO888" s="42">
        <v>0</v>
      </c>
      <c r="BP888" s="42">
        <v>0</v>
      </c>
      <c r="BQ888" s="42">
        <v>0</v>
      </c>
      <c r="BR888" s="42">
        <v>0</v>
      </c>
      <c r="BS888" s="42">
        <v>0</v>
      </c>
      <c r="BT888" s="42">
        <v>0</v>
      </c>
      <c r="BU888" s="42">
        <v>0</v>
      </c>
      <c r="BV888" s="42">
        <v>0</v>
      </c>
      <c r="BW888" s="42">
        <v>0</v>
      </c>
      <c r="BX888" s="42">
        <v>0</v>
      </c>
      <c r="BY888" s="42">
        <v>0</v>
      </c>
      <c r="BZ888" s="42">
        <v>0</v>
      </c>
      <c r="CA888" s="42">
        <v>0</v>
      </c>
      <c r="CB888" s="42">
        <v>0</v>
      </c>
      <c r="CC888" s="42">
        <v>0</v>
      </c>
      <c r="CD888" s="42">
        <v>0</v>
      </c>
      <c r="CE888" s="42">
        <v>0</v>
      </c>
      <c r="CF888" s="42">
        <v>0</v>
      </c>
      <c r="CG888" s="42">
        <v>0</v>
      </c>
      <c r="CH888" s="42">
        <v>0</v>
      </c>
      <c r="CI888" s="42">
        <v>0</v>
      </c>
      <c r="CJ888" s="42">
        <v>0</v>
      </c>
      <c r="CK888" s="43">
        <f t="shared" si="83"/>
        <v>0</v>
      </c>
      <c r="CL888" s="66"/>
      <c r="CM888" s="66">
        <v>0</v>
      </c>
      <c r="CN888" s="66">
        <v>0</v>
      </c>
      <c r="CO888" s="66">
        <v>0</v>
      </c>
      <c r="CP888" s="66">
        <v>0</v>
      </c>
      <c r="CQ888" s="66">
        <v>0</v>
      </c>
      <c r="CR888" s="66">
        <v>0</v>
      </c>
      <c r="CS888" s="66">
        <v>0</v>
      </c>
      <c r="CT888" s="66">
        <v>0</v>
      </c>
      <c r="CU888" s="66">
        <v>0</v>
      </c>
      <c r="CV888" s="66">
        <v>0</v>
      </c>
      <c r="CW888" s="66">
        <v>0</v>
      </c>
      <c r="CX888" s="66">
        <v>0</v>
      </c>
      <c r="CY888" s="66">
        <v>0</v>
      </c>
      <c r="CZ888" s="66">
        <v>0</v>
      </c>
      <c r="DA888" s="66"/>
      <c r="DB888" s="66"/>
      <c r="DC888" s="66"/>
      <c r="DD888" s="66"/>
      <c r="DE888" s="66"/>
      <c r="DF888" s="66"/>
      <c r="DG888" s="66"/>
      <c r="DH888" s="66"/>
      <c r="DI888" s="66"/>
      <c r="DJ888" s="66"/>
      <c r="DK888" s="66">
        <f>SUM(Table1[[#This Row],[01-03 Apr]:[Mar-26]])</f>
        <v>0</v>
      </c>
    </row>
    <row r="889" spans="1:115" hidden="1" x14ac:dyDescent="0.2">
      <c r="A889" s="28" t="s">
        <v>371</v>
      </c>
      <c r="B889" s="29" t="s">
        <v>1942</v>
      </c>
      <c r="C889" s="29" t="s">
        <v>3336</v>
      </c>
      <c r="D889" s="30" t="s">
        <v>1943</v>
      </c>
      <c r="E889" s="30" t="s">
        <v>203</v>
      </c>
      <c r="F889" s="30"/>
      <c r="G889" s="31"/>
      <c r="H889" s="30"/>
      <c r="I889" s="30" t="str">
        <f>IF(Table1[[#This Row],[Centre Status]]="Returned","NA",IF(Table1[[#This Row],[SD]]&gt;19000,"Full Payment",IF(Table1[[#This Row],[SD]]&lt;1,"No Payment","Partial Payment")))</f>
        <v>NA</v>
      </c>
      <c r="J889" s="30" t="s">
        <v>1903</v>
      </c>
      <c r="K889" s="32">
        <v>0</v>
      </c>
      <c r="L889" s="33">
        <f>Q889+R889+U889+Table1[[#This Row],[Farmer Payment]]</f>
        <v>1210</v>
      </c>
      <c r="M889" s="30"/>
      <c r="N889" s="34"/>
      <c r="O889" s="34"/>
      <c r="P889" s="35">
        <f t="shared" si="84"/>
        <v>-1210</v>
      </c>
      <c r="Q889" s="33">
        <f>AI889+AV889+CK889+Table1[[#This Row],[FY 25-26]]</f>
        <v>1210</v>
      </c>
      <c r="R889" s="36"/>
      <c r="S889" s="37"/>
      <c r="T889" s="38"/>
      <c r="U889" s="39"/>
      <c r="V889" s="39"/>
      <c r="W889" s="40">
        <v>0</v>
      </c>
      <c r="X889" s="40">
        <v>0</v>
      </c>
      <c r="Y889" s="40">
        <v>0</v>
      </c>
      <c r="Z889" s="40">
        <v>0</v>
      </c>
      <c r="AA889" s="40">
        <v>0</v>
      </c>
      <c r="AB889" s="40">
        <v>0</v>
      </c>
      <c r="AC889" s="40">
        <v>0</v>
      </c>
      <c r="AD889" s="40">
        <v>0</v>
      </c>
      <c r="AE889" s="40">
        <v>0</v>
      </c>
      <c r="AF889" s="40">
        <v>0</v>
      </c>
      <c r="AG889" s="40">
        <v>0</v>
      </c>
      <c r="AH889" s="40">
        <v>44</v>
      </c>
      <c r="AI889" s="41">
        <f t="shared" si="85"/>
        <v>44</v>
      </c>
      <c r="AJ889" s="42">
        <v>807</v>
      </c>
      <c r="AK889" s="42">
        <v>359</v>
      </c>
      <c r="AL889" s="42">
        <v>0</v>
      </c>
      <c r="AM889" s="42">
        <v>0</v>
      </c>
      <c r="AN889" s="42">
        <v>0</v>
      </c>
      <c r="AO889" s="42">
        <v>0</v>
      </c>
      <c r="AP889" s="42">
        <v>0</v>
      </c>
      <c r="AQ889" s="42">
        <v>0</v>
      </c>
      <c r="AR889" s="42">
        <v>0</v>
      </c>
      <c r="AS889" s="42">
        <v>0</v>
      </c>
      <c r="AT889" s="42">
        <v>0</v>
      </c>
      <c r="AU889" s="42">
        <v>0</v>
      </c>
      <c r="AV889" s="42">
        <f t="shared" si="86"/>
        <v>1166</v>
      </c>
      <c r="AW889" s="42">
        <v>0</v>
      </c>
      <c r="AX889" s="42">
        <v>0</v>
      </c>
      <c r="AY889" s="42">
        <v>0</v>
      </c>
      <c r="AZ889" s="42">
        <v>0</v>
      </c>
      <c r="BA889" s="42">
        <v>0</v>
      </c>
      <c r="BB889" s="42">
        <v>0</v>
      </c>
      <c r="BC889" s="42">
        <v>0</v>
      </c>
      <c r="BD889" s="42">
        <v>0</v>
      </c>
      <c r="BE889" s="42">
        <v>0</v>
      </c>
      <c r="BF889" s="42">
        <v>0</v>
      </c>
      <c r="BG889" s="42">
        <v>0</v>
      </c>
      <c r="BH889" s="42">
        <v>0</v>
      </c>
      <c r="BI889" s="42">
        <v>0</v>
      </c>
      <c r="BJ889" s="42">
        <v>0</v>
      </c>
      <c r="BK889" s="42">
        <v>0</v>
      </c>
      <c r="BL889" s="42">
        <v>0</v>
      </c>
      <c r="BM889" s="42">
        <v>0</v>
      </c>
      <c r="BN889" s="42">
        <v>0</v>
      </c>
      <c r="BO889" s="42">
        <v>0</v>
      </c>
      <c r="BP889" s="42">
        <v>0</v>
      </c>
      <c r="BQ889" s="42">
        <v>0</v>
      </c>
      <c r="BR889" s="42">
        <v>0</v>
      </c>
      <c r="BS889" s="42">
        <v>0</v>
      </c>
      <c r="BT889" s="42">
        <v>0</v>
      </c>
      <c r="BU889" s="42">
        <v>0</v>
      </c>
      <c r="BV889" s="42">
        <v>0</v>
      </c>
      <c r="BW889" s="42">
        <v>0</v>
      </c>
      <c r="BX889" s="42">
        <v>0</v>
      </c>
      <c r="BY889" s="42">
        <v>0</v>
      </c>
      <c r="BZ889" s="42">
        <v>0</v>
      </c>
      <c r="CA889" s="42">
        <v>0</v>
      </c>
      <c r="CB889" s="42">
        <v>0</v>
      </c>
      <c r="CC889" s="42">
        <v>0</v>
      </c>
      <c r="CD889" s="42">
        <v>0</v>
      </c>
      <c r="CE889" s="42">
        <v>0</v>
      </c>
      <c r="CF889" s="42">
        <v>0</v>
      </c>
      <c r="CG889" s="42">
        <v>0</v>
      </c>
      <c r="CH889" s="42">
        <v>0</v>
      </c>
      <c r="CI889" s="42">
        <v>0</v>
      </c>
      <c r="CJ889" s="42">
        <v>0</v>
      </c>
      <c r="CK889" s="43">
        <f t="shared" si="83"/>
        <v>0</v>
      </c>
      <c r="CL889" s="66"/>
      <c r="CM889" s="66">
        <v>0</v>
      </c>
      <c r="CN889" s="66">
        <v>0</v>
      </c>
      <c r="CO889" s="66">
        <v>0</v>
      </c>
      <c r="CP889" s="66">
        <v>0</v>
      </c>
      <c r="CQ889" s="66">
        <v>0</v>
      </c>
      <c r="CR889" s="66">
        <v>0</v>
      </c>
      <c r="CS889" s="66">
        <v>0</v>
      </c>
      <c r="CT889" s="66">
        <v>0</v>
      </c>
      <c r="CU889" s="66">
        <v>0</v>
      </c>
      <c r="CV889" s="66">
        <v>0</v>
      </c>
      <c r="CW889" s="66">
        <v>0</v>
      </c>
      <c r="CX889" s="66">
        <v>0</v>
      </c>
      <c r="CY889" s="66">
        <v>0</v>
      </c>
      <c r="CZ889" s="66">
        <v>0</v>
      </c>
      <c r="DA889" s="66"/>
      <c r="DB889" s="66"/>
      <c r="DC889" s="66"/>
      <c r="DD889" s="66"/>
      <c r="DE889" s="66"/>
      <c r="DF889" s="66"/>
      <c r="DG889" s="66"/>
      <c r="DH889" s="66"/>
      <c r="DI889" s="66"/>
      <c r="DJ889" s="66"/>
      <c r="DK889" s="66">
        <f>SUM(Table1[[#This Row],[01-03 Apr]:[Mar-26]])</f>
        <v>0</v>
      </c>
    </row>
    <row r="890" spans="1:115" hidden="1" x14ac:dyDescent="0.2">
      <c r="A890" s="28" t="s">
        <v>371</v>
      </c>
      <c r="B890" s="29" t="s">
        <v>1944</v>
      </c>
      <c r="C890" s="29" t="s">
        <v>3336</v>
      </c>
      <c r="D890" s="30" t="s">
        <v>1945</v>
      </c>
      <c r="E890" s="30" t="s">
        <v>203</v>
      </c>
      <c r="F890" s="30"/>
      <c r="G890" s="31"/>
      <c r="H890" s="30"/>
      <c r="I890" s="30" t="str">
        <f>IF(Table1[[#This Row],[Centre Status]]="Returned","NA",IF(Table1[[#This Row],[SD]]&gt;19000,"Full Payment",IF(Table1[[#This Row],[SD]]&lt;1,"No Payment","Partial Payment")))</f>
        <v>NA</v>
      </c>
      <c r="J890" s="30" t="s">
        <v>1903</v>
      </c>
      <c r="K890" s="32">
        <v>0</v>
      </c>
      <c r="L890" s="33">
        <f>Q890+R890+U890+Table1[[#This Row],[Farmer Payment]]</f>
        <v>449</v>
      </c>
      <c r="M890" s="30"/>
      <c r="N890" s="34"/>
      <c r="O890" s="34"/>
      <c r="P890" s="35">
        <f t="shared" si="84"/>
        <v>-449</v>
      </c>
      <c r="Q890" s="33">
        <f>AI890+AV890+CK890+Table1[[#This Row],[FY 25-26]]</f>
        <v>449</v>
      </c>
      <c r="R890" s="36"/>
      <c r="S890" s="37"/>
      <c r="T890" s="38"/>
      <c r="U890" s="39"/>
      <c r="V890" s="39"/>
      <c r="W890" s="40">
        <v>0</v>
      </c>
      <c r="X890" s="40">
        <v>0</v>
      </c>
      <c r="Y890" s="40">
        <v>0</v>
      </c>
      <c r="Z890" s="40">
        <v>0</v>
      </c>
      <c r="AA890" s="40">
        <v>0</v>
      </c>
      <c r="AB890" s="40">
        <v>0</v>
      </c>
      <c r="AC890" s="40">
        <v>0</v>
      </c>
      <c r="AD890" s="40">
        <v>0</v>
      </c>
      <c r="AE890" s="40">
        <v>0</v>
      </c>
      <c r="AF890" s="40">
        <v>0</v>
      </c>
      <c r="AG890" s="40">
        <v>0</v>
      </c>
      <c r="AH890" s="40">
        <v>0</v>
      </c>
      <c r="AI890" s="41">
        <f t="shared" si="85"/>
        <v>0</v>
      </c>
      <c r="AJ890" s="42">
        <v>155</v>
      </c>
      <c r="AK890" s="42">
        <v>294</v>
      </c>
      <c r="AL890" s="42">
        <v>0</v>
      </c>
      <c r="AM890" s="42">
        <v>0</v>
      </c>
      <c r="AN890" s="42">
        <v>0</v>
      </c>
      <c r="AO890" s="42">
        <v>0</v>
      </c>
      <c r="AP890" s="42">
        <v>0</v>
      </c>
      <c r="AQ890" s="42">
        <v>0</v>
      </c>
      <c r="AR890" s="42">
        <v>0</v>
      </c>
      <c r="AS890" s="42">
        <v>0</v>
      </c>
      <c r="AT890" s="42">
        <v>0</v>
      </c>
      <c r="AU890" s="42">
        <v>0</v>
      </c>
      <c r="AV890" s="42">
        <f t="shared" si="86"/>
        <v>449</v>
      </c>
      <c r="AW890" s="42">
        <v>0</v>
      </c>
      <c r="AX890" s="42">
        <v>0</v>
      </c>
      <c r="AY890" s="42">
        <v>0</v>
      </c>
      <c r="AZ890" s="42">
        <v>0</v>
      </c>
      <c r="BA890" s="42">
        <v>0</v>
      </c>
      <c r="BB890" s="42">
        <v>0</v>
      </c>
      <c r="BC890" s="42">
        <v>0</v>
      </c>
      <c r="BD890" s="42">
        <v>0</v>
      </c>
      <c r="BE890" s="42">
        <v>0</v>
      </c>
      <c r="BF890" s="42">
        <v>0</v>
      </c>
      <c r="BG890" s="42">
        <v>0</v>
      </c>
      <c r="BH890" s="42">
        <v>0</v>
      </c>
      <c r="BI890" s="42">
        <v>0</v>
      </c>
      <c r="BJ890" s="42">
        <v>0</v>
      </c>
      <c r="BK890" s="42">
        <v>0</v>
      </c>
      <c r="BL890" s="42">
        <v>0</v>
      </c>
      <c r="BM890" s="42">
        <v>0</v>
      </c>
      <c r="BN890" s="42">
        <v>0</v>
      </c>
      <c r="BO890" s="42">
        <v>0</v>
      </c>
      <c r="BP890" s="42">
        <v>0</v>
      </c>
      <c r="BQ890" s="42">
        <v>0</v>
      </c>
      <c r="BR890" s="42">
        <v>0</v>
      </c>
      <c r="BS890" s="42">
        <v>0</v>
      </c>
      <c r="BT890" s="42">
        <v>0</v>
      </c>
      <c r="BU890" s="42">
        <v>0</v>
      </c>
      <c r="BV890" s="42">
        <v>0</v>
      </c>
      <c r="BW890" s="42">
        <v>0</v>
      </c>
      <c r="BX890" s="42">
        <v>0</v>
      </c>
      <c r="BY890" s="42">
        <v>0</v>
      </c>
      <c r="BZ890" s="42">
        <v>0</v>
      </c>
      <c r="CA890" s="42">
        <v>0</v>
      </c>
      <c r="CB890" s="42">
        <v>0</v>
      </c>
      <c r="CC890" s="42">
        <v>0</v>
      </c>
      <c r="CD890" s="42">
        <v>0</v>
      </c>
      <c r="CE890" s="42">
        <v>0</v>
      </c>
      <c r="CF890" s="42">
        <v>0</v>
      </c>
      <c r="CG890" s="42">
        <v>0</v>
      </c>
      <c r="CH890" s="42">
        <v>0</v>
      </c>
      <c r="CI890" s="42">
        <v>0</v>
      </c>
      <c r="CJ890" s="42">
        <v>0</v>
      </c>
      <c r="CK890" s="43">
        <f t="shared" si="83"/>
        <v>0</v>
      </c>
      <c r="CL890" s="66"/>
      <c r="CM890" s="66">
        <v>0</v>
      </c>
      <c r="CN890" s="66">
        <v>0</v>
      </c>
      <c r="CO890" s="66">
        <v>0</v>
      </c>
      <c r="CP890" s="66">
        <v>0</v>
      </c>
      <c r="CQ890" s="66">
        <v>0</v>
      </c>
      <c r="CR890" s="66">
        <v>0</v>
      </c>
      <c r="CS890" s="66">
        <v>0</v>
      </c>
      <c r="CT890" s="66">
        <v>0</v>
      </c>
      <c r="CU890" s="66">
        <v>0</v>
      </c>
      <c r="CV890" s="66">
        <v>0</v>
      </c>
      <c r="CW890" s="66">
        <v>0</v>
      </c>
      <c r="CX890" s="66">
        <v>0</v>
      </c>
      <c r="CY890" s="66">
        <v>0</v>
      </c>
      <c r="CZ890" s="66">
        <v>0</v>
      </c>
      <c r="DA890" s="66"/>
      <c r="DB890" s="66"/>
      <c r="DC890" s="66"/>
      <c r="DD890" s="66"/>
      <c r="DE890" s="66"/>
      <c r="DF890" s="66"/>
      <c r="DG890" s="66"/>
      <c r="DH890" s="66"/>
      <c r="DI890" s="66"/>
      <c r="DJ890" s="66"/>
      <c r="DK890" s="66">
        <f>SUM(Table1[[#This Row],[01-03 Apr]:[Mar-26]])</f>
        <v>0</v>
      </c>
    </row>
    <row r="891" spans="1:115" hidden="1" x14ac:dyDescent="0.2">
      <c r="A891" s="28" t="s">
        <v>371</v>
      </c>
      <c r="B891" s="29" t="s">
        <v>1946</v>
      </c>
      <c r="C891" s="29" t="s">
        <v>3336</v>
      </c>
      <c r="D891" s="30" t="s">
        <v>1947</v>
      </c>
      <c r="E891" s="30" t="s">
        <v>203</v>
      </c>
      <c r="F891" s="30"/>
      <c r="G891" s="31"/>
      <c r="H891" s="30"/>
      <c r="I891" s="30" t="str">
        <f>IF(Table1[[#This Row],[Centre Status]]="Returned","NA",IF(Table1[[#This Row],[SD]]&gt;19000,"Full Payment",IF(Table1[[#This Row],[SD]]&lt;1,"No Payment","Partial Payment")))</f>
        <v>NA</v>
      </c>
      <c r="J891" s="30" t="s">
        <v>1903</v>
      </c>
      <c r="K891" s="32">
        <v>0</v>
      </c>
      <c r="L891" s="33">
        <f>Q891+R891+U891+Table1[[#This Row],[Farmer Payment]]</f>
        <v>3303</v>
      </c>
      <c r="M891" s="30"/>
      <c r="N891" s="34"/>
      <c r="O891" s="34"/>
      <c r="P891" s="35">
        <f t="shared" si="84"/>
        <v>-3303</v>
      </c>
      <c r="Q891" s="33">
        <f>AI891+AV891+CK891+Table1[[#This Row],[FY 25-26]]</f>
        <v>3303</v>
      </c>
      <c r="R891" s="36"/>
      <c r="S891" s="37"/>
      <c r="T891" s="38"/>
      <c r="U891" s="39"/>
      <c r="V891" s="39"/>
      <c r="W891" s="40">
        <v>0</v>
      </c>
      <c r="X891" s="40">
        <v>0</v>
      </c>
      <c r="Y891" s="40">
        <v>0</v>
      </c>
      <c r="Z891" s="40">
        <v>0</v>
      </c>
      <c r="AA891" s="40">
        <v>0</v>
      </c>
      <c r="AB891" s="40">
        <v>0</v>
      </c>
      <c r="AC891" s="40">
        <v>0</v>
      </c>
      <c r="AD891" s="40">
        <v>0</v>
      </c>
      <c r="AE891" s="40">
        <v>0</v>
      </c>
      <c r="AF891" s="40">
        <v>0</v>
      </c>
      <c r="AG891" s="40">
        <v>0</v>
      </c>
      <c r="AH891" s="40">
        <v>214</v>
      </c>
      <c r="AI891" s="41">
        <f t="shared" si="85"/>
        <v>214</v>
      </c>
      <c r="AJ891" s="42">
        <v>1347</v>
      </c>
      <c r="AK891" s="42">
        <v>1742</v>
      </c>
      <c r="AL891" s="42">
        <v>0</v>
      </c>
      <c r="AM891" s="42">
        <v>0</v>
      </c>
      <c r="AN891" s="42">
        <v>0</v>
      </c>
      <c r="AO891" s="42">
        <v>0</v>
      </c>
      <c r="AP891" s="42">
        <v>0</v>
      </c>
      <c r="AQ891" s="42">
        <v>0</v>
      </c>
      <c r="AR891" s="42">
        <v>0</v>
      </c>
      <c r="AS891" s="42">
        <v>0</v>
      </c>
      <c r="AT891" s="42">
        <v>0</v>
      </c>
      <c r="AU891" s="42">
        <v>0</v>
      </c>
      <c r="AV891" s="42">
        <f t="shared" si="86"/>
        <v>3089</v>
      </c>
      <c r="AW891" s="42">
        <v>0</v>
      </c>
      <c r="AX891" s="42">
        <v>0</v>
      </c>
      <c r="AY891" s="42">
        <v>0</v>
      </c>
      <c r="AZ891" s="42">
        <v>0</v>
      </c>
      <c r="BA891" s="42">
        <v>0</v>
      </c>
      <c r="BB891" s="42">
        <v>0</v>
      </c>
      <c r="BC891" s="42">
        <v>0</v>
      </c>
      <c r="BD891" s="42">
        <v>0</v>
      </c>
      <c r="BE891" s="42">
        <v>0</v>
      </c>
      <c r="BF891" s="42">
        <v>0</v>
      </c>
      <c r="BG891" s="42">
        <v>0</v>
      </c>
      <c r="BH891" s="42">
        <v>0</v>
      </c>
      <c r="BI891" s="42">
        <v>0</v>
      </c>
      <c r="BJ891" s="42">
        <v>0</v>
      </c>
      <c r="BK891" s="42">
        <v>0</v>
      </c>
      <c r="BL891" s="42">
        <v>0</v>
      </c>
      <c r="BM891" s="42">
        <v>0</v>
      </c>
      <c r="BN891" s="42">
        <v>0</v>
      </c>
      <c r="BO891" s="42">
        <v>0</v>
      </c>
      <c r="BP891" s="42">
        <v>0</v>
      </c>
      <c r="BQ891" s="42">
        <v>0</v>
      </c>
      <c r="BR891" s="42">
        <v>0</v>
      </c>
      <c r="BS891" s="42">
        <v>0</v>
      </c>
      <c r="BT891" s="42">
        <v>0</v>
      </c>
      <c r="BU891" s="42">
        <v>0</v>
      </c>
      <c r="BV891" s="42">
        <v>0</v>
      </c>
      <c r="BW891" s="42">
        <v>0</v>
      </c>
      <c r="BX891" s="42">
        <v>0</v>
      </c>
      <c r="BY891" s="42">
        <v>0</v>
      </c>
      <c r="BZ891" s="42">
        <v>0</v>
      </c>
      <c r="CA891" s="42">
        <v>0</v>
      </c>
      <c r="CB891" s="42">
        <v>0</v>
      </c>
      <c r="CC891" s="42">
        <v>0</v>
      </c>
      <c r="CD891" s="42">
        <v>0</v>
      </c>
      <c r="CE891" s="42">
        <v>0</v>
      </c>
      <c r="CF891" s="42">
        <v>0</v>
      </c>
      <c r="CG891" s="42">
        <v>0</v>
      </c>
      <c r="CH891" s="42">
        <v>0</v>
      </c>
      <c r="CI891" s="42">
        <v>0</v>
      </c>
      <c r="CJ891" s="42">
        <v>0</v>
      </c>
      <c r="CK891" s="43">
        <f t="shared" si="83"/>
        <v>0</v>
      </c>
      <c r="CL891" s="66"/>
      <c r="CM891" s="66">
        <v>0</v>
      </c>
      <c r="CN891" s="66">
        <v>0</v>
      </c>
      <c r="CO891" s="66">
        <v>0</v>
      </c>
      <c r="CP891" s="66">
        <v>0</v>
      </c>
      <c r="CQ891" s="66">
        <v>0</v>
      </c>
      <c r="CR891" s="66">
        <v>0</v>
      </c>
      <c r="CS891" s="66">
        <v>0</v>
      </c>
      <c r="CT891" s="66">
        <v>0</v>
      </c>
      <c r="CU891" s="66">
        <v>0</v>
      </c>
      <c r="CV891" s="66">
        <v>0</v>
      </c>
      <c r="CW891" s="66">
        <v>0</v>
      </c>
      <c r="CX891" s="66">
        <v>0</v>
      </c>
      <c r="CY891" s="66">
        <v>0</v>
      </c>
      <c r="CZ891" s="66">
        <v>0</v>
      </c>
      <c r="DA891" s="66"/>
      <c r="DB891" s="66"/>
      <c r="DC891" s="66"/>
      <c r="DD891" s="66"/>
      <c r="DE891" s="66"/>
      <c r="DF891" s="66"/>
      <c r="DG891" s="66"/>
      <c r="DH891" s="66"/>
      <c r="DI891" s="66"/>
      <c r="DJ891" s="66"/>
      <c r="DK891" s="66">
        <f>SUM(Table1[[#This Row],[01-03 Apr]:[Mar-26]])</f>
        <v>0</v>
      </c>
    </row>
    <row r="892" spans="1:115" hidden="1" x14ac:dyDescent="0.2">
      <c r="A892" s="28" t="s">
        <v>371</v>
      </c>
      <c r="B892" s="29" t="s">
        <v>1948</v>
      </c>
      <c r="C892" s="29" t="s">
        <v>3336</v>
      </c>
      <c r="D892" s="30" t="s">
        <v>1949</v>
      </c>
      <c r="E892" s="30" t="s">
        <v>203</v>
      </c>
      <c r="F892" s="30"/>
      <c r="G892" s="31"/>
      <c r="H892" s="30"/>
      <c r="I892" s="30" t="str">
        <f>IF(Table1[[#This Row],[Centre Status]]="Returned","NA",IF(Table1[[#This Row],[SD]]&gt;19000,"Full Payment",IF(Table1[[#This Row],[SD]]&lt;1,"No Payment","Partial Payment")))</f>
        <v>NA</v>
      </c>
      <c r="J892" s="30" t="s">
        <v>1903</v>
      </c>
      <c r="K892" s="32">
        <v>0</v>
      </c>
      <c r="L892" s="33">
        <f>Q892+R892+U892+Table1[[#This Row],[Farmer Payment]]</f>
        <v>20000</v>
      </c>
      <c r="M892" s="30"/>
      <c r="N892" s="34"/>
      <c r="O892" s="34"/>
      <c r="P892" s="35">
        <f t="shared" si="84"/>
        <v>-20000</v>
      </c>
      <c r="Q892" s="33">
        <f>AI892+AV892+CK892+Table1[[#This Row],[FY 25-26]]</f>
        <v>0</v>
      </c>
      <c r="R892" s="36">
        <v>20000</v>
      </c>
      <c r="S892" s="37" t="s">
        <v>2321</v>
      </c>
      <c r="T892" s="38">
        <v>45350</v>
      </c>
      <c r="U892" s="39"/>
      <c r="V892" s="39"/>
      <c r="W892" s="40">
        <v>0</v>
      </c>
      <c r="X892" s="40">
        <v>0</v>
      </c>
      <c r="Y892" s="40">
        <v>0</v>
      </c>
      <c r="Z892" s="40">
        <v>0</v>
      </c>
      <c r="AA892" s="40">
        <v>0</v>
      </c>
      <c r="AB892" s="40">
        <v>0</v>
      </c>
      <c r="AC892" s="40">
        <v>0</v>
      </c>
      <c r="AD892" s="40">
        <v>0</v>
      </c>
      <c r="AE892" s="40">
        <v>0</v>
      </c>
      <c r="AF892" s="40">
        <v>0</v>
      </c>
      <c r="AG892" s="40">
        <v>0</v>
      </c>
      <c r="AH892" s="40">
        <v>0</v>
      </c>
      <c r="AI892" s="41">
        <f t="shared" si="85"/>
        <v>0</v>
      </c>
      <c r="AJ892" s="42">
        <v>0</v>
      </c>
      <c r="AK892" s="42">
        <v>0</v>
      </c>
      <c r="AL892" s="42">
        <v>0</v>
      </c>
      <c r="AM892" s="42">
        <v>0</v>
      </c>
      <c r="AN892" s="42">
        <v>0</v>
      </c>
      <c r="AO892" s="42">
        <v>0</v>
      </c>
      <c r="AP892" s="42">
        <v>0</v>
      </c>
      <c r="AQ892" s="42">
        <v>0</v>
      </c>
      <c r="AR892" s="42">
        <v>0</v>
      </c>
      <c r="AS892" s="42">
        <v>0</v>
      </c>
      <c r="AT892" s="42">
        <v>0</v>
      </c>
      <c r="AU892" s="42">
        <v>0</v>
      </c>
      <c r="AV892" s="42">
        <f t="shared" si="86"/>
        <v>0</v>
      </c>
      <c r="AW892" s="42">
        <v>0</v>
      </c>
      <c r="AX892" s="42">
        <v>0</v>
      </c>
      <c r="AY892" s="42">
        <v>0</v>
      </c>
      <c r="AZ892" s="42">
        <v>0</v>
      </c>
      <c r="BA892" s="42">
        <v>0</v>
      </c>
      <c r="BB892" s="42">
        <v>0</v>
      </c>
      <c r="BC892" s="42">
        <v>0</v>
      </c>
      <c r="BD892" s="42">
        <v>0</v>
      </c>
      <c r="BE892" s="42">
        <v>0</v>
      </c>
      <c r="BF892" s="42">
        <v>0</v>
      </c>
      <c r="BG892" s="42">
        <v>0</v>
      </c>
      <c r="BH892" s="42">
        <v>0</v>
      </c>
      <c r="BI892" s="42">
        <v>0</v>
      </c>
      <c r="BJ892" s="42">
        <v>0</v>
      </c>
      <c r="BK892" s="42">
        <v>0</v>
      </c>
      <c r="BL892" s="42">
        <v>0</v>
      </c>
      <c r="BM892" s="42">
        <v>0</v>
      </c>
      <c r="BN892" s="42">
        <v>0</v>
      </c>
      <c r="BO892" s="42">
        <v>0</v>
      </c>
      <c r="BP892" s="42">
        <v>0</v>
      </c>
      <c r="BQ892" s="42">
        <v>0</v>
      </c>
      <c r="BR892" s="42">
        <v>0</v>
      </c>
      <c r="BS892" s="42">
        <v>0</v>
      </c>
      <c r="BT892" s="42">
        <v>0</v>
      </c>
      <c r="BU892" s="42">
        <v>0</v>
      </c>
      <c r="BV892" s="42">
        <v>0</v>
      </c>
      <c r="BW892" s="42">
        <v>0</v>
      </c>
      <c r="BX892" s="42">
        <v>0</v>
      </c>
      <c r="BY892" s="42">
        <v>0</v>
      </c>
      <c r="BZ892" s="42">
        <v>0</v>
      </c>
      <c r="CA892" s="42">
        <v>0</v>
      </c>
      <c r="CB892" s="42">
        <v>0</v>
      </c>
      <c r="CC892" s="42">
        <v>0</v>
      </c>
      <c r="CD892" s="42">
        <v>0</v>
      </c>
      <c r="CE892" s="42">
        <v>0</v>
      </c>
      <c r="CF892" s="42">
        <v>0</v>
      </c>
      <c r="CG892" s="42">
        <v>0</v>
      </c>
      <c r="CH892" s="42">
        <v>0</v>
      </c>
      <c r="CI892" s="42">
        <v>0</v>
      </c>
      <c r="CJ892" s="42">
        <v>0</v>
      </c>
      <c r="CK892" s="43">
        <f t="shared" si="83"/>
        <v>0</v>
      </c>
      <c r="CL892" s="66"/>
      <c r="CM892" s="66">
        <v>0</v>
      </c>
      <c r="CN892" s="66">
        <v>0</v>
      </c>
      <c r="CO892" s="66">
        <v>0</v>
      </c>
      <c r="CP892" s="66">
        <v>0</v>
      </c>
      <c r="CQ892" s="66">
        <v>0</v>
      </c>
      <c r="CR892" s="66">
        <v>0</v>
      </c>
      <c r="CS892" s="66">
        <v>0</v>
      </c>
      <c r="CT892" s="66">
        <v>0</v>
      </c>
      <c r="CU892" s="66">
        <v>0</v>
      </c>
      <c r="CV892" s="66">
        <v>0</v>
      </c>
      <c r="CW892" s="66">
        <v>0</v>
      </c>
      <c r="CX892" s="66">
        <v>0</v>
      </c>
      <c r="CY892" s="66">
        <v>0</v>
      </c>
      <c r="CZ892" s="66">
        <v>0</v>
      </c>
      <c r="DA892" s="66"/>
      <c r="DB892" s="66"/>
      <c r="DC892" s="66"/>
      <c r="DD892" s="66"/>
      <c r="DE892" s="66"/>
      <c r="DF892" s="66"/>
      <c r="DG892" s="66"/>
      <c r="DH892" s="66"/>
      <c r="DI892" s="66"/>
      <c r="DJ892" s="66"/>
      <c r="DK892" s="66">
        <f>SUM(Table1[[#This Row],[01-03 Apr]:[Mar-26]])</f>
        <v>0</v>
      </c>
    </row>
    <row r="893" spans="1:115" hidden="1" x14ac:dyDescent="0.2">
      <c r="A893" s="28" t="s">
        <v>371</v>
      </c>
      <c r="B893" s="29" t="s">
        <v>1950</v>
      </c>
      <c r="C893" s="29" t="s">
        <v>3365</v>
      </c>
      <c r="D893" s="30" t="s">
        <v>1951</v>
      </c>
      <c r="E893" s="30" t="s">
        <v>203</v>
      </c>
      <c r="F893" s="30"/>
      <c r="G893" s="31"/>
      <c r="H893" s="30"/>
      <c r="I893" s="30" t="str">
        <f>IF(Table1[[#This Row],[Centre Status]]="Returned","NA",IF(Table1[[#This Row],[SD]]&gt;19000,"Full Payment",IF(Table1[[#This Row],[SD]]&lt;1,"No Payment","Partial Payment")))</f>
        <v>NA</v>
      </c>
      <c r="J893" s="30" t="s">
        <v>1903</v>
      </c>
      <c r="K893" s="32">
        <v>0</v>
      </c>
      <c r="L893" s="33">
        <f>Q893+R893+U893+Table1[[#This Row],[Farmer Payment]]</f>
        <v>10431</v>
      </c>
      <c r="M893" s="30"/>
      <c r="N893" s="34"/>
      <c r="O893" s="34"/>
      <c r="P893" s="35">
        <f t="shared" si="84"/>
        <v>-10431</v>
      </c>
      <c r="Q893" s="33">
        <f>AI893+AV893+CK893+Table1[[#This Row],[FY 25-26]]</f>
        <v>10431</v>
      </c>
      <c r="R893" s="36"/>
      <c r="S893" s="37"/>
      <c r="T893" s="38"/>
      <c r="U893" s="39"/>
      <c r="V893" s="39"/>
      <c r="W893" s="40">
        <v>0</v>
      </c>
      <c r="X893" s="40">
        <v>0</v>
      </c>
      <c r="Y893" s="40">
        <v>0</v>
      </c>
      <c r="Z893" s="40">
        <v>0</v>
      </c>
      <c r="AA893" s="40">
        <v>0</v>
      </c>
      <c r="AB893" s="40">
        <v>0</v>
      </c>
      <c r="AC893" s="40">
        <v>0</v>
      </c>
      <c r="AD893" s="40">
        <v>0</v>
      </c>
      <c r="AE893" s="40">
        <v>0</v>
      </c>
      <c r="AF893" s="40">
        <v>0</v>
      </c>
      <c r="AG893" s="40">
        <v>0</v>
      </c>
      <c r="AH893" s="40">
        <v>1822</v>
      </c>
      <c r="AI893" s="41">
        <f t="shared" si="85"/>
        <v>1822</v>
      </c>
      <c r="AJ893" s="42">
        <v>1861</v>
      </c>
      <c r="AK893" s="42">
        <v>1861</v>
      </c>
      <c r="AL893" s="42">
        <v>1779</v>
      </c>
      <c r="AM893" s="42">
        <v>1861</v>
      </c>
      <c r="AN893" s="42">
        <v>1247</v>
      </c>
      <c r="AO893" s="42">
        <v>0</v>
      </c>
      <c r="AP893" s="42">
        <v>0</v>
      </c>
      <c r="AQ893" s="42">
        <v>0</v>
      </c>
      <c r="AR893" s="42">
        <v>0</v>
      </c>
      <c r="AS893" s="42">
        <v>0</v>
      </c>
      <c r="AT893" s="42">
        <v>0</v>
      </c>
      <c r="AU893" s="42">
        <v>0</v>
      </c>
      <c r="AV893" s="42">
        <f t="shared" si="86"/>
        <v>8609</v>
      </c>
      <c r="AW893" s="42">
        <v>0</v>
      </c>
      <c r="AX893" s="42">
        <v>0</v>
      </c>
      <c r="AY893" s="42">
        <v>0</v>
      </c>
      <c r="AZ893" s="42">
        <v>0</v>
      </c>
      <c r="BA893" s="42">
        <v>0</v>
      </c>
      <c r="BB893" s="42">
        <v>0</v>
      </c>
      <c r="BC893" s="42">
        <v>0</v>
      </c>
      <c r="BD893" s="42">
        <v>0</v>
      </c>
      <c r="BE893" s="42">
        <v>0</v>
      </c>
      <c r="BF893" s="42">
        <v>0</v>
      </c>
      <c r="BG893" s="42">
        <v>0</v>
      </c>
      <c r="BH893" s="42">
        <v>0</v>
      </c>
      <c r="BI893" s="42">
        <v>0</v>
      </c>
      <c r="BJ893" s="42">
        <v>0</v>
      </c>
      <c r="BK893" s="42">
        <v>0</v>
      </c>
      <c r="BL893" s="42">
        <v>0</v>
      </c>
      <c r="BM893" s="42">
        <v>0</v>
      </c>
      <c r="BN893" s="42">
        <v>0</v>
      </c>
      <c r="BO893" s="42">
        <v>0</v>
      </c>
      <c r="BP893" s="42">
        <v>0</v>
      </c>
      <c r="BQ893" s="42">
        <v>0</v>
      </c>
      <c r="BR893" s="42">
        <v>0</v>
      </c>
      <c r="BS893" s="42">
        <v>0</v>
      </c>
      <c r="BT893" s="42">
        <v>0</v>
      </c>
      <c r="BU893" s="42">
        <v>0</v>
      </c>
      <c r="BV893" s="42">
        <v>0</v>
      </c>
      <c r="BW893" s="42">
        <v>0</v>
      </c>
      <c r="BX893" s="42">
        <v>0</v>
      </c>
      <c r="BY893" s="42">
        <v>0</v>
      </c>
      <c r="BZ893" s="42">
        <v>0</v>
      </c>
      <c r="CA893" s="42">
        <v>0</v>
      </c>
      <c r="CB893" s="42">
        <v>0</v>
      </c>
      <c r="CC893" s="42">
        <v>0</v>
      </c>
      <c r="CD893" s="42">
        <v>0</v>
      </c>
      <c r="CE893" s="42">
        <v>0</v>
      </c>
      <c r="CF893" s="42">
        <v>0</v>
      </c>
      <c r="CG893" s="42">
        <v>0</v>
      </c>
      <c r="CH893" s="42">
        <v>0</v>
      </c>
      <c r="CI893" s="42">
        <v>0</v>
      </c>
      <c r="CJ893" s="42">
        <v>0</v>
      </c>
      <c r="CK893" s="43">
        <f t="shared" si="83"/>
        <v>0</v>
      </c>
      <c r="CL893" s="66"/>
      <c r="CM893" s="66">
        <v>0</v>
      </c>
      <c r="CN893" s="66">
        <v>0</v>
      </c>
      <c r="CO893" s="66">
        <v>0</v>
      </c>
      <c r="CP893" s="66">
        <v>0</v>
      </c>
      <c r="CQ893" s="66">
        <v>0</v>
      </c>
      <c r="CR893" s="66">
        <v>0</v>
      </c>
      <c r="CS893" s="66">
        <v>0</v>
      </c>
      <c r="CT893" s="66">
        <v>0</v>
      </c>
      <c r="CU893" s="66">
        <v>0</v>
      </c>
      <c r="CV893" s="66">
        <v>0</v>
      </c>
      <c r="CW893" s="66">
        <v>0</v>
      </c>
      <c r="CX893" s="66">
        <v>0</v>
      </c>
      <c r="CY893" s="66">
        <v>0</v>
      </c>
      <c r="CZ893" s="66">
        <v>0</v>
      </c>
      <c r="DA893" s="66"/>
      <c r="DB893" s="66"/>
      <c r="DC893" s="66"/>
      <c r="DD893" s="66"/>
      <c r="DE893" s="66"/>
      <c r="DF893" s="66"/>
      <c r="DG893" s="66"/>
      <c r="DH893" s="66"/>
      <c r="DI893" s="66"/>
      <c r="DJ893" s="66"/>
      <c r="DK893" s="66">
        <f>SUM(Table1[[#This Row],[01-03 Apr]:[Mar-26]])</f>
        <v>0</v>
      </c>
    </row>
    <row r="894" spans="1:115" hidden="1" x14ac:dyDescent="0.2">
      <c r="A894" s="28" t="s">
        <v>371</v>
      </c>
      <c r="B894" s="29" t="s">
        <v>1952</v>
      </c>
      <c r="C894" s="29" t="s">
        <v>3336</v>
      </c>
      <c r="D894" s="30" t="s">
        <v>1953</v>
      </c>
      <c r="E894" s="30" t="s">
        <v>203</v>
      </c>
      <c r="F894" s="30"/>
      <c r="G894" s="31"/>
      <c r="H894" s="30"/>
      <c r="I894" s="30" t="str">
        <f>IF(Table1[[#This Row],[Centre Status]]="Returned","NA",IF(Table1[[#This Row],[SD]]&gt;19000,"Full Payment",IF(Table1[[#This Row],[SD]]&lt;1,"No Payment","Partial Payment")))</f>
        <v>NA</v>
      </c>
      <c r="J894" s="30" t="s">
        <v>1903</v>
      </c>
      <c r="K894" s="32">
        <v>0</v>
      </c>
      <c r="L894" s="33">
        <f>Q894+R894+U894+Table1[[#This Row],[Farmer Payment]]</f>
        <v>0</v>
      </c>
      <c r="M894" s="30"/>
      <c r="N894" s="34"/>
      <c r="O894" s="34"/>
      <c r="P894" s="35">
        <f t="shared" si="84"/>
        <v>0</v>
      </c>
      <c r="Q894" s="33">
        <f>AI894+AV894+CK894+Table1[[#This Row],[FY 25-26]]</f>
        <v>0</v>
      </c>
      <c r="R894" s="36">
        <v>0</v>
      </c>
      <c r="S894" s="37"/>
      <c r="T894" s="38"/>
      <c r="U894" s="39"/>
      <c r="V894" s="39"/>
      <c r="W894" s="40">
        <v>0</v>
      </c>
      <c r="X894" s="40">
        <v>0</v>
      </c>
      <c r="Y894" s="40">
        <v>0</v>
      </c>
      <c r="Z894" s="40">
        <v>0</v>
      </c>
      <c r="AA894" s="40">
        <v>0</v>
      </c>
      <c r="AB894" s="40">
        <v>0</v>
      </c>
      <c r="AC894" s="40">
        <v>0</v>
      </c>
      <c r="AD894" s="40">
        <v>0</v>
      </c>
      <c r="AE894" s="40">
        <v>0</v>
      </c>
      <c r="AF894" s="40">
        <v>0</v>
      </c>
      <c r="AG894" s="40">
        <v>0</v>
      </c>
      <c r="AH894" s="40">
        <v>0</v>
      </c>
      <c r="AI894" s="41">
        <f t="shared" si="85"/>
        <v>0</v>
      </c>
      <c r="AJ894" s="42">
        <v>0</v>
      </c>
      <c r="AK894" s="42">
        <v>0</v>
      </c>
      <c r="AL894" s="42">
        <v>0</v>
      </c>
      <c r="AM894" s="42">
        <v>0</v>
      </c>
      <c r="AN894" s="42">
        <v>0</v>
      </c>
      <c r="AO894" s="42">
        <v>0</v>
      </c>
      <c r="AP894" s="42">
        <v>0</v>
      </c>
      <c r="AQ894" s="42">
        <v>0</v>
      </c>
      <c r="AR894" s="42">
        <v>0</v>
      </c>
      <c r="AS894" s="42">
        <v>0</v>
      </c>
      <c r="AT894" s="42">
        <v>0</v>
      </c>
      <c r="AU894" s="42">
        <v>0</v>
      </c>
      <c r="AV894" s="42">
        <f t="shared" si="86"/>
        <v>0</v>
      </c>
      <c r="AW894" s="42">
        <v>0</v>
      </c>
      <c r="AX894" s="42">
        <v>0</v>
      </c>
      <c r="AY894" s="42">
        <v>0</v>
      </c>
      <c r="AZ894" s="42">
        <v>0</v>
      </c>
      <c r="BA894" s="42">
        <v>0</v>
      </c>
      <c r="BB894" s="42">
        <v>0</v>
      </c>
      <c r="BC894" s="42">
        <v>0</v>
      </c>
      <c r="BD894" s="42">
        <v>0</v>
      </c>
      <c r="BE894" s="42">
        <v>0</v>
      </c>
      <c r="BF894" s="42">
        <v>0</v>
      </c>
      <c r="BG894" s="42">
        <v>0</v>
      </c>
      <c r="BH894" s="42">
        <v>0</v>
      </c>
      <c r="BI894" s="42">
        <v>0</v>
      </c>
      <c r="BJ894" s="42">
        <v>0</v>
      </c>
      <c r="BK894" s="42">
        <v>0</v>
      </c>
      <c r="BL894" s="42">
        <v>0</v>
      </c>
      <c r="BM894" s="42">
        <v>0</v>
      </c>
      <c r="BN894" s="42">
        <v>0</v>
      </c>
      <c r="BO894" s="42">
        <v>0</v>
      </c>
      <c r="BP894" s="42">
        <v>0</v>
      </c>
      <c r="BQ894" s="42">
        <v>0</v>
      </c>
      <c r="BR894" s="42">
        <v>0</v>
      </c>
      <c r="BS894" s="42">
        <v>0</v>
      </c>
      <c r="BT894" s="42">
        <v>0</v>
      </c>
      <c r="BU894" s="42">
        <v>0</v>
      </c>
      <c r="BV894" s="42">
        <v>0</v>
      </c>
      <c r="BW894" s="42">
        <v>0</v>
      </c>
      <c r="BX894" s="42">
        <v>0</v>
      </c>
      <c r="BY894" s="42">
        <v>0</v>
      </c>
      <c r="BZ894" s="42">
        <v>0</v>
      </c>
      <c r="CA894" s="42">
        <v>0</v>
      </c>
      <c r="CB894" s="42">
        <v>0</v>
      </c>
      <c r="CC894" s="42">
        <v>0</v>
      </c>
      <c r="CD894" s="42">
        <v>0</v>
      </c>
      <c r="CE894" s="42">
        <v>0</v>
      </c>
      <c r="CF894" s="42">
        <v>0</v>
      </c>
      <c r="CG894" s="42">
        <v>0</v>
      </c>
      <c r="CH894" s="42">
        <v>0</v>
      </c>
      <c r="CI894" s="42">
        <v>0</v>
      </c>
      <c r="CJ894" s="42">
        <v>0</v>
      </c>
      <c r="CK894" s="43">
        <f t="shared" si="83"/>
        <v>0</v>
      </c>
      <c r="CL894" s="66"/>
      <c r="CM894" s="66">
        <v>0</v>
      </c>
      <c r="CN894" s="66">
        <v>0</v>
      </c>
      <c r="CO894" s="66">
        <v>0</v>
      </c>
      <c r="CP894" s="66">
        <v>0</v>
      </c>
      <c r="CQ894" s="66">
        <v>0</v>
      </c>
      <c r="CR894" s="66">
        <v>0</v>
      </c>
      <c r="CS894" s="66">
        <v>0</v>
      </c>
      <c r="CT894" s="66">
        <v>0</v>
      </c>
      <c r="CU894" s="66">
        <v>0</v>
      </c>
      <c r="CV894" s="66">
        <v>0</v>
      </c>
      <c r="CW894" s="66">
        <v>0</v>
      </c>
      <c r="CX894" s="66">
        <v>0</v>
      </c>
      <c r="CY894" s="66">
        <v>0</v>
      </c>
      <c r="CZ894" s="66">
        <v>0</v>
      </c>
      <c r="DA894" s="66"/>
      <c r="DB894" s="66"/>
      <c r="DC894" s="66"/>
      <c r="DD894" s="66"/>
      <c r="DE894" s="66"/>
      <c r="DF894" s="66"/>
      <c r="DG894" s="66"/>
      <c r="DH894" s="66"/>
      <c r="DI894" s="66"/>
      <c r="DJ894" s="66"/>
      <c r="DK894" s="66">
        <f>SUM(Table1[[#This Row],[01-03 Apr]:[Mar-26]])</f>
        <v>0</v>
      </c>
    </row>
    <row r="895" spans="1:115" hidden="1" x14ac:dyDescent="0.2">
      <c r="A895" s="28" t="s">
        <v>2255</v>
      </c>
      <c r="B895" s="29" t="s">
        <v>1954</v>
      </c>
      <c r="C895" s="29" t="s">
        <v>3366</v>
      </c>
      <c r="D895" s="30" t="s">
        <v>1955</v>
      </c>
      <c r="E895" s="30" t="s">
        <v>57</v>
      </c>
      <c r="F895" s="30"/>
      <c r="G895" s="31"/>
      <c r="H895" s="30">
        <v>277508</v>
      </c>
      <c r="I895" s="30" t="str">
        <f>IF(Table1[[#This Row],[Centre Status]]="Returned","NA",IF(Table1[[#This Row],[SD]]&gt;19000,"Full Payment",IF(Table1[[#This Row],[SD]]&lt;1,"No Payment","Partial Payment")))</f>
        <v>NA</v>
      </c>
      <c r="J895" s="30" t="s">
        <v>1903</v>
      </c>
      <c r="K895" s="32">
        <v>0</v>
      </c>
      <c r="L895" s="33">
        <f>Q895+R895+U895+Table1[[#This Row],[Farmer Payment]]</f>
        <v>42954.658599999995</v>
      </c>
      <c r="M895" s="30">
        <v>42955</v>
      </c>
      <c r="N895" s="34">
        <v>45380</v>
      </c>
      <c r="O895" s="34"/>
      <c r="P895" s="35">
        <f t="shared" si="84"/>
        <v>0.34140000000479631</v>
      </c>
      <c r="Q895" s="33">
        <f>AI895+AV895+CK895+Table1[[#This Row],[FY 25-26]]</f>
        <v>22954.658599999999</v>
      </c>
      <c r="R895" s="36">
        <v>20000</v>
      </c>
      <c r="S895" s="37" t="s">
        <v>2155</v>
      </c>
      <c r="T895" s="38">
        <v>44643</v>
      </c>
      <c r="U895" s="39"/>
      <c r="V895" s="39"/>
      <c r="W895" s="40">
        <v>271</v>
      </c>
      <c r="X895" s="40">
        <v>0</v>
      </c>
      <c r="Y895" s="40">
        <v>1861</v>
      </c>
      <c r="Z895" s="40">
        <v>1879.2964000000002</v>
      </c>
      <c r="AA895" s="40">
        <v>1868.538</v>
      </c>
      <c r="AB895" s="40">
        <v>1861</v>
      </c>
      <c r="AC895" s="40">
        <v>1861</v>
      </c>
      <c r="AD895" s="40">
        <v>1899.8241999999998</v>
      </c>
      <c r="AE895" s="40">
        <v>1861</v>
      </c>
      <c r="AF895" s="40">
        <v>1861</v>
      </c>
      <c r="AG895" s="40">
        <v>1861</v>
      </c>
      <c r="AH895" s="40">
        <v>1137</v>
      </c>
      <c r="AI895" s="41">
        <f t="shared" si="85"/>
        <v>18221.658599999999</v>
      </c>
      <c r="AJ895" s="42">
        <v>1861</v>
      </c>
      <c r="AK895" s="42">
        <v>1597</v>
      </c>
      <c r="AL895" s="42">
        <v>585</v>
      </c>
      <c r="AM895" s="42">
        <v>240</v>
      </c>
      <c r="AN895" s="42">
        <v>450</v>
      </c>
      <c r="AO895" s="42">
        <v>0</v>
      </c>
      <c r="AP895" s="42">
        <v>0</v>
      </c>
      <c r="AQ895" s="42">
        <v>0</v>
      </c>
      <c r="AR895" s="42">
        <v>0</v>
      </c>
      <c r="AS895" s="42">
        <v>0</v>
      </c>
      <c r="AT895" s="42">
        <v>0</v>
      </c>
      <c r="AU895" s="42">
        <v>0</v>
      </c>
      <c r="AV895" s="42">
        <f t="shared" si="86"/>
        <v>4733</v>
      </c>
      <c r="AW895" s="42">
        <v>0</v>
      </c>
      <c r="AX895" s="42">
        <v>0</v>
      </c>
      <c r="AY895" s="42">
        <v>0</v>
      </c>
      <c r="AZ895" s="42">
        <v>0</v>
      </c>
      <c r="BA895" s="42">
        <v>0</v>
      </c>
      <c r="BB895" s="42">
        <v>0</v>
      </c>
      <c r="BC895" s="42">
        <v>0</v>
      </c>
      <c r="BD895" s="42">
        <v>0</v>
      </c>
      <c r="BE895" s="42">
        <v>0</v>
      </c>
      <c r="BF895" s="42">
        <v>0</v>
      </c>
      <c r="BG895" s="42">
        <v>0</v>
      </c>
      <c r="BH895" s="42">
        <v>0</v>
      </c>
      <c r="BI895" s="42">
        <v>0</v>
      </c>
      <c r="BJ895" s="42">
        <v>0</v>
      </c>
      <c r="BK895" s="42">
        <v>0</v>
      </c>
      <c r="BL895" s="42">
        <v>0</v>
      </c>
      <c r="BM895" s="42">
        <v>0</v>
      </c>
      <c r="BN895" s="42">
        <v>0</v>
      </c>
      <c r="BO895" s="42">
        <v>0</v>
      </c>
      <c r="BP895" s="42">
        <v>0</v>
      </c>
      <c r="BQ895" s="42">
        <v>0</v>
      </c>
      <c r="BR895" s="42">
        <v>0</v>
      </c>
      <c r="BS895" s="42">
        <v>0</v>
      </c>
      <c r="BT895" s="42">
        <v>0</v>
      </c>
      <c r="BU895" s="42">
        <v>0</v>
      </c>
      <c r="BV895" s="42">
        <v>0</v>
      </c>
      <c r="BW895" s="42">
        <v>0</v>
      </c>
      <c r="BX895" s="42">
        <v>0</v>
      </c>
      <c r="BY895" s="42">
        <v>0</v>
      </c>
      <c r="BZ895" s="42">
        <v>0</v>
      </c>
      <c r="CA895" s="42">
        <v>0</v>
      </c>
      <c r="CB895" s="42">
        <v>0</v>
      </c>
      <c r="CC895" s="42">
        <v>0</v>
      </c>
      <c r="CD895" s="42">
        <v>0</v>
      </c>
      <c r="CE895" s="42">
        <v>0</v>
      </c>
      <c r="CF895" s="42">
        <v>0</v>
      </c>
      <c r="CG895" s="42">
        <v>0</v>
      </c>
      <c r="CH895" s="42">
        <v>0</v>
      </c>
      <c r="CI895" s="42">
        <v>0</v>
      </c>
      <c r="CJ895" s="42">
        <v>0</v>
      </c>
      <c r="CK895" s="43">
        <f t="shared" si="83"/>
        <v>0</v>
      </c>
      <c r="CL895" s="66"/>
      <c r="CM895" s="66">
        <v>0</v>
      </c>
      <c r="CN895" s="66">
        <v>0</v>
      </c>
      <c r="CO895" s="66">
        <v>0</v>
      </c>
      <c r="CP895" s="66">
        <v>0</v>
      </c>
      <c r="CQ895" s="66">
        <v>0</v>
      </c>
      <c r="CR895" s="66">
        <v>0</v>
      </c>
      <c r="CS895" s="66">
        <v>0</v>
      </c>
      <c r="CT895" s="66">
        <v>0</v>
      </c>
      <c r="CU895" s="66">
        <v>0</v>
      </c>
      <c r="CV895" s="66">
        <v>0</v>
      </c>
      <c r="CW895" s="66">
        <v>0</v>
      </c>
      <c r="CX895" s="66">
        <v>0</v>
      </c>
      <c r="CY895" s="66">
        <v>0</v>
      </c>
      <c r="CZ895" s="66">
        <v>0</v>
      </c>
      <c r="DA895" s="66"/>
      <c r="DB895" s="66"/>
      <c r="DC895" s="66"/>
      <c r="DD895" s="66"/>
      <c r="DE895" s="66"/>
      <c r="DF895" s="66"/>
      <c r="DG895" s="66"/>
      <c r="DH895" s="66"/>
      <c r="DI895" s="66"/>
      <c r="DJ895" s="66"/>
      <c r="DK895" s="66">
        <f>SUM(Table1[[#This Row],[01-03 Apr]:[Mar-26]])</f>
        <v>0</v>
      </c>
    </row>
    <row r="896" spans="1:115" hidden="1" x14ac:dyDescent="0.2">
      <c r="A896" s="28" t="s">
        <v>371</v>
      </c>
      <c r="B896" s="29" t="s">
        <v>1956</v>
      </c>
      <c r="C896" s="29" t="s">
        <v>3336</v>
      </c>
      <c r="D896" s="30" t="s">
        <v>1957</v>
      </c>
      <c r="E896" s="30" t="s">
        <v>203</v>
      </c>
      <c r="F896" s="30"/>
      <c r="G896" s="31"/>
      <c r="H896" s="30"/>
      <c r="I896" s="30" t="str">
        <f>IF(Table1[[#This Row],[Centre Status]]="Returned","NA",IF(Table1[[#This Row],[SD]]&gt;19000,"Full Payment",IF(Table1[[#This Row],[SD]]&lt;1,"No Payment","Partial Payment")))</f>
        <v>NA</v>
      </c>
      <c r="J896" s="30" t="s">
        <v>1903</v>
      </c>
      <c r="K896" s="32">
        <v>0</v>
      </c>
      <c r="L896" s="33">
        <f>Q896+R896+U896+Table1[[#This Row],[Farmer Payment]]</f>
        <v>0</v>
      </c>
      <c r="M896" s="30"/>
      <c r="N896" s="34"/>
      <c r="O896" s="34"/>
      <c r="P896" s="35">
        <f t="shared" si="84"/>
        <v>0</v>
      </c>
      <c r="Q896" s="33">
        <f>AI896+AV896+CK896+Table1[[#This Row],[FY 25-26]]</f>
        <v>0</v>
      </c>
      <c r="R896" s="36"/>
      <c r="S896" s="37"/>
      <c r="T896" s="38"/>
      <c r="U896" s="39"/>
      <c r="V896" s="39"/>
      <c r="W896" s="40">
        <v>0</v>
      </c>
      <c r="X896" s="40">
        <v>0</v>
      </c>
      <c r="Y896" s="40">
        <v>0</v>
      </c>
      <c r="Z896" s="40">
        <v>0</v>
      </c>
      <c r="AA896" s="40">
        <v>0</v>
      </c>
      <c r="AB896" s="40">
        <v>0</v>
      </c>
      <c r="AC896" s="40">
        <v>0</v>
      </c>
      <c r="AD896" s="40">
        <v>0</v>
      </c>
      <c r="AE896" s="40">
        <v>0</v>
      </c>
      <c r="AF896" s="40">
        <v>0</v>
      </c>
      <c r="AG896" s="40">
        <v>0</v>
      </c>
      <c r="AH896" s="40">
        <v>0</v>
      </c>
      <c r="AI896" s="41">
        <f t="shared" si="85"/>
        <v>0</v>
      </c>
      <c r="AJ896" s="42">
        <v>0</v>
      </c>
      <c r="AK896" s="42">
        <v>0</v>
      </c>
      <c r="AL896" s="42">
        <v>0</v>
      </c>
      <c r="AM896" s="42">
        <v>0</v>
      </c>
      <c r="AN896" s="42">
        <v>0</v>
      </c>
      <c r="AO896" s="42">
        <v>0</v>
      </c>
      <c r="AP896" s="42">
        <v>0</v>
      </c>
      <c r="AQ896" s="42">
        <v>0</v>
      </c>
      <c r="AR896" s="42">
        <v>0</v>
      </c>
      <c r="AS896" s="42">
        <v>0</v>
      </c>
      <c r="AT896" s="42">
        <v>0</v>
      </c>
      <c r="AU896" s="42">
        <v>0</v>
      </c>
      <c r="AV896" s="42">
        <f t="shared" si="86"/>
        <v>0</v>
      </c>
      <c r="AW896" s="42">
        <v>0</v>
      </c>
      <c r="AX896" s="42">
        <v>0</v>
      </c>
      <c r="AY896" s="42">
        <v>0</v>
      </c>
      <c r="AZ896" s="42">
        <v>0</v>
      </c>
      <c r="BA896" s="42">
        <v>0</v>
      </c>
      <c r="BB896" s="42">
        <v>0</v>
      </c>
      <c r="BC896" s="42">
        <v>0</v>
      </c>
      <c r="BD896" s="42">
        <v>0</v>
      </c>
      <c r="BE896" s="42">
        <v>0</v>
      </c>
      <c r="BF896" s="42">
        <v>0</v>
      </c>
      <c r="BG896" s="42">
        <v>0</v>
      </c>
      <c r="BH896" s="42">
        <v>0</v>
      </c>
      <c r="BI896" s="42">
        <v>0</v>
      </c>
      <c r="BJ896" s="42">
        <v>0</v>
      </c>
      <c r="BK896" s="42">
        <v>0</v>
      </c>
      <c r="BL896" s="42">
        <v>0</v>
      </c>
      <c r="BM896" s="42">
        <v>0</v>
      </c>
      <c r="BN896" s="42">
        <v>0</v>
      </c>
      <c r="BO896" s="42">
        <v>0</v>
      </c>
      <c r="BP896" s="42">
        <v>0</v>
      </c>
      <c r="BQ896" s="42">
        <v>0</v>
      </c>
      <c r="BR896" s="42">
        <v>0</v>
      </c>
      <c r="BS896" s="42">
        <v>0</v>
      </c>
      <c r="BT896" s="42">
        <v>0</v>
      </c>
      <c r="BU896" s="42">
        <v>0</v>
      </c>
      <c r="BV896" s="42">
        <v>0</v>
      </c>
      <c r="BW896" s="42">
        <v>0</v>
      </c>
      <c r="BX896" s="42">
        <v>0</v>
      </c>
      <c r="BY896" s="42">
        <v>0</v>
      </c>
      <c r="BZ896" s="42">
        <v>0</v>
      </c>
      <c r="CA896" s="42">
        <v>0</v>
      </c>
      <c r="CB896" s="42">
        <v>0</v>
      </c>
      <c r="CC896" s="42">
        <v>0</v>
      </c>
      <c r="CD896" s="42">
        <v>0</v>
      </c>
      <c r="CE896" s="42">
        <v>0</v>
      </c>
      <c r="CF896" s="42">
        <v>0</v>
      </c>
      <c r="CG896" s="42">
        <v>0</v>
      </c>
      <c r="CH896" s="42">
        <v>0</v>
      </c>
      <c r="CI896" s="42">
        <v>0</v>
      </c>
      <c r="CJ896" s="42">
        <v>0</v>
      </c>
      <c r="CK896" s="43">
        <f t="shared" si="83"/>
        <v>0</v>
      </c>
      <c r="CL896" s="66"/>
      <c r="CM896" s="66">
        <v>0</v>
      </c>
      <c r="CN896" s="66">
        <v>0</v>
      </c>
      <c r="CO896" s="66">
        <v>0</v>
      </c>
      <c r="CP896" s="66">
        <v>0</v>
      </c>
      <c r="CQ896" s="66">
        <v>0</v>
      </c>
      <c r="CR896" s="66">
        <v>0</v>
      </c>
      <c r="CS896" s="66">
        <v>0</v>
      </c>
      <c r="CT896" s="66">
        <v>0</v>
      </c>
      <c r="CU896" s="66">
        <v>0</v>
      </c>
      <c r="CV896" s="66">
        <v>0</v>
      </c>
      <c r="CW896" s="66">
        <v>0</v>
      </c>
      <c r="CX896" s="66">
        <v>0</v>
      </c>
      <c r="CY896" s="66">
        <v>0</v>
      </c>
      <c r="CZ896" s="66">
        <v>0</v>
      </c>
      <c r="DA896" s="66"/>
      <c r="DB896" s="66"/>
      <c r="DC896" s="66"/>
      <c r="DD896" s="66"/>
      <c r="DE896" s="66"/>
      <c r="DF896" s="66"/>
      <c r="DG896" s="66"/>
      <c r="DH896" s="66"/>
      <c r="DI896" s="66"/>
      <c r="DJ896" s="66"/>
      <c r="DK896" s="66">
        <f>SUM(Table1[[#This Row],[01-03 Apr]:[Mar-26]])</f>
        <v>0</v>
      </c>
    </row>
    <row r="897" spans="1:115" hidden="1" x14ac:dyDescent="0.2">
      <c r="A897" s="28" t="s">
        <v>371</v>
      </c>
      <c r="B897" s="29" t="s">
        <v>1958</v>
      </c>
      <c r="C897" s="29" t="s">
        <v>3367</v>
      </c>
      <c r="D897" s="30" t="s">
        <v>1959</v>
      </c>
      <c r="E897" s="30" t="s">
        <v>906</v>
      </c>
      <c r="F897" s="30"/>
      <c r="G897" s="31"/>
      <c r="H897" s="30"/>
      <c r="I897" s="30" t="str">
        <f>IF(Table1[[#This Row],[Centre Status]]="Returned","NA",IF(Table1[[#This Row],[SD]]&gt;19000,"Full Payment",IF(Table1[[#This Row],[SD]]&lt;1,"No Payment","Partial Payment")))</f>
        <v>NA</v>
      </c>
      <c r="J897" s="30" t="s">
        <v>1903</v>
      </c>
      <c r="K897" s="32">
        <v>0</v>
      </c>
      <c r="L897" s="33">
        <f>Q897+R897+U897+Table1[[#This Row],[Farmer Payment]]</f>
        <v>10000</v>
      </c>
      <c r="M897" s="30"/>
      <c r="N897" s="34"/>
      <c r="O897" s="34"/>
      <c r="P897" s="35">
        <f t="shared" si="84"/>
        <v>-10000</v>
      </c>
      <c r="Q897" s="33">
        <f>AI897+AV897+CK897+Table1[[#This Row],[FY 25-26]]</f>
        <v>0</v>
      </c>
      <c r="R897" s="36">
        <v>10000</v>
      </c>
      <c r="S897" s="37" t="s">
        <v>2156</v>
      </c>
      <c r="T897" s="38">
        <v>45224</v>
      </c>
      <c r="U897" s="39"/>
      <c r="V897" s="39"/>
      <c r="W897" s="40">
        <v>0</v>
      </c>
      <c r="X897" s="40">
        <v>0</v>
      </c>
      <c r="Y897" s="40">
        <v>0</v>
      </c>
      <c r="Z897" s="40">
        <v>0</v>
      </c>
      <c r="AA897" s="40">
        <v>0</v>
      </c>
      <c r="AB897" s="40">
        <v>0</v>
      </c>
      <c r="AC897" s="40">
        <v>0</v>
      </c>
      <c r="AD897" s="40">
        <v>0</v>
      </c>
      <c r="AE897" s="40">
        <v>0</v>
      </c>
      <c r="AF897" s="40">
        <v>0</v>
      </c>
      <c r="AG897" s="40">
        <v>0</v>
      </c>
      <c r="AH897" s="40">
        <v>0</v>
      </c>
      <c r="AI897" s="41">
        <f t="shared" si="85"/>
        <v>0</v>
      </c>
      <c r="AJ897" s="42">
        <v>0</v>
      </c>
      <c r="AK897" s="42">
        <v>0</v>
      </c>
      <c r="AL897" s="42">
        <v>0</v>
      </c>
      <c r="AM897" s="42">
        <v>0</v>
      </c>
      <c r="AN897" s="42">
        <v>0</v>
      </c>
      <c r="AO897" s="42">
        <v>0</v>
      </c>
      <c r="AP897" s="42">
        <v>0</v>
      </c>
      <c r="AQ897" s="42">
        <v>0</v>
      </c>
      <c r="AR897" s="42">
        <v>0</v>
      </c>
      <c r="AS897" s="42">
        <v>0</v>
      </c>
      <c r="AT897" s="42">
        <v>0</v>
      </c>
      <c r="AU897" s="42">
        <v>0</v>
      </c>
      <c r="AV897" s="42">
        <f t="shared" si="86"/>
        <v>0</v>
      </c>
      <c r="AW897" s="42">
        <v>0</v>
      </c>
      <c r="AX897" s="42">
        <v>0</v>
      </c>
      <c r="AY897" s="42">
        <v>0</v>
      </c>
      <c r="AZ897" s="42">
        <v>0</v>
      </c>
      <c r="BA897" s="42">
        <v>0</v>
      </c>
      <c r="BB897" s="42">
        <v>0</v>
      </c>
      <c r="BC897" s="42">
        <v>0</v>
      </c>
      <c r="BD897" s="42">
        <v>0</v>
      </c>
      <c r="BE897" s="42">
        <v>0</v>
      </c>
      <c r="BF897" s="42">
        <v>0</v>
      </c>
      <c r="BG897" s="42">
        <v>0</v>
      </c>
      <c r="BH897" s="42">
        <v>0</v>
      </c>
      <c r="BI897" s="42">
        <v>0</v>
      </c>
      <c r="BJ897" s="42">
        <v>0</v>
      </c>
      <c r="BK897" s="42">
        <v>0</v>
      </c>
      <c r="BL897" s="42">
        <v>0</v>
      </c>
      <c r="BM897" s="42">
        <v>0</v>
      </c>
      <c r="BN897" s="42">
        <v>0</v>
      </c>
      <c r="BO897" s="42">
        <v>0</v>
      </c>
      <c r="BP897" s="42">
        <v>0</v>
      </c>
      <c r="BQ897" s="42">
        <v>0</v>
      </c>
      <c r="BR897" s="42">
        <v>0</v>
      </c>
      <c r="BS897" s="42">
        <v>0</v>
      </c>
      <c r="BT897" s="42">
        <v>0</v>
      </c>
      <c r="BU897" s="42">
        <v>0</v>
      </c>
      <c r="BV897" s="42">
        <v>0</v>
      </c>
      <c r="BW897" s="42">
        <v>0</v>
      </c>
      <c r="BX897" s="42">
        <v>0</v>
      </c>
      <c r="BY897" s="42">
        <v>0</v>
      </c>
      <c r="BZ897" s="42">
        <v>0</v>
      </c>
      <c r="CA897" s="42">
        <v>0</v>
      </c>
      <c r="CB897" s="42">
        <v>0</v>
      </c>
      <c r="CC897" s="42">
        <v>0</v>
      </c>
      <c r="CD897" s="42">
        <v>0</v>
      </c>
      <c r="CE897" s="42">
        <v>0</v>
      </c>
      <c r="CF897" s="42">
        <v>0</v>
      </c>
      <c r="CG897" s="42">
        <v>0</v>
      </c>
      <c r="CH897" s="42">
        <v>0</v>
      </c>
      <c r="CI897" s="42">
        <v>0</v>
      </c>
      <c r="CJ897" s="42">
        <v>0</v>
      </c>
      <c r="CK897" s="43">
        <f t="shared" si="83"/>
        <v>0</v>
      </c>
      <c r="CL897" s="66"/>
      <c r="CM897" s="66">
        <v>0</v>
      </c>
      <c r="CN897" s="66">
        <v>0</v>
      </c>
      <c r="CO897" s="66">
        <v>0</v>
      </c>
      <c r="CP897" s="66">
        <v>0</v>
      </c>
      <c r="CQ897" s="66">
        <v>0</v>
      </c>
      <c r="CR897" s="66">
        <v>0</v>
      </c>
      <c r="CS897" s="66">
        <v>0</v>
      </c>
      <c r="CT897" s="66">
        <v>0</v>
      </c>
      <c r="CU897" s="66">
        <v>0</v>
      </c>
      <c r="CV897" s="66">
        <v>0</v>
      </c>
      <c r="CW897" s="66">
        <v>0</v>
      </c>
      <c r="CX897" s="66">
        <v>0</v>
      </c>
      <c r="CY897" s="66">
        <v>0</v>
      </c>
      <c r="CZ897" s="66">
        <v>0</v>
      </c>
      <c r="DA897" s="66"/>
      <c r="DB897" s="66"/>
      <c r="DC897" s="66"/>
      <c r="DD897" s="66"/>
      <c r="DE897" s="66"/>
      <c r="DF897" s="66"/>
      <c r="DG897" s="66"/>
      <c r="DH897" s="66"/>
      <c r="DI897" s="66"/>
      <c r="DJ897" s="66"/>
      <c r="DK897" s="66">
        <f>SUM(Table1[[#This Row],[01-03 Apr]:[Mar-26]])</f>
        <v>0</v>
      </c>
    </row>
    <row r="898" spans="1:115" hidden="1" x14ac:dyDescent="0.2">
      <c r="A898" s="28" t="s">
        <v>371</v>
      </c>
      <c r="B898" s="29" t="s">
        <v>1960</v>
      </c>
      <c r="C898" s="29" t="s">
        <v>3368</v>
      </c>
      <c r="D898" s="30" t="s">
        <v>1961</v>
      </c>
      <c r="E898" s="30" t="s">
        <v>906</v>
      </c>
      <c r="F898" s="30"/>
      <c r="G898" s="31"/>
      <c r="H898" s="30"/>
      <c r="I898" s="30" t="str">
        <f>IF(Table1[[#This Row],[Centre Status]]="Returned","NA",IF(Table1[[#This Row],[SD]]&gt;19000,"Full Payment",IF(Table1[[#This Row],[SD]]&lt;1,"No Payment","Partial Payment")))</f>
        <v>NA</v>
      </c>
      <c r="J898" s="30" t="s">
        <v>1903</v>
      </c>
      <c r="K898" s="32">
        <v>0</v>
      </c>
      <c r="L898" s="33">
        <f>Q898+R898+U898+Table1[[#This Row],[Farmer Payment]]</f>
        <v>4007</v>
      </c>
      <c r="M898" s="30">
        <v>5000</v>
      </c>
      <c r="N898" s="34">
        <v>45435</v>
      </c>
      <c r="O898" s="34" t="s">
        <v>2451</v>
      </c>
      <c r="P898" s="35">
        <f t="shared" si="84"/>
        <v>993</v>
      </c>
      <c r="Q898" s="33">
        <f>AI898+AV898+CK898+Table1[[#This Row],[FY 25-26]]</f>
        <v>7</v>
      </c>
      <c r="R898" s="36">
        <v>4000</v>
      </c>
      <c r="S898" s="37" t="s">
        <v>2157</v>
      </c>
      <c r="T898" s="38">
        <v>45040</v>
      </c>
      <c r="U898" s="39"/>
      <c r="V898" s="39"/>
      <c r="W898" s="40">
        <v>0</v>
      </c>
      <c r="X898" s="40">
        <v>0</v>
      </c>
      <c r="Y898" s="40">
        <v>0</v>
      </c>
      <c r="Z898" s="40">
        <v>0</v>
      </c>
      <c r="AA898" s="40">
        <v>0</v>
      </c>
      <c r="AB898" s="40">
        <v>0</v>
      </c>
      <c r="AC898" s="40">
        <v>0</v>
      </c>
      <c r="AD898" s="40">
        <v>0</v>
      </c>
      <c r="AE898" s="40">
        <v>0</v>
      </c>
      <c r="AF898" s="40">
        <v>0</v>
      </c>
      <c r="AG898" s="40">
        <v>0</v>
      </c>
      <c r="AH898" s="40">
        <v>0</v>
      </c>
      <c r="AI898" s="41">
        <f t="shared" si="85"/>
        <v>0</v>
      </c>
      <c r="AJ898" s="42">
        <v>0</v>
      </c>
      <c r="AK898" s="42">
        <v>7</v>
      </c>
      <c r="AL898" s="42">
        <v>0</v>
      </c>
      <c r="AM898" s="42">
        <v>0</v>
      </c>
      <c r="AN898" s="42">
        <v>0</v>
      </c>
      <c r="AO898" s="42">
        <v>0</v>
      </c>
      <c r="AP898" s="42">
        <v>0</v>
      </c>
      <c r="AQ898" s="42">
        <v>0</v>
      </c>
      <c r="AR898" s="42">
        <v>0</v>
      </c>
      <c r="AS898" s="42">
        <v>0</v>
      </c>
      <c r="AT898" s="42">
        <v>0</v>
      </c>
      <c r="AU898" s="42">
        <v>0</v>
      </c>
      <c r="AV898" s="42">
        <f t="shared" si="86"/>
        <v>7</v>
      </c>
      <c r="AW898" s="42">
        <v>0</v>
      </c>
      <c r="AX898" s="42">
        <v>0</v>
      </c>
      <c r="AY898" s="42">
        <v>0</v>
      </c>
      <c r="AZ898" s="42">
        <v>0</v>
      </c>
      <c r="BA898" s="42">
        <v>0</v>
      </c>
      <c r="BB898" s="42">
        <v>0</v>
      </c>
      <c r="BC898" s="42">
        <v>0</v>
      </c>
      <c r="BD898" s="42">
        <v>0</v>
      </c>
      <c r="BE898" s="42">
        <v>0</v>
      </c>
      <c r="BF898" s="42">
        <v>0</v>
      </c>
      <c r="BG898" s="42">
        <v>0</v>
      </c>
      <c r="BH898" s="42">
        <v>0</v>
      </c>
      <c r="BI898" s="42">
        <v>0</v>
      </c>
      <c r="BJ898" s="42">
        <v>0</v>
      </c>
      <c r="BK898" s="42">
        <v>0</v>
      </c>
      <c r="BL898" s="42">
        <v>0</v>
      </c>
      <c r="BM898" s="42">
        <v>0</v>
      </c>
      <c r="BN898" s="42">
        <v>0</v>
      </c>
      <c r="BO898" s="42">
        <v>0</v>
      </c>
      <c r="BP898" s="42">
        <v>0</v>
      </c>
      <c r="BQ898" s="42">
        <v>0</v>
      </c>
      <c r="BR898" s="42">
        <v>0</v>
      </c>
      <c r="BS898" s="42">
        <v>0</v>
      </c>
      <c r="BT898" s="42">
        <v>0</v>
      </c>
      <c r="BU898" s="42">
        <v>0</v>
      </c>
      <c r="BV898" s="42">
        <v>0</v>
      </c>
      <c r="BW898" s="42">
        <v>0</v>
      </c>
      <c r="BX898" s="42">
        <v>0</v>
      </c>
      <c r="BY898" s="42">
        <v>0</v>
      </c>
      <c r="BZ898" s="42">
        <v>0</v>
      </c>
      <c r="CA898" s="42">
        <v>0</v>
      </c>
      <c r="CB898" s="42">
        <v>0</v>
      </c>
      <c r="CC898" s="42">
        <v>0</v>
      </c>
      <c r="CD898" s="42">
        <v>0</v>
      </c>
      <c r="CE898" s="42">
        <v>0</v>
      </c>
      <c r="CF898" s="42">
        <v>0</v>
      </c>
      <c r="CG898" s="42">
        <v>0</v>
      </c>
      <c r="CH898" s="42">
        <v>0</v>
      </c>
      <c r="CI898" s="42">
        <v>0</v>
      </c>
      <c r="CJ898" s="42">
        <v>0</v>
      </c>
      <c r="CK898" s="43">
        <f t="shared" si="83"/>
        <v>0</v>
      </c>
      <c r="CL898" s="66"/>
      <c r="CM898" s="66">
        <v>0</v>
      </c>
      <c r="CN898" s="66">
        <v>0</v>
      </c>
      <c r="CO898" s="66">
        <v>0</v>
      </c>
      <c r="CP898" s="66">
        <v>0</v>
      </c>
      <c r="CQ898" s="66">
        <v>0</v>
      </c>
      <c r="CR898" s="66">
        <v>0</v>
      </c>
      <c r="CS898" s="66">
        <v>0</v>
      </c>
      <c r="CT898" s="66">
        <v>0</v>
      </c>
      <c r="CU898" s="66">
        <v>0</v>
      </c>
      <c r="CV898" s="66">
        <v>0</v>
      </c>
      <c r="CW898" s="66">
        <v>0</v>
      </c>
      <c r="CX898" s="66">
        <v>0</v>
      </c>
      <c r="CY898" s="66">
        <v>0</v>
      </c>
      <c r="CZ898" s="66">
        <v>0</v>
      </c>
      <c r="DA898" s="66"/>
      <c r="DB898" s="66"/>
      <c r="DC898" s="66"/>
      <c r="DD898" s="66"/>
      <c r="DE898" s="66"/>
      <c r="DF898" s="66"/>
      <c r="DG898" s="66"/>
      <c r="DH898" s="66"/>
      <c r="DI898" s="66"/>
      <c r="DJ898" s="66"/>
      <c r="DK898" s="66">
        <f>SUM(Table1[[#This Row],[01-03 Apr]:[Mar-26]])</f>
        <v>0</v>
      </c>
    </row>
    <row r="899" spans="1:115" hidden="1" x14ac:dyDescent="0.2">
      <c r="A899" s="28" t="s">
        <v>371</v>
      </c>
      <c r="B899" s="29" t="s">
        <v>1962</v>
      </c>
      <c r="C899" s="29" t="s">
        <v>3336</v>
      </c>
      <c r="D899" s="30" t="s">
        <v>1963</v>
      </c>
      <c r="E899" s="30" t="s">
        <v>906</v>
      </c>
      <c r="F899" s="30"/>
      <c r="G899" s="31"/>
      <c r="H899" s="30"/>
      <c r="I899" s="30" t="str">
        <f>IF(Table1[[#This Row],[Centre Status]]="Returned","NA",IF(Table1[[#This Row],[SD]]&gt;19000,"Full Payment",IF(Table1[[#This Row],[SD]]&lt;1,"No Payment","Partial Payment")))</f>
        <v>NA</v>
      </c>
      <c r="J899" s="30" t="s">
        <v>1903</v>
      </c>
      <c r="K899" s="32">
        <v>0</v>
      </c>
      <c r="L899" s="33">
        <f>Q899+R899+U899+Table1[[#This Row],[Farmer Payment]]</f>
        <v>129</v>
      </c>
      <c r="M899" s="30"/>
      <c r="N899" s="34"/>
      <c r="O899" s="34"/>
      <c r="P899" s="35">
        <f t="shared" si="84"/>
        <v>-129</v>
      </c>
      <c r="Q899" s="33">
        <f>AI899+AV899+CK899+Table1[[#This Row],[FY 25-26]]</f>
        <v>129</v>
      </c>
      <c r="R899" s="36"/>
      <c r="S899" s="37"/>
      <c r="T899" s="38"/>
      <c r="U899" s="39"/>
      <c r="V899" s="39"/>
      <c r="W899" s="40">
        <v>0</v>
      </c>
      <c r="X899" s="40">
        <v>0</v>
      </c>
      <c r="Y899" s="40">
        <v>0</v>
      </c>
      <c r="Z899" s="40">
        <v>0</v>
      </c>
      <c r="AA899" s="40">
        <v>0</v>
      </c>
      <c r="AB899" s="40">
        <v>0</v>
      </c>
      <c r="AC899" s="40">
        <v>0</v>
      </c>
      <c r="AD899" s="40">
        <v>0</v>
      </c>
      <c r="AE899" s="40">
        <v>0</v>
      </c>
      <c r="AF899" s="40">
        <v>0</v>
      </c>
      <c r="AG899" s="40">
        <v>0</v>
      </c>
      <c r="AH899" s="40">
        <v>10</v>
      </c>
      <c r="AI899" s="41">
        <f t="shared" si="85"/>
        <v>10</v>
      </c>
      <c r="AJ899" s="42">
        <v>119</v>
      </c>
      <c r="AK899" s="42">
        <v>0</v>
      </c>
      <c r="AL899" s="42">
        <v>0</v>
      </c>
      <c r="AM899" s="42">
        <v>0</v>
      </c>
      <c r="AN899" s="42">
        <v>0</v>
      </c>
      <c r="AO899" s="42">
        <v>0</v>
      </c>
      <c r="AP899" s="42">
        <v>0</v>
      </c>
      <c r="AQ899" s="42">
        <v>0</v>
      </c>
      <c r="AR899" s="42">
        <v>0</v>
      </c>
      <c r="AS899" s="42">
        <v>0</v>
      </c>
      <c r="AT899" s="42">
        <v>0</v>
      </c>
      <c r="AU899" s="42">
        <v>0</v>
      </c>
      <c r="AV899" s="42">
        <f t="shared" si="86"/>
        <v>119</v>
      </c>
      <c r="AW899" s="42">
        <v>0</v>
      </c>
      <c r="AX899" s="42">
        <v>0</v>
      </c>
      <c r="AY899" s="42">
        <v>0</v>
      </c>
      <c r="AZ899" s="42">
        <v>0</v>
      </c>
      <c r="BA899" s="42">
        <v>0</v>
      </c>
      <c r="BB899" s="42">
        <v>0</v>
      </c>
      <c r="BC899" s="42">
        <v>0</v>
      </c>
      <c r="BD899" s="42">
        <v>0</v>
      </c>
      <c r="BE899" s="42">
        <v>0</v>
      </c>
      <c r="BF899" s="42">
        <v>0</v>
      </c>
      <c r="BG899" s="42">
        <v>0</v>
      </c>
      <c r="BH899" s="42">
        <v>0</v>
      </c>
      <c r="BI899" s="42">
        <v>0</v>
      </c>
      <c r="BJ899" s="42">
        <v>0</v>
      </c>
      <c r="BK899" s="42">
        <v>0</v>
      </c>
      <c r="BL899" s="42">
        <v>0</v>
      </c>
      <c r="BM899" s="42">
        <v>0</v>
      </c>
      <c r="BN899" s="42">
        <v>0</v>
      </c>
      <c r="BO899" s="42">
        <v>0</v>
      </c>
      <c r="BP899" s="42">
        <v>0</v>
      </c>
      <c r="BQ899" s="42">
        <v>0</v>
      </c>
      <c r="BR899" s="42">
        <v>0</v>
      </c>
      <c r="BS899" s="42">
        <v>0</v>
      </c>
      <c r="BT899" s="42">
        <v>0</v>
      </c>
      <c r="BU899" s="42">
        <v>0</v>
      </c>
      <c r="BV899" s="42">
        <v>0</v>
      </c>
      <c r="BW899" s="42">
        <v>0</v>
      </c>
      <c r="BX899" s="42">
        <v>0</v>
      </c>
      <c r="BY899" s="42">
        <v>0</v>
      </c>
      <c r="BZ899" s="42">
        <v>0</v>
      </c>
      <c r="CA899" s="42">
        <v>0</v>
      </c>
      <c r="CB899" s="42">
        <v>0</v>
      </c>
      <c r="CC899" s="42">
        <v>0</v>
      </c>
      <c r="CD899" s="42">
        <v>0</v>
      </c>
      <c r="CE899" s="42">
        <v>0</v>
      </c>
      <c r="CF899" s="42">
        <v>0</v>
      </c>
      <c r="CG899" s="42">
        <v>0</v>
      </c>
      <c r="CH899" s="42">
        <v>0</v>
      </c>
      <c r="CI899" s="42">
        <v>0</v>
      </c>
      <c r="CJ899" s="42">
        <v>0</v>
      </c>
      <c r="CK899" s="43">
        <f t="shared" si="83"/>
        <v>0</v>
      </c>
      <c r="CL899" s="66"/>
      <c r="CM899" s="66">
        <v>0</v>
      </c>
      <c r="CN899" s="66">
        <v>0</v>
      </c>
      <c r="CO899" s="66">
        <v>0</v>
      </c>
      <c r="CP899" s="66">
        <v>0</v>
      </c>
      <c r="CQ899" s="66">
        <v>0</v>
      </c>
      <c r="CR899" s="66">
        <v>0</v>
      </c>
      <c r="CS899" s="66">
        <v>0</v>
      </c>
      <c r="CT899" s="66">
        <v>0</v>
      </c>
      <c r="CU899" s="66">
        <v>0</v>
      </c>
      <c r="CV899" s="66">
        <v>0</v>
      </c>
      <c r="CW899" s="66">
        <v>0</v>
      </c>
      <c r="CX899" s="66">
        <v>0</v>
      </c>
      <c r="CY899" s="66">
        <v>0</v>
      </c>
      <c r="CZ899" s="66">
        <v>0</v>
      </c>
      <c r="DA899" s="66"/>
      <c r="DB899" s="66"/>
      <c r="DC899" s="66"/>
      <c r="DD899" s="66"/>
      <c r="DE899" s="66"/>
      <c r="DF899" s="66"/>
      <c r="DG899" s="66"/>
      <c r="DH899" s="66"/>
      <c r="DI899" s="66"/>
      <c r="DJ899" s="66"/>
      <c r="DK899" s="66">
        <f>SUM(Table1[[#This Row],[01-03 Apr]:[Mar-26]])</f>
        <v>0</v>
      </c>
    </row>
    <row r="900" spans="1:115" hidden="1" x14ac:dyDescent="0.2">
      <c r="A900" s="28" t="s">
        <v>371</v>
      </c>
      <c r="B900" s="29" t="s">
        <v>1964</v>
      </c>
      <c r="C900" s="29" t="s">
        <v>3369</v>
      </c>
      <c r="D900" s="30" t="s">
        <v>1965</v>
      </c>
      <c r="E900" s="30" t="s">
        <v>906</v>
      </c>
      <c r="F900" s="30"/>
      <c r="G900" s="31"/>
      <c r="H900" s="30"/>
      <c r="I900" s="30" t="str">
        <f>IF(Table1[[#This Row],[Centre Status]]="Returned","NA",IF(Table1[[#This Row],[SD]]&gt;19000,"Full Payment",IF(Table1[[#This Row],[SD]]&lt;1,"No Payment","Partial Payment")))</f>
        <v>NA</v>
      </c>
      <c r="J900" s="30" t="s">
        <v>1903</v>
      </c>
      <c r="K900" s="32">
        <v>0</v>
      </c>
      <c r="L900" s="33">
        <f>Q900+R900+U900+Table1[[#This Row],[Farmer Payment]]</f>
        <v>27047.354200000002</v>
      </c>
      <c r="M900" s="30">
        <v>20000</v>
      </c>
      <c r="N900" s="34">
        <v>45542</v>
      </c>
      <c r="O900" s="34" t="s">
        <v>2608</v>
      </c>
      <c r="P900" s="35">
        <f t="shared" si="84"/>
        <v>-7047.3542000000016</v>
      </c>
      <c r="Q900" s="33">
        <f>AI900+AV900+CK900+Table1[[#This Row],[FY 25-26]]</f>
        <v>7047.3541999999998</v>
      </c>
      <c r="R900" s="36">
        <v>20000</v>
      </c>
      <c r="S900" s="37" t="s">
        <v>2158</v>
      </c>
      <c r="T900" s="38">
        <v>45011</v>
      </c>
      <c r="U900" s="39"/>
      <c r="V900" s="39"/>
      <c r="W900" s="40">
        <v>0</v>
      </c>
      <c r="X900" s="40">
        <v>0</v>
      </c>
      <c r="Y900" s="40">
        <v>0</v>
      </c>
      <c r="Z900" s="40">
        <v>0</v>
      </c>
      <c r="AA900" s="40">
        <v>0</v>
      </c>
      <c r="AB900" s="40">
        <v>0</v>
      </c>
      <c r="AC900" s="40">
        <v>0</v>
      </c>
      <c r="AD900" s="40">
        <v>0</v>
      </c>
      <c r="AE900" s="40">
        <v>0</v>
      </c>
      <c r="AF900" s="40">
        <v>0</v>
      </c>
      <c r="AG900" s="40">
        <v>0</v>
      </c>
      <c r="AH900" s="40">
        <v>1861</v>
      </c>
      <c r="AI900" s="41">
        <f t="shared" si="85"/>
        <v>1861</v>
      </c>
      <c r="AJ900" s="42">
        <v>3325.3541999999998</v>
      </c>
      <c r="AK900" s="42">
        <v>1861</v>
      </c>
      <c r="AL900" s="42">
        <v>0</v>
      </c>
      <c r="AM900" s="42">
        <v>0</v>
      </c>
      <c r="AN900" s="42">
        <v>0</v>
      </c>
      <c r="AO900" s="42">
        <v>0</v>
      </c>
      <c r="AP900" s="42">
        <v>0</v>
      </c>
      <c r="AQ900" s="42">
        <v>0</v>
      </c>
      <c r="AR900" s="42">
        <v>0</v>
      </c>
      <c r="AS900" s="42">
        <v>0</v>
      </c>
      <c r="AT900" s="42">
        <v>0</v>
      </c>
      <c r="AU900" s="42">
        <v>0</v>
      </c>
      <c r="AV900" s="42">
        <f t="shared" si="86"/>
        <v>5186.3541999999998</v>
      </c>
      <c r="AW900" s="42">
        <v>0</v>
      </c>
      <c r="AX900" s="42">
        <v>0</v>
      </c>
      <c r="AY900" s="42">
        <v>0</v>
      </c>
      <c r="AZ900" s="42">
        <v>0</v>
      </c>
      <c r="BA900" s="42">
        <v>0</v>
      </c>
      <c r="BB900" s="42">
        <v>0</v>
      </c>
      <c r="BC900" s="42">
        <v>0</v>
      </c>
      <c r="BD900" s="42">
        <v>0</v>
      </c>
      <c r="BE900" s="42">
        <v>0</v>
      </c>
      <c r="BF900" s="42">
        <v>0</v>
      </c>
      <c r="BG900" s="42">
        <v>0</v>
      </c>
      <c r="BH900" s="42">
        <v>0</v>
      </c>
      <c r="BI900" s="42">
        <v>0</v>
      </c>
      <c r="BJ900" s="42">
        <v>0</v>
      </c>
      <c r="BK900" s="42">
        <v>0</v>
      </c>
      <c r="BL900" s="42">
        <v>0</v>
      </c>
      <c r="BM900" s="42">
        <v>0</v>
      </c>
      <c r="BN900" s="42">
        <v>0</v>
      </c>
      <c r="BO900" s="42">
        <v>0</v>
      </c>
      <c r="BP900" s="42">
        <v>0</v>
      </c>
      <c r="BQ900" s="42">
        <v>0</v>
      </c>
      <c r="BR900" s="42">
        <v>0</v>
      </c>
      <c r="BS900" s="42">
        <v>0</v>
      </c>
      <c r="BT900" s="42">
        <v>0</v>
      </c>
      <c r="BU900" s="42">
        <v>0</v>
      </c>
      <c r="BV900" s="42">
        <v>0</v>
      </c>
      <c r="BW900" s="42">
        <v>0</v>
      </c>
      <c r="BX900" s="42">
        <v>0</v>
      </c>
      <c r="BY900" s="42">
        <v>0</v>
      </c>
      <c r="BZ900" s="42">
        <v>0</v>
      </c>
      <c r="CA900" s="42">
        <v>0</v>
      </c>
      <c r="CB900" s="42">
        <v>0</v>
      </c>
      <c r="CC900" s="42">
        <v>0</v>
      </c>
      <c r="CD900" s="42">
        <v>0</v>
      </c>
      <c r="CE900" s="42">
        <v>0</v>
      </c>
      <c r="CF900" s="42">
        <v>0</v>
      </c>
      <c r="CG900" s="42">
        <v>0</v>
      </c>
      <c r="CH900" s="42">
        <v>0</v>
      </c>
      <c r="CI900" s="42">
        <v>0</v>
      </c>
      <c r="CJ900" s="42">
        <v>0</v>
      </c>
      <c r="CK900" s="43">
        <f t="shared" si="83"/>
        <v>0</v>
      </c>
      <c r="CL900" s="66"/>
      <c r="CM900" s="66">
        <v>0</v>
      </c>
      <c r="CN900" s="66">
        <v>0</v>
      </c>
      <c r="CO900" s="66">
        <v>0</v>
      </c>
      <c r="CP900" s="66">
        <v>0</v>
      </c>
      <c r="CQ900" s="66">
        <v>0</v>
      </c>
      <c r="CR900" s="66">
        <v>0</v>
      </c>
      <c r="CS900" s="66">
        <v>0</v>
      </c>
      <c r="CT900" s="66">
        <v>0</v>
      </c>
      <c r="CU900" s="66">
        <v>0</v>
      </c>
      <c r="CV900" s="66">
        <v>0</v>
      </c>
      <c r="CW900" s="66">
        <v>0</v>
      </c>
      <c r="CX900" s="66">
        <v>0</v>
      </c>
      <c r="CY900" s="66">
        <v>0</v>
      </c>
      <c r="CZ900" s="66">
        <v>0</v>
      </c>
      <c r="DA900" s="66"/>
      <c r="DB900" s="66"/>
      <c r="DC900" s="66"/>
      <c r="DD900" s="66"/>
      <c r="DE900" s="66"/>
      <c r="DF900" s="66"/>
      <c r="DG900" s="66"/>
      <c r="DH900" s="66"/>
      <c r="DI900" s="66"/>
      <c r="DJ900" s="66"/>
      <c r="DK900" s="66">
        <f>SUM(Table1[[#This Row],[01-03 Apr]:[Mar-26]])</f>
        <v>0</v>
      </c>
    </row>
    <row r="901" spans="1:115" hidden="1" x14ac:dyDescent="0.2">
      <c r="A901" s="28" t="s">
        <v>371</v>
      </c>
      <c r="B901" s="29" t="s">
        <v>1966</v>
      </c>
      <c r="C901" s="29" t="s">
        <v>3370</v>
      </c>
      <c r="D901" s="30" t="s">
        <v>1967</v>
      </c>
      <c r="E901" s="30" t="s">
        <v>906</v>
      </c>
      <c r="F901" s="30"/>
      <c r="G901" s="31"/>
      <c r="H901" s="30"/>
      <c r="I901" s="30" t="str">
        <f>IF(Table1[[#This Row],[Centre Status]]="Returned","NA",IF(Table1[[#This Row],[SD]]&gt;19000,"Full Payment",IF(Table1[[#This Row],[SD]]&lt;1,"No Payment","Partial Payment")))</f>
        <v>NA</v>
      </c>
      <c r="J901" s="30" t="s">
        <v>1903</v>
      </c>
      <c r="K901" s="32">
        <v>0</v>
      </c>
      <c r="L901" s="33">
        <f>Q901+R901+U901+Table1[[#This Row],[Farmer Payment]]</f>
        <v>11931</v>
      </c>
      <c r="M901" s="30">
        <v>10000</v>
      </c>
      <c r="N901" s="34">
        <v>45701</v>
      </c>
      <c r="O901" s="34" t="s">
        <v>2429</v>
      </c>
      <c r="P901" s="35">
        <f t="shared" si="84"/>
        <v>-1931</v>
      </c>
      <c r="Q901" s="33">
        <f>AI901+AV901+CK901+Table1[[#This Row],[FY 25-26]]</f>
        <v>1931</v>
      </c>
      <c r="R901" s="36">
        <v>10000</v>
      </c>
      <c r="S901" s="37" t="s">
        <v>2159</v>
      </c>
      <c r="T901" s="38">
        <v>44998</v>
      </c>
      <c r="U901" s="39"/>
      <c r="V901" s="39"/>
      <c r="W901" s="40">
        <v>0</v>
      </c>
      <c r="X901" s="40">
        <v>0</v>
      </c>
      <c r="Y901" s="40">
        <v>0</v>
      </c>
      <c r="Z901" s="40">
        <v>0</v>
      </c>
      <c r="AA901" s="40">
        <v>0</v>
      </c>
      <c r="AB901" s="40">
        <v>0</v>
      </c>
      <c r="AC901" s="40">
        <v>0</v>
      </c>
      <c r="AD901" s="40">
        <v>0</v>
      </c>
      <c r="AE901" s="40">
        <v>0</v>
      </c>
      <c r="AF901" s="40">
        <v>0</v>
      </c>
      <c r="AG901" s="40">
        <v>0</v>
      </c>
      <c r="AH901" s="40">
        <v>95</v>
      </c>
      <c r="AI901" s="41">
        <f t="shared" si="85"/>
        <v>95</v>
      </c>
      <c r="AJ901" s="42">
        <v>910</v>
      </c>
      <c r="AK901" s="42">
        <v>926</v>
      </c>
      <c r="AL901" s="42">
        <v>0</v>
      </c>
      <c r="AM901" s="42">
        <v>0</v>
      </c>
      <c r="AN901" s="42">
        <v>0</v>
      </c>
      <c r="AO901" s="42">
        <v>0</v>
      </c>
      <c r="AP901" s="42">
        <v>0</v>
      </c>
      <c r="AQ901" s="42">
        <v>0</v>
      </c>
      <c r="AR901" s="42">
        <v>0</v>
      </c>
      <c r="AS901" s="42">
        <v>0</v>
      </c>
      <c r="AT901" s="42">
        <v>0</v>
      </c>
      <c r="AU901" s="42">
        <v>0</v>
      </c>
      <c r="AV901" s="42">
        <f t="shared" si="86"/>
        <v>1836</v>
      </c>
      <c r="AW901" s="42">
        <v>0</v>
      </c>
      <c r="AX901" s="42">
        <v>0</v>
      </c>
      <c r="AY901" s="42">
        <v>0</v>
      </c>
      <c r="AZ901" s="42">
        <v>0</v>
      </c>
      <c r="BA901" s="42">
        <v>0</v>
      </c>
      <c r="BB901" s="42">
        <v>0</v>
      </c>
      <c r="BC901" s="42">
        <v>0</v>
      </c>
      <c r="BD901" s="42">
        <v>0</v>
      </c>
      <c r="BE901" s="42">
        <v>0</v>
      </c>
      <c r="BF901" s="42">
        <v>0</v>
      </c>
      <c r="BG901" s="42">
        <v>0</v>
      </c>
      <c r="BH901" s="42">
        <v>0</v>
      </c>
      <c r="BI901" s="42">
        <v>0</v>
      </c>
      <c r="BJ901" s="42">
        <v>0</v>
      </c>
      <c r="BK901" s="42">
        <v>0</v>
      </c>
      <c r="BL901" s="42">
        <v>0</v>
      </c>
      <c r="BM901" s="42">
        <v>0</v>
      </c>
      <c r="BN901" s="42">
        <v>0</v>
      </c>
      <c r="BO901" s="42">
        <v>0</v>
      </c>
      <c r="BP901" s="42">
        <v>0</v>
      </c>
      <c r="BQ901" s="42">
        <v>0</v>
      </c>
      <c r="BR901" s="42">
        <v>0</v>
      </c>
      <c r="BS901" s="42">
        <v>0</v>
      </c>
      <c r="BT901" s="42">
        <v>0</v>
      </c>
      <c r="BU901" s="42">
        <v>0</v>
      </c>
      <c r="BV901" s="42">
        <v>0</v>
      </c>
      <c r="BW901" s="42">
        <v>0</v>
      </c>
      <c r="BX901" s="42">
        <v>0</v>
      </c>
      <c r="BY901" s="42">
        <v>0</v>
      </c>
      <c r="BZ901" s="42">
        <v>0</v>
      </c>
      <c r="CA901" s="42">
        <v>0</v>
      </c>
      <c r="CB901" s="42">
        <v>0</v>
      </c>
      <c r="CC901" s="42">
        <v>0</v>
      </c>
      <c r="CD901" s="42">
        <v>0</v>
      </c>
      <c r="CE901" s="42">
        <v>0</v>
      </c>
      <c r="CF901" s="42">
        <v>0</v>
      </c>
      <c r="CG901" s="42">
        <v>0</v>
      </c>
      <c r="CH901" s="42">
        <v>0</v>
      </c>
      <c r="CI901" s="42">
        <v>0</v>
      </c>
      <c r="CJ901" s="42">
        <v>0</v>
      </c>
      <c r="CK901" s="43">
        <f t="shared" si="83"/>
        <v>0</v>
      </c>
      <c r="CL901" s="66"/>
      <c r="CM901" s="66">
        <v>0</v>
      </c>
      <c r="CN901" s="66">
        <v>0</v>
      </c>
      <c r="CO901" s="66">
        <v>0</v>
      </c>
      <c r="CP901" s="66">
        <v>0</v>
      </c>
      <c r="CQ901" s="66">
        <v>0</v>
      </c>
      <c r="CR901" s="66">
        <v>0</v>
      </c>
      <c r="CS901" s="66">
        <v>0</v>
      </c>
      <c r="CT901" s="66">
        <v>0</v>
      </c>
      <c r="CU901" s="66">
        <v>0</v>
      </c>
      <c r="CV901" s="66">
        <v>0</v>
      </c>
      <c r="CW901" s="66">
        <v>0</v>
      </c>
      <c r="CX901" s="66">
        <v>0</v>
      </c>
      <c r="CY901" s="66">
        <v>0</v>
      </c>
      <c r="CZ901" s="66">
        <v>0</v>
      </c>
      <c r="DA901" s="66"/>
      <c r="DB901" s="66"/>
      <c r="DC901" s="66"/>
      <c r="DD901" s="66"/>
      <c r="DE901" s="66"/>
      <c r="DF901" s="66"/>
      <c r="DG901" s="66"/>
      <c r="DH901" s="66"/>
      <c r="DI901" s="66"/>
      <c r="DJ901" s="66"/>
      <c r="DK901" s="66">
        <f>SUM(Table1[[#This Row],[01-03 Apr]:[Mar-26]])</f>
        <v>0</v>
      </c>
    </row>
    <row r="902" spans="1:115" hidden="1" x14ac:dyDescent="0.2">
      <c r="A902" s="28" t="s">
        <v>371</v>
      </c>
      <c r="B902" s="29" t="s">
        <v>210</v>
      </c>
      <c r="C902" s="29" t="s">
        <v>3371</v>
      </c>
      <c r="D902" s="30" t="s">
        <v>1968</v>
      </c>
      <c r="E902" s="30" t="s">
        <v>63</v>
      </c>
      <c r="F902" s="30"/>
      <c r="G902" s="31"/>
      <c r="H902" s="30">
        <v>391991</v>
      </c>
      <c r="I902" s="30" t="str">
        <f>IF(Table1[[#This Row],[Centre Status]]="Returned","NA",IF(Table1[[#This Row],[SD]]&gt;19000,"Full Payment",IF(Table1[[#This Row],[SD]]&lt;1,"No Payment","Partial Payment")))</f>
        <v>NA</v>
      </c>
      <c r="J902" s="30" t="s">
        <v>1903</v>
      </c>
      <c r="K902" s="32">
        <v>0</v>
      </c>
      <c r="L902" s="33">
        <f>Q902+R902+U902+Table1[[#This Row],[Farmer Payment]]</f>
        <v>21700</v>
      </c>
      <c r="M902" s="30">
        <f>21520-1520</f>
        <v>20000</v>
      </c>
      <c r="N902" s="34">
        <v>45380</v>
      </c>
      <c r="O902" s="34"/>
      <c r="P902" s="35">
        <f t="shared" si="84"/>
        <v>-1700</v>
      </c>
      <c r="Q902" s="33">
        <f>AI902+AV902+CK902+Table1[[#This Row],[FY 25-26]]</f>
        <v>1700</v>
      </c>
      <c r="R902" s="36">
        <v>20000</v>
      </c>
      <c r="S902" s="37" t="s">
        <v>2545</v>
      </c>
      <c r="T902" s="38">
        <v>45231</v>
      </c>
      <c r="U902" s="39"/>
      <c r="V902" s="39"/>
      <c r="W902" s="40">
        <v>0</v>
      </c>
      <c r="X902" s="40">
        <v>0</v>
      </c>
      <c r="Y902" s="40">
        <v>0</v>
      </c>
      <c r="Z902" s="40">
        <v>0</v>
      </c>
      <c r="AA902" s="40">
        <v>0</v>
      </c>
      <c r="AB902" s="40">
        <v>0</v>
      </c>
      <c r="AC902" s="40">
        <v>0</v>
      </c>
      <c r="AD902" s="40">
        <v>0</v>
      </c>
      <c r="AE902" s="40">
        <v>0</v>
      </c>
      <c r="AF902" s="40">
        <v>0</v>
      </c>
      <c r="AG902" s="40">
        <v>0</v>
      </c>
      <c r="AH902" s="40">
        <v>0</v>
      </c>
      <c r="AI902" s="41">
        <f t="shared" si="85"/>
        <v>0</v>
      </c>
      <c r="AJ902" s="42">
        <v>0</v>
      </c>
      <c r="AK902" s="42">
        <v>0</v>
      </c>
      <c r="AL902" s="42">
        <v>0</v>
      </c>
      <c r="AM902" s="42">
        <v>0</v>
      </c>
      <c r="AN902" s="42">
        <v>0</v>
      </c>
      <c r="AO902" s="42">
        <v>0</v>
      </c>
      <c r="AP902" s="42">
        <v>0</v>
      </c>
      <c r="AQ902" s="42">
        <v>0</v>
      </c>
      <c r="AR902" s="42">
        <v>458</v>
      </c>
      <c r="AS902" s="42">
        <v>1062</v>
      </c>
      <c r="AT902" s="42">
        <v>180</v>
      </c>
      <c r="AU902" s="42">
        <v>0</v>
      </c>
      <c r="AV902" s="42">
        <f t="shared" si="86"/>
        <v>1700</v>
      </c>
      <c r="AW902" s="42">
        <v>0</v>
      </c>
      <c r="AX902" s="42">
        <v>0</v>
      </c>
      <c r="AY902" s="42">
        <v>0</v>
      </c>
      <c r="AZ902" s="42">
        <v>0</v>
      </c>
      <c r="BA902" s="42">
        <v>0</v>
      </c>
      <c r="BB902" s="42">
        <v>0</v>
      </c>
      <c r="BC902" s="42">
        <v>0</v>
      </c>
      <c r="BD902" s="42">
        <v>0</v>
      </c>
      <c r="BE902" s="42">
        <v>0</v>
      </c>
      <c r="BF902" s="42">
        <v>0</v>
      </c>
      <c r="BG902" s="42">
        <v>0</v>
      </c>
      <c r="BH902" s="42">
        <v>0</v>
      </c>
      <c r="BI902" s="42">
        <v>0</v>
      </c>
      <c r="BJ902" s="42">
        <v>0</v>
      </c>
      <c r="BK902" s="42">
        <v>0</v>
      </c>
      <c r="BL902" s="42">
        <v>0</v>
      </c>
      <c r="BM902" s="42">
        <v>0</v>
      </c>
      <c r="BN902" s="42">
        <v>0</v>
      </c>
      <c r="BO902" s="42">
        <v>0</v>
      </c>
      <c r="BP902" s="42">
        <v>0</v>
      </c>
      <c r="BQ902" s="42">
        <v>0</v>
      </c>
      <c r="BR902" s="42">
        <v>0</v>
      </c>
      <c r="BS902" s="42">
        <v>0</v>
      </c>
      <c r="BT902" s="42">
        <v>0</v>
      </c>
      <c r="BU902" s="42">
        <v>0</v>
      </c>
      <c r="BV902" s="42">
        <v>0</v>
      </c>
      <c r="BW902" s="42">
        <v>0</v>
      </c>
      <c r="BX902" s="42">
        <v>0</v>
      </c>
      <c r="BY902" s="42">
        <v>0</v>
      </c>
      <c r="BZ902" s="42">
        <v>0</v>
      </c>
      <c r="CA902" s="42">
        <v>0</v>
      </c>
      <c r="CB902" s="42">
        <v>0</v>
      </c>
      <c r="CC902" s="42">
        <v>0</v>
      </c>
      <c r="CD902" s="42">
        <v>0</v>
      </c>
      <c r="CE902" s="42">
        <v>0</v>
      </c>
      <c r="CF902" s="42">
        <v>0</v>
      </c>
      <c r="CG902" s="42">
        <v>0</v>
      </c>
      <c r="CH902" s="42">
        <v>0</v>
      </c>
      <c r="CI902" s="42">
        <v>0</v>
      </c>
      <c r="CJ902" s="42">
        <v>0</v>
      </c>
      <c r="CK902" s="43">
        <f t="shared" si="83"/>
        <v>0</v>
      </c>
      <c r="CL902" s="66"/>
      <c r="CM902" s="66">
        <v>0</v>
      </c>
      <c r="CN902" s="66">
        <v>0</v>
      </c>
      <c r="CO902" s="66">
        <v>0</v>
      </c>
      <c r="CP902" s="66">
        <v>0</v>
      </c>
      <c r="CQ902" s="66">
        <v>0</v>
      </c>
      <c r="CR902" s="66">
        <v>0</v>
      </c>
      <c r="CS902" s="66">
        <v>0</v>
      </c>
      <c r="CT902" s="66">
        <v>0</v>
      </c>
      <c r="CU902" s="66">
        <v>0</v>
      </c>
      <c r="CV902" s="66">
        <v>0</v>
      </c>
      <c r="CW902" s="66">
        <v>0</v>
      </c>
      <c r="CX902" s="66">
        <v>0</v>
      </c>
      <c r="CY902" s="66">
        <v>0</v>
      </c>
      <c r="CZ902" s="66">
        <v>0</v>
      </c>
      <c r="DA902" s="66"/>
      <c r="DB902" s="66"/>
      <c r="DC902" s="66"/>
      <c r="DD902" s="66"/>
      <c r="DE902" s="66"/>
      <c r="DF902" s="66"/>
      <c r="DG902" s="66"/>
      <c r="DH902" s="66"/>
      <c r="DI902" s="66"/>
      <c r="DJ902" s="66"/>
      <c r="DK902" s="66">
        <f>SUM(Table1[[#This Row],[01-03 Apr]:[Mar-26]])</f>
        <v>0</v>
      </c>
    </row>
    <row r="903" spans="1:115" hidden="1" x14ac:dyDescent="0.2">
      <c r="A903" s="28" t="s">
        <v>371</v>
      </c>
      <c r="B903" s="29" t="s">
        <v>1969</v>
      </c>
      <c r="C903" s="29" t="s">
        <v>3336</v>
      </c>
      <c r="D903" s="30" t="s">
        <v>1970</v>
      </c>
      <c r="E903" s="30" t="s">
        <v>943</v>
      </c>
      <c r="F903" s="30"/>
      <c r="G903" s="31"/>
      <c r="H903" s="30"/>
      <c r="I903" s="30" t="str">
        <f>IF(Table1[[#This Row],[Centre Status]]="Returned","NA",IF(Table1[[#This Row],[SD]]&gt;19000,"Full Payment",IF(Table1[[#This Row],[SD]]&lt;1,"No Payment","Partial Payment")))</f>
        <v>NA</v>
      </c>
      <c r="J903" s="30" t="s">
        <v>1903</v>
      </c>
      <c r="K903" s="32">
        <v>0</v>
      </c>
      <c r="L903" s="33">
        <f>Q903+R903+U903+Table1[[#This Row],[Farmer Payment]]</f>
        <v>12731</v>
      </c>
      <c r="M903" s="30"/>
      <c r="N903" s="34"/>
      <c r="O903" s="34"/>
      <c r="P903" s="35">
        <f t="shared" si="84"/>
        <v>-12731</v>
      </c>
      <c r="Q903" s="33">
        <f>AI903+AV903+CK903+Table1[[#This Row],[FY 25-26]]</f>
        <v>731</v>
      </c>
      <c r="R903" s="36">
        <v>12000</v>
      </c>
      <c r="S903" s="37" t="s">
        <v>2160</v>
      </c>
      <c r="T903" s="38">
        <v>45042</v>
      </c>
      <c r="U903" s="39"/>
      <c r="V903" s="39"/>
      <c r="W903" s="40">
        <v>0</v>
      </c>
      <c r="X903" s="40">
        <v>0</v>
      </c>
      <c r="Y903" s="40">
        <v>0</v>
      </c>
      <c r="Z903" s="40">
        <v>0</v>
      </c>
      <c r="AA903" s="40">
        <v>0</v>
      </c>
      <c r="AB903" s="40">
        <v>0</v>
      </c>
      <c r="AC903" s="40">
        <v>0</v>
      </c>
      <c r="AD903" s="40">
        <v>0</v>
      </c>
      <c r="AE903" s="40">
        <v>0</v>
      </c>
      <c r="AF903" s="40">
        <v>0</v>
      </c>
      <c r="AG903" s="40">
        <v>0</v>
      </c>
      <c r="AH903" s="40">
        <v>0</v>
      </c>
      <c r="AI903" s="41">
        <f t="shared" si="85"/>
        <v>0</v>
      </c>
      <c r="AJ903" s="42">
        <v>0</v>
      </c>
      <c r="AK903" s="42">
        <v>731</v>
      </c>
      <c r="AL903" s="42">
        <v>0</v>
      </c>
      <c r="AM903" s="42">
        <v>0</v>
      </c>
      <c r="AN903" s="42">
        <v>0</v>
      </c>
      <c r="AO903" s="42">
        <v>0</v>
      </c>
      <c r="AP903" s="42">
        <v>0</v>
      </c>
      <c r="AQ903" s="42">
        <v>0</v>
      </c>
      <c r="AR903" s="42">
        <v>0</v>
      </c>
      <c r="AS903" s="42">
        <v>0</v>
      </c>
      <c r="AT903" s="42">
        <v>0</v>
      </c>
      <c r="AU903" s="42">
        <v>0</v>
      </c>
      <c r="AV903" s="42">
        <f t="shared" si="86"/>
        <v>731</v>
      </c>
      <c r="AW903" s="42">
        <v>0</v>
      </c>
      <c r="AX903" s="42">
        <v>0</v>
      </c>
      <c r="AY903" s="42">
        <v>0</v>
      </c>
      <c r="AZ903" s="42">
        <v>0</v>
      </c>
      <c r="BA903" s="42">
        <v>0</v>
      </c>
      <c r="BB903" s="42">
        <v>0</v>
      </c>
      <c r="BC903" s="42">
        <v>0</v>
      </c>
      <c r="BD903" s="42">
        <v>0</v>
      </c>
      <c r="BE903" s="42">
        <v>0</v>
      </c>
      <c r="BF903" s="42">
        <v>0</v>
      </c>
      <c r="BG903" s="42">
        <v>0</v>
      </c>
      <c r="BH903" s="42">
        <v>0</v>
      </c>
      <c r="BI903" s="42">
        <v>0</v>
      </c>
      <c r="BJ903" s="42">
        <v>0</v>
      </c>
      <c r="BK903" s="42">
        <v>0</v>
      </c>
      <c r="BL903" s="42">
        <v>0</v>
      </c>
      <c r="BM903" s="42">
        <v>0</v>
      </c>
      <c r="BN903" s="42">
        <v>0</v>
      </c>
      <c r="BO903" s="42">
        <v>0</v>
      </c>
      <c r="BP903" s="42">
        <v>0</v>
      </c>
      <c r="BQ903" s="42">
        <v>0</v>
      </c>
      <c r="BR903" s="42">
        <v>0</v>
      </c>
      <c r="BS903" s="42">
        <v>0</v>
      </c>
      <c r="BT903" s="42">
        <v>0</v>
      </c>
      <c r="BU903" s="42">
        <v>0</v>
      </c>
      <c r="BV903" s="42">
        <v>0</v>
      </c>
      <c r="BW903" s="42">
        <v>0</v>
      </c>
      <c r="BX903" s="42">
        <v>0</v>
      </c>
      <c r="BY903" s="42">
        <v>0</v>
      </c>
      <c r="BZ903" s="42">
        <v>0</v>
      </c>
      <c r="CA903" s="42">
        <v>0</v>
      </c>
      <c r="CB903" s="42">
        <v>0</v>
      </c>
      <c r="CC903" s="42">
        <v>0</v>
      </c>
      <c r="CD903" s="42">
        <v>0</v>
      </c>
      <c r="CE903" s="42">
        <v>0</v>
      </c>
      <c r="CF903" s="42">
        <v>0</v>
      </c>
      <c r="CG903" s="42">
        <v>0</v>
      </c>
      <c r="CH903" s="42">
        <v>0</v>
      </c>
      <c r="CI903" s="42">
        <v>0</v>
      </c>
      <c r="CJ903" s="42">
        <v>0</v>
      </c>
      <c r="CK903" s="43">
        <f t="shared" si="83"/>
        <v>0</v>
      </c>
      <c r="CL903" s="66"/>
      <c r="CM903" s="66">
        <v>0</v>
      </c>
      <c r="CN903" s="66">
        <v>0</v>
      </c>
      <c r="CO903" s="66">
        <v>0</v>
      </c>
      <c r="CP903" s="66">
        <v>0</v>
      </c>
      <c r="CQ903" s="66">
        <v>0</v>
      </c>
      <c r="CR903" s="66">
        <v>0</v>
      </c>
      <c r="CS903" s="66">
        <v>0</v>
      </c>
      <c r="CT903" s="66">
        <v>0</v>
      </c>
      <c r="CU903" s="66">
        <v>0</v>
      </c>
      <c r="CV903" s="66">
        <v>0</v>
      </c>
      <c r="CW903" s="66">
        <v>0</v>
      </c>
      <c r="CX903" s="66">
        <v>0</v>
      </c>
      <c r="CY903" s="66">
        <v>0</v>
      </c>
      <c r="CZ903" s="66">
        <v>0</v>
      </c>
      <c r="DA903" s="66"/>
      <c r="DB903" s="66"/>
      <c r="DC903" s="66"/>
      <c r="DD903" s="66"/>
      <c r="DE903" s="66"/>
      <c r="DF903" s="66"/>
      <c r="DG903" s="66"/>
      <c r="DH903" s="66"/>
      <c r="DI903" s="66"/>
      <c r="DJ903" s="66"/>
      <c r="DK903" s="66">
        <f>SUM(Table1[[#This Row],[01-03 Apr]:[Mar-26]])</f>
        <v>0</v>
      </c>
    </row>
    <row r="904" spans="1:115" hidden="1" x14ac:dyDescent="0.2">
      <c r="A904" s="28" t="s">
        <v>371</v>
      </c>
      <c r="B904" s="29" t="s">
        <v>1971</v>
      </c>
      <c r="C904" s="29" t="s">
        <v>3336</v>
      </c>
      <c r="D904" s="30" t="s">
        <v>1972</v>
      </c>
      <c r="E904" s="30" t="s">
        <v>203</v>
      </c>
      <c r="F904" s="30"/>
      <c r="G904" s="31"/>
      <c r="H904" s="30"/>
      <c r="I904" s="30" t="str">
        <f>IF(Table1[[#This Row],[Centre Status]]="Returned","NA",IF(Table1[[#This Row],[SD]]&gt;19000,"Full Payment",IF(Table1[[#This Row],[SD]]&lt;1,"No Payment","Partial Payment")))</f>
        <v>NA</v>
      </c>
      <c r="J904" s="30" t="s">
        <v>1903</v>
      </c>
      <c r="K904" s="32">
        <v>0</v>
      </c>
      <c r="L904" s="33">
        <f>Q904+R904+U904+Table1[[#This Row],[Farmer Payment]]</f>
        <v>0</v>
      </c>
      <c r="M904" s="30"/>
      <c r="N904" s="34"/>
      <c r="O904" s="34"/>
      <c r="P904" s="35">
        <f t="shared" si="84"/>
        <v>0</v>
      </c>
      <c r="Q904" s="33">
        <f>AI904+AV904+CK904+Table1[[#This Row],[FY 25-26]]</f>
        <v>0</v>
      </c>
      <c r="R904" s="36"/>
      <c r="S904" s="37"/>
      <c r="T904" s="38"/>
      <c r="U904" s="39"/>
      <c r="V904" s="39"/>
      <c r="W904" s="40">
        <v>0</v>
      </c>
      <c r="X904" s="40">
        <v>0</v>
      </c>
      <c r="Y904" s="40">
        <v>0</v>
      </c>
      <c r="Z904" s="40">
        <v>0</v>
      </c>
      <c r="AA904" s="40">
        <v>0</v>
      </c>
      <c r="AB904" s="40">
        <v>0</v>
      </c>
      <c r="AC904" s="40">
        <v>0</v>
      </c>
      <c r="AD904" s="40">
        <v>0</v>
      </c>
      <c r="AE904" s="40">
        <v>0</v>
      </c>
      <c r="AF904" s="40">
        <v>0</v>
      </c>
      <c r="AG904" s="40">
        <v>0</v>
      </c>
      <c r="AH904" s="40">
        <v>0</v>
      </c>
      <c r="AI904" s="41">
        <f t="shared" si="85"/>
        <v>0</v>
      </c>
      <c r="AJ904" s="42">
        <v>0</v>
      </c>
      <c r="AK904" s="42">
        <v>0</v>
      </c>
      <c r="AL904" s="42">
        <v>0</v>
      </c>
      <c r="AM904" s="42">
        <v>0</v>
      </c>
      <c r="AN904" s="42">
        <v>0</v>
      </c>
      <c r="AO904" s="42">
        <v>0</v>
      </c>
      <c r="AP904" s="42">
        <v>0</v>
      </c>
      <c r="AQ904" s="42">
        <v>0</v>
      </c>
      <c r="AR904" s="42">
        <v>0</v>
      </c>
      <c r="AS904" s="42">
        <v>0</v>
      </c>
      <c r="AT904" s="42">
        <v>0</v>
      </c>
      <c r="AU904" s="42">
        <v>0</v>
      </c>
      <c r="AV904" s="42">
        <f t="shared" si="86"/>
        <v>0</v>
      </c>
      <c r="AW904" s="42">
        <v>0</v>
      </c>
      <c r="AX904" s="42">
        <v>0</v>
      </c>
      <c r="AY904" s="42">
        <v>0</v>
      </c>
      <c r="AZ904" s="42">
        <v>0</v>
      </c>
      <c r="BA904" s="42">
        <v>0</v>
      </c>
      <c r="BB904" s="42">
        <v>0</v>
      </c>
      <c r="BC904" s="42">
        <v>0</v>
      </c>
      <c r="BD904" s="42">
        <v>0</v>
      </c>
      <c r="BE904" s="42">
        <v>0</v>
      </c>
      <c r="BF904" s="42">
        <v>0</v>
      </c>
      <c r="BG904" s="42">
        <v>0</v>
      </c>
      <c r="BH904" s="42">
        <v>0</v>
      </c>
      <c r="BI904" s="42">
        <v>0</v>
      </c>
      <c r="BJ904" s="42">
        <v>0</v>
      </c>
      <c r="BK904" s="42">
        <v>0</v>
      </c>
      <c r="BL904" s="42">
        <v>0</v>
      </c>
      <c r="BM904" s="42">
        <v>0</v>
      </c>
      <c r="BN904" s="42">
        <v>0</v>
      </c>
      <c r="BO904" s="42">
        <v>0</v>
      </c>
      <c r="BP904" s="42">
        <v>0</v>
      </c>
      <c r="BQ904" s="42">
        <v>0</v>
      </c>
      <c r="BR904" s="42">
        <v>0</v>
      </c>
      <c r="BS904" s="42">
        <v>0</v>
      </c>
      <c r="BT904" s="42">
        <v>0</v>
      </c>
      <c r="BU904" s="42">
        <v>0</v>
      </c>
      <c r="BV904" s="42">
        <v>0</v>
      </c>
      <c r="BW904" s="42">
        <v>0</v>
      </c>
      <c r="BX904" s="42">
        <v>0</v>
      </c>
      <c r="BY904" s="42">
        <v>0</v>
      </c>
      <c r="BZ904" s="42">
        <v>0</v>
      </c>
      <c r="CA904" s="42">
        <v>0</v>
      </c>
      <c r="CB904" s="42">
        <v>0</v>
      </c>
      <c r="CC904" s="42">
        <v>0</v>
      </c>
      <c r="CD904" s="42">
        <v>0</v>
      </c>
      <c r="CE904" s="42">
        <v>0</v>
      </c>
      <c r="CF904" s="42">
        <v>0</v>
      </c>
      <c r="CG904" s="42">
        <v>0</v>
      </c>
      <c r="CH904" s="42">
        <v>0</v>
      </c>
      <c r="CI904" s="42">
        <v>0</v>
      </c>
      <c r="CJ904" s="42">
        <v>0</v>
      </c>
      <c r="CK904" s="43">
        <f t="shared" si="83"/>
        <v>0</v>
      </c>
      <c r="CL904" s="66"/>
      <c r="CM904" s="66">
        <v>0</v>
      </c>
      <c r="CN904" s="66">
        <v>0</v>
      </c>
      <c r="CO904" s="66">
        <v>0</v>
      </c>
      <c r="CP904" s="66">
        <v>0</v>
      </c>
      <c r="CQ904" s="66">
        <v>0</v>
      </c>
      <c r="CR904" s="66">
        <v>0</v>
      </c>
      <c r="CS904" s="66">
        <v>0</v>
      </c>
      <c r="CT904" s="66">
        <v>0</v>
      </c>
      <c r="CU904" s="66">
        <v>0</v>
      </c>
      <c r="CV904" s="66">
        <v>0</v>
      </c>
      <c r="CW904" s="66">
        <v>0</v>
      </c>
      <c r="CX904" s="66">
        <v>0</v>
      </c>
      <c r="CY904" s="66">
        <v>0</v>
      </c>
      <c r="CZ904" s="66">
        <v>0</v>
      </c>
      <c r="DA904" s="66"/>
      <c r="DB904" s="66"/>
      <c r="DC904" s="66"/>
      <c r="DD904" s="66"/>
      <c r="DE904" s="66"/>
      <c r="DF904" s="66"/>
      <c r="DG904" s="66"/>
      <c r="DH904" s="66"/>
      <c r="DI904" s="66"/>
      <c r="DJ904" s="66"/>
      <c r="DK904" s="66">
        <f>SUM(Table1[[#This Row],[01-03 Apr]:[Mar-26]])</f>
        <v>0</v>
      </c>
    </row>
    <row r="905" spans="1:115" hidden="1" x14ac:dyDescent="0.2">
      <c r="A905" s="28" t="s">
        <v>371</v>
      </c>
      <c r="B905" s="29" t="s">
        <v>1973</v>
      </c>
      <c r="C905" s="29" t="s">
        <v>3336</v>
      </c>
      <c r="D905" s="30" t="s">
        <v>1974</v>
      </c>
      <c r="E905" s="30" t="s">
        <v>85</v>
      </c>
      <c r="F905" s="30"/>
      <c r="G905" s="31"/>
      <c r="H905" s="30"/>
      <c r="I905" s="30" t="str">
        <f>IF(Table1[[#This Row],[Centre Status]]="Returned","NA",IF(Table1[[#This Row],[SD]]&gt;19000,"Full Payment",IF(Table1[[#This Row],[SD]]&lt;1,"No Payment","Partial Payment")))</f>
        <v>NA</v>
      </c>
      <c r="J905" s="30" t="s">
        <v>1903</v>
      </c>
      <c r="K905" s="32">
        <v>0</v>
      </c>
      <c r="L905" s="33">
        <f>Q905+R905+U905+Table1[[#This Row],[Farmer Payment]]</f>
        <v>14041</v>
      </c>
      <c r="M905" s="30"/>
      <c r="N905" s="34"/>
      <c r="O905" s="34"/>
      <c r="P905" s="35">
        <f t="shared" si="84"/>
        <v>-14041</v>
      </c>
      <c r="Q905" s="33">
        <f>AI905+AV905+CK905+Table1[[#This Row],[FY 25-26]]</f>
        <v>4041</v>
      </c>
      <c r="R905" s="36">
        <v>10000</v>
      </c>
      <c r="S905" s="37" t="s">
        <v>2161</v>
      </c>
      <c r="T905" s="38">
        <v>44978</v>
      </c>
      <c r="U905" s="39"/>
      <c r="V905" s="39"/>
      <c r="W905" s="40">
        <v>0</v>
      </c>
      <c r="X905" s="40">
        <v>0</v>
      </c>
      <c r="Y905" s="40">
        <v>0</v>
      </c>
      <c r="Z905" s="40">
        <v>0</v>
      </c>
      <c r="AA905" s="40">
        <v>0</v>
      </c>
      <c r="AB905" s="40">
        <v>0</v>
      </c>
      <c r="AC905" s="40">
        <v>0</v>
      </c>
      <c r="AD905" s="40">
        <v>0</v>
      </c>
      <c r="AE905" s="40">
        <v>0</v>
      </c>
      <c r="AF905" s="40">
        <v>0</v>
      </c>
      <c r="AG905" s="40">
        <v>0</v>
      </c>
      <c r="AH905" s="40">
        <v>1584</v>
      </c>
      <c r="AI905" s="41">
        <f t="shared" si="85"/>
        <v>1584</v>
      </c>
      <c r="AJ905" s="42">
        <v>1049</v>
      </c>
      <c r="AK905" s="42">
        <v>1408</v>
      </c>
      <c r="AL905" s="42">
        <v>0</v>
      </c>
      <c r="AM905" s="42">
        <v>0</v>
      </c>
      <c r="AN905" s="42">
        <v>0</v>
      </c>
      <c r="AO905" s="42">
        <v>0</v>
      </c>
      <c r="AP905" s="42">
        <v>0</v>
      </c>
      <c r="AQ905" s="42">
        <v>0</v>
      </c>
      <c r="AR905" s="42">
        <v>0</v>
      </c>
      <c r="AS905" s="42">
        <v>0</v>
      </c>
      <c r="AT905" s="42">
        <v>0</v>
      </c>
      <c r="AU905" s="42">
        <v>0</v>
      </c>
      <c r="AV905" s="42">
        <f t="shared" si="86"/>
        <v>2457</v>
      </c>
      <c r="AW905" s="42">
        <v>0</v>
      </c>
      <c r="AX905" s="42">
        <v>0</v>
      </c>
      <c r="AY905" s="42">
        <v>0</v>
      </c>
      <c r="AZ905" s="42">
        <v>0</v>
      </c>
      <c r="BA905" s="42">
        <v>0</v>
      </c>
      <c r="BB905" s="42">
        <v>0</v>
      </c>
      <c r="BC905" s="42">
        <v>0</v>
      </c>
      <c r="BD905" s="42">
        <v>0</v>
      </c>
      <c r="BE905" s="42">
        <v>0</v>
      </c>
      <c r="BF905" s="42">
        <v>0</v>
      </c>
      <c r="BG905" s="42">
        <v>0</v>
      </c>
      <c r="BH905" s="42">
        <v>0</v>
      </c>
      <c r="BI905" s="42">
        <v>0</v>
      </c>
      <c r="BJ905" s="42">
        <v>0</v>
      </c>
      <c r="BK905" s="42">
        <v>0</v>
      </c>
      <c r="BL905" s="42">
        <v>0</v>
      </c>
      <c r="BM905" s="42">
        <v>0</v>
      </c>
      <c r="BN905" s="42">
        <v>0</v>
      </c>
      <c r="BO905" s="42">
        <v>0</v>
      </c>
      <c r="BP905" s="42">
        <v>0</v>
      </c>
      <c r="BQ905" s="42">
        <v>0</v>
      </c>
      <c r="BR905" s="42">
        <v>0</v>
      </c>
      <c r="BS905" s="42">
        <v>0</v>
      </c>
      <c r="BT905" s="42">
        <v>0</v>
      </c>
      <c r="BU905" s="42">
        <v>0</v>
      </c>
      <c r="BV905" s="42">
        <v>0</v>
      </c>
      <c r="BW905" s="42">
        <v>0</v>
      </c>
      <c r="BX905" s="42">
        <v>0</v>
      </c>
      <c r="BY905" s="42">
        <v>0</v>
      </c>
      <c r="BZ905" s="42">
        <v>0</v>
      </c>
      <c r="CA905" s="42">
        <v>0</v>
      </c>
      <c r="CB905" s="42">
        <v>0</v>
      </c>
      <c r="CC905" s="42">
        <v>0</v>
      </c>
      <c r="CD905" s="42">
        <v>0</v>
      </c>
      <c r="CE905" s="42">
        <v>0</v>
      </c>
      <c r="CF905" s="42">
        <v>0</v>
      </c>
      <c r="CG905" s="42">
        <v>0</v>
      </c>
      <c r="CH905" s="42">
        <v>0</v>
      </c>
      <c r="CI905" s="42">
        <v>0</v>
      </c>
      <c r="CJ905" s="42">
        <v>0</v>
      </c>
      <c r="CK905" s="43">
        <f t="shared" si="83"/>
        <v>0</v>
      </c>
      <c r="CL905" s="66"/>
      <c r="CM905" s="66">
        <v>0</v>
      </c>
      <c r="CN905" s="66">
        <v>0</v>
      </c>
      <c r="CO905" s="66">
        <v>0</v>
      </c>
      <c r="CP905" s="66">
        <v>0</v>
      </c>
      <c r="CQ905" s="66">
        <v>0</v>
      </c>
      <c r="CR905" s="66">
        <v>0</v>
      </c>
      <c r="CS905" s="66">
        <v>0</v>
      </c>
      <c r="CT905" s="66">
        <v>0</v>
      </c>
      <c r="CU905" s="66">
        <v>0</v>
      </c>
      <c r="CV905" s="66">
        <v>0</v>
      </c>
      <c r="CW905" s="66">
        <v>0</v>
      </c>
      <c r="CX905" s="66">
        <v>0</v>
      </c>
      <c r="CY905" s="66">
        <v>0</v>
      </c>
      <c r="CZ905" s="66">
        <v>0</v>
      </c>
      <c r="DA905" s="66"/>
      <c r="DB905" s="66"/>
      <c r="DC905" s="66"/>
      <c r="DD905" s="66"/>
      <c r="DE905" s="66"/>
      <c r="DF905" s="66"/>
      <c r="DG905" s="66"/>
      <c r="DH905" s="66"/>
      <c r="DI905" s="66"/>
      <c r="DJ905" s="66"/>
      <c r="DK905" s="66">
        <f>SUM(Table1[[#This Row],[01-03 Apr]:[Mar-26]])</f>
        <v>0</v>
      </c>
    </row>
    <row r="906" spans="1:115" hidden="1" x14ac:dyDescent="0.2">
      <c r="A906" s="28" t="s">
        <v>371</v>
      </c>
      <c r="B906" s="29" t="s">
        <v>1975</v>
      </c>
      <c r="C906" s="29" t="s">
        <v>3336</v>
      </c>
      <c r="D906" s="30" t="s">
        <v>1976</v>
      </c>
      <c r="E906" s="30" t="s">
        <v>203</v>
      </c>
      <c r="F906" s="30"/>
      <c r="G906" s="31"/>
      <c r="H906" s="30"/>
      <c r="I906" s="30" t="str">
        <f>IF(Table1[[#This Row],[Centre Status]]="Returned","NA",IF(Table1[[#This Row],[SD]]&gt;19000,"Full Payment",IF(Table1[[#This Row],[SD]]&lt;1,"No Payment","Partial Payment")))</f>
        <v>NA</v>
      </c>
      <c r="J906" s="30" t="s">
        <v>1903</v>
      </c>
      <c r="K906" s="32">
        <v>0</v>
      </c>
      <c r="L906" s="33">
        <f>Q906+R906+U906+Table1[[#This Row],[Farmer Payment]]</f>
        <v>0</v>
      </c>
      <c r="M906" s="30"/>
      <c r="N906" s="34"/>
      <c r="O906" s="34"/>
      <c r="P906" s="35">
        <f t="shared" si="84"/>
        <v>0</v>
      </c>
      <c r="Q906" s="33">
        <f>AI906+AV906+CK906+Table1[[#This Row],[FY 25-26]]</f>
        <v>0</v>
      </c>
      <c r="R906" s="36"/>
      <c r="S906" s="37"/>
      <c r="T906" s="38"/>
      <c r="U906" s="39"/>
      <c r="V906" s="39"/>
      <c r="W906" s="40">
        <v>0</v>
      </c>
      <c r="X906" s="40">
        <v>0</v>
      </c>
      <c r="Y906" s="40">
        <v>0</v>
      </c>
      <c r="Z906" s="40">
        <v>0</v>
      </c>
      <c r="AA906" s="40">
        <v>0</v>
      </c>
      <c r="AB906" s="40">
        <v>0</v>
      </c>
      <c r="AC906" s="40">
        <v>0</v>
      </c>
      <c r="AD906" s="40">
        <v>0</v>
      </c>
      <c r="AE906" s="40">
        <v>0</v>
      </c>
      <c r="AF906" s="40">
        <v>0</v>
      </c>
      <c r="AG906" s="40">
        <v>0</v>
      </c>
      <c r="AH906" s="40">
        <v>0</v>
      </c>
      <c r="AI906" s="41">
        <f t="shared" si="85"/>
        <v>0</v>
      </c>
      <c r="AJ906" s="42">
        <v>0</v>
      </c>
      <c r="AK906" s="42">
        <v>0</v>
      </c>
      <c r="AL906" s="42">
        <v>0</v>
      </c>
      <c r="AM906" s="42">
        <v>0</v>
      </c>
      <c r="AN906" s="42">
        <v>0</v>
      </c>
      <c r="AO906" s="42">
        <v>0</v>
      </c>
      <c r="AP906" s="42">
        <v>0</v>
      </c>
      <c r="AQ906" s="42">
        <v>0</v>
      </c>
      <c r="AR906" s="42">
        <v>0</v>
      </c>
      <c r="AS906" s="42">
        <v>0</v>
      </c>
      <c r="AT906" s="42">
        <v>0</v>
      </c>
      <c r="AU906" s="42">
        <v>0</v>
      </c>
      <c r="AV906" s="42">
        <f t="shared" si="86"/>
        <v>0</v>
      </c>
      <c r="AW906" s="42">
        <v>0</v>
      </c>
      <c r="AX906" s="42">
        <v>0</v>
      </c>
      <c r="AY906" s="42">
        <v>0</v>
      </c>
      <c r="AZ906" s="42">
        <v>0</v>
      </c>
      <c r="BA906" s="42">
        <v>0</v>
      </c>
      <c r="BB906" s="42">
        <v>0</v>
      </c>
      <c r="BC906" s="42">
        <v>0</v>
      </c>
      <c r="BD906" s="42">
        <v>0</v>
      </c>
      <c r="BE906" s="42">
        <v>0</v>
      </c>
      <c r="BF906" s="42">
        <v>0</v>
      </c>
      <c r="BG906" s="42">
        <v>0</v>
      </c>
      <c r="BH906" s="42">
        <v>0</v>
      </c>
      <c r="BI906" s="42">
        <v>0</v>
      </c>
      <c r="BJ906" s="42">
        <v>0</v>
      </c>
      <c r="BK906" s="42">
        <v>0</v>
      </c>
      <c r="BL906" s="42">
        <v>0</v>
      </c>
      <c r="BM906" s="42">
        <v>0</v>
      </c>
      <c r="BN906" s="42">
        <v>0</v>
      </c>
      <c r="BO906" s="42">
        <v>0</v>
      </c>
      <c r="BP906" s="42">
        <v>0</v>
      </c>
      <c r="BQ906" s="42">
        <v>0</v>
      </c>
      <c r="BR906" s="42">
        <v>0</v>
      </c>
      <c r="BS906" s="42">
        <v>0</v>
      </c>
      <c r="BT906" s="42">
        <v>0</v>
      </c>
      <c r="BU906" s="42">
        <v>0</v>
      </c>
      <c r="BV906" s="42">
        <v>0</v>
      </c>
      <c r="BW906" s="42">
        <v>0</v>
      </c>
      <c r="BX906" s="42">
        <v>0</v>
      </c>
      <c r="BY906" s="42">
        <v>0</v>
      </c>
      <c r="BZ906" s="42">
        <v>0</v>
      </c>
      <c r="CA906" s="42">
        <v>0</v>
      </c>
      <c r="CB906" s="42">
        <v>0</v>
      </c>
      <c r="CC906" s="42">
        <v>0</v>
      </c>
      <c r="CD906" s="42">
        <v>0</v>
      </c>
      <c r="CE906" s="42">
        <v>0</v>
      </c>
      <c r="CF906" s="42">
        <v>0</v>
      </c>
      <c r="CG906" s="42">
        <v>0</v>
      </c>
      <c r="CH906" s="42">
        <v>0</v>
      </c>
      <c r="CI906" s="42">
        <v>0</v>
      </c>
      <c r="CJ906" s="42">
        <v>0</v>
      </c>
      <c r="CK906" s="43">
        <f t="shared" si="83"/>
        <v>0</v>
      </c>
      <c r="CL906" s="66"/>
      <c r="CM906" s="66">
        <v>0</v>
      </c>
      <c r="CN906" s="66">
        <v>0</v>
      </c>
      <c r="CO906" s="66">
        <v>0</v>
      </c>
      <c r="CP906" s="66">
        <v>0</v>
      </c>
      <c r="CQ906" s="66">
        <v>0</v>
      </c>
      <c r="CR906" s="66">
        <v>0</v>
      </c>
      <c r="CS906" s="66">
        <v>0</v>
      </c>
      <c r="CT906" s="66">
        <v>0</v>
      </c>
      <c r="CU906" s="66">
        <v>0</v>
      </c>
      <c r="CV906" s="66">
        <v>0</v>
      </c>
      <c r="CW906" s="66">
        <v>0</v>
      </c>
      <c r="CX906" s="66">
        <v>0</v>
      </c>
      <c r="CY906" s="66">
        <v>0</v>
      </c>
      <c r="CZ906" s="66">
        <v>0</v>
      </c>
      <c r="DA906" s="66"/>
      <c r="DB906" s="66"/>
      <c r="DC906" s="66"/>
      <c r="DD906" s="66"/>
      <c r="DE906" s="66"/>
      <c r="DF906" s="66"/>
      <c r="DG906" s="66"/>
      <c r="DH906" s="66"/>
      <c r="DI906" s="66"/>
      <c r="DJ906" s="66"/>
      <c r="DK906" s="66">
        <f>SUM(Table1[[#This Row],[01-03 Apr]:[Mar-26]])</f>
        <v>0</v>
      </c>
    </row>
    <row r="907" spans="1:115" hidden="1" x14ac:dyDescent="0.2">
      <c r="A907" s="28" t="s">
        <v>371</v>
      </c>
      <c r="B907" s="29" t="s">
        <v>1977</v>
      </c>
      <c r="C907" s="29" t="s">
        <v>3336</v>
      </c>
      <c r="D907" s="30" t="s">
        <v>1007</v>
      </c>
      <c r="E907" s="30" t="s">
        <v>297</v>
      </c>
      <c r="F907" s="30"/>
      <c r="G907" s="31"/>
      <c r="H907" s="30"/>
      <c r="I907" s="30" t="str">
        <f>IF(Table1[[#This Row],[Centre Status]]="Returned","NA",IF(Table1[[#This Row],[SD]]&gt;19000,"Full Payment",IF(Table1[[#This Row],[SD]]&lt;1,"No Payment","Partial Payment")))</f>
        <v>NA</v>
      </c>
      <c r="J907" s="30" t="s">
        <v>1903</v>
      </c>
      <c r="K907" s="32">
        <v>0</v>
      </c>
      <c r="L907" s="33">
        <f>Q907+R907+U907+Table1[[#This Row],[Farmer Payment]]</f>
        <v>4906.2016000000003</v>
      </c>
      <c r="M907" s="30"/>
      <c r="N907" s="34"/>
      <c r="O907" s="34"/>
      <c r="P907" s="35">
        <f t="shared" si="84"/>
        <v>-4906.2016000000003</v>
      </c>
      <c r="Q907" s="33">
        <f>AI907+AV907+CK907+Table1[[#This Row],[FY 25-26]]</f>
        <v>4906.2016000000003</v>
      </c>
      <c r="R907" s="36"/>
      <c r="S907" s="37"/>
      <c r="T907" s="38"/>
      <c r="U907" s="39"/>
      <c r="V907" s="39"/>
      <c r="W907" s="40">
        <v>0</v>
      </c>
      <c r="X907" s="40">
        <v>0</v>
      </c>
      <c r="Y907" s="40">
        <v>0</v>
      </c>
      <c r="Z907" s="40">
        <v>0</v>
      </c>
      <c r="AA907" s="40">
        <v>0</v>
      </c>
      <c r="AB907" s="40">
        <v>0</v>
      </c>
      <c r="AC907" s="40">
        <v>0</v>
      </c>
      <c r="AD907" s="40">
        <v>0</v>
      </c>
      <c r="AE907" s="40">
        <v>0</v>
      </c>
      <c r="AF907" s="40">
        <v>0</v>
      </c>
      <c r="AG907" s="40">
        <v>0</v>
      </c>
      <c r="AH907" s="40">
        <v>0</v>
      </c>
      <c r="AI907" s="41">
        <f t="shared" si="85"/>
        <v>0</v>
      </c>
      <c r="AJ907" s="42">
        <v>509</v>
      </c>
      <c r="AK907" s="42">
        <v>1997.2016000000001</v>
      </c>
      <c r="AL907" s="42">
        <v>1861</v>
      </c>
      <c r="AM907" s="42">
        <v>539</v>
      </c>
      <c r="AN907" s="42">
        <v>0</v>
      </c>
      <c r="AO907" s="42">
        <v>0</v>
      </c>
      <c r="AP907" s="42">
        <v>0</v>
      </c>
      <c r="AQ907" s="42">
        <v>0</v>
      </c>
      <c r="AR907" s="42">
        <v>0</v>
      </c>
      <c r="AS907" s="42">
        <v>0</v>
      </c>
      <c r="AT907" s="42">
        <v>0</v>
      </c>
      <c r="AU907" s="42">
        <v>0</v>
      </c>
      <c r="AV907" s="42">
        <f t="shared" si="86"/>
        <v>4906.2016000000003</v>
      </c>
      <c r="AW907" s="42">
        <v>0</v>
      </c>
      <c r="AX907" s="42">
        <v>0</v>
      </c>
      <c r="AY907" s="42">
        <v>0</v>
      </c>
      <c r="AZ907" s="42">
        <v>0</v>
      </c>
      <c r="BA907" s="42">
        <v>0</v>
      </c>
      <c r="BB907" s="42">
        <v>0</v>
      </c>
      <c r="BC907" s="42">
        <v>0</v>
      </c>
      <c r="BD907" s="42">
        <v>0</v>
      </c>
      <c r="BE907" s="42">
        <v>0</v>
      </c>
      <c r="BF907" s="42">
        <v>0</v>
      </c>
      <c r="BG907" s="42">
        <v>0</v>
      </c>
      <c r="BH907" s="42">
        <v>0</v>
      </c>
      <c r="BI907" s="42">
        <v>0</v>
      </c>
      <c r="BJ907" s="42">
        <v>0</v>
      </c>
      <c r="BK907" s="42">
        <v>0</v>
      </c>
      <c r="BL907" s="42">
        <v>0</v>
      </c>
      <c r="BM907" s="42">
        <v>0</v>
      </c>
      <c r="BN907" s="42">
        <v>0</v>
      </c>
      <c r="BO907" s="42">
        <v>0</v>
      </c>
      <c r="BP907" s="42">
        <v>0</v>
      </c>
      <c r="BQ907" s="42">
        <v>0</v>
      </c>
      <c r="BR907" s="42">
        <v>0</v>
      </c>
      <c r="BS907" s="42">
        <v>0</v>
      </c>
      <c r="BT907" s="42">
        <v>0</v>
      </c>
      <c r="BU907" s="42">
        <v>0</v>
      </c>
      <c r="BV907" s="42">
        <v>0</v>
      </c>
      <c r="BW907" s="42">
        <v>0</v>
      </c>
      <c r="BX907" s="42">
        <v>0</v>
      </c>
      <c r="BY907" s="42">
        <v>0</v>
      </c>
      <c r="BZ907" s="42">
        <v>0</v>
      </c>
      <c r="CA907" s="42">
        <v>0</v>
      </c>
      <c r="CB907" s="42">
        <v>0</v>
      </c>
      <c r="CC907" s="42">
        <v>0</v>
      </c>
      <c r="CD907" s="42">
        <v>0</v>
      </c>
      <c r="CE907" s="42">
        <v>0</v>
      </c>
      <c r="CF907" s="42">
        <v>0</v>
      </c>
      <c r="CG907" s="42">
        <v>0</v>
      </c>
      <c r="CH907" s="42">
        <v>0</v>
      </c>
      <c r="CI907" s="42">
        <v>0</v>
      </c>
      <c r="CJ907" s="42">
        <v>0</v>
      </c>
      <c r="CK907" s="43">
        <f t="shared" si="83"/>
        <v>0</v>
      </c>
      <c r="CL907" s="66"/>
      <c r="CM907" s="66">
        <v>0</v>
      </c>
      <c r="CN907" s="66">
        <v>0</v>
      </c>
      <c r="CO907" s="66">
        <v>0</v>
      </c>
      <c r="CP907" s="66">
        <v>0</v>
      </c>
      <c r="CQ907" s="66">
        <v>0</v>
      </c>
      <c r="CR907" s="66">
        <v>0</v>
      </c>
      <c r="CS907" s="66">
        <v>0</v>
      </c>
      <c r="CT907" s="66">
        <v>0</v>
      </c>
      <c r="CU907" s="66">
        <v>0</v>
      </c>
      <c r="CV907" s="66">
        <v>0</v>
      </c>
      <c r="CW907" s="66">
        <v>0</v>
      </c>
      <c r="CX907" s="66">
        <v>0</v>
      </c>
      <c r="CY907" s="66">
        <v>0</v>
      </c>
      <c r="CZ907" s="66">
        <v>0</v>
      </c>
      <c r="DA907" s="66"/>
      <c r="DB907" s="66"/>
      <c r="DC907" s="66"/>
      <c r="DD907" s="66"/>
      <c r="DE907" s="66"/>
      <c r="DF907" s="66"/>
      <c r="DG907" s="66"/>
      <c r="DH907" s="66"/>
      <c r="DI907" s="66"/>
      <c r="DJ907" s="66"/>
      <c r="DK907" s="66">
        <f>SUM(Table1[[#This Row],[01-03 Apr]:[Mar-26]])</f>
        <v>0</v>
      </c>
    </row>
    <row r="908" spans="1:115" hidden="1" x14ac:dyDescent="0.2">
      <c r="A908" s="28" t="s">
        <v>371</v>
      </c>
      <c r="B908" s="29" t="s">
        <v>1978</v>
      </c>
      <c r="C908" s="29" t="s">
        <v>3372</v>
      </c>
      <c r="D908" s="30" t="s">
        <v>1979</v>
      </c>
      <c r="E908" s="30" t="s">
        <v>297</v>
      </c>
      <c r="F908" s="30"/>
      <c r="G908" s="31"/>
      <c r="H908" s="30"/>
      <c r="I908" s="30" t="str">
        <f>IF(Table1[[#This Row],[Centre Status]]="Returned","NA",IF(Table1[[#This Row],[SD]]&gt;19000,"Full Payment",IF(Table1[[#This Row],[SD]]&lt;1,"No Payment","Partial Payment")))</f>
        <v>NA</v>
      </c>
      <c r="J908" s="30" t="s">
        <v>1903</v>
      </c>
      <c r="K908" s="32">
        <v>0</v>
      </c>
      <c r="L908" s="33">
        <f>Q908+R908+U908+Table1[[#This Row],[Farmer Payment]]</f>
        <v>1730</v>
      </c>
      <c r="M908" s="30"/>
      <c r="N908" s="34"/>
      <c r="O908" s="34"/>
      <c r="P908" s="35">
        <f t="shared" si="84"/>
        <v>-1730</v>
      </c>
      <c r="Q908" s="33">
        <f>AI908+AV908+CK908+Table1[[#This Row],[FY 25-26]]</f>
        <v>1730</v>
      </c>
      <c r="R908" s="36"/>
      <c r="S908" s="37"/>
      <c r="T908" s="38"/>
      <c r="U908" s="39"/>
      <c r="V908" s="39"/>
      <c r="W908" s="40">
        <v>0</v>
      </c>
      <c r="X908" s="40">
        <v>0</v>
      </c>
      <c r="Y908" s="40">
        <v>0</v>
      </c>
      <c r="Z908" s="40">
        <v>0</v>
      </c>
      <c r="AA908" s="40">
        <v>0</v>
      </c>
      <c r="AB908" s="40">
        <v>0</v>
      </c>
      <c r="AC908" s="40">
        <v>0</v>
      </c>
      <c r="AD908" s="40">
        <v>0</v>
      </c>
      <c r="AE908" s="40">
        <v>0</v>
      </c>
      <c r="AF908" s="40">
        <v>0</v>
      </c>
      <c r="AG908" s="40">
        <v>0</v>
      </c>
      <c r="AH908" s="40">
        <v>0</v>
      </c>
      <c r="AI908" s="41">
        <f t="shared" si="85"/>
        <v>0</v>
      </c>
      <c r="AJ908" s="42">
        <v>28</v>
      </c>
      <c r="AK908" s="42">
        <v>730</v>
      </c>
      <c r="AL908" s="42">
        <v>972</v>
      </c>
      <c r="AM908" s="42">
        <v>0</v>
      </c>
      <c r="AN908" s="42">
        <v>0</v>
      </c>
      <c r="AO908" s="42">
        <v>0</v>
      </c>
      <c r="AP908" s="42">
        <v>0</v>
      </c>
      <c r="AQ908" s="42">
        <v>0</v>
      </c>
      <c r="AR908" s="42">
        <v>0</v>
      </c>
      <c r="AS908" s="42">
        <v>0</v>
      </c>
      <c r="AT908" s="42">
        <v>0</v>
      </c>
      <c r="AU908" s="42">
        <v>0</v>
      </c>
      <c r="AV908" s="42">
        <f t="shared" si="86"/>
        <v>1730</v>
      </c>
      <c r="AW908" s="42">
        <v>0</v>
      </c>
      <c r="AX908" s="42">
        <v>0</v>
      </c>
      <c r="AY908" s="42">
        <v>0</v>
      </c>
      <c r="AZ908" s="42">
        <v>0</v>
      </c>
      <c r="BA908" s="42">
        <v>0</v>
      </c>
      <c r="BB908" s="42">
        <v>0</v>
      </c>
      <c r="BC908" s="42">
        <v>0</v>
      </c>
      <c r="BD908" s="42">
        <v>0</v>
      </c>
      <c r="BE908" s="42">
        <v>0</v>
      </c>
      <c r="BF908" s="42">
        <v>0</v>
      </c>
      <c r="BG908" s="42">
        <v>0</v>
      </c>
      <c r="BH908" s="42">
        <v>0</v>
      </c>
      <c r="BI908" s="42">
        <v>0</v>
      </c>
      <c r="BJ908" s="42">
        <v>0</v>
      </c>
      <c r="BK908" s="42">
        <v>0</v>
      </c>
      <c r="BL908" s="42">
        <v>0</v>
      </c>
      <c r="BM908" s="42">
        <v>0</v>
      </c>
      <c r="BN908" s="42">
        <v>0</v>
      </c>
      <c r="BO908" s="42">
        <v>0</v>
      </c>
      <c r="BP908" s="42">
        <v>0</v>
      </c>
      <c r="BQ908" s="42">
        <v>0</v>
      </c>
      <c r="BR908" s="42">
        <v>0</v>
      </c>
      <c r="BS908" s="42">
        <v>0</v>
      </c>
      <c r="BT908" s="42">
        <v>0</v>
      </c>
      <c r="BU908" s="42">
        <v>0</v>
      </c>
      <c r="BV908" s="42">
        <v>0</v>
      </c>
      <c r="BW908" s="42">
        <v>0</v>
      </c>
      <c r="BX908" s="42">
        <v>0</v>
      </c>
      <c r="BY908" s="42">
        <v>0</v>
      </c>
      <c r="BZ908" s="42">
        <v>0</v>
      </c>
      <c r="CA908" s="42">
        <v>0</v>
      </c>
      <c r="CB908" s="42">
        <v>0</v>
      </c>
      <c r="CC908" s="42">
        <v>0</v>
      </c>
      <c r="CD908" s="42">
        <v>0</v>
      </c>
      <c r="CE908" s="42">
        <v>0</v>
      </c>
      <c r="CF908" s="42">
        <v>0</v>
      </c>
      <c r="CG908" s="42">
        <v>0</v>
      </c>
      <c r="CH908" s="42">
        <v>0</v>
      </c>
      <c r="CI908" s="42">
        <v>0</v>
      </c>
      <c r="CJ908" s="42">
        <v>0</v>
      </c>
      <c r="CK908" s="43">
        <f t="shared" si="83"/>
        <v>0</v>
      </c>
      <c r="CL908" s="66"/>
      <c r="CM908" s="66">
        <v>0</v>
      </c>
      <c r="CN908" s="66">
        <v>0</v>
      </c>
      <c r="CO908" s="66">
        <v>0</v>
      </c>
      <c r="CP908" s="66">
        <v>0</v>
      </c>
      <c r="CQ908" s="66">
        <v>0</v>
      </c>
      <c r="CR908" s="66">
        <v>0</v>
      </c>
      <c r="CS908" s="66">
        <v>0</v>
      </c>
      <c r="CT908" s="66">
        <v>0</v>
      </c>
      <c r="CU908" s="66">
        <v>0</v>
      </c>
      <c r="CV908" s="66">
        <v>0</v>
      </c>
      <c r="CW908" s="66">
        <v>0</v>
      </c>
      <c r="CX908" s="66">
        <v>0</v>
      </c>
      <c r="CY908" s="66">
        <v>0</v>
      </c>
      <c r="CZ908" s="66">
        <v>0</v>
      </c>
      <c r="DA908" s="66"/>
      <c r="DB908" s="66"/>
      <c r="DC908" s="66"/>
      <c r="DD908" s="66"/>
      <c r="DE908" s="66"/>
      <c r="DF908" s="66"/>
      <c r="DG908" s="66"/>
      <c r="DH908" s="66"/>
      <c r="DI908" s="66"/>
      <c r="DJ908" s="66"/>
      <c r="DK908" s="66">
        <f>SUM(Table1[[#This Row],[01-03 Apr]:[Mar-26]])</f>
        <v>0</v>
      </c>
    </row>
    <row r="909" spans="1:115" hidden="1" x14ac:dyDescent="0.2">
      <c r="A909" s="28" t="s">
        <v>371</v>
      </c>
      <c r="B909" s="29" t="s">
        <v>1980</v>
      </c>
      <c r="C909" s="29" t="s">
        <v>3336</v>
      </c>
      <c r="D909" s="30" t="s">
        <v>1981</v>
      </c>
      <c r="E909" s="30" t="s">
        <v>297</v>
      </c>
      <c r="F909" s="30"/>
      <c r="G909" s="31"/>
      <c r="H909" s="30"/>
      <c r="I909" s="30" t="str">
        <f>IF(Table1[[#This Row],[Centre Status]]="Returned","NA",IF(Table1[[#This Row],[SD]]&gt;19000,"Full Payment",IF(Table1[[#This Row],[SD]]&lt;1,"No Payment","Partial Payment")))</f>
        <v>NA</v>
      </c>
      <c r="J909" s="30" t="s">
        <v>1903</v>
      </c>
      <c r="K909" s="32">
        <v>0</v>
      </c>
      <c r="L909" s="33">
        <f>Q909+R909+U909+Table1[[#This Row],[Farmer Payment]]</f>
        <v>10010</v>
      </c>
      <c r="M909" s="30"/>
      <c r="N909" s="34"/>
      <c r="O909" s="34"/>
      <c r="P909" s="35">
        <f t="shared" si="84"/>
        <v>-10010</v>
      </c>
      <c r="Q909" s="33">
        <f>AI909+AV909+CK909+Table1[[#This Row],[FY 25-26]]</f>
        <v>10</v>
      </c>
      <c r="R909" s="36">
        <v>10000</v>
      </c>
      <c r="S909" s="37" t="s">
        <v>2162</v>
      </c>
      <c r="T909" s="38">
        <v>45138</v>
      </c>
      <c r="U909" s="39"/>
      <c r="V909" s="39"/>
      <c r="W909" s="40">
        <v>0</v>
      </c>
      <c r="X909" s="40">
        <v>0</v>
      </c>
      <c r="Y909" s="40">
        <v>0</v>
      </c>
      <c r="Z909" s="40">
        <v>0</v>
      </c>
      <c r="AA909" s="40">
        <v>0</v>
      </c>
      <c r="AB909" s="40">
        <v>0</v>
      </c>
      <c r="AC909" s="40">
        <v>0</v>
      </c>
      <c r="AD909" s="40">
        <v>0</v>
      </c>
      <c r="AE909" s="40">
        <v>0</v>
      </c>
      <c r="AF909" s="40">
        <v>0</v>
      </c>
      <c r="AG909" s="40">
        <v>0</v>
      </c>
      <c r="AH909" s="40">
        <v>0</v>
      </c>
      <c r="AI909" s="41">
        <f t="shared" si="85"/>
        <v>0</v>
      </c>
      <c r="AJ909" s="42">
        <v>0</v>
      </c>
      <c r="AK909" s="42">
        <v>10</v>
      </c>
      <c r="AL909" s="42">
        <v>0</v>
      </c>
      <c r="AM909" s="42">
        <v>0</v>
      </c>
      <c r="AN909" s="42">
        <v>0</v>
      </c>
      <c r="AO909" s="42">
        <v>0</v>
      </c>
      <c r="AP909" s="42">
        <v>0</v>
      </c>
      <c r="AQ909" s="42">
        <v>0</v>
      </c>
      <c r="AR909" s="42">
        <v>0</v>
      </c>
      <c r="AS909" s="42">
        <v>0</v>
      </c>
      <c r="AT909" s="42">
        <v>0</v>
      </c>
      <c r="AU909" s="42">
        <v>0</v>
      </c>
      <c r="AV909" s="42">
        <f t="shared" si="86"/>
        <v>10</v>
      </c>
      <c r="AW909" s="42">
        <v>0</v>
      </c>
      <c r="AX909" s="42">
        <v>0</v>
      </c>
      <c r="AY909" s="42">
        <v>0</v>
      </c>
      <c r="AZ909" s="42">
        <v>0</v>
      </c>
      <c r="BA909" s="42">
        <v>0</v>
      </c>
      <c r="BB909" s="42">
        <v>0</v>
      </c>
      <c r="BC909" s="42">
        <v>0</v>
      </c>
      <c r="BD909" s="42">
        <v>0</v>
      </c>
      <c r="BE909" s="42">
        <v>0</v>
      </c>
      <c r="BF909" s="42">
        <v>0</v>
      </c>
      <c r="BG909" s="42">
        <v>0</v>
      </c>
      <c r="BH909" s="42">
        <v>0</v>
      </c>
      <c r="BI909" s="42">
        <v>0</v>
      </c>
      <c r="BJ909" s="42">
        <v>0</v>
      </c>
      <c r="BK909" s="42">
        <v>0</v>
      </c>
      <c r="BL909" s="42">
        <v>0</v>
      </c>
      <c r="BM909" s="42">
        <v>0</v>
      </c>
      <c r="BN909" s="42">
        <v>0</v>
      </c>
      <c r="BO909" s="42">
        <v>0</v>
      </c>
      <c r="BP909" s="42">
        <v>0</v>
      </c>
      <c r="BQ909" s="42">
        <v>0</v>
      </c>
      <c r="BR909" s="42">
        <v>0</v>
      </c>
      <c r="BS909" s="42">
        <v>0</v>
      </c>
      <c r="BT909" s="42">
        <v>0</v>
      </c>
      <c r="BU909" s="42">
        <v>0</v>
      </c>
      <c r="BV909" s="42">
        <v>0</v>
      </c>
      <c r="BW909" s="42">
        <v>0</v>
      </c>
      <c r="BX909" s="42">
        <v>0</v>
      </c>
      <c r="BY909" s="42">
        <v>0</v>
      </c>
      <c r="BZ909" s="42">
        <v>0</v>
      </c>
      <c r="CA909" s="42">
        <v>0</v>
      </c>
      <c r="CB909" s="42">
        <v>0</v>
      </c>
      <c r="CC909" s="42">
        <v>0</v>
      </c>
      <c r="CD909" s="42">
        <v>0</v>
      </c>
      <c r="CE909" s="42">
        <v>0</v>
      </c>
      <c r="CF909" s="42">
        <v>0</v>
      </c>
      <c r="CG909" s="42">
        <v>0</v>
      </c>
      <c r="CH909" s="42">
        <v>0</v>
      </c>
      <c r="CI909" s="42">
        <v>0</v>
      </c>
      <c r="CJ909" s="42">
        <v>0</v>
      </c>
      <c r="CK909" s="43">
        <f t="shared" si="83"/>
        <v>0</v>
      </c>
      <c r="CL909" s="66"/>
      <c r="CM909" s="66">
        <v>0</v>
      </c>
      <c r="CN909" s="66">
        <v>0</v>
      </c>
      <c r="CO909" s="66">
        <v>0</v>
      </c>
      <c r="CP909" s="66">
        <v>0</v>
      </c>
      <c r="CQ909" s="66">
        <v>0</v>
      </c>
      <c r="CR909" s="66">
        <v>0</v>
      </c>
      <c r="CS909" s="66">
        <v>0</v>
      </c>
      <c r="CT909" s="66">
        <v>0</v>
      </c>
      <c r="CU909" s="66">
        <v>0</v>
      </c>
      <c r="CV909" s="66">
        <v>0</v>
      </c>
      <c r="CW909" s="66">
        <v>0</v>
      </c>
      <c r="CX909" s="66">
        <v>0</v>
      </c>
      <c r="CY909" s="66">
        <v>0</v>
      </c>
      <c r="CZ909" s="66">
        <v>0</v>
      </c>
      <c r="DA909" s="66"/>
      <c r="DB909" s="66"/>
      <c r="DC909" s="66"/>
      <c r="DD909" s="66"/>
      <c r="DE909" s="66"/>
      <c r="DF909" s="66"/>
      <c r="DG909" s="66"/>
      <c r="DH909" s="66"/>
      <c r="DI909" s="66"/>
      <c r="DJ909" s="66"/>
      <c r="DK909" s="66">
        <f>SUM(Table1[[#This Row],[01-03 Apr]:[Mar-26]])</f>
        <v>0</v>
      </c>
    </row>
    <row r="910" spans="1:115" hidden="1" x14ac:dyDescent="0.2">
      <c r="A910" s="28" t="s">
        <v>371</v>
      </c>
      <c r="B910" s="29" t="s">
        <v>1982</v>
      </c>
      <c r="C910" s="29" t="s">
        <v>3373</v>
      </c>
      <c r="D910" s="30" t="s">
        <v>1983</v>
      </c>
      <c r="E910" s="30" t="s">
        <v>297</v>
      </c>
      <c r="F910" s="30"/>
      <c r="G910" s="31"/>
      <c r="H910" s="30"/>
      <c r="I910" s="30" t="str">
        <f>IF(Table1[[#This Row],[Centre Status]]="Returned","NA",IF(Table1[[#This Row],[SD]]&gt;19000,"Full Payment",IF(Table1[[#This Row],[SD]]&lt;1,"No Payment","Partial Payment")))</f>
        <v>NA</v>
      </c>
      <c r="J910" s="30" t="s">
        <v>1903</v>
      </c>
      <c r="K910" s="32">
        <v>0</v>
      </c>
      <c r="L910" s="33">
        <f>Q910+R910+U910+Table1[[#This Row],[Farmer Payment]]</f>
        <v>1624</v>
      </c>
      <c r="M910" s="30"/>
      <c r="N910" s="34"/>
      <c r="O910" s="34"/>
      <c r="P910" s="35">
        <f t="shared" si="84"/>
        <v>-1624</v>
      </c>
      <c r="Q910" s="33">
        <f>AI910+AV910+CK910+Table1[[#This Row],[FY 25-26]]</f>
        <v>1624</v>
      </c>
      <c r="R910" s="36"/>
      <c r="S910" s="37"/>
      <c r="T910" s="38"/>
      <c r="U910" s="39"/>
      <c r="V910" s="39"/>
      <c r="W910" s="40">
        <v>0</v>
      </c>
      <c r="X910" s="40">
        <v>0</v>
      </c>
      <c r="Y910" s="40">
        <v>0</v>
      </c>
      <c r="Z910" s="40">
        <v>0</v>
      </c>
      <c r="AA910" s="40">
        <v>0</v>
      </c>
      <c r="AB910" s="40">
        <v>0</v>
      </c>
      <c r="AC910" s="40">
        <v>0</v>
      </c>
      <c r="AD910" s="40">
        <v>0</v>
      </c>
      <c r="AE910" s="40">
        <v>0</v>
      </c>
      <c r="AF910" s="40">
        <v>0</v>
      </c>
      <c r="AG910" s="40">
        <v>0</v>
      </c>
      <c r="AH910" s="40">
        <v>0</v>
      </c>
      <c r="AI910" s="41">
        <f t="shared" si="85"/>
        <v>0</v>
      </c>
      <c r="AJ910" s="42">
        <v>0</v>
      </c>
      <c r="AK910" s="42">
        <v>55</v>
      </c>
      <c r="AL910" s="42">
        <v>543</v>
      </c>
      <c r="AM910" s="42">
        <v>1026</v>
      </c>
      <c r="AN910" s="42">
        <v>0</v>
      </c>
      <c r="AO910" s="42">
        <v>0</v>
      </c>
      <c r="AP910" s="42">
        <v>0</v>
      </c>
      <c r="AQ910" s="42">
        <v>0</v>
      </c>
      <c r="AR910" s="42">
        <v>0</v>
      </c>
      <c r="AS910" s="42">
        <v>0</v>
      </c>
      <c r="AT910" s="42">
        <v>0</v>
      </c>
      <c r="AU910" s="42">
        <v>0</v>
      </c>
      <c r="AV910" s="42">
        <f t="shared" si="86"/>
        <v>1624</v>
      </c>
      <c r="AW910" s="42">
        <v>0</v>
      </c>
      <c r="AX910" s="42">
        <v>0</v>
      </c>
      <c r="AY910" s="42">
        <v>0</v>
      </c>
      <c r="AZ910" s="42">
        <v>0</v>
      </c>
      <c r="BA910" s="42">
        <v>0</v>
      </c>
      <c r="BB910" s="42">
        <v>0</v>
      </c>
      <c r="BC910" s="42">
        <v>0</v>
      </c>
      <c r="BD910" s="42">
        <v>0</v>
      </c>
      <c r="BE910" s="42">
        <v>0</v>
      </c>
      <c r="BF910" s="42">
        <v>0</v>
      </c>
      <c r="BG910" s="42">
        <v>0</v>
      </c>
      <c r="BH910" s="42">
        <v>0</v>
      </c>
      <c r="BI910" s="42">
        <v>0</v>
      </c>
      <c r="BJ910" s="42">
        <v>0</v>
      </c>
      <c r="BK910" s="42">
        <v>0</v>
      </c>
      <c r="BL910" s="42">
        <v>0</v>
      </c>
      <c r="BM910" s="42">
        <v>0</v>
      </c>
      <c r="BN910" s="42">
        <v>0</v>
      </c>
      <c r="BO910" s="42">
        <v>0</v>
      </c>
      <c r="BP910" s="42">
        <v>0</v>
      </c>
      <c r="BQ910" s="42">
        <v>0</v>
      </c>
      <c r="BR910" s="42">
        <v>0</v>
      </c>
      <c r="BS910" s="42">
        <v>0</v>
      </c>
      <c r="BT910" s="42">
        <v>0</v>
      </c>
      <c r="BU910" s="42">
        <v>0</v>
      </c>
      <c r="BV910" s="42">
        <v>0</v>
      </c>
      <c r="BW910" s="42">
        <v>0</v>
      </c>
      <c r="BX910" s="42">
        <v>0</v>
      </c>
      <c r="BY910" s="42">
        <v>0</v>
      </c>
      <c r="BZ910" s="42">
        <v>0</v>
      </c>
      <c r="CA910" s="42">
        <v>0</v>
      </c>
      <c r="CB910" s="42">
        <v>0</v>
      </c>
      <c r="CC910" s="42">
        <v>0</v>
      </c>
      <c r="CD910" s="42">
        <v>0</v>
      </c>
      <c r="CE910" s="42">
        <v>0</v>
      </c>
      <c r="CF910" s="42">
        <v>0</v>
      </c>
      <c r="CG910" s="42">
        <v>0</v>
      </c>
      <c r="CH910" s="42">
        <v>0</v>
      </c>
      <c r="CI910" s="42">
        <v>0</v>
      </c>
      <c r="CJ910" s="42">
        <v>0</v>
      </c>
      <c r="CK910" s="43">
        <f t="shared" si="83"/>
        <v>0</v>
      </c>
      <c r="CL910" s="66"/>
      <c r="CM910" s="66">
        <v>0</v>
      </c>
      <c r="CN910" s="66">
        <v>0</v>
      </c>
      <c r="CO910" s="66">
        <v>0</v>
      </c>
      <c r="CP910" s="66">
        <v>0</v>
      </c>
      <c r="CQ910" s="66">
        <v>0</v>
      </c>
      <c r="CR910" s="66">
        <v>0</v>
      </c>
      <c r="CS910" s="66">
        <v>0</v>
      </c>
      <c r="CT910" s="66">
        <v>0</v>
      </c>
      <c r="CU910" s="66">
        <v>0</v>
      </c>
      <c r="CV910" s="66">
        <v>0</v>
      </c>
      <c r="CW910" s="66">
        <v>0</v>
      </c>
      <c r="CX910" s="66">
        <v>0</v>
      </c>
      <c r="CY910" s="66">
        <v>0</v>
      </c>
      <c r="CZ910" s="66">
        <v>0</v>
      </c>
      <c r="DA910" s="66"/>
      <c r="DB910" s="66"/>
      <c r="DC910" s="66"/>
      <c r="DD910" s="66"/>
      <c r="DE910" s="66"/>
      <c r="DF910" s="66"/>
      <c r="DG910" s="66"/>
      <c r="DH910" s="66"/>
      <c r="DI910" s="66"/>
      <c r="DJ910" s="66"/>
      <c r="DK910" s="66">
        <f>SUM(Table1[[#This Row],[01-03 Apr]:[Mar-26]])</f>
        <v>0</v>
      </c>
    </row>
    <row r="911" spans="1:115" hidden="1" x14ac:dyDescent="0.2">
      <c r="A911" s="28" t="s">
        <v>371</v>
      </c>
      <c r="B911" s="29" t="s">
        <v>1984</v>
      </c>
      <c r="C911" s="29" t="s">
        <v>3336</v>
      </c>
      <c r="D911" s="30" t="s">
        <v>1985</v>
      </c>
      <c r="E911" s="30" t="s">
        <v>297</v>
      </c>
      <c r="F911" s="30"/>
      <c r="G911" s="31"/>
      <c r="H911" s="30"/>
      <c r="I911" s="30" t="str">
        <f>IF(Table1[[#This Row],[Centre Status]]="Returned","NA",IF(Table1[[#This Row],[SD]]&gt;19000,"Full Payment",IF(Table1[[#This Row],[SD]]&lt;1,"No Payment","Partial Payment")))</f>
        <v>NA</v>
      </c>
      <c r="J911" s="30" t="s">
        <v>1903</v>
      </c>
      <c r="K911" s="32">
        <v>0</v>
      </c>
      <c r="L911" s="33">
        <f>Q911+R911+U911+Table1[[#This Row],[Farmer Payment]]</f>
        <v>331</v>
      </c>
      <c r="M911" s="30"/>
      <c r="N911" s="34"/>
      <c r="O911" s="34"/>
      <c r="P911" s="35">
        <f t="shared" si="84"/>
        <v>-331</v>
      </c>
      <c r="Q911" s="33">
        <f>AI911+AV911+CK911+Table1[[#This Row],[FY 25-26]]</f>
        <v>331</v>
      </c>
      <c r="R911" s="36"/>
      <c r="S911" s="37"/>
      <c r="T911" s="38"/>
      <c r="U911" s="39"/>
      <c r="V911" s="39"/>
      <c r="W911" s="40">
        <v>0</v>
      </c>
      <c r="X911" s="40">
        <v>0</v>
      </c>
      <c r="Y911" s="40">
        <v>0</v>
      </c>
      <c r="Z911" s="40">
        <v>0</v>
      </c>
      <c r="AA911" s="40">
        <v>0</v>
      </c>
      <c r="AB911" s="40">
        <v>0</v>
      </c>
      <c r="AC911" s="40">
        <v>0</v>
      </c>
      <c r="AD911" s="40">
        <v>0</v>
      </c>
      <c r="AE911" s="40">
        <v>0</v>
      </c>
      <c r="AF911" s="40">
        <v>0</v>
      </c>
      <c r="AG911" s="40">
        <v>0</v>
      </c>
      <c r="AH911" s="40">
        <v>0</v>
      </c>
      <c r="AI911" s="41">
        <f t="shared" si="85"/>
        <v>0</v>
      </c>
      <c r="AJ911" s="42">
        <v>0</v>
      </c>
      <c r="AK911" s="42">
        <v>331</v>
      </c>
      <c r="AL911" s="42">
        <v>0</v>
      </c>
      <c r="AM911" s="42">
        <v>0</v>
      </c>
      <c r="AN911" s="42">
        <v>0</v>
      </c>
      <c r="AO911" s="42">
        <v>0</v>
      </c>
      <c r="AP911" s="42">
        <v>0</v>
      </c>
      <c r="AQ911" s="42">
        <v>0</v>
      </c>
      <c r="AR911" s="42">
        <v>0</v>
      </c>
      <c r="AS911" s="42">
        <v>0</v>
      </c>
      <c r="AT911" s="42">
        <v>0</v>
      </c>
      <c r="AU911" s="42">
        <v>0</v>
      </c>
      <c r="AV911" s="42">
        <f t="shared" si="86"/>
        <v>331</v>
      </c>
      <c r="AW911" s="42">
        <v>0</v>
      </c>
      <c r="AX911" s="42">
        <v>0</v>
      </c>
      <c r="AY911" s="42">
        <v>0</v>
      </c>
      <c r="AZ911" s="42">
        <v>0</v>
      </c>
      <c r="BA911" s="42">
        <v>0</v>
      </c>
      <c r="BB911" s="42">
        <v>0</v>
      </c>
      <c r="BC911" s="42">
        <v>0</v>
      </c>
      <c r="BD911" s="42">
        <v>0</v>
      </c>
      <c r="BE911" s="42">
        <v>0</v>
      </c>
      <c r="BF911" s="42">
        <v>0</v>
      </c>
      <c r="BG911" s="42">
        <v>0</v>
      </c>
      <c r="BH911" s="42">
        <v>0</v>
      </c>
      <c r="BI911" s="42">
        <v>0</v>
      </c>
      <c r="BJ911" s="42">
        <v>0</v>
      </c>
      <c r="BK911" s="42">
        <v>0</v>
      </c>
      <c r="BL911" s="42">
        <v>0</v>
      </c>
      <c r="BM911" s="42">
        <v>0</v>
      </c>
      <c r="BN911" s="42">
        <v>0</v>
      </c>
      <c r="BO911" s="42">
        <v>0</v>
      </c>
      <c r="BP911" s="42">
        <v>0</v>
      </c>
      <c r="BQ911" s="42">
        <v>0</v>
      </c>
      <c r="BR911" s="42">
        <v>0</v>
      </c>
      <c r="BS911" s="42">
        <v>0</v>
      </c>
      <c r="BT911" s="42">
        <v>0</v>
      </c>
      <c r="BU911" s="42">
        <v>0</v>
      </c>
      <c r="BV911" s="42">
        <v>0</v>
      </c>
      <c r="BW911" s="42">
        <v>0</v>
      </c>
      <c r="BX911" s="42">
        <v>0</v>
      </c>
      <c r="BY911" s="42">
        <v>0</v>
      </c>
      <c r="BZ911" s="42">
        <v>0</v>
      </c>
      <c r="CA911" s="42">
        <v>0</v>
      </c>
      <c r="CB911" s="42">
        <v>0</v>
      </c>
      <c r="CC911" s="42">
        <v>0</v>
      </c>
      <c r="CD911" s="42">
        <v>0</v>
      </c>
      <c r="CE911" s="42">
        <v>0</v>
      </c>
      <c r="CF911" s="42">
        <v>0</v>
      </c>
      <c r="CG911" s="42">
        <v>0</v>
      </c>
      <c r="CH911" s="42">
        <v>0</v>
      </c>
      <c r="CI911" s="42">
        <v>0</v>
      </c>
      <c r="CJ911" s="42">
        <v>0</v>
      </c>
      <c r="CK911" s="43">
        <f t="shared" si="83"/>
        <v>0</v>
      </c>
      <c r="CL911" s="66"/>
      <c r="CM911" s="66">
        <v>0</v>
      </c>
      <c r="CN911" s="66">
        <v>0</v>
      </c>
      <c r="CO911" s="66">
        <v>0</v>
      </c>
      <c r="CP911" s="66">
        <v>0</v>
      </c>
      <c r="CQ911" s="66">
        <v>0</v>
      </c>
      <c r="CR911" s="66">
        <v>0</v>
      </c>
      <c r="CS911" s="66">
        <v>0</v>
      </c>
      <c r="CT911" s="66">
        <v>0</v>
      </c>
      <c r="CU911" s="66">
        <v>0</v>
      </c>
      <c r="CV911" s="66">
        <v>0</v>
      </c>
      <c r="CW911" s="66">
        <v>0</v>
      </c>
      <c r="CX911" s="66">
        <v>0</v>
      </c>
      <c r="CY911" s="66">
        <v>0</v>
      </c>
      <c r="CZ911" s="66">
        <v>0</v>
      </c>
      <c r="DA911" s="66"/>
      <c r="DB911" s="66"/>
      <c r="DC911" s="66"/>
      <c r="DD911" s="66"/>
      <c r="DE911" s="66"/>
      <c r="DF911" s="66"/>
      <c r="DG911" s="66"/>
      <c r="DH911" s="66"/>
      <c r="DI911" s="66"/>
      <c r="DJ911" s="66"/>
      <c r="DK911" s="66">
        <f>SUM(Table1[[#This Row],[01-03 Apr]:[Mar-26]])</f>
        <v>0</v>
      </c>
    </row>
    <row r="912" spans="1:115" hidden="1" x14ac:dyDescent="0.2">
      <c r="A912" s="28" t="s">
        <v>371</v>
      </c>
      <c r="B912" s="29" t="s">
        <v>1986</v>
      </c>
      <c r="C912" s="29" t="s">
        <v>3336</v>
      </c>
      <c r="D912" s="30" t="s">
        <v>1987</v>
      </c>
      <c r="E912" s="30" t="s">
        <v>349</v>
      </c>
      <c r="F912" s="30"/>
      <c r="G912" s="31"/>
      <c r="H912" s="30"/>
      <c r="I912" s="30" t="str">
        <f>IF(Table1[[#This Row],[Centre Status]]="Returned","NA",IF(Table1[[#This Row],[SD]]&gt;19000,"Full Payment",IF(Table1[[#This Row],[SD]]&lt;1,"No Payment","Partial Payment")))</f>
        <v>NA</v>
      </c>
      <c r="J912" s="30" t="s">
        <v>1903</v>
      </c>
      <c r="K912" s="32">
        <v>0</v>
      </c>
      <c r="L912" s="33">
        <f>Q912+R912+U912+Table1[[#This Row],[Farmer Payment]]</f>
        <v>23761</v>
      </c>
      <c r="M912" s="30"/>
      <c r="N912" s="34"/>
      <c r="O912" s="34"/>
      <c r="P912" s="35">
        <f t="shared" si="84"/>
        <v>-23761</v>
      </c>
      <c r="Q912" s="33">
        <f>AI912+AV912+CK912+Table1[[#This Row],[FY 25-26]]</f>
        <v>3761</v>
      </c>
      <c r="R912" s="36">
        <v>20000</v>
      </c>
      <c r="S912" s="37" t="s">
        <v>2163</v>
      </c>
      <c r="T912" s="38">
        <v>44667</v>
      </c>
      <c r="U912" s="39"/>
      <c r="V912" s="39"/>
      <c r="W912" s="40">
        <v>0</v>
      </c>
      <c r="X912" s="40">
        <v>0</v>
      </c>
      <c r="Y912" s="40">
        <v>0</v>
      </c>
      <c r="Z912" s="40">
        <v>219</v>
      </c>
      <c r="AA912" s="40">
        <v>1861</v>
      </c>
      <c r="AB912" s="40">
        <v>504</v>
      </c>
      <c r="AC912" s="40">
        <v>1024</v>
      </c>
      <c r="AD912" s="40">
        <v>153</v>
      </c>
      <c r="AE912" s="40">
        <v>0</v>
      </c>
      <c r="AF912" s="40">
        <v>0</v>
      </c>
      <c r="AG912" s="40">
        <v>0</v>
      </c>
      <c r="AH912" s="40">
        <v>0</v>
      </c>
      <c r="AI912" s="41">
        <f t="shared" si="85"/>
        <v>3761</v>
      </c>
      <c r="AJ912" s="42">
        <v>0</v>
      </c>
      <c r="AK912" s="42">
        <v>0</v>
      </c>
      <c r="AL912" s="42">
        <v>0</v>
      </c>
      <c r="AM912" s="42">
        <v>0</v>
      </c>
      <c r="AN912" s="42">
        <v>0</v>
      </c>
      <c r="AO912" s="42">
        <v>0</v>
      </c>
      <c r="AP912" s="42">
        <v>0</v>
      </c>
      <c r="AQ912" s="42">
        <v>0</v>
      </c>
      <c r="AR912" s="42">
        <v>0</v>
      </c>
      <c r="AS912" s="42">
        <v>0</v>
      </c>
      <c r="AT912" s="42">
        <v>0</v>
      </c>
      <c r="AU912" s="42">
        <v>0</v>
      </c>
      <c r="AV912" s="42">
        <f t="shared" si="86"/>
        <v>0</v>
      </c>
      <c r="AW912" s="42">
        <v>0</v>
      </c>
      <c r="AX912" s="42">
        <v>0</v>
      </c>
      <c r="AY912" s="42">
        <v>0</v>
      </c>
      <c r="AZ912" s="42">
        <v>0</v>
      </c>
      <c r="BA912" s="42">
        <v>0</v>
      </c>
      <c r="BB912" s="42">
        <v>0</v>
      </c>
      <c r="BC912" s="42">
        <v>0</v>
      </c>
      <c r="BD912" s="42">
        <v>0</v>
      </c>
      <c r="BE912" s="42">
        <v>0</v>
      </c>
      <c r="BF912" s="42">
        <v>0</v>
      </c>
      <c r="BG912" s="42">
        <v>0</v>
      </c>
      <c r="BH912" s="42">
        <v>0</v>
      </c>
      <c r="BI912" s="42">
        <v>0</v>
      </c>
      <c r="BJ912" s="42">
        <v>0</v>
      </c>
      <c r="BK912" s="42">
        <v>0</v>
      </c>
      <c r="BL912" s="42">
        <v>0</v>
      </c>
      <c r="BM912" s="42">
        <v>0</v>
      </c>
      <c r="BN912" s="42">
        <v>0</v>
      </c>
      <c r="BO912" s="42">
        <v>0</v>
      </c>
      <c r="BP912" s="42">
        <v>0</v>
      </c>
      <c r="BQ912" s="42">
        <v>0</v>
      </c>
      <c r="BR912" s="42">
        <v>0</v>
      </c>
      <c r="BS912" s="42">
        <v>0</v>
      </c>
      <c r="BT912" s="42">
        <v>0</v>
      </c>
      <c r="BU912" s="42">
        <v>0</v>
      </c>
      <c r="BV912" s="42">
        <v>0</v>
      </c>
      <c r="BW912" s="42">
        <v>0</v>
      </c>
      <c r="BX912" s="42">
        <v>0</v>
      </c>
      <c r="BY912" s="42">
        <v>0</v>
      </c>
      <c r="BZ912" s="42">
        <v>0</v>
      </c>
      <c r="CA912" s="42">
        <v>0</v>
      </c>
      <c r="CB912" s="42">
        <v>0</v>
      </c>
      <c r="CC912" s="42">
        <v>0</v>
      </c>
      <c r="CD912" s="42">
        <v>0</v>
      </c>
      <c r="CE912" s="42">
        <v>0</v>
      </c>
      <c r="CF912" s="42">
        <v>0</v>
      </c>
      <c r="CG912" s="42">
        <v>0</v>
      </c>
      <c r="CH912" s="42">
        <v>0</v>
      </c>
      <c r="CI912" s="42">
        <v>0</v>
      </c>
      <c r="CJ912" s="42">
        <v>0</v>
      </c>
      <c r="CK912" s="43">
        <f t="shared" si="83"/>
        <v>0</v>
      </c>
      <c r="CL912" s="66"/>
      <c r="CM912" s="66">
        <v>0</v>
      </c>
      <c r="CN912" s="66">
        <v>0</v>
      </c>
      <c r="CO912" s="66">
        <v>0</v>
      </c>
      <c r="CP912" s="66">
        <v>0</v>
      </c>
      <c r="CQ912" s="66">
        <v>0</v>
      </c>
      <c r="CR912" s="66">
        <v>0</v>
      </c>
      <c r="CS912" s="66">
        <v>0</v>
      </c>
      <c r="CT912" s="66">
        <v>0</v>
      </c>
      <c r="CU912" s="66">
        <v>0</v>
      </c>
      <c r="CV912" s="66">
        <v>0</v>
      </c>
      <c r="CW912" s="66">
        <v>0</v>
      </c>
      <c r="CX912" s="66">
        <v>0</v>
      </c>
      <c r="CY912" s="66">
        <v>0</v>
      </c>
      <c r="CZ912" s="66">
        <v>0</v>
      </c>
      <c r="DA912" s="66"/>
      <c r="DB912" s="66"/>
      <c r="DC912" s="66"/>
      <c r="DD912" s="66"/>
      <c r="DE912" s="66"/>
      <c r="DF912" s="66"/>
      <c r="DG912" s="66"/>
      <c r="DH912" s="66"/>
      <c r="DI912" s="66"/>
      <c r="DJ912" s="66"/>
      <c r="DK912" s="66">
        <f>SUM(Table1[[#This Row],[01-03 Apr]:[Mar-26]])</f>
        <v>0</v>
      </c>
    </row>
    <row r="913" spans="1:115" hidden="1" x14ac:dyDescent="0.2">
      <c r="A913" s="28" t="s">
        <v>371</v>
      </c>
      <c r="B913" s="29" t="s">
        <v>1988</v>
      </c>
      <c r="C913" s="29" t="s">
        <v>3374</v>
      </c>
      <c r="D913" s="30" t="s">
        <v>1989</v>
      </c>
      <c r="E913" s="30" t="s">
        <v>177</v>
      </c>
      <c r="F913" s="30"/>
      <c r="G913" s="31"/>
      <c r="H913" s="30"/>
      <c r="I913" s="30" t="str">
        <f>IF(Table1[[#This Row],[Centre Status]]="Returned","NA",IF(Table1[[#This Row],[SD]]&gt;19000,"Full Payment",IF(Table1[[#This Row],[SD]]&lt;1,"No Payment","Partial Payment")))</f>
        <v>NA</v>
      </c>
      <c r="J913" s="30" t="s">
        <v>1903</v>
      </c>
      <c r="K913" s="32">
        <v>0</v>
      </c>
      <c r="L913" s="33">
        <f>Q913+R913+U913+Table1[[#This Row],[Farmer Payment]]</f>
        <v>20994.690200000001</v>
      </c>
      <c r="M913" s="30">
        <v>7640</v>
      </c>
      <c r="N913" s="34">
        <v>45351</v>
      </c>
      <c r="O913" s="34"/>
      <c r="P913" s="35">
        <f t="shared" si="84"/>
        <v>-13354.690200000001</v>
      </c>
      <c r="Q913" s="33">
        <f>AI913+AV913+CK913+Table1[[#This Row],[FY 25-26]]</f>
        <v>10994.690200000001</v>
      </c>
      <c r="R913" s="36">
        <v>10000</v>
      </c>
      <c r="S913" s="37" t="s">
        <v>2164</v>
      </c>
      <c r="T913" s="38">
        <v>45219</v>
      </c>
      <c r="U913" s="39"/>
      <c r="V913" s="39"/>
      <c r="W913" s="40">
        <v>0</v>
      </c>
      <c r="X913" s="40">
        <v>0</v>
      </c>
      <c r="Y913" s="40">
        <v>0</v>
      </c>
      <c r="Z913" s="40">
        <v>0</v>
      </c>
      <c r="AA913" s="40">
        <v>0</v>
      </c>
      <c r="AB913" s="40">
        <v>0</v>
      </c>
      <c r="AC913" s="40">
        <v>0</v>
      </c>
      <c r="AD913" s="40">
        <v>0</v>
      </c>
      <c r="AE913" s="40">
        <v>0</v>
      </c>
      <c r="AF913" s="40">
        <v>0</v>
      </c>
      <c r="AG913" s="40">
        <v>0</v>
      </c>
      <c r="AH913" s="40">
        <v>0</v>
      </c>
      <c r="AI913" s="41">
        <f t="shared" si="85"/>
        <v>0</v>
      </c>
      <c r="AJ913" s="42">
        <v>0</v>
      </c>
      <c r="AK913" s="42">
        <v>0</v>
      </c>
      <c r="AL913" s="42">
        <v>0</v>
      </c>
      <c r="AM913" s="42">
        <v>0</v>
      </c>
      <c r="AN913" s="42">
        <v>0</v>
      </c>
      <c r="AO913" s="42">
        <v>0</v>
      </c>
      <c r="AP913" s="42">
        <v>0</v>
      </c>
      <c r="AQ913" s="42">
        <v>321</v>
      </c>
      <c r="AR913" s="42">
        <v>1861</v>
      </c>
      <c r="AS913" s="42">
        <v>2178.8422000000005</v>
      </c>
      <c r="AT913" s="42">
        <v>4772.8480000000009</v>
      </c>
      <c r="AU913" s="42">
        <v>1861</v>
      </c>
      <c r="AV913" s="42">
        <f t="shared" si="86"/>
        <v>10994.690200000001</v>
      </c>
      <c r="AW913" s="42">
        <v>0</v>
      </c>
      <c r="AX913" s="42">
        <v>0</v>
      </c>
      <c r="AY913" s="42">
        <v>0</v>
      </c>
      <c r="AZ913" s="42">
        <v>0</v>
      </c>
      <c r="BA913" s="42">
        <v>0</v>
      </c>
      <c r="BB913" s="42">
        <v>0</v>
      </c>
      <c r="BC913" s="42">
        <v>0</v>
      </c>
      <c r="BD913" s="42">
        <v>0</v>
      </c>
      <c r="BE913" s="42">
        <v>0</v>
      </c>
      <c r="BF913" s="42">
        <v>0</v>
      </c>
      <c r="BG913" s="42">
        <v>0</v>
      </c>
      <c r="BH913" s="42">
        <v>0</v>
      </c>
      <c r="BI913" s="42">
        <v>0</v>
      </c>
      <c r="BJ913" s="42">
        <v>0</v>
      </c>
      <c r="BK913" s="42">
        <v>0</v>
      </c>
      <c r="BL913" s="42">
        <v>0</v>
      </c>
      <c r="BM913" s="42">
        <v>0</v>
      </c>
      <c r="BN913" s="42">
        <v>0</v>
      </c>
      <c r="BO913" s="42">
        <v>0</v>
      </c>
      <c r="BP913" s="42">
        <v>0</v>
      </c>
      <c r="BQ913" s="42">
        <v>0</v>
      </c>
      <c r="BR913" s="42">
        <v>0</v>
      </c>
      <c r="BS913" s="42">
        <v>0</v>
      </c>
      <c r="BT913" s="42">
        <v>0</v>
      </c>
      <c r="BU913" s="42">
        <v>0</v>
      </c>
      <c r="BV913" s="42">
        <v>0</v>
      </c>
      <c r="BW913" s="42">
        <v>0</v>
      </c>
      <c r="BX913" s="42">
        <v>0</v>
      </c>
      <c r="BY913" s="42">
        <v>0</v>
      </c>
      <c r="BZ913" s="42">
        <v>0</v>
      </c>
      <c r="CA913" s="42">
        <v>0</v>
      </c>
      <c r="CB913" s="42">
        <v>0</v>
      </c>
      <c r="CC913" s="42">
        <v>0</v>
      </c>
      <c r="CD913" s="42">
        <v>0</v>
      </c>
      <c r="CE913" s="42">
        <v>0</v>
      </c>
      <c r="CF913" s="42">
        <v>0</v>
      </c>
      <c r="CG913" s="42">
        <v>0</v>
      </c>
      <c r="CH913" s="42">
        <v>0</v>
      </c>
      <c r="CI913" s="42">
        <v>0</v>
      </c>
      <c r="CJ913" s="42">
        <v>0</v>
      </c>
      <c r="CK913" s="43">
        <f t="shared" si="83"/>
        <v>0</v>
      </c>
      <c r="CL913" s="66"/>
      <c r="CM913" s="66">
        <v>0</v>
      </c>
      <c r="CN913" s="66">
        <v>0</v>
      </c>
      <c r="CO913" s="66">
        <v>0</v>
      </c>
      <c r="CP913" s="66">
        <v>0</v>
      </c>
      <c r="CQ913" s="66">
        <v>0</v>
      </c>
      <c r="CR913" s="66">
        <v>0</v>
      </c>
      <c r="CS913" s="66">
        <v>0</v>
      </c>
      <c r="CT913" s="66">
        <v>0</v>
      </c>
      <c r="CU913" s="66">
        <v>0</v>
      </c>
      <c r="CV913" s="66">
        <v>0</v>
      </c>
      <c r="CW913" s="66">
        <v>0</v>
      </c>
      <c r="CX913" s="66">
        <v>0</v>
      </c>
      <c r="CY913" s="66">
        <v>0</v>
      </c>
      <c r="CZ913" s="66">
        <v>0</v>
      </c>
      <c r="DA913" s="66"/>
      <c r="DB913" s="66"/>
      <c r="DC913" s="66"/>
      <c r="DD913" s="66"/>
      <c r="DE913" s="66"/>
      <c r="DF913" s="66"/>
      <c r="DG913" s="66"/>
      <c r="DH913" s="66"/>
      <c r="DI913" s="66"/>
      <c r="DJ913" s="66"/>
      <c r="DK913" s="66">
        <f>SUM(Table1[[#This Row],[01-03 Apr]:[Mar-26]])</f>
        <v>0</v>
      </c>
    </row>
    <row r="914" spans="1:115" hidden="1" x14ac:dyDescent="0.2">
      <c r="A914" s="28" t="s">
        <v>371</v>
      </c>
      <c r="B914" s="29" t="s">
        <v>1990</v>
      </c>
      <c r="C914" s="29" t="s">
        <v>3375</v>
      </c>
      <c r="D914" s="30" t="s">
        <v>1991</v>
      </c>
      <c r="E914" s="30" t="s">
        <v>203</v>
      </c>
      <c r="F914" s="30"/>
      <c r="G914" s="31"/>
      <c r="H914" s="30"/>
      <c r="I914" s="30" t="str">
        <f>IF(Table1[[#This Row],[Centre Status]]="Returned","NA",IF(Table1[[#This Row],[SD]]&gt;19000,"Full Payment",IF(Table1[[#This Row],[SD]]&lt;1,"No Payment","Partial Payment")))</f>
        <v>NA</v>
      </c>
      <c r="J914" s="30" t="s">
        <v>1903</v>
      </c>
      <c r="K914" s="32">
        <v>0</v>
      </c>
      <c r="L914" s="33">
        <f>Q914+R914+U914+Table1[[#This Row],[Farmer Payment]]</f>
        <v>65</v>
      </c>
      <c r="M914" s="30"/>
      <c r="N914" s="34"/>
      <c r="O914" s="34"/>
      <c r="P914" s="35">
        <f t="shared" si="84"/>
        <v>-65</v>
      </c>
      <c r="Q914" s="33">
        <f>AI914+AV914+CK914+Table1[[#This Row],[FY 25-26]]</f>
        <v>65</v>
      </c>
      <c r="R914" s="36"/>
      <c r="S914" s="37"/>
      <c r="T914" s="38"/>
      <c r="U914" s="39"/>
      <c r="V914" s="39"/>
      <c r="W914" s="40">
        <v>0</v>
      </c>
      <c r="X914" s="40">
        <v>0</v>
      </c>
      <c r="Y914" s="40">
        <v>0</v>
      </c>
      <c r="Z914" s="40">
        <v>0</v>
      </c>
      <c r="AA914" s="40">
        <v>0</v>
      </c>
      <c r="AB914" s="40">
        <v>0</v>
      </c>
      <c r="AC914" s="40">
        <v>0</v>
      </c>
      <c r="AD914" s="40">
        <v>0</v>
      </c>
      <c r="AE914" s="40">
        <v>0</v>
      </c>
      <c r="AF914" s="40">
        <v>0</v>
      </c>
      <c r="AG914" s="40">
        <v>0</v>
      </c>
      <c r="AH914" s="40">
        <v>0</v>
      </c>
      <c r="AI914" s="41">
        <f t="shared" si="85"/>
        <v>0</v>
      </c>
      <c r="AJ914" s="42">
        <v>0</v>
      </c>
      <c r="AK914" s="42">
        <v>0</v>
      </c>
      <c r="AL914" s="42">
        <v>0</v>
      </c>
      <c r="AM914" s="42">
        <v>0</v>
      </c>
      <c r="AN914" s="42">
        <v>65</v>
      </c>
      <c r="AO914" s="42">
        <v>0</v>
      </c>
      <c r="AP914" s="42">
        <v>0</v>
      </c>
      <c r="AQ914" s="42">
        <v>0</v>
      </c>
      <c r="AR914" s="42">
        <v>0</v>
      </c>
      <c r="AS914" s="42">
        <v>0</v>
      </c>
      <c r="AT914" s="42">
        <v>0</v>
      </c>
      <c r="AU914" s="42">
        <v>0</v>
      </c>
      <c r="AV914" s="42">
        <f t="shared" si="86"/>
        <v>65</v>
      </c>
      <c r="AW914" s="42">
        <v>0</v>
      </c>
      <c r="AX914" s="42">
        <v>0</v>
      </c>
      <c r="AY914" s="42">
        <v>0</v>
      </c>
      <c r="AZ914" s="42">
        <v>0</v>
      </c>
      <c r="BA914" s="42">
        <v>0</v>
      </c>
      <c r="BB914" s="42">
        <v>0</v>
      </c>
      <c r="BC914" s="42">
        <v>0</v>
      </c>
      <c r="BD914" s="42">
        <v>0</v>
      </c>
      <c r="BE914" s="42">
        <v>0</v>
      </c>
      <c r="BF914" s="42">
        <v>0</v>
      </c>
      <c r="BG914" s="42">
        <v>0</v>
      </c>
      <c r="BH914" s="42">
        <v>0</v>
      </c>
      <c r="BI914" s="42">
        <v>0</v>
      </c>
      <c r="BJ914" s="42">
        <v>0</v>
      </c>
      <c r="BK914" s="42">
        <v>0</v>
      </c>
      <c r="BL914" s="42">
        <v>0</v>
      </c>
      <c r="BM914" s="42">
        <v>0</v>
      </c>
      <c r="BN914" s="42">
        <v>0</v>
      </c>
      <c r="BO914" s="42">
        <v>0</v>
      </c>
      <c r="BP914" s="42">
        <v>0</v>
      </c>
      <c r="BQ914" s="42">
        <v>0</v>
      </c>
      <c r="BR914" s="42">
        <v>0</v>
      </c>
      <c r="BS914" s="42">
        <v>0</v>
      </c>
      <c r="BT914" s="42">
        <v>0</v>
      </c>
      <c r="BU914" s="42">
        <v>0</v>
      </c>
      <c r="BV914" s="42">
        <v>0</v>
      </c>
      <c r="BW914" s="42">
        <v>0</v>
      </c>
      <c r="BX914" s="42">
        <v>0</v>
      </c>
      <c r="BY914" s="42">
        <v>0</v>
      </c>
      <c r="BZ914" s="42">
        <v>0</v>
      </c>
      <c r="CA914" s="42">
        <v>0</v>
      </c>
      <c r="CB914" s="42">
        <v>0</v>
      </c>
      <c r="CC914" s="42">
        <v>0</v>
      </c>
      <c r="CD914" s="42">
        <v>0</v>
      </c>
      <c r="CE914" s="42">
        <v>0</v>
      </c>
      <c r="CF914" s="42">
        <v>0</v>
      </c>
      <c r="CG914" s="42">
        <v>0</v>
      </c>
      <c r="CH914" s="42">
        <v>0</v>
      </c>
      <c r="CI914" s="42">
        <v>0</v>
      </c>
      <c r="CJ914" s="42">
        <v>0</v>
      </c>
      <c r="CK914" s="43">
        <f t="shared" si="83"/>
        <v>0</v>
      </c>
      <c r="CL914" s="66"/>
      <c r="CM914" s="66">
        <v>0</v>
      </c>
      <c r="CN914" s="66">
        <v>0</v>
      </c>
      <c r="CO914" s="66">
        <v>0</v>
      </c>
      <c r="CP914" s="66">
        <v>0</v>
      </c>
      <c r="CQ914" s="66">
        <v>0</v>
      </c>
      <c r="CR914" s="66">
        <v>0</v>
      </c>
      <c r="CS914" s="66">
        <v>0</v>
      </c>
      <c r="CT914" s="66">
        <v>0</v>
      </c>
      <c r="CU914" s="66">
        <v>0</v>
      </c>
      <c r="CV914" s="66">
        <v>0</v>
      </c>
      <c r="CW914" s="66">
        <v>0</v>
      </c>
      <c r="CX914" s="66">
        <v>0</v>
      </c>
      <c r="CY914" s="66">
        <v>0</v>
      </c>
      <c r="CZ914" s="66">
        <v>0</v>
      </c>
      <c r="DA914" s="66"/>
      <c r="DB914" s="66"/>
      <c r="DC914" s="66"/>
      <c r="DD914" s="66"/>
      <c r="DE914" s="66"/>
      <c r="DF914" s="66"/>
      <c r="DG914" s="66"/>
      <c r="DH914" s="66"/>
      <c r="DI914" s="66"/>
      <c r="DJ914" s="66"/>
      <c r="DK914" s="66">
        <f>SUM(Table1[[#This Row],[01-03 Apr]:[Mar-26]])</f>
        <v>0</v>
      </c>
    </row>
    <row r="915" spans="1:115" hidden="1" x14ac:dyDescent="0.2">
      <c r="A915" s="28" t="s">
        <v>371</v>
      </c>
      <c r="B915" s="29" t="s">
        <v>1992</v>
      </c>
      <c r="C915" s="29" t="s">
        <v>3376</v>
      </c>
      <c r="D915" s="30" t="s">
        <v>1993</v>
      </c>
      <c r="E915" s="30" t="s">
        <v>63</v>
      </c>
      <c r="F915" s="30"/>
      <c r="G915" s="31"/>
      <c r="H915" s="30"/>
      <c r="I915" s="30" t="str">
        <f>IF(Table1[[#This Row],[Centre Status]]="Returned","NA",IF(Table1[[#This Row],[SD]]&gt;19000,"Full Payment",IF(Table1[[#This Row],[SD]]&lt;1,"No Payment","Partial Payment")))</f>
        <v>NA</v>
      </c>
      <c r="J915" s="30" t="s">
        <v>1903</v>
      </c>
      <c r="K915" s="32">
        <v>0</v>
      </c>
      <c r="L915" s="33">
        <f>Q915+R915+U915+Table1[[#This Row],[Farmer Payment]]</f>
        <v>26320.794600000001</v>
      </c>
      <c r="M915" s="30">
        <v>0</v>
      </c>
      <c r="N915" s="34">
        <v>45380</v>
      </c>
      <c r="O915" s="34"/>
      <c r="P915" s="35">
        <f t="shared" si="84"/>
        <v>-26320.794600000001</v>
      </c>
      <c r="Q915" s="33">
        <f>AI915+AV915+CK915+Table1[[#This Row],[FY 25-26]]</f>
        <v>6320.7946000000002</v>
      </c>
      <c r="R915" s="36">
        <v>20000</v>
      </c>
      <c r="S915" s="37" t="s">
        <v>2536</v>
      </c>
      <c r="T915" s="38">
        <v>44951</v>
      </c>
      <c r="U915" s="39"/>
      <c r="V915" s="39"/>
      <c r="W915" s="40">
        <v>0</v>
      </c>
      <c r="X915" s="40">
        <v>0</v>
      </c>
      <c r="Y915" s="40">
        <v>0</v>
      </c>
      <c r="Z915" s="40">
        <v>0</v>
      </c>
      <c r="AA915" s="40">
        <v>0</v>
      </c>
      <c r="AB915" s="40">
        <v>0</v>
      </c>
      <c r="AC915" s="40">
        <v>0</v>
      </c>
      <c r="AD915" s="40">
        <v>0</v>
      </c>
      <c r="AE915" s="40">
        <v>0</v>
      </c>
      <c r="AF915" s="40">
        <v>0</v>
      </c>
      <c r="AG915" s="40">
        <v>0</v>
      </c>
      <c r="AH915" s="40">
        <v>1163</v>
      </c>
      <c r="AI915" s="41">
        <f t="shared" si="85"/>
        <v>1163</v>
      </c>
      <c r="AJ915" s="42">
        <v>779</v>
      </c>
      <c r="AK915" s="42">
        <v>515</v>
      </c>
      <c r="AL915" s="42">
        <v>0</v>
      </c>
      <c r="AM915" s="42">
        <v>2188.7946000000002</v>
      </c>
      <c r="AN915" s="42">
        <v>1675</v>
      </c>
      <c r="AO915" s="42">
        <v>0</v>
      </c>
      <c r="AP915" s="42">
        <v>0</v>
      </c>
      <c r="AQ915" s="42">
        <v>0</v>
      </c>
      <c r="AR915" s="42">
        <v>0</v>
      </c>
      <c r="AS915" s="42">
        <v>0</v>
      </c>
      <c r="AT915" s="42">
        <v>0</v>
      </c>
      <c r="AU915" s="42">
        <v>0</v>
      </c>
      <c r="AV915" s="42">
        <f t="shared" si="86"/>
        <v>5157.7946000000002</v>
      </c>
      <c r="AW915" s="42">
        <v>0</v>
      </c>
      <c r="AX915" s="42">
        <v>0</v>
      </c>
      <c r="AY915" s="42">
        <v>0</v>
      </c>
      <c r="AZ915" s="42">
        <v>0</v>
      </c>
      <c r="BA915" s="42">
        <v>0</v>
      </c>
      <c r="BB915" s="42">
        <v>0</v>
      </c>
      <c r="BC915" s="42">
        <v>0</v>
      </c>
      <c r="BD915" s="42">
        <v>0</v>
      </c>
      <c r="BE915" s="42">
        <v>0</v>
      </c>
      <c r="BF915" s="42">
        <v>0</v>
      </c>
      <c r="BG915" s="42">
        <v>0</v>
      </c>
      <c r="BH915" s="42">
        <v>0</v>
      </c>
      <c r="BI915" s="42">
        <v>0</v>
      </c>
      <c r="BJ915" s="42">
        <v>0</v>
      </c>
      <c r="BK915" s="42">
        <v>0</v>
      </c>
      <c r="BL915" s="42">
        <v>0</v>
      </c>
      <c r="BM915" s="42">
        <v>0</v>
      </c>
      <c r="BN915" s="42">
        <v>0</v>
      </c>
      <c r="BO915" s="42">
        <v>0</v>
      </c>
      <c r="BP915" s="42">
        <v>0</v>
      </c>
      <c r="BQ915" s="42">
        <v>0</v>
      </c>
      <c r="BR915" s="42">
        <v>0</v>
      </c>
      <c r="BS915" s="42">
        <v>0</v>
      </c>
      <c r="BT915" s="42">
        <v>0</v>
      </c>
      <c r="BU915" s="42">
        <v>0</v>
      </c>
      <c r="BV915" s="42">
        <v>0</v>
      </c>
      <c r="BW915" s="42">
        <v>0</v>
      </c>
      <c r="BX915" s="42">
        <v>0</v>
      </c>
      <c r="BY915" s="42">
        <v>0</v>
      </c>
      <c r="BZ915" s="42">
        <v>0</v>
      </c>
      <c r="CA915" s="42">
        <v>0</v>
      </c>
      <c r="CB915" s="42">
        <v>0</v>
      </c>
      <c r="CC915" s="42">
        <v>0</v>
      </c>
      <c r="CD915" s="42">
        <v>0</v>
      </c>
      <c r="CE915" s="42">
        <v>0</v>
      </c>
      <c r="CF915" s="42">
        <v>0</v>
      </c>
      <c r="CG915" s="42">
        <v>0</v>
      </c>
      <c r="CH915" s="42">
        <v>0</v>
      </c>
      <c r="CI915" s="42">
        <v>0</v>
      </c>
      <c r="CJ915" s="42">
        <v>0</v>
      </c>
      <c r="CK915" s="43">
        <f t="shared" si="83"/>
        <v>0</v>
      </c>
      <c r="CL915" s="66"/>
      <c r="CM915" s="66">
        <v>0</v>
      </c>
      <c r="CN915" s="66">
        <v>0</v>
      </c>
      <c r="CO915" s="66">
        <v>0</v>
      </c>
      <c r="CP915" s="66">
        <v>0</v>
      </c>
      <c r="CQ915" s="66">
        <v>0</v>
      </c>
      <c r="CR915" s="66">
        <v>0</v>
      </c>
      <c r="CS915" s="66">
        <v>0</v>
      </c>
      <c r="CT915" s="66">
        <v>0</v>
      </c>
      <c r="CU915" s="66">
        <v>0</v>
      </c>
      <c r="CV915" s="66">
        <v>0</v>
      </c>
      <c r="CW915" s="66">
        <v>0</v>
      </c>
      <c r="CX915" s="66">
        <v>0</v>
      </c>
      <c r="CY915" s="66">
        <v>0</v>
      </c>
      <c r="CZ915" s="66">
        <v>0</v>
      </c>
      <c r="DA915" s="66"/>
      <c r="DB915" s="66"/>
      <c r="DC915" s="66"/>
      <c r="DD915" s="66"/>
      <c r="DE915" s="66"/>
      <c r="DF915" s="66"/>
      <c r="DG915" s="66"/>
      <c r="DH915" s="66"/>
      <c r="DI915" s="66"/>
      <c r="DJ915" s="66"/>
      <c r="DK915" s="66">
        <f>SUM(Table1[[#This Row],[01-03 Apr]:[Mar-26]])</f>
        <v>0</v>
      </c>
    </row>
    <row r="916" spans="1:115" hidden="1" x14ac:dyDescent="0.2">
      <c r="A916" s="28" t="s">
        <v>371</v>
      </c>
      <c r="B916" s="29" t="s">
        <v>1994</v>
      </c>
      <c r="C916" s="29" t="s">
        <v>3336</v>
      </c>
      <c r="D916" s="30" t="s">
        <v>1995</v>
      </c>
      <c r="E916" s="30" t="s">
        <v>177</v>
      </c>
      <c r="F916" s="30"/>
      <c r="G916" s="31"/>
      <c r="H916" s="30"/>
      <c r="I916" s="30" t="str">
        <f>IF(Table1[[#This Row],[Centre Status]]="Returned","NA",IF(Table1[[#This Row],[SD]]&gt;19000,"Full Payment",IF(Table1[[#This Row],[SD]]&lt;1,"No Payment","Partial Payment")))</f>
        <v>NA</v>
      </c>
      <c r="J916" s="30" t="s">
        <v>1903</v>
      </c>
      <c r="K916" s="32">
        <v>0</v>
      </c>
      <c r="L916" s="33">
        <f>Q916+R916+U916+Table1[[#This Row],[Farmer Payment]]</f>
        <v>12026</v>
      </c>
      <c r="M916" s="30"/>
      <c r="N916" s="34"/>
      <c r="O916" s="34"/>
      <c r="P916" s="35">
        <f t="shared" si="84"/>
        <v>-12026</v>
      </c>
      <c r="Q916" s="33">
        <f>AI916+AV916+CK916+Table1[[#This Row],[FY 25-26]]</f>
        <v>7026</v>
      </c>
      <c r="R916" s="36">
        <v>5000</v>
      </c>
      <c r="S916" s="37" t="s">
        <v>2542</v>
      </c>
      <c r="T916" s="38">
        <v>44959</v>
      </c>
      <c r="U916" s="39"/>
      <c r="V916" s="39"/>
      <c r="W916" s="40">
        <v>0</v>
      </c>
      <c r="X916" s="40">
        <v>0</v>
      </c>
      <c r="Y916" s="40">
        <v>0</v>
      </c>
      <c r="Z916" s="40">
        <v>0</v>
      </c>
      <c r="AA916" s="40">
        <v>0</v>
      </c>
      <c r="AB916" s="40">
        <v>0</v>
      </c>
      <c r="AC916" s="40">
        <v>0</v>
      </c>
      <c r="AD916" s="40">
        <v>0</v>
      </c>
      <c r="AE916" s="40">
        <v>0</v>
      </c>
      <c r="AF916" s="40">
        <v>0</v>
      </c>
      <c r="AG916" s="40">
        <v>0</v>
      </c>
      <c r="AH916" s="40">
        <v>1861</v>
      </c>
      <c r="AI916" s="41">
        <f t="shared" si="85"/>
        <v>1861</v>
      </c>
      <c r="AJ916" s="42">
        <v>1861</v>
      </c>
      <c r="AK916" s="42">
        <v>1861</v>
      </c>
      <c r="AL916" s="42">
        <v>1443</v>
      </c>
      <c r="AM916" s="42">
        <v>0</v>
      </c>
      <c r="AN916" s="42">
        <v>0</v>
      </c>
      <c r="AO916" s="42">
        <v>0</v>
      </c>
      <c r="AP916" s="42">
        <v>0</v>
      </c>
      <c r="AQ916" s="42">
        <v>0</v>
      </c>
      <c r="AR916" s="42">
        <v>0</v>
      </c>
      <c r="AS916" s="42">
        <v>0</v>
      </c>
      <c r="AT916" s="42">
        <v>0</v>
      </c>
      <c r="AU916" s="42">
        <v>0</v>
      </c>
      <c r="AV916" s="42">
        <f t="shared" si="86"/>
        <v>5165</v>
      </c>
      <c r="AW916" s="42">
        <v>0</v>
      </c>
      <c r="AX916" s="42">
        <v>0</v>
      </c>
      <c r="AY916" s="42">
        <v>0</v>
      </c>
      <c r="AZ916" s="42">
        <v>0</v>
      </c>
      <c r="BA916" s="42">
        <v>0</v>
      </c>
      <c r="BB916" s="42">
        <v>0</v>
      </c>
      <c r="BC916" s="42">
        <v>0</v>
      </c>
      <c r="BD916" s="42">
        <v>0</v>
      </c>
      <c r="BE916" s="42">
        <v>0</v>
      </c>
      <c r="BF916" s="42">
        <v>0</v>
      </c>
      <c r="BG916" s="42">
        <v>0</v>
      </c>
      <c r="BH916" s="42">
        <v>0</v>
      </c>
      <c r="BI916" s="42">
        <v>0</v>
      </c>
      <c r="BJ916" s="42">
        <v>0</v>
      </c>
      <c r="BK916" s="42">
        <v>0</v>
      </c>
      <c r="BL916" s="42">
        <v>0</v>
      </c>
      <c r="BM916" s="42">
        <v>0</v>
      </c>
      <c r="BN916" s="42">
        <v>0</v>
      </c>
      <c r="BO916" s="42">
        <v>0</v>
      </c>
      <c r="BP916" s="42">
        <v>0</v>
      </c>
      <c r="BQ916" s="42">
        <v>0</v>
      </c>
      <c r="BR916" s="42">
        <v>0</v>
      </c>
      <c r="BS916" s="42">
        <v>0</v>
      </c>
      <c r="BT916" s="42">
        <v>0</v>
      </c>
      <c r="BU916" s="42">
        <v>0</v>
      </c>
      <c r="BV916" s="42">
        <v>0</v>
      </c>
      <c r="BW916" s="42">
        <v>0</v>
      </c>
      <c r="BX916" s="42">
        <v>0</v>
      </c>
      <c r="BY916" s="42">
        <v>0</v>
      </c>
      <c r="BZ916" s="42">
        <v>0</v>
      </c>
      <c r="CA916" s="42">
        <v>0</v>
      </c>
      <c r="CB916" s="42">
        <v>0</v>
      </c>
      <c r="CC916" s="42">
        <v>0</v>
      </c>
      <c r="CD916" s="42">
        <v>0</v>
      </c>
      <c r="CE916" s="42">
        <v>0</v>
      </c>
      <c r="CF916" s="42">
        <v>0</v>
      </c>
      <c r="CG916" s="42">
        <v>0</v>
      </c>
      <c r="CH916" s="42">
        <v>0</v>
      </c>
      <c r="CI916" s="42">
        <v>0</v>
      </c>
      <c r="CJ916" s="42">
        <v>0</v>
      </c>
      <c r="CK916" s="43">
        <f t="shared" si="83"/>
        <v>0</v>
      </c>
      <c r="CL916" s="66"/>
      <c r="CM916" s="66">
        <v>0</v>
      </c>
      <c r="CN916" s="66">
        <v>0</v>
      </c>
      <c r="CO916" s="66">
        <v>0</v>
      </c>
      <c r="CP916" s="66">
        <v>0</v>
      </c>
      <c r="CQ916" s="66">
        <v>0</v>
      </c>
      <c r="CR916" s="66">
        <v>0</v>
      </c>
      <c r="CS916" s="66">
        <v>0</v>
      </c>
      <c r="CT916" s="66">
        <v>0</v>
      </c>
      <c r="CU916" s="66">
        <v>0</v>
      </c>
      <c r="CV916" s="66">
        <v>0</v>
      </c>
      <c r="CW916" s="66">
        <v>0</v>
      </c>
      <c r="CX916" s="66">
        <v>0</v>
      </c>
      <c r="CY916" s="66">
        <v>0</v>
      </c>
      <c r="CZ916" s="66">
        <v>0</v>
      </c>
      <c r="DA916" s="66"/>
      <c r="DB916" s="66"/>
      <c r="DC916" s="66"/>
      <c r="DD916" s="66"/>
      <c r="DE916" s="66"/>
      <c r="DF916" s="66"/>
      <c r="DG916" s="66"/>
      <c r="DH916" s="66"/>
      <c r="DI916" s="66"/>
      <c r="DJ916" s="66"/>
      <c r="DK916" s="66">
        <f>SUM(Table1[[#This Row],[01-03 Apr]:[Mar-26]])</f>
        <v>0</v>
      </c>
    </row>
    <row r="917" spans="1:115" hidden="1" x14ac:dyDescent="0.2">
      <c r="A917" s="28" t="s">
        <v>371</v>
      </c>
      <c r="B917" s="29" t="s">
        <v>1996</v>
      </c>
      <c r="C917" s="29" t="s">
        <v>3336</v>
      </c>
      <c r="D917" s="30" t="s">
        <v>1997</v>
      </c>
      <c r="E917" s="30" t="s">
        <v>217</v>
      </c>
      <c r="F917" s="30"/>
      <c r="G917" s="31"/>
      <c r="H917" s="30"/>
      <c r="I917" s="30" t="str">
        <f>IF(Table1[[#This Row],[Centre Status]]="Returned","NA",IF(Table1[[#This Row],[SD]]&gt;19000,"Full Payment",IF(Table1[[#This Row],[SD]]&lt;1,"No Payment","Partial Payment")))</f>
        <v>NA</v>
      </c>
      <c r="J917" s="30" t="s">
        <v>1903</v>
      </c>
      <c r="K917" s="32">
        <v>0</v>
      </c>
      <c r="L917" s="33">
        <f>Q917+R917+U917+Table1[[#This Row],[Farmer Payment]]</f>
        <v>14353</v>
      </c>
      <c r="M917" s="30">
        <v>10000</v>
      </c>
      <c r="N917" s="34">
        <v>45365</v>
      </c>
      <c r="O917" s="34"/>
      <c r="P917" s="35">
        <f t="shared" si="84"/>
        <v>-4353</v>
      </c>
      <c r="Q917" s="33">
        <f>AI917+AV917+CK917+Table1[[#This Row],[FY 25-26]]</f>
        <v>4353</v>
      </c>
      <c r="R917" s="36">
        <v>10000</v>
      </c>
      <c r="S917" s="37" t="s">
        <v>2165</v>
      </c>
      <c r="T917" s="38">
        <v>44991</v>
      </c>
      <c r="U917" s="39"/>
      <c r="V917" s="39"/>
      <c r="W917" s="40">
        <v>0</v>
      </c>
      <c r="X917" s="40">
        <v>0</v>
      </c>
      <c r="Y917" s="40">
        <v>0</v>
      </c>
      <c r="Z917" s="40">
        <v>0</v>
      </c>
      <c r="AA917" s="40">
        <v>0</v>
      </c>
      <c r="AB917" s="40">
        <v>0</v>
      </c>
      <c r="AC917" s="40">
        <v>0</v>
      </c>
      <c r="AD917" s="40">
        <v>0</v>
      </c>
      <c r="AE917" s="40">
        <v>0</v>
      </c>
      <c r="AF917" s="40">
        <v>0</v>
      </c>
      <c r="AG917" s="40">
        <v>0</v>
      </c>
      <c r="AH917" s="40">
        <v>631</v>
      </c>
      <c r="AI917" s="41">
        <f t="shared" si="85"/>
        <v>631</v>
      </c>
      <c r="AJ917" s="42">
        <v>1861</v>
      </c>
      <c r="AK917" s="42">
        <v>1691</v>
      </c>
      <c r="AL917" s="42">
        <v>0</v>
      </c>
      <c r="AM917" s="42">
        <v>170</v>
      </c>
      <c r="AN917" s="42">
        <v>0</v>
      </c>
      <c r="AO917" s="42">
        <v>0</v>
      </c>
      <c r="AP917" s="42">
        <v>0</v>
      </c>
      <c r="AQ917" s="42">
        <v>0</v>
      </c>
      <c r="AR917" s="42">
        <v>0</v>
      </c>
      <c r="AS917" s="42">
        <v>0</v>
      </c>
      <c r="AT917" s="42">
        <v>0</v>
      </c>
      <c r="AU917" s="42">
        <v>0</v>
      </c>
      <c r="AV917" s="42">
        <f t="shared" si="86"/>
        <v>3722</v>
      </c>
      <c r="AW917" s="42">
        <v>0</v>
      </c>
      <c r="AX917" s="42">
        <v>0</v>
      </c>
      <c r="AY917" s="42">
        <v>0</v>
      </c>
      <c r="AZ917" s="42">
        <v>0</v>
      </c>
      <c r="BA917" s="42">
        <v>0</v>
      </c>
      <c r="BB917" s="42">
        <v>0</v>
      </c>
      <c r="BC917" s="42">
        <v>0</v>
      </c>
      <c r="BD917" s="42">
        <v>0</v>
      </c>
      <c r="BE917" s="42">
        <v>0</v>
      </c>
      <c r="BF917" s="42">
        <v>0</v>
      </c>
      <c r="BG917" s="42">
        <v>0</v>
      </c>
      <c r="BH917" s="42">
        <v>0</v>
      </c>
      <c r="BI917" s="42">
        <v>0</v>
      </c>
      <c r="BJ917" s="42">
        <v>0</v>
      </c>
      <c r="BK917" s="42">
        <v>0</v>
      </c>
      <c r="BL917" s="42">
        <v>0</v>
      </c>
      <c r="BM917" s="42">
        <v>0</v>
      </c>
      <c r="BN917" s="42">
        <v>0</v>
      </c>
      <c r="BO917" s="42">
        <v>0</v>
      </c>
      <c r="BP917" s="42">
        <v>0</v>
      </c>
      <c r="BQ917" s="42">
        <v>0</v>
      </c>
      <c r="BR917" s="42">
        <v>0</v>
      </c>
      <c r="BS917" s="42">
        <v>0</v>
      </c>
      <c r="BT917" s="42">
        <v>0</v>
      </c>
      <c r="BU917" s="42">
        <v>0</v>
      </c>
      <c r="BV917" s="42">
        <v>0</v>
      </c>
      <c r="BW917" s="42">
        <v>0</v>
      </c>
      <c r="BX917" s="42">
        <v>0</v>
      </c>
      <c r="BY917" s="42">
        <v>0</v>
      </c>
      <c r="BZ917" s="42">
        <v>0</v>
      </c>
      <c r="CA917" s="42">
        <v>0</v>
      </c>
      <c r="CB917" s="42">
        <v>0</v>
      </c>
      <c r="CC917" s="42">
        <v>0</v>
      </c>
      <c r="CD917" s="42">
        <v>0</v>
      </c>
      <c r="CE917" s="42">
        <v>0</v>
      </c>
      <c r="CF917" s="42">
        <v>0</v>
      </c>
      <c r="CG917" s="42">
        <v>0</v>
      </c>
      <c r="CH917" s="42">
        <v>0</v>
      </c>
      <c r="CI917" s="42">
        <v>0</v>
      </c>
      <c r="CJ917" s="42">
        <v>0</v>
      </c>
      <c r="CK917" s="43">
        <f t="shared" si="83"/>
        <v>0</v>
      </c>
      <c r="CL917" s="66"/>
      <c r="CM917" s="66">
        <v>0</v>
      </c>
      <c r="CN917" s="66">
        <v>0</v>
      </c>
      <c r="CO917" s="66">
        <v>0</v>
      </c>
      <c r="CP917" s="66">
        <v>0</v>
      </c>
      <c r="CQ917" s="66">
        <v>0</v>
      </c>
      <c r="CR917" s="66">
        <v>0</v>
      </c>
      <c r="CS917" s="66">
        <v>0</v>
      </c>
      <c r="CT917" s="66">
        <v>0</v>
      </c>
      <c r="CU917" s="66">
        <v>0</v>
      </c>
      <c r="CV917" s="66">
        <v>0</v>
      </c>
      <c r="CW917" s="66">
        <v>0</v>
      </c>
      <c r="CX917" s="66">
        <v>0</v>
      </c>
      <c r="CY917" s="66">
        <v>0</v>
      </c>
      <c r="CZ917" s="66">
        <v>0</v>
      </c>
      <c r="DA917" s="66"/>
      <c r="DB917" s="66"/>
      <c r="DC917" s="66"/>
      <c r="DD917" s="66"/>
      <c r="DE917" s="66"/>
      <c r="DF917" s="66"/>
      <c r="DG917" s="66"/>
      <c r="DH917" s="66"/>
      <c r="DI917" s="66"/>
      <c r="DJ917" s="66"/>
      <c r="DK917" s="66">
        <f>SUM(Table1[[#This Row],[01-03 Apr]:[Mar-26]])</f>
        <v>0</v>
      </c>
    </row>
    <row r="918" spans="1:115" hidden="1" x14ac:dyDescent="0.2">
      <c r="A918" s="28" t="s">
        <v>371</v>
      </c>
      <c r="B918" s="29" t="s">
        <v>1998</v>
      </c>
      <c r="C918" s="29" t="s">
        <v>3336</v>
      </c>
      <c r="D918" s="30" t="s">
        <v>1999</v>
      </c>
      <c r="E918" s="30" t="s">
        <v>1630</v>
      </c>
      <c r="F918" s="30"/>
      <c r="G918" s="31"/>
      <c r="H918" s="30"/>
      <c r="I918" s="30" t="str">
        <f>IF(Table1[[#This Row],[Centre Status]]="Returned","NA",IF(Table1[[#This Row],[SD]]&gt;19000,"Full Payment",IF(Table1[[#This Row],[SD]]&lt;1,"No Payment","Partial Payment")))</f>
        <v>NA</v>
      </c>
      <c r="J918" s="30" t="s">
        <v>1903</v>
      </c>
      <c r="K918" s="32">
        <v>0</v>
      </c>
      <c r="L918" s="33">
        <f>Q918+R918+U918+Table1[[#This Row],[Farmer Payment]]</f>
        <v>0</v>
      </c>
      <c r="M918" s="30">
        <v>15181</v>
      </c>
      <c r="N918" s="34">
        <v>45062</v>
      </c>
      <c r="O918" s="34"/>
      <c r="P918" s="35">
        <f t="shared" si="84"/>
        <v>15181</v>
      </c>
      <c r="Q918" s="33">
        <f>AI918+AV918+CK918+Table1[[#This Row],[FY 25-26]]</f>
        <v>0</v>
      </c>
      <c r="R918" s="36"/>
      <c r="S918" s="37"/>
      <c r="T918" s="38"/>
      <c r="U918" s="39"/>
      <c r="V918" s="39"/>
      <c r="W918" s="40">
        <v>0</v>
      </c>
      <c r="X918" s="40">
        <v>0</v>
      </c>
      <c r="Y918" s="40">
        <v>0</v>
      </c>
      <c r="Z918" s="40">
        <v>0</v>
      </c>
      <c r="AA918" s="40">
        <v>0</v>
      </c>
      <c r="AB918" s="40">
        <v>0</v>
      </c>
      <c r="AC918" s="40">
        <v>0</v>
      </c>
      <c r="AD918" s="40">
        <v>0</v>
      </c>
      <c r="AE918" s="40">
        <v>0</v>
      </c>
      <c r="AF918" s="40">
        <v>0</v>
      </c>
      <c r="AG918" s="40">
        <v>0</v>
      </c>
      <c r="AH918" s="40">
        <v>0</v>
      </c>
      <c r="AI918" s="41">
        <f t="shared" si="85"/>
        <v>0</v>
      </c>
      <c r="AJ918" s="42">
        <v>0</v>
      </c>
      <c r="AK918" s="42">
        <v>0</v>
      </c>
      <c r="AL918" s="42">
        <v>0</v>
      </c>
      <c r="AM918" s="42">
        <v>0</v>
      </c>
      <c r="AN918" s="42">
        <v>0</v>
      </c>
      <c r="AO918" s="42">
        <v>0</v>
      </c>
      <c r="AP918" s="42">
        <v>0</v>
      </c>
      <c r="AQ918" s="42">
        <v>0</v>
      </c>
      <c r="AR918" s="42">
        <v>0</v>
      </c>
      <c r="AS918" s="42">
        <v>0</v>
      </c>
      <c r="AT918" s="42">
        <v>0</v>
      </c>
      <c r="AU918" s="42">
        <v>0</v>
      </c>
      <c r="AV918" s="42">
        <f t="shared" si="86"/>
        <v>0</v>
      </c>
      <c r="AW918" s="42">
        <v>0</v>
      </c>
      <c r="AX918" s="42">
        <v>0</v>
      </c>
      <c r="AY918" s="42">
        <v>0</v>
      </c>
      <c r="AZ918" s="42">
        <v>0</v>
      </c>
      <c r="BA918" s="42">
        <v>0</v>
      </c>
      <c r="BB918" s="42">
        <v>0</v>
      </c>
      <c r="BC918" s="42">
        <v>0</v>
      </c>
      <c r="BD918" s="42">
        <v>0</v>
      </c>
      <c r="BE918" s="42">
        <v>0</v>
      </c>
      <c r="BF918" s="42">
        <v>0</v>
      </c>
      <c r="BG918" s="42">
        <v>0</v>
      </c>
      <c r="BH918" s="42">
        <v>0</v>
      </c>
      <c r="BI918" s="42">
        <v>0</v>
      </c>
      <c r="BJ918" s="42">
        <v>0</v>
      </c>
      <c r="BK918" s="42">
        <v>0</v>
      </c>
      <c r="BL918" s="42">
        <v>0</v>
      </c>
      <c r="BM918" s="42">
        <v>0</v>
      </c>
      <c r="BN918" s="42">
        <v>0</v>
      </c>
      <c r="BO918" s="42">
        <v>0</v>
      </c>
      <c r="BP918" s="42">
        <v>0</v>
      </c>
      <c r="BQ918" s="42">
        <v>0</v>
      </c>
      <c r="BR918" s="42">
        <v>0</v>
      </c>
      <c r="BS918" s="42">
        <v>0</v>
      </c>
      <c r="BT918" s="42">
        <v>0</v>
      </c>
      <c r="BU918" s="42">
        <v>0</v>
      </c>
      <c r="BV918" s="42">
        <v>0</v>
      </c>
      <c r="BW918" s="42">
        <v>0</v>
      </c>
      <c r="BX918" s="42">
        <v>0</v>
      </c>
      <c r="BY918" s="42">
        <v>0</v>
      </c>
      <c r="BZ918" s="42">
        <v>0</v>
      </c>
      <c r="CA918" s="42">
        <v>0</v>
      </c>
      <c r="CB918" s="42">
        <v>0</v>
      </c>
      <c r="CC918" s="42">
        <v>0</v>
      </c>
      <c r="CD918" s="42">
        <v>0</v>
      </c>
      <c r="CE918" s="42">
        <v>0</v>
      </c>
      <c r="CF918" s="42">
        <v>0</v>
      </c>
      <c r="CG918" s="42">
        <v>0</v>
      </c>
      <c r="CH918" s="42">
        <v>0</v>
      </c>
      <c r="CI918" s="42">
        <v>0</v>
      </c>
      <c r="CJ918" s="42">
        <v>0</v>
      </c>
      <c r="CK918" s="43">
        <f t="shared" si="83"/>
        <v>0</v>
      </c>
      <c r="CL918" s="66"/>
      <c r="CM918" s="66">
        <v>0</v>
      </c>
      <c r="CN918" s="66">
        <v>0</v>
      </c>
      <c r="CO918" s="66">
        <v>0</v>
      </c>
      <c r="CP918" s="66">
        <v>0</v>
      </c>
      <c r="CQ918" s="66">
        <v>0</v>
      </c>
      <c r="CR918" s="66">
        <v>0</v>
      </c>
      <c r="CS918" s="66">
        <v>0</v>
      </c>
      <c r="CT918" s="66">
        <v>0</v>
      </c>
      <c r="CU918" s="66">
        <v>0</v>
      </c>
      <c r="CV918" s="66">
        <v>0</v>
      </c>
      <c r="CW918" s="66">
        <v>0</v>
      </c>
      <c r="CX918" s="66">
        <v>0</v>
      </c>
      <c r="CY918" s="66">
        <v>0</v>
      </c>
      <c r="CZ918" s="66">
        <v>0</v>
      </c>
      <c r="DA918" s="66"/>
      <c r="DB918" s="66"/>
      <c r="DC918" s="66"/>
      <c r="DD918" s="66"/>
      <c r="DE918" s="66"/>
      <c r="DF918" s="66"/>
      <c r="DG918" s="66"/>
      <c r="DH918" s="66"/>
      <c r="DI918" s="66"/>
      <c r="DJ918" s="66"/>
      <c r="DK918" s="66">
        <f>SUM(Table1[[#This Row],[01-03 Apr]:[Mar-26]])</f>
        <v>0</v>
      </c>
    </row>
    <row r="919" spans="1:115" hidden="1" x14ac:dyDescent="0.2">
      <c r="A919" s="28" t="s">
        <v>371</v>
      </c>
      <c r="B919" s="29" t="s">
        <v>2000</v>
      </c>
      <c r="C919" s="29" t="s">
        <v>3336</v>
      </c>
      <c r="D919" s="30" t="s">
        <v>2001</v>
      </c>
      <c r="E919" s="30" t="s">
        <v>63</v>
      </c>
      <c r="F919" s="30"/>
      <c r="G919" s="31"/>
      <c r="H919" s="30"/>
      <c r="I919" s="30" t="str">
        <f>IF(Table1[[#This Row],[Centre Status]]="Returned","NA",IF(Table1[[#This Row],[SD]]&gt;19000,"Full Payment",IF(Table1[[#This Row],[SD]]&lt;1,"No Payment","Partial Payment")))</f>
        <v>NA</v>
      </c>
      <c r="J919" s="30" t="s">
        <v>1903</v>
      </c>
      <c r="K919" s="32">
        <v>0</v>
      </c>
      <c r="L919" s="33">
        <f>Q919+R919+U919+Table1[[#This Row],[Farmer Payment]]</f>
        <v>0</v>
      </c>
      <c r="M919" s="30">
        <v>15000</v>
      </c>
      <c r="N919" s="34">
        <v>45086</v>
      </c>
      <c r="O919" s="34"/>
      <c r="P919" s="35">
        <f t="shared" si="84"/>
        <v>15000</v>
      </c>
      <c r="Q919" s="33">
        <f>AI919+AV919+CK919+Table1[[#This Row],[FY 25-26]]</f>
        <v>0</v>
      </c>
      <c r="R919" s="36"/>
      <c r="S919" s="37"/>
      <c r="T919" s="38"/>
      <c r="U919" s="39"/>
      <c r="V919" s="39"/>
      <c r="W919" s="40">
        <v>0</v>
      </c>
      <c r="X919" s="40">
        <v>0</v>
      </c>
      <c r="Y919" s="40">
        <v>0</v>
      </c>
      <c r="Z919" s="40">
        <v>0</v>
      </c>
      <c r="AA919" s="40">
        <v>0</v>
      </c>
      <c r="AB919" s="40">
        <v>0</v>
      </c>
      <c r="AC919" s="40">
        <v>0</v>
      </c>
      <c r="AD919" s="40">
        <v>0</v>
      </c>
      <c r="AE919" s="40">
        <v>0</v>
      </c>
      <c r="AF919" s="40">
        <v>0</v>
      </c>
      <c r="AG919" s="40">
        <v>0</v>
      </c>
      <c r="AH919" s="40">
        <v>0</v>
      </c>
      <c r="AI919" s="41">
        <f t="shared" si="85"/>
        <v>0</v>
      </c>
      <c r="AJ919" s="42">
        <v>0</v>
      </c>
      <c r="AK919" s="42">
        <v>0</v>
      </c>
      <c r="AL919" s="42">
        <v>0</v>
      </c>
      <c r="AM919" s="42">
        <v>0</v>
      </c>
      <c r="AN919" s="42">
        <v>0</v>
      </c>
      <c r="AO919" s="42">
        <v>0</v>
      </c>
      <c r="AP919" s="42">
        <v>0</v>
      </c>
      <c r="AQ919" s="42">
        <v>0</v>
      </c>
      <c r="AR919" s="42">
        <v>0</v>
      </c>
      <c r="AS919" s="42">
        <v>0</v>
      </c>
      <c r="AT919" s="42">
        <v>0</v>
      </c>
      <c r="AU919" s="42">
        <v>0</v>
      </c>
      <c r="AV919" s="42">
        <f t="shared" si="86"/>
        <v>0</v>
      </c>
      <c r="AW919" s="42">
        <v>0</v>
      </c>
      <c r="AX919" s="42">
        <v>0</v>
      </c>
      <c r="AY919" s="42">
        <v>0</v>
      </c>
      <c r="AZ919" s="42">
        <v>0</v>
      </c>
      <c r="BA919" s="42">
        <v>0</v>
      </c>
      <c r="BB919" s="42">
        <v>0</v>
      </c>
      <c r="BC919" s="42">
        <v>0</v>
      </c>
      <c r="BD919" s="42">
        <v>0</v>
      </c>
      <c r="BE919" s="42">
        <v>0</v>
      </c>
      <c r="BF919" s="42">
        <v>0</v>
      </c>
      <c r="BG919" s="42">
        <v>0</v>
      </c>
      <c r="BH919" s="42">
        <v>0</v>
      </c>
      <c r="BI919" s="42">
        <v>0</v>
      </c>
      <c r="BJ919" s="42">
        <v>0</v>
      </c>
      <c r="BK919" s="42">
        <v>0</v>
      </c>
      <c r="BL919" s="42">
        <v>0</v>
      </c>
      <c r="BM919" s="42">
        <v>0</v>
      </c>
      <c r="BN919" s="42">
        <v>0</v>
      </c>
      <c r="BO919" s="42">
        <v>0</v>
      </c>
      <c r="BP919" s="42">
        <v>0</v>
      </c>
      <c r="BQ919" s="42">
        <v>0</v>
      </c>
      <c r="BR919" s="42">
        <v>0</v>
      </c>
      <c r="BS919" s="42">
        <v>0</v>
      </c>
      <c r="BT919" s="42">
        <v>0</v>
      </c>
      <c r="BU919" s="42">
        <v>0</v>
      </c>
      <c r="BV919" s="42">
        <v>0</v>
      </c>
      <c r="BW919" s="42">
        <v>0</v>
      </c>
      <c r="BX919" s="42">
        <v>0</v>
      </c>
      <c r="BY919" s="42">
        <v>0</v>
      </c>
      <c r="BZ919" s="42">
        <v>0</v>
      </c>
      <c r="CA919" s="42">
        <v>0</v>
      </c>
      <c r="CB919" s="42">
        <v>0</v>
      </c>
      <c r="CC919" s="42">
        <v>0</v>
      </c>
      <c r="CD919" s="42">
        <v>0</v>
      </c>
      <c r="CE919" s="42">
        <v>0</v>
      </c>
      <c r="CF919" s="42">
        <v>0</v>
      </c>
      <c r="CG919" s="42">
        <v>0</v>
      </c>
      <c r="CH919" s="42">
        <v>0</v>
      </c>
      <c r="CI919" s="42">
        <v>0</v>
      </c>
      <c r="CJ919" s="42">
        <v>0</v>
      </c>
      <c r="CK919" s="43">
        <f t="shared" si="83"/>
        <v>0</v>
      </c>
      <c r="CL919" s="66"/>
      <c r="CM919" s="66">
        <v>0</v>
      </c>
      <c r="CN919" s="66">
        <v>0</v>
      </c>
      <c r="CO919" s="66">
        <v>0</v>
      </c>
      <c r="CP919" s="66">
        <v>0</v>
      </c>
      <c r="CQ919" s="66">
        <v>0</v>
      </c>
      <c r="CR919" s="66">
        <v>0</v>
      </c>
      <c r="CS919" s="66">
        <v>0</v>
      </c>
      <c r="CT919" s="66">
        <v>0</v>
      </c>
      <c r="CU919" s="66">
        <v>0</v>
      </c>
      <c r="CV919" s="66">
        <v>0</v>
      </c>
      <c r="CW919" s="66">
        <v>0</v>
      </c>
      <c r="CX919" s="66">
        <v>0</v>
      </c>
      <c r="CY919" s="66">
        <v>0</v>
      </c>
      <c r="CZ919" s="66">
        <v>0</v>
      </c>
      <c r="DA919" s="66"/>
      <c r="DB919" s="66"/>
      <c r="DC919" s="66"/>
      <c r="DD919" s="66"/>
      <c r="DE919" s="66"/>
      <c r="DF919" s="66"/>
      <c r="DG919" s="66"/>
      <c r="DH919" s="66"/>
      <c r="DI919" s="66"/>
      <c r="DJ919" s="66"/>
      <c r="DK919" s="66">
        <f>SUM(Table1[[#This Row],[01-03 Apr]:[Mar-26]])</f>
        <v>0</v>
      </c>
    </row>
    <row r="920" spans="1:115" hidden="1" x14ac:dyDescent="0.2">
      <c r="A920" s="28" t="s">
        <v>371</v>
      </c>
      <c r="B920" s="29" t="s">
        <v>2002</v>
      </c>
      <c r="C920" s="29" t="s">
        <v>3336</v>
      </c>
      <c r="D920" s="30"/>
      <c r="E920" s="30" t="s">
        <v>177</v>
      </c>
      <c r="F920" s="30"/>
      <c r="G920" s="31"/>
      <c r="H920" s="30"/>
      <c r="I920" s="30" t="str">
        <f>IF(Table1[[#This Row],[Centre Status]]="Returned","NA",IF(Table1[[#This Row],[SD]]&gt;19000,"Full Payment",IF(Table1[[#This Row],[SD]]&lt;1,"No Payment","Partial Payment")))</f>
        <v>NA</v>
      </c>
      <c r="J920" s="30" t="s">
        <v>1903</v>
      </c>
      <c r="K920" s="32">
        <v>0</v>
      </c>
      <c r="L920" s="33">
        <f>Q920+R920+U920+Table1[[#This Row],[Farmer Payment]]</f>
        <v>0</v>
      </c>
      <c r="M920" s="30">
        <v>7590</v>
      </c>
      <c r="N920" s="34">
        <v>45062</v>
      </c>
      <c r="O920" s="34"/>
      <c r="P920" s="35">
        <f t="shared" si="84"/>
        <v>7590</v>
      </c>
      <c r="Q920" s="33">
        <f>AI920+AV920+CK920+Table1[[#This Row],[FY 25-26]]</f>
        <v>0</v>
      </c>
      <c r="R920" s="36"/>
      <c r="S920" s="37"/>
      <c r="T920" s="38"/>
      <c r="U920" s="39"/>
      <c r="V920" s="39"/>
      <c r="W920" s="40">
        <v>0</v>
      </c>
      <c r="X920" s="40">
        <v>0</v>
      </c>
      <c r="Y920" s="40">
        <v>0</v>
      </c>
      <c r="Z920" s="40">
        <v>0</v>
      </c>
      <c r="AA920" s="40">
        <v>0</v>
      </c>
      <c r="AB920" s="40">
        <v>0</v>
      </c>
      <c r="AC920" s="40">
        <v>0</v>
      </c>
      <c r="AD920" s="40">
        <v>0</v>
      </c>
      <c r="AE920" s="40">
        <v>0</v>
      </c>
      <c r="AF920" s="40">
        <v>0</v>
      </c>
      <c r="AG920" s="40">
        <v>0</v>
      </c>
      <c r="AH920" s="40">
        <v>0</v>
      </c>
      <c r="AI920" s="41">
        <f t="shared" si="85"/>
        <v>0</v>
      </c>
      <c r="AJ920" s="42">
        <v>0</v>
      </c>
      <c r="AK920" s="42">
        <v>0</v>
      </c>
      <c r="AL920" s="42">
        <v>0</v>
      </c>
      <c r="AM920" s="42">
        <v>0</v>
      </c>
      <c r="AN920" s="42">
        <v>0</v>
      </c>
      <c r="AO920" s="42">
        <v>0</v>
      </c>
      <c r="AP920" s="42">
        <v>0</v>
      </c>
      <c r="AQ920" s="42">
        <v>0</v>
      </c>
      <c r="AR920" s="42">
        <v>0</v>
      </c>
      <c r="AS920" s="42">
        <v>0</v>
      </c>
      <c r="AT920" s="42">
        <v>0</v>
      </c>
      <c r="AU920" s="42">
        <v>0</v>
      </c>
      <c r="AV920" s="42">
        <f t="shared" si="86"/>
        <v>0</v>
      </c>
      <c r="AW920" s="42">
        <v>0</v>
      </c>
      <c r="AX920" s="42">
        <v>0</v>
      </c>
      <c r="AY920" s="42">
        <v>0</v>
      </c>
      <c r="AZ920" s="42">
        <v>0</v>
      </c>
      <c r="BA920" s="42">
        <v>0</v>
      </c>
      <c r="BB920" s="42">
        <v>0</v>
      </c>
      <c r="BC920" s="42">
        <v>0</v>
      </c>
      <c r="BD920" s="42">
        <v>0</v>
      </c>
      <c r="BE920" s="42">
        <v>0</v>
      </c>
      <c r="BF920" s="42">
        <v>0</v>
      </c>
      <c r="BG920" s="42">
        <v>0</v>
      </c>
      <c r="BH920" s="42">
        <v>0</v>
      </c>
      <c r="BI920" s="42">
        <v>0</v>
      </c>
      <c r="BJ920" s="42">
        <v>0</v>
      </c>
      <c r="BK920" s="42">
        <v>0</v>
      </c>
      <c r="BL920" s="42">
        <v>0</v>
      </c>
      <c r="BM920" s="42">
        <v>0</v>
      </c>
      <c r="BN920" s="42">
        <v>0</v>
      </c>
      <c r="BO920" s="42">
        <v>0</v>
      </c>
      <c r="BP920" s="42">
        <v>0</v>
      </c>
      <c r="BQ920" s="42">
        <v>0</v>
      </c>
      <c r="BR920" s="42">
        <v>0</v>
      </c>
      <c r="BS920" s="42">
        <v>0</v>
      </c>
      <c r="BT920" s="42">
        <v>0</v>
      </c>
      <c r="BU920" s="42">
        <v>0</v>
      </c>
      <c r="BV920" s="42">
        <v>0</v>
      </c>
      <c r="BW920" s="42">
        <v>0</v>
      </c>
      <c r="BX920" s="42">
        <v>0</v>
      </c>
      <c r="BY920" s="42">
        <v>0</v>
      </c>
      <c r="BZ920" s="42">
        <v>0</v>
      </c>
      <c r="CA920" s="42">
        <v>0</v>
      </c>
      <c r="CB920" s="42">
        <v>0</v>
      </c>
      <c r="CC920" s="42">
        <v>0</v>
      </c>
      <c r="CD920" s="42">
        <v>0</v>
      </c>
      <c r="CE920" s="42">
        <v>0</v>
      </c>
      <c r="CF920" s="42">
        <v>0</v>
      </c>
      <c r="CG920" s="42">
        <v>0</v>
      </c>
      <c r="CH920" s="42">
        <v>0</v>
      </c>
      <c r="CI920" s="42">
        <v>0</v>
      </c>
      <c r="CJ920" s="42">
        <v>0</v>
      </c>
      <c r="CK920" s="43">
        <f t="shared" si="83"/>
        <v>0</v>
      </c>
      <c r="CL920" s="66"/>
      <c r="CM920" s="66">
        <v>0</v>
      </c>
      <c r="CN920" s="66">
        <v>0</v>
      </c>
      <c r="CO920" s="66">
        <v>0</v>
      </c>
      <c r="CP920" s="66">
        <v>0</v>
      </c>
      <c r="CQ920" s="66">
        <v>0</v>
      </c>
      <c r="CR920" s="66">
        <v>0</v>
      </c>
      <c r="CS920" s="66">
        <v>0</v>
      </c>
      <c r="CT920" s="66">
        <v>0</v>
      </c>
      <c r="CU920" s="66">
        <v>0</v>
      </c>
      <c r="CV920" s="66">
        <v>0</v>
      </c>
      <c r="CW920" s="66">
        <v>0</v>
      </c>
      <c r="CX920" s="66">
        <v>0</v>
      </c>
      <c r="CY920" s="66">
        <v>0</v>
      </c>
      <c r="CZ920" s="66">
        <v>0</v>
      </c>
      <c r="DA920" s="66"/>
      <c r="DB920" s="66"/>
      <c r="DC920" s="66"/>
      <c r="DD920" s="66"/>
      <c r="DE920" s="66"/>
      <c r="DF920" s="66"/>
      <c r="DG920" s="66"/>
      <c r="DH920" s="66"/>
      <c r="DI920" s="66"/>
      <c r="DJ920" s="66"/>
      <c r="DK920" s="66">
        <f>SUM(Table1[[#This Row],[01-03 Apr]:[Mar-26]])</f>
        <v>0</v>
      </c>
    </row>
    <row r="921" spans="1:115" hidden="1" x14ac:dyDescent="0.2">
      <c r="A921" s="28" t="s">
        <v>371</v>
      </c>
      <c r="B921" s="29" t="s">
        <v>2003</v>
      </c>
      <c r="C921" s="29" t="s">
        <v>3336</v>
      </c>
      <c r="D921" s="30"/>
      <c r="E921" s="30" t="s">
        <v>177</v>
      </c>
      <c r="F921" s="30"/>
      <c r="G921" s="31"/>
      <c r="H921" s="30"/>
      <c r="I921" s="30" t="str">
        <f>IF(Table1[[#This Row],[Centre Status]]="Returned","NA",IF(Table1[[#This Row],[SD]]&gt;19000,"Full Payment",IF(Table1[[#This Row],[SD]]&lt;1,"No Payment","Partial Payment")))</f>
        <v>NA</v>
      </c>
      <c r="J921" s="30" t="s">
        <v>1903</v>
      </c>
      <c r="K921" s="32">
        <v>0</v>
      </c>
      <c r="L921" s="33">
        <f>Q921+R921+U921+Table1[[#This Row],[Farmer Payment]]</f>
        <v>0</v>
      </c>
      <c r="M921" s="30">
        <v>13699</v>
      </c>
      <c r="N921" s="34">
        <v>45062</v>
      </c>
      <c r="O921" s="34"/>
      <c r="P921" s="35">
        <f t="shared" si="84"/>
        <v>13699</v>
      </c>
      <c r="Q921" s="33">
        <f>AI921+AV921+CK921+Table1[[#This Row],[FY 25-26]]</f>
        <v>0</v>
      </c>
      <c r="R921" s="36"/>
      <c r="S921" s="37"/>
      <c r="T921" s="38"/>
      <c r="U921" s="39"/>
      <c r="V921" s="39"/>
      <c r="W921" s="40">
        <v>0</v>
      </c>
      <c r="X921" s="40">
        <v>0</v>
      </c>
      <c r="Y921" s="40">
        <v>0</v>
      </c>
      <c r="Z921" s="40">
        <v>0</v>
      </c>
      <c r="AA921" s="40">
        <v>0</v>
      </c>
      <c r="AB921" s="40">
        <v>0</v>
      </c>
      <c r="AC921" s="40">
        <v>0</v>
      </c>
      <c r="AD921" s="40">
        <v>0</v>
      </c>
      <c r="AE921" s="40">
        <v>0</v>
      </c>
      <c r="AF921" s="40">
        <v>0</v>
      </c>
      <c r="AG921" s="40">
        <v>0</v>
      </c>
      <c r="AH921" s="40">
        <v>0</v>
      </c>
      <c r="AI921" s="41">
        <f t="shared" si="85"/>
        <v>0</v>
      </c>
      <c r="AJ921" s="42">
        <v>0</v>
      </c>
      <c r="AK921" s="42">
        <v>0</v>
      </c>
      <c r="AL921" s="42">
        <v>0</v>
      </c>
      <c r="AM921" s="42">
        <v>0</v>
      </c>
      <c r="AN921" s="42">
        <v>0</v>
      </c>
      <c r="AO921" s="42">
        <v>0</v>
      </c>
      <c r="AP921" s="42">
        <v>0</v>
      </c>
      <c r="AQ921" s="42">
        <v>0</v>
      </c>
      <c r="AR921" s="42">
        <v>0</v>
      </c>
      <c r="AS921" s="42">
        <v>0</v>
      </c>
      <c r="AT921" s="42">
        <v>0</v>
      </c>
      <c r="AU921" s="42">
        <v>0</v>
      </c>
      <c r="AV921" s="42">
        <f t="shared" si="86"/>
        <v>0</v>
      </c>
      <c r="AW921" s="42">
        <v>0</v>
      </c>
      <c r="AX921" s="42">
        <v>0</v>
      </c>
      <c r="AY921" s="42">
        <v>0</v>
      </c>
      <c r="AZ921" s="42">
        <v>0</v>
      </c>
      <c r="BA921" s="42">
        <v>0</v>
      </c>
      <c r="BB921" s="42">
        <v>0</v>
      </c>
      <c r="BC921" s="42">
        <v>0</v>
      </c>
      <c r="BD921" s="42">
        <v>0</v>
      </c>
      <c r="BE921" s="42">
        <v>0</v>
      </c>
      <c r="BF921" s="42">
        <v>0</v>
      </c>
      <c r="BG921" s="42">
        <v>0</v>
      </c>
      <c r="BH921" s="42">
        <v>0</v>
      </c>
      <c r="BI921" s="42">
        <v>0</v>
      </c>
      <c r="BJ921" s="42">
        <v>0</v>
      </c>
      <c r="BK921" s="42">
        <v>0</v>
      </c>
      <c r="BL921" s="42">
        <v>0</v>
      </c>
      <c r="BM921" s="42">
        <v>0</v>
      </c>
      <c r="BN921" s="42">
        <v>0</v>
      </c>
      <c r="BO921" s="42">
        <v>0</v>
      </c>
      <c r="BP921" s="42">
        <v>0</v>
      </c>
      <c r="BQ921" s="42">
        <v>0</v>
      </c>
      <c r="BR921" s="42">
        <v>0</v>
      </c>
      <c r="BS921" s="42">
        <v>0</v>
      </c>
      <c r="BT921" s="42">
        <v>0</v>
      </c>
      <c r="BU921" s="42">
        <v>0</v>
      </c>
      <c r="BV921" s="42">
        <v>0</v>
      </c>
      <c r="BW921" s="42">
        <v>0</v>
      </c>
      <c r="BX921" s="42">
        <v>0</v>
      </c>
      <c r="BY921" s="42">
        <v>0</v>
      </c>
      <c r="BZ921" s="42">
        <v>0</v>
      </c>
      <c r="CA921" s="42">
        <v>0</v>
      </c>
      <c r="CB921" s="42">
        <v>0</v>
      </c>
      <c r="CC921" s="42">
        <v>0</v>
      </c>
      <c r="CD921" s="42">
        <v>0</v>
      </c>
      <c r="CE921" s="42">
        <v>0</v>
      </c>
      <c r="CF921" s="42">
        <v>0</v>
      </c>
      <c r="CG921" s="42">
        <v>0</v>
      </c>
      <c r="CH921" s="42">
        <v>0</v>
      </c>
      <c r="CI921" s="42">
        <v>0</v>
      </c>
      <c r="CJ921" s="42">
        <v>0</v>
      </c>
      <c r="CK921" s="43">
        <f t="shared" si="83"/>
        <v>0</v>
      </c>
      <c r="CL921" s="66"/>
      <c r="CM921" s="66">
        <v>0</v>
      </c>
      <c r="CN921" s="66">
        <v>0</v>
      </c>
      <c r="CO921" s="66">
        <v>0</v>
      </c>
      <c r="CP921" s="66">
        <v>0</v>
      </c>
      <c r="CQ921" s="66">
        <v>0</v>
      </c>
      <c r="CR921" s="66">
        <v>0</v>
      </c>
      <c r="CS921" s="66">
        <v>0</v>
      </c>
      <c r="CT921" s="66">
        <v>0</v>
      </c>
      <c r="CU921" s="66">
        <v>0</v>
      </c>
      <c r="CV921" s="66">
        <v>0</v>
      </c>
      <c r="CW921" s="66">
        <v>0</v>
      </c>
      <c r="CX921" s="66">
        <v>0</v>
      </c>
      <c r="CY921" s="66">
        <v>0</v>
      </c>
      <c r="CZ921" s="66">
        <v>0</v>
      </c>
      <c r="DA921" s="66"/>
      <c r="DB921" s="66"/>
      <c r="DC921" s="66"/>
      <c r="DD921" s="66"/>
      <c r="DE921" s="66"/>
      <c r="DF921" s="66"/>
      <c r="DG921" s="66"/>
      <c r="DH921" s="66"/>
      <c r="DI921" s="66"/>
      <c r="DJ921" s="66"/>
      <c r="DK921" s="66">
        <f>SUM(Table1[[#This Row],[01-03 Apr]:[Mar-26]])</f>
        <v>0</v>
      </c>
    </row>
    <row r="922" spans="1:115" hidden="1" x14ac:dyDescent="0.2">
      <c r="A922" s="28" t="s">
        <v>371</v>
      </c>
      <c r="B922" s="29" t="s">
        <v>2004</v>
      </c>
      <c r="C922" s="29" t="s">
        <v>3336</v>
      </c>
      <c r="D922" s="30" t="s">
        <v>2005</v>
      </c>
      <c r="E922" s="30" t="s">
        <v>177</v>
      </c>
      <c r="F922" s="30"/>
      <c r="G922" s="31"/>
      <c r="H922" s="30"/>
      <c r="I922" s="30" t="str">
        <f>IF(Table1[[#This Row],[Centre Status]]="Returned","NA",IF(Table1[[#This Row],[SD]]&gt;19000,"Full Payment",IF(Table1[[#This Row],[SD]]&lt;1,"No Payment","Partial Payment")))</f>
        <v>NA</v>
      </c>
      <c r="J922" s="30" t="s">
        <v>1903</v>
      </c>
      <c r="K922" s="32">
        <v>0</v>
      </c>
      <c r="L922" s="33">
        <f>Q922+R922+U922+Table1[[#This Row],[Farmer Payment]]</f>
        <v>10687.709703231219</v>
      </c>
      <c r="M922" s="30">
        <f>10687-10687</f>
        <v>0</v>
      </c>
      <c r="N922" s="34">
        <v>45356</v>
      </c>
      <c r="O922" s="34"/>
      <c r="P922" s="35">
        <f t="shared" si="84"/>
        <v>-10687.709703231219</v>
      </c>
      <c r="Q922" s="33">
        <f>AI922+AV922+CK922+Table1[[#This Row],[FY 25-26]]</f>
        <v>5687.7097032312195</v>
      </c>
      <c r="R922" s="36">
        <v>5000</v>
      </c>
      <c r="S922" s="37" t="s">
        <v>2537</v>
      </c>
      <c r="T922" s="38">
        <v>44957</v>
      </c>
      <c r="U922" s="39"/>
      <c r="V922" s="39"/>
      <c r="W922" s="40">
        <v>0</v>
      </c>
      <c r="X922" s="40">
        <v>0</v>
      </c>
      <c r="Y922" s="40">
        <v>0</v>
      </c>
      <c r="Z922" s="40">
        <v>0</v>
      </c>
      <c r="AA922" s="40">
        <v>0</v>
      </c>
      <c r="AB922" s="40">
        <v>0</v>
      </c>
      <c r="AC922" s="40">
        <v>0</v>
      </c>
      <c r="AD922" s="40">
        <v>0</v>
      </c>
      <c r="AE922" s="40">
        <v>0</v>
      </c>
      <c r="AF922" s="40">
        <v>0</v>
      </c>
      <c r="AG922" s="40">
        <v>0</v>
      </c>
      <c r="AH922" s="40">
        <v>1293</v>
      </c>
      <c r="AI922" s="41">
        <f t="shared" si="85"/>
        <v>1293</v>
      </c>
      <c r="AJ922" s="42">
        <v>1567</v>
      </c>
      <c r="AK922" s="42">
        <v>1861</v>
      </c>
      <c r="AL922" s="42">
        <v>448</v>
      </c>
      <c r="AM922" s="42">
        <v>518.70970323121992</v>
      </c>
      <c r="AN922" s="42">
        <v>0</v>
      </c>
      <c r="AO922" s="42">
        <v>0</v>
      </c>
      <c r="AP922" s="42">
        <v>0</v>
      </c>
      <c r="AQ922" s="42">
        <v>0</v>
      </c>
      <c r="AR922" s="42">
        <v>0</v>
      </c>
      <c r="AS922" s="42">
        <v>0</v>
      </c>
      <c r="AT922" s="42">
        <v>0</v>
      </c>
      <c r="AU922" s="42">
        <v>0</v>
      </c>
      <c r="AV922" s="42">
        <f t="shared" si="86"/>
        <v>4394.7097032312195</v>
      </c>
      <c r="AW922" s="42">
        <v>0</v>
      </c>
      <c r="AX922" s="42">
        <v>0</v>
      </c>
      <c r="AY922" s="42">
        <v>0</v>
      </c>
      <c r="AZ922" s="42">
        <v>0</v>
      </c>
      <c r="BA922" s="42">
        <v>0</v>
      </c>
      <c r="BB922" s="42">
        <v>0</v>
      </c>
      <c r="BC922" s="42">
        <v>0</v>
      </c>
      <c r="BD922" s="42">
        <v>0</v>
      </c>
      <c r="BE922" s="42">
        <v>0</v>
      </c>
      <c r="BF922" s="42">
        <v>0</v>
      </c>
      <c r="BG922" s="42">
        <v>0</v>
      </c>
      <c r="BH922" s="42">
        <v>0</v>
      </c>
      <c r="BI922" s="42">
        <v>0</v>
      </c>
      <c r="BJ922" s="42">
        <v>0</v>
      </c>
      <c r="BK922" s="42">
        <v>0</v>
      </c>
      <c r="BL922" s="42">
        <v>0</v>
      </c>
      <c r="BM922" s="42">
        <v>0</v>
      </c>
      <c r="BN922" s="42">
        <v>0</v>
      </c>
      <c r="BO922" s="42">
        <v>0</v>
      </c>
      <c r="BP922" s="42">
        <v>0</v>
      </c>
      <c r="BQ922" s="42">
        <v>0</v>
      </c>
      <c r="BR922" s="42">
        <v>0</v>
      </c>
      <c r="BS922" s="42">
        <v>0</v>
      </c>
      <c r="BT922" s="42">
        <v>0</v>
      </c>
      <c r="BU922" s="42">
        <v>0</v>
      </c>
      <c r="BV922" s="42">
        <v>0</v>
      </c>
      <c r="BW922" s="42">
        <v>0</v>
      </c>
      <c r="BX922" s="42">
        <v>0</v>
      </c>
      <c r="BY922" s="42">
        <v>0</v>
      </c>
      <c r="BZ922" s="42">
        <v>0</v>
      </c>
      <c r="CA922" s="42">
        <v>0</v>
      </c>
      <c r="CB922" s="42">
        <v>0</v>
      </c>
      <c r="CC922" s="42">
        <v>0</v>
      </c>
      <c r="CD922" s="42">
        <v>0</v>
      </c>
      <c r="CE922" s="42">
        <v>0</v>
      </c>
      <c r="CF922" s="42">
        <v>0</v>
      </c>
      <c r="CG922" s="42">
        <v>0</v>
      </c>
      <c r="CH922" s="42">
        <v>0</v>
      </c>
      <c r="CI922" s="42">
        <v>0</v>
      </c>
      <c r="CJ922" s="42">
        <v>0</v>
      </c>
      <c r="CK922" s="43">
        <f t="shared" si="83"/>
        <v>0</v>
      </c>
      <c r="CL922" s="66"/>
      <c r="CM922" s="66">
        <v>0</v>
      </c>
      <c r="CN922" s="66">
        <v>0</v>
      </c>
      <c r="CO922" s="66">
        <v>0</v>
      </c>
      <c r="CP922" s="66">
        <v>0</v>
      </c>
      <c r="CQ922" s="66">
        <v>0</v>
      </c>
      <c r="CR922" s="66">
        <v>0</v>
      </c>
      <c r="CS922" s="66">
        <v>0</v>
      </c>
      <c r="CT922" s="66">
        <v>0</v>
      </c>
      <c r="CU922" s="66">
        <v>0</v>
      </c>
      <c r="CV922" s="66">
        <v>0</v>
      </c>
      <c r="CW922" s="66">
        <v>0</v>
      </c>
      <c r="CX922" s="66">
        <v>0</v>
      </c>
      <c r="CY922" s="66">
        <v>0</v>
      </c>
      <c r="CZ922" s="66">
        <v>0</v>
      </c>
      <c r="DA922" s="66"/>
      <c r="DB922" s="66"/>
      <c r="DC922" s="66"/>
      <c r="DD922" s="66"/>
      <c r="DE922" s="66"/>
      <c r="DF922" s="66"/>
      <c r="DG922" s="66"/>
      <c r="DH922" s="66"/>
      <c r="DI922" s="66"/>
      <c r="DJ922" s="66"/>
      <c r="DK922" s="66">
        <f>SUM(Table1[[#This Row],[01-03 Apr]:[Mar-26]])</f>
        <v>0</v>
      </c>
    </row>
    <row r="923" spans="1:115" hidden="1" x14ac:dyDescent="0.2">
      <c r="A923" s="28" t="s">
        <v>371</v>
      </c>
      <c r="B923" s="29" t="s">
        <v>2006</v>
      </c>
      <c r="C923" s="29" t="s">
        <v>3377</v>
      </c>
      <c r="D923" s="30" t="s">
        <v>2007</v>
      </c>
      <c r="E923" s="30" t="s">
        <v>177</v>
      </c>
      <c r="F923" s="30"/>
      <c r="G923" s="31"/>
      <c r="H923" s="30"/>
      <c r="I923" s="30" t="str">
        <f>IF(Table1[[#This Row],[Centre Status]]="Returned","NA",IF(Table1[[#This Row],[SD]]&gt;19000,"Full Payment",IF(Table1[[#This Row],[SD]]&lt;1,"No Payment","Partial Payment")))</f>
        <v>NA</v>
      </c>
      <c r="J923" s="30" t="s">
        <v>1903</v>
      </c>
      <c r="K923" s="32">
        <v>0</v>
      </c>
      <c r="L923" s="33">
        <f>Q923+R923+U923+Table1[[#This Row],[Farmer Payment]]</f>
        <v>47961.5406</v>
      </c>
      <c r="M923" s="30">
        <f>16038-6038</f>
        <v>10000</v>
      </c>
      <c r="N923" s="34">
        <v>45356</v>
      </c>
      <c r="O923" s="34"/>
      <c r="P923" s="35">
        <f t="shared" si="84"/>
        <v>-37961.5406</v>
      </c>
      <c r="Q923" s="33">
        <f>AI923+AV923+CK923+Table1[[#This Row],[FY 25-26]]</f>
        <v>37961.5406</v>
      </c>
      <c r="R923" s="36">
        <v>10000</v>
      </c>
      <c r="S923" s="37" t="s">
        <v>2166</v>
      </c>
      <c r="T923" s="38">
        <v>44662</v>
      </c>
      <c r="U923" s="39"/>
      <c r="V923" s="39"/>
      <c r="W923" s="40">
        <v>0</v>
      </c>
      <c r="X923" s="40">
        <v>702</v>
      </c>
      <c r="Y923" s="40">
        <v>1861</v>
      </c>
      <c r="Z923" s="40">
        <v>1861</v>
      </c>
      <c r="AA923" s="40">
        <v>1861</v>
      </c>
      <c r="AB923" s="40">
        <v>1861</v>
      </c>
      <c r="AC923" s="40">
        <v>1861</v>
      </c>
      <c r="AD923" s="40">
        <v>1861</v>
      </c>
      <c r="AE923" s="40">
        <v>1861</v>
      </c>
      <c r="AF923" s="40">
        <v>2160.5864000000001</v>
      </c>
      <c r="AG923" s="40">
        <v>2025.4457999999997</v>
      </c>
      <c r="AH923" s="40">
        <v>1861</v>
      </c>
      <c r="AI923" s="41">
        <f t="shared" si="85"/>
        <v>19776.032200000001</v>
      </c>
      <c r="AJ923" s="42">
        <v>1861</v>
      </c>
      <c r="AK923" s="42">
        <v>1929.2714000000001</v>
      </c>
      <c r="AL923" s="42">
        <v>1861</v>
      </c>
      <c r="AM923" s="42">
        <v>1994.1732000000002</v>
      </c>
      <c r="AN923" s="42">
        <v>1861</v>
      </c>
      <c r="AO923" s="42">
        <v>2319.8679999999999</v>
      </c>
      <c r="AP923" s="42">
        <v>2753.1958000000004</v>
      </c>
      <c r="AQ923" s="42">
        <v>1861</v>
      </c>
      <c r="AR923" s="42">
        <v>1304</v>
      </c>
      <c r="AS923" s="42">
        <v>441</v>
      </c>
      <c r="AT923" s="42">
        <v>0</v>
      </c>
      <c r="AU923" s="42">
        <v>0</v>
      </c>
      <c r="AV923" s="42">
        <f t="shared" si="86"/>
        <v>18185.508399999999</v>
      </c>
      <c r="AW923" s="42">
        <v>0</v>
      </c>
      <c r="AX923" s="42">
        <v>0</v>
      </c>
      <c r="AY923" s="42">
        <v>0</v>
      </c>
      <c r="AZ923" s="42">
        <v>0</v>
      </c>
      <c r="BA923" s="42">
        <v>0</v>
      </c>
      <c r="BB923" s="42">
        <v>0</v>
      </c>
      <c r="BC923" s="42">
        <v>0</v>
      </c>
      <c r="BD923" s="42">
        <v>0</v>
      </c>
      <c r="BE923" s="42">
        <v>0</v>
      </c>
      <c r="BF923" s="42">
        <v>0</v>
      </c>
      <c r="BG923" s="42">
        <v>0</v>
      </c>
      <c r="BH923" s="42">
        <v>0</v>
      </c>
      <c r="BI923" s="42">
        <v>0</v>
      </c>
      <c r="BJ923" s="42">
        <v>0</v>
      </c>
      <c r="BK923" s="42">
        <v>0</v>
      </c>
      <c r="BL923" s="42">
        <v>0</v>
      </c>
      <c r="BM923" s="42">
        <v>0</v>
      </c>
      <c r="BN923" s="42">
        <v>0</v>
      </c>
      <c r="BO923" s="42">
        <v>0</v>
      </c>
      <c r="BP923" s="42">
        <v>0</v>
      </c>
      <c r="BQ923" s="42">
        <v>0</v>
      </c>
      <c r="BR923" s="42">
        <v>0</v>
      </c>
      <c r="BS923" s="42">
        <v>0</v>
      </c>
      <c r="BT923" s="42">
        <v>0</v>
      </c>
      <c r="BU923" s="42">
        <v>0</v>
      </c>
      <c r="BV923" s="42">
        <v>0</v>
      </c>
      <c r="BW923" s="42">
        <v>0</v>
      </c>
      <c r="BX923" s="42">
        <v>0</v>
      </c>
      <c r="BY923" s="42">
        <v>0</v>
      </c>
      <c r="BZ923" s="42">
        <v>0</v>
      </c>
      <c r="CA923" s="42">
        <v>0</v>
      </c>
      <c r="CB923" s="42">
        <v>0</v>
      </c>
      <c r="CC923" s="42">
        <v>0</v>
      </c>
      <c r="CD923" s="42">
        <v>0</v>
      </c>
      <c r="CE923" s="42">
        <v>0</v>
      </c>
      <c r="CF923" s="42">
        <v>0</v>
      </c>
      <c r="CG923" s="42">
        <v>0</v>
      </c>
      <c r="CH923" s="42">
        <v>0</v>
      </c>
      <c r="CI923" s="42">
        <v>0</v>
      </c>
      <c r="CJ923" s="42">
        <v>0</v>
      </c>
      <c r="CK923" s="43">
        <f t="shared" si="83"/>
        <v>0</v>
      </c>
      <c r="CL923" s="66"/>
      <c r="CM923" s="66">
        <v>0</v>
      </c>
      <c r="CN923" s="66">
        <v>0</v>
      </c>
      <c r="CO923" s="66">
        <v>0</v>
      </c>
      <c r="CP923" s="66">
        <v>0</v>
      </c>
      <c r="CQ923" s="66">
        <v>0</v>
      </c>
      <c r="CR923" s="66">
        <v>0</v>
      </c>
      <c r="CS923" s="66">
        <v>0</v>
      </c>
      <c r="CT923" s="66">
        <v>0</v>
      </c>
      <c r="CU923" s="66">
        <v>0</v>
      </c>
      <c r="CV923" s="66">
        <v>0</v>
      </c>
      <c r="CW923" s="66">
        <v>0</v>
      </c>
      <c r="CX923" s="66">
        <v>0</v>
      </c>
      <c r="CY923" s="66">
        <v>0</v>
      </c>
      <c r="CZ923" s="66">
        <v>0</v>
      </c>
      <c r="DA923" s="66"/>
      <c r="DB923" s="66"/>
      <c r="DC923" s="66"/>
      <c r="DD923" s="66"/>
      <c r="DE923" s="66"/>
      <c r="DF923" s="66"/>
      <c r="DG923" s="66"/>
      <c r="DH923" s="66"/>
      <c r="DI923" s="66"/>
      <c r="DJ923" s="66"/>
      <c r="DK923" s="66">
        <f>SUM(Table1[[#This Row],[01-03 Apr]:[Mar-26]])</f>
        <v>0</v>
      </c>
    </row>
    <row r="924" spans="1:115" hidden="1" x14ac:dyDescent="0.2">
      <c r="A924" s="28" t="s">
        <v>371</v>
      </c>
      <c r="B924" s="29" t="s">
        <v>1497</v>
      </c>
      <c r="C924" s="29" t="s">
        <v>3378</v>
      </c>
      <c r="D924" s="30" t="s">
        <v>2008</v>
      </c>
      <c r="E924" s="30" t="s">
        <v>177</v>
      </c>
      <c r="F924" s="30"/>
      <c r="G924" s="31"/>
      <c r="H924" s="30">
        <v>387344</v>
      </c>
      <c r="I924" s="30" t="str">
        <f>IF(Table1[[#This Row],[Centre Status]]="Returned","NA",IF(Table1[[#This Row],[SD]]&gt;19000,"Full Payment",IF(Table1[[#This Row],[SD]]&lt;1,"No Payment","Partial Payment")))</f>
        <v>NA</v>
      </c>
      <c r="J924" s="30" t="s">
        <v>1903</v>
      </c>
      <c r="K924" s="32">
        <v>0</v>
      </c>
      <c r="L924" s="33">
        <f>Q924+R924+U924+Table1[[#This Row],[Farmer Payment]]</f>
        <v>14306.131600000001</v>
      </c>
      <c r="M924" s="30">
        <v>14306</v>
      </c>
      <c r="N924" s="34">
        <v>45356</v>
      </c>
      <c r="O924" s="34"/>
      <c r="P924" s="35">
        <f t="shared" si="84"/>
        <v>-0.131600000000617</v>
      </c>
      <c r="Q924" s="33">
        <f>AI924+AV924+CK924+Table1[[#This Row],[FY 25-26]]</f>
        <v>9306.1316000000006</v>
      </c>
      <c r="R924" s="36">
        <v>5000</v>
      </c>
      <c r="S924" s="37" t="s">
        <v>2167</v>
      </c>
      <c r="T924" s="38">
        <v>45023</v>
      </c>
      <c r="U924" s="39"/>
      <c r="V924" s="39"/>
      <c r="W924" s="40">
        <v>0</v>
      </c>
      <c r="X924" s="40">
        <v>0</v>
      </c>
      <c r="Y924" s="40">
        <v>0</v>
      </c>
      <c r="Z924" s="40">
        <v>0</v>
      </c>
      <c r="AA924" s="40">
        <v>0</v>
      </c>
      <c r="AB924" s="40">
        <v>0</v>
      </c>
      <c r="AC924" s="40">
        <v>0</v>
      </c>
      <c r="AD924" s="40">
        <v>0</v>
      </c>
      <c r="AE924" s="40">
        <v>0</v>
      </c>
      <c r="AF924" s="40">
        <v>0</v>
      </c>
      <c r="AG924" s="40">
        <v>0</v>
      </c>
      <c r="AH924" s="40">
        <v>0</v>
      </c>
      <c r="AI924" s="41">
        <f t="shared" si="85"/>
        <v>0</v>
      </c>
      <c r="AJ924" s="42">
        <v>0</v>
      </c>
      <c r="AK924" s="42">
        <v>1907.1316000000002</v>
      </c>
      <c r="AL924" s="42">
        <v>1861</v>
      </c>
      <c r="AM924" s="42">
        <v>1662</v>
      </c>
      <c r="AN924" s="42">
        <v>1426</v>
      </c>
      <c r="AO924" s="42">
        <v>1554</v>
      </c>
      <c r="AP924" s="42">
        <v>833</v>
      </c>
      <c r="AQ924" s="42">
        <v>63</v>
      </c>
      <c r="AR924" s="42">
        <v>0</v>
      </c>
      <c r="AS924" s="42">
        <v>0</v>
      </c>
      <c r="AT924" s="42">
        <v>0</v>
      </c>
      <c r="AU924" s="42">
        <v>0</v>
      </c>
      <c r="AV924" s="42">
        <f t="shared" si="86"/>
        <v>9306.1316000000006</v>
      </c>
      <c r="AW924" s="42">
        <v>0</v>
      </c>
      <c r="AX924" s="42">
        <v>0</v>
      </c>
      <c r="AY924" s="42">
        <v>0</v>
      </c>
      <c r="AZ924" s="42">
        <v>0</v>
      </c>
      <c r="BA924" s="42">
        <v>0</v>
      </c>
      <c r="BB924" s="42">
        <v>0</v>
      </c>
      <c r="BC924" s="42">
        <v>0</v>
      </c>
      <c r="BD924" s="42">
        <v>0</v>
      </c>
      <c r="BE924" s="42">
        <v>0</v>
      </c>
      <c r="BF924" s="42">
        <v>0</v>
      </c>
      <c r="BG924" s="42">
        <v>0</v>
      </c>
      <c r="BH924" s="42">
        <v>0</v>
      </c>
      <c r="BI924" s="42">
        <v>0</v>
      </c>
      <c r="BJ924" s="42">
        <v>0</v>
      </c>
      <c r="BK924" s="42">
        <v>0</v>
      </c>
      <c r="BL924" s="42">
        <v>0</v>
      </c>
      <c r="BM924" s="42">
        <v>0</v>
      </c>
      <c r="BN924" s="42">
        <v>0</v>
      </c>
      <c r="BO924" s="42">
        <v>0</v>
      </c>
      <c r="BP924" s="42">
        <v>0</v>
      </c>
      <c r="BQ924" s="42">
        <v>0</v>
      </c>
      <c r="BR924" s="42">
        <v>0</v>
      </c>
      <c r="BS924" s="42">
        <v>0</v>
      </c>
      <c r="BT924" s="42">
        <v>0</v>
      </c>
      <c r="BU924" s="42">
        <v>0</v>
      </c>
      <c r="BV924" s="42">
        <v>0</v>
      </c>
      <c r="BW924" s="42">
        <v>0</v>
      </c>
      <c r="BX924" s="42">
        <v>0</v>
      </c>
      <c r="BY924" s="42">
        <v>0</v>
      </c>
      <c r="BZ924" s="42">
        <v>0</v>
      </c>
      <c r="CA924" s="42">
        <v>0</v>
      </c>
      <c r="CB924" s="42">
        <v>0</v>
      </c>
      <c r="CC924" s="42">
        <v>0</v>
      </c>
      <c r="CD924" s="42">
        <v>0</v>
      </c>
      <c r="CE924" s="42">
        <v>0</v>
      </c>
      <c r="CF924" s="42">
        <v>0</v>
      </c>
      <c r="CG924" s="42">
        <v>0</v>
      </c>
      <c r="CH924" s="42">
        <v>0</v>
      </c>
      <c r="CI924" s="42">
        <v>0</v>
      </c>
      <c r="CJ924" s="42">
        <v>0</v>
      </c>
      <c r="CK924" s="43">
        <f t="shared" si="83"/>
        <v>0</v>
      </c>
      <c r="CL924" s="66"/>
      <c r="CM924" s="66">
        <v>0</v>
      </c>
      <c r="CN924" s="66">
        <v>0</v>
      </c>
      <c r="CO924" s="66">
        <v>0</v>
      </c>
      <c r="CP924" s="66">
        <v>0</v>
      </c>
      <c r="CQ924" s="66">
        <v>0</v>
      </c>
      <c r="CR924" s="66">
        <v>0</v>
      </c>
      <c r="CS924" s="66">
        <v>0</v>
      </c>
      <c r="CT924" s="66">
        <v>0</v>
      </c>
      <c r="CU924" s="66">
        <v>0</v>
      </c>
      <c r="CV924" s="66">
        <v>0</v>
      </c>
      <c r="CW924" s="66">
        <v>0</v>
      </c>
      <c r="CX924" s="66">
        <v>0</v>
      </c>
      <c r="CY924" s="66">
        <v>0</v>
      </c>
      <c r="CZ924" s="66">
        <v>0</v>
      </c>
      <c r="DA924" s="66"/>
      <c r="DB924" s="66"/>
      <c r="DC924" s="66"/>
      <c r="DD924" s="66"/>
      <c r="DE924" s="66"/>
      <c r="DF924" s="66"/>
      <c r="DG924" s="66"/>
      <c r="DH924" s="66"/>
      <c r="DI924" s="66"/>
      <c r="DJ924" s="66"/>
      <c r="DK924" s="66">
        <f>SUM(Table1[[#This Row],[01-03 Apr]:[Mar-26]])</f>
        <v>0</v>
      </c>
    </row>
    <row r="925" spans="1:115" hidden="1" x14ac:dyDescent="0.2">
      <c r="A925" s="28" t="s">
        <v>371</v>
      </c>
      <c r="B925" s="29" t="s">
        <v>2009</v>
      </c>
      <c r="C925" s="29" t="s">
        <v>3336</v>
      </c>
      <c r="D925" s="30" t="s">
        <v>2010</v>
      </c>
      <c r="E925" s="30" t="s">
        <v>177</v>
      </c>
      <c r="F925" s="30"/>
      <c r="G925" s="31"/>
      <c r="H925" s="30"/>
      <c r="I925" s="30" t="str">
        <f>IF(Table1[[#This Row],[Centre Status]]="Returned","NA",IF(Table1[[#This Row],[SD]]&gt;19000,"Full Payment",IF(Table1[[#This Row],[SD]]&lt;1,"No Payment","Partial Payment")))</f>
        <v>NA</v>
      </c>
      <c r="J925" s="30" t="s">
        <v>1903</v>
      </c>
      <c r="K925" s="32">
        <v>0</v>
      </c>
      <c r="L925" s="33">
        <f>Q925+R925+U925+Table1[[#This Row],[Farmer Payment]]</f>
        <v>0</v>
      </c>
      <c r="M925" s="30">
        <v>0</v>
      </c>
      <c r="N925" s="34">
        <v>45356</v>
      </c>
      <c r="O925" s="34"/>
      <c r="P925" s="35">
        <f t="shared" si="84"/>
        <v>0</v>
      </c>
      <c r="Q925" s="33">
        <f>AI925+AV925+CK925+Table1[[#This Row],[FY 25-26]]</f>
        <v>0</v>
      </c>
      <c r="R925" s="36"/>
      <c r="S925" s="37"/>
      <c r="T925" s="38"/>
      <c r="U925" s="39"/>
      <c r="V925" s="39"/>
      <c r="W925" s="40">
        <v>0</v>
      </c>
      <c r="X925" s="40">
        <v>0</v>
      </c>
      <c r="Y925" s="40">
        <v>0</v>
      </c>
      <c r="Z925" s="40">
        <v>0</v>
      </c>
      <c r="AA925" s="40">
        <v>0</v>
      </c>
      <c r="AB925" s="40">
        <v>0</v>
      </c>
      <c r="AC925" s="40">
        <v>0</v>
      </c>
      <c r="AD925" s="40">
        <v>0</v>
      </c>
      <c r="AE925" s="40">
        <v>0</v>
      </c>
      <c r="AF925" s="40">
        <v>0</v>
      </c>
      <c r="AG925" s="40">
        <v>0</v>
      </c>
      <c r="AH925" s="40">
        <v>0</v>
      </c>
      <c r="AI925" s="41">
        <f t="shared" si="85"/>
        <v>0</v>
      </c>
      <c r="AJ925" s="42">
        <v>0</v>
      </c>
      <c r="AK925" s="42">
        <v>0</v>
      </c>
      <c r="AL925" s="42">
        <v>0</v>
      </c>
      <c r="AM925" s="42">
        <v>0</v>
      </c>
      <c r="AN925" s="42">
        <v>0</v>
      </c>
      <c r="AO925" s="42">
        <v>0</v>
      </c>
      <c r="AP925" s="42">
        <v>0</v>
      </c>
      <c r="AQ925" s="42">
        <v>0</v>
      </c>
      <c r="AR925" s="42">
        <v>0</v>
      </c>
      <c r="AS925" s="42">
        <v>0</v>
      </c>
      <c r="AT925" s="42">
        <v>0</v>
      </c>
      <c r="AU925" s="42">
        <v>0</v>
      </c>
      <c r="AV925" s="42">
        <f t="shared" si="86"/>
        <v>0</v>
      </c>
      <c r="AW925" s="42">
        <v>0</v>
      </c>
      <c r="AX925" s="42">
        <v>0</v>
      </c>
      <c r="AY925" s="42">
        <v>0</v>
      </c>
      <c r="AZ925" s="42">
        <v>0</v>
      </c>
      <c r="BA925" s="42">
        <v>0</v>
      </c>
      <c r="BB925" s="42">
        <v>0</v>
      </c>
      <c r="BC925" s="42">
        <v>0</v>
      </c>
      <c r="BD925" s="42">
        <v>0</v>
      </c>
      <c r="BE925" s="42">
        <v>0</v>
      </c>
      <c r="BF925" s="42">
        <v>0</v>
      </c>
      <c r="BG925" s="42">
        <v>0</v>
      </c>
      <c r="BH925" s="42">
        <v>0</v>
      </c>
      <c r="BI925" s="42">
        <v>0</v>
      </c>
      <c r="BJ925" s="42">
        <v>0</v>
      </c>
      <c r="BK925" s="42">
        <v>0</v>
      </c>
      <c r="BL925" s="42">
        <v>0</v>
      </c>
      <c r="BM925" s="42">
        <v>0</v>
      </c>
      <c r="BN925" s="42">
        <v>0</v>
      </c>
      <c r="BO925" s="42">
        <v>0</v>
      </c>
      <c r="BP925" s="42">
        <v>0</v>
      </c>
      <c r="BQ925" s="42">
        <v>0</v>
      </c>
      <c r="BR925" s="42">
        <v>0</v>
      </c>
      <c r="BS925" s="42">
        <v>0</v>
      </c>
      <c r="BT925" s="42">
        <v>0</v>
      </c>
      <c r="BU925" s="42">
        <v>0</v>
      </c>
      <c r="BV925" s="42">
        <v>0</v>
      </c>
      <c r="BW925" s="42">
        <v>0</v>
      </c>
      <c r="BX925" s="42">
        <v>0</v>
      </c>
      <c r="BY925" s="42">
        <v>0</v>
      </c>
      <c r="BZ925" s="42">
        <v>0</v>
      </c>
      <c r="CA925" s="42">
        <v>0</v>
      </c>
      <c r="CB925" s="42">
        <v>0</v>
      </c>
      <c r="CC925" s="42">
        <v>0</v>
      </c>
      <c r="CD925" s="42">
        <v>0</v>
      </c>
      <c r="CE925" s="42">
        <v>0</v>
      </c>
      <c r="CF925" s="42">
        <v>0</v>
      </c>
      <c r="CG925" s="42">
        <v>0</v>
      </c>
      <c r="CH925" s="42">
        <v>0</v>
      </c>
      <c r="CI925" s="42">
        <v>0</v>
      </c>
      <c r="CJ925" s="42">
        <v>0</v>
      </c>
      <c r="CK925" s="43">
        <f t="shared" si="83"/>
        <v>0</v>
      </c>
      <c r="CL925" s="66"/>
      <c r="CM925" s="66">
        <v>0</v>
      </c>
      <c r="CN925" s="66">
        <v>0</v>
      </c>
      <c r="CO925" s="66">
        <v>0</v>
      </c>
      <c r="CP925" s="66">
        <v>0</v>
      </c>
      <c r="CQ925" s="66">
        <v>0</v>
      </c>
      <c r="CR925" s="66">
        <v>0</v>
      </c>
      <c r="CS925" s="66">
        <v>0</v>
      </c>
      <c r="CT925" s="66">
        <v>0</v>
      </c>
      <c r="CU925" s="66">
        <v>0</v>
      </c>
      <c r="CV925" s="66">
        <v>0</v>
      </c>
      <c r="CW925" s="66">
        <v>0</v>
      </c>
      <c r="CX925" s="66">
        <v>0</v>
      </c>
      <c r="CY925" s="66">
        <v>0</v>
      </c>
      <c r="CZ925" s="66">
        <v>0</v>
      </c>
      <c r="DA925" s="66"/>
      <c r="DB925" s="66"/>
      <c r="DC925" s="66"/>
      <c r="DD925" s="66"/>
      <c r="DE925" s="66"/>
      <c r="DF925" s="66"/>
      <c r="DG925" s="66"/>
      <c r="DH925" s="66"/>
      <c r="DI925" s="66"/>
      <c r="DJ925" s="66"/>
      <c r="DK925" s="66">
        <f>SUM(Table1[[#This Row],[01-03 Apr]:[Mar-26]])</f>
        <v>0</v>
      </c>
    </row>
    <row r="926" spans="1:115" hidden="1" x14ac:dyDescent="0.2">
      <c r="A926" s="28" t="s">
        <v>371</v>
      </c>
      <c r="B926" s="29" t="s">
        <v>2011</v>
      </c>
      <c r="C926" s="29" t="s">
        <v>3379</v>
      </c>
      <c r="D926" s="30" t="s">
        <v>2012</v>
      </c>
      <c r="E926" s="30" t="s">
        <v>177</v>
      </c>
      <c r="F926" s="30"/>
      <c r="G926" s="31"/>
      <c r="H926" s="30"/>
      <c r="I926" s="30" t="str">
        <f>IF(Table1[[#This Row],[Centre Status]]="Returned","NA",IF(Table1[[#This Row],[SD]]&gt;19000,"Full Payment",IF(Table1[[#This Row],[SD]]&lt;1,"No Payment","Partial Payment")))</f>
        <v>NA</v>
      </c>
      <c r="J926" s="30" t="s">
        <v>1903</v>
      </c>
      <c r="K926" s="32">
        <v>0</v>
      </c>
      <c r="L926" s="33">
        <f>Q926+R926+U926+Table1[[#This Row],[Farmer Payment]]</f>
        <v>17114.270569877641</v>
      </c>
      <c r="M926" s="30">
        <v>17114</v>
      </c>
      <c r="N926" s="34">
        <v>45356</v>
      </c>
      <c r="O926" s="34"/>
      <c r="P926" s="35">
        <f t="shared" si="84"/>
        <v>-0.27056987764080986</v>
      </c>
      <c r="Q926" s="33">
        <f>AI926+AV926+CK926+Table1[[#This Row],[FY 25-26]]</f>
        <v>7114.270569877639</v>
      </c>
      <c r="R926" s="36">
        <v>10000</v>
      </c>
      <c r="S926" s="37" t="s">
        <v>2168</v>
      </c>
      <c r="T926" s="38">
        <v>44910</v>
      </c>
      <c r="U926" s="39"/>
      <c r="V926" s="39"/>
      <c r="W926" s="40">
        <v>0</v>
      </c>
      <c r="X926" s="40">
        <v>0</v>
      </c>
      <c r="Y926" s="40">
        <v>0</v>
      </c>
      <c r="Z926" s="40">
        <v>0</v>
      </c>
      <c r="AA926" s="40">
        <v>0</v>
      </c>
      <c r="AB926" s="40">
        <v>0</v>
      </c>
      <c r="AC926" s="40">
        <v>0</v>
      </c>
      <c r="AD926" s="40">
        <v>0</v>
      </c>
      <c r="AE926" s="40">
        <v>0</v>
      </c>
      <c r="AF926" s="40">
        <v>0</v>
      </c>
      <c r="AG926" s="40">
        <v>1861</v>
      </c>
      <c r="AH926" s="40">
        <v>1589</v>
      </c>
      <c r="AI926" s="41">
        <f t="shared" si="85"/>
        <v>3450</v>
      </c>
      <c r="AJ926" s="42">
        <v>1327</v>
      </c>
      <c r="AK926" s="42">
        <v>1524</v>
      </c>
      <c r="AL926" s="42">
        <v>719</v>
      </c>
      <c r="AM926" s="42">
        <v>94.270569877638991</v>
      </c>
      <c r="AN926" s="42">
        <v>0</v>
      </c>
      <c r="AO926" s="42">
        <v>0</v>
      </c>
      <c r="AP926" s="42">
        <v>0</v>
      </c>
      <c r="AQ926" s="42">
        <v>0</v>
      </c>
      <c r="AR926" s="42">
        <v>0</v>
      </c>
      <c r="AS926" s="42">
        <v>0</v>
      </c>
      <c r="AT926" s="42">
        <v>0</v>
      </c>
      <c r="AU926" s="42">
        <v>0</v>
      </c>
      <c r="AV926" s="42">
        <f t="shared" si="86"/>
        <v>3664.270569877639</v>
      </c>
      <c r="AW926" s="42">
        <v>0</v>
      </c>
      <c r="AX926" s="42">
        <v>0</v>
      </c>
      <c r="AY926" s="42">
        <v>0</v>
      </c>
      <c r="AZ926" s="42">
        <v>0</v>
      </c>
      <c r="BA926" s="42">
        <v>0</v>
      </c>
      <c r="BB926" s="42">
        <v>0</v>
      </c>
      <c r="BC926" s="42">
        <v>0</v>
      </c>
      <c r="BD926" s="42">
        <v>0</v>
      </c>
      <c r="BE926" s="42">
        <v>0</v>
      </c>
      <c r="BF926" s="42">
        <v>0</v>
      </c>
      <c r="BG926" s="42">
        <v>0</v>
      </c>
      <c r="BH926" s="42">
        <v>0</v>
      </c>
      <c r="BI926" s="42">
        <v>0</v>
      </c>
      <c r="BJ926" s="42">
        <v>0</v>
      </c>
      <c r="BK926" s="42">
        <v>0</v>
      </c>
      <c r="BL926" s="42">
        <v>0</v>
      </c>
      <c r="BM926" s="42">
        <v>0</v>
      </c>
      <c r="BN926" s="42">
        <v>0</v>
      </c>
      <c r="BO926" s="42">
        <v>0</v>
      </c>
      <c r="BP926" s="42">
        <v>0</v>
      </c>
      <c r="BQ926" s="42">
        <v>0</v>
      </c>
      <c r="BR926" s="42">
        <v>0</v>
      </c>
      <c r="BS926" s="42">
        <v>0</v>
      </c>
      <c r="BT926" s="42">
        <v>0</v>
      </c>
      <c r="BU926" s="42">
        <v>0</v>
      </c>
      <c r="BV926" s="42">
        <v>0</v>
      </c>
      <c r="BW926" s="42">
        <v>0</v>
      </c>
      <c r="BX926" s="42">
        <v>0</v>
      </c>
      <c r="BY926" s="42">
        <v>0</v>
      </c>
      <c r="BZ926" s="42">
        <v>0</v>
      </c>
      <c r="CA926" s="42">
        <v>0</v>
      </c>
      <c r="CB926" s="42">
        <v>0</v>
      </c>
      <c r="CC926" s="42">
        <v>0</v>
      </c>
      <c r="CD926" s="42">
        <v>0</v>
      </c>
      <c r="CE926" s="42">
        <v>0</v>
      </c>
      <c r="CF926" s="42">
        <v>0</v>
      </c>
      <c r="CG926" s="42">
        <v>0</v>
      </c>
      <c r="CH926" s="42">
        <v>0</v>
      </c>
      <c r="CI926" s="42">
        <v>0</v>
      </c>
      <c r="CJ926" s="42">
        <v>0</v>
      </c>
      <c r="CK926" s="43">
        <f t="shared" si="83"/>
        <v>0</v>
      </c>
      <c r="CL926" s="66"/>
      <c r="CM926" s="66">
        <v>0</v>
      </c>
      <c r="CN926" s="66">
        <v>0</v>
      </c>
      <c r="CO926" s="66">
        <v>0</v>
      </c>
      <c r="CP926" s="66">
        <v>0</v>
      </c>
      <c r="CQ926" s="66">
        <v>0</v>
      </c>
      <c r="CR926" s="66">
        <v>0</v>
      </c>
      <c r="CS926" s="66">
        <v>0</v>
      </c>
      <c r="CT926" s="66">
        <v>0</v>
      </c>
      <c r="CU926" s="66">
        <v>0</v>
      </c>
      <c r="CV926" s="66">
        <v>0</v>
      </c>
      <c r="CW926" s="66">
        <v>0</v>
      </c>
      <c r="CX926" s="66">
        <v>0</v>
      </c>
      <c r="CY926" s="66">
        <v>0</v>
      </c>
      <c r="CZ926" s="66">
        <v>0</v>
      </c>
      <c r="DA926" s="66"/>
      <c r="DB926" s="66"/>
      <c r="DC926" s="66"/>
      <c r="DD926" s="66"/>
      <c r="DE926" s="66"/>
      <c r="DF926" s="66"/>
      <c r="DG926" s="66"/>
      <c r="DH926" s="66"/>
      <c r="DI926" s="66"/>
      <c r="DJ926" s="66"/>
      <c r="DK926" s="66">
        <f>SUM(Table1[[#This Row],[01-03 Apr]:[Mar-26]])</f>
        <v>0</v>
      </c>
    </row>
    <row r="927" spans="1:115" hidden="1" x14ac:dyDescent="0.2">
      <c r="A927" s="28" t="s">
        <v>371</v>
      </c>
      <c r="B927" s="29" t="s">
        <v>1377</v>
      </c>
      <c r="C927" s="29" t="s">
        <v>3380</v>
      </c>
      <c r="D927" s="30" t="s">
        <v>1378</v>
      </c>
      <c r="E927" s="30" t="s">
        <v>177</v>
      </c>
      <c r="F927" s="30"/>
      <c r="G927" s="31"/>
      <c r="H927" s="30"/>
      <c r="I927" s="30" t="str">
        <f>IF(Table1[[#This Row],[Centre Status]]="Returned","NA",IF(Table1[[#This Row],[SD]]&gt;19000,"Full Payment",IF(Table1[[#This Row],[SD]]&lt;1,"No Payment","Partial Payment")))</f>
        <v>NA</v>
      </c>
      <c r="J927" s="30" t="s">
        <v>1903</v>
      </c>
      <c r="K927" s="32">
        <v>0</v>
      </c>
      <c r="L927" s="33">
        <f>Q927+R927+U927+Table1[[#This Row],[Farmer Payment]]</f>
        <v>2819</v>
      </c>
      <c r="M927" s="30">
        <v>10000</v>
      </c>
      <c r="N927" s="34">
        <v>45356</v>
      </c>
      <c r="O927" s="34"/>
      <c r="P927" s="35">
        <f t="shared" si="84"/>
        <v>7181</v>
      </c>
      <c r="Q927" s="33">
        <f>AI927+AV927+CK927+Table1[[#This Row],[FY 25-26]]</f>
        <v>2819</v>
      </c>
      <c r="R927" s="36"/>
      <c r="S927" s="37"/>
      <c r="T927" s="38"/>
      <c r="U927" s="39"/>
      <c r="V927" s="39"/>
      <c r="W927" s="40">
        <v>0</v>
      </c>
      <c r="X927" s="40">
        <v>0</v>
      </c>
      <c r="Y927" s="40">
        <v>0</v>
      </c>
      <c r="Z927" s="40">
        <v>0</v>
      </c>
      <c r="AA927" s="40">
        <v>0</v>
      </c>
      <c r="AB927" s="40">
        <v>0</v>
      </c>
      <c r="AC927" s="40">
        <v>0</v>
      </c>
      <c r="AD927" s="40">
        <v>0</v>
      </c>
      <c r="AE927" s="40">
        <v>0</v>
      </c>
      <c r="AF927" s="40">
        <v>0</v>
      </c>
      <c r="AG927" s="40">
        <v>0</v>
      </c>
      <c r="AH927" s="40">
        <v>0</v>
      </c>
      <c r="AI927" s="41">
        <f t="shared" si="85"/>
        <v>0</v>
      </c>
      <c r="AJ927" s="42">
        <v>0</v>
      </c>
      <c r="AK927" s="42">
        <v>0</v>
      </c>
      <c r="AL927" s="42">
        <v>0</v>
      </c>
      <c r="AM927" s="42">
        <v>0</v>
      </c>
      <c r="AN927" s="42">
        <v>0</v>
      </c>
      <c r="AO927" s="42">
        <v>0</v>
      </c>
      <c r="AP927" s="42">
        <v>0</v>
      </c>
      <c r="AQ927" s="42">
        <v>971</v>
      </c>
      <c r="AR927" s="42">
        <v>1126</v>
      </c>
      <c r="AS927" s="42">
        <v>722</v>
      </c>
      <c r="AT927" s="42">
        <v>0</v>
      </c>
      <c r="AU927" s="42">
        <v>0</v>
      </c>
      <c r="AV927" s="42">
        <f t="shared" si="86"/>
        <v>2819</v>
      </c>
      <c r="AW927" s="42">
        <v>0</v>
      </c>
      <c r="AX927" s="42">
        <v>0</v>
      </c>
      <c r="AY927" s="42">
        <v>0</v>
      </c>
      <c r="AZ927" s="42">
        <v>0</v>
      </c>
      <c r="BA927" s="42">
        <v>0</v>
      </c>
      <c r="BB927" s="42">
        <v>0</v>
      </c>
      <c r="BC927" s="42">
        <v>0</v>
      </c>
      <c r="BD927" s="42">
        <v>0</v>
      </c>
      <c r="BE927" s="42">
        <v>0</v>
      </c>
      <c r="BF927" s="42">
        <v>0</v>
      </c>
      <c r="BG927" s="42">
        <v>0</v>
      </c>
      <c r="BH927" s="42">
        <v>0</v>
      </c>
      <c r="BI927" s="42">
        <v>0</v>
      </c>
      <c r="BJ927" s="42">
        <v>0</v>
      </c>
      <c r="BK927" s="42">
        <v>0</v>
      </c>
      <c r="BL927" s="42">
        <v>0</v>
      </c>
      <c r="BM927" s="42">
        <v>0</v>
      </c>
      <c r="BN927" s="42">
        <v>0</v>
      </c>
      <c r="BO927" s="42">
        <v>0</v>
      </c>
      <c r="BP927" s="42">
        <v>0</v>
      </c>
      <c r="BQ927" s="42">
        <v>0</v>
      </c>
      <c r="BR927" s="42">
        <v>0</v>
      </c>
      <c r="BS927" s="42">
        <v>0</v>
      </c>
      <c r="BT927" s="42">
        <v>0</v>
      </c>
      <c r="BU927" s="42">
        <v>0</v>
      </c>
      <c r="BV927" s="42">
        <v>0</v>
      </c>
      <c r="BW927" s="42">
        <v>0</v>
      </c>
      <c r="BX927" s="42">
        <v>0</v>
      </c>
      <c r="BY927" s="42">
        <v>0</v>
      </c>
      <c r="BZ927" s="42">
        <v>0</v>
      </c>
      <c r="CA927" s="42">
        <v>0</v>
      </c>
      <c r="CB927" s="42">
        <v>0</v>
      </c>
      <c r="CC927" s="42">
        <v>0</v>
      </c>
      <c r="CD927" s="42">
        <v>0</v>
      </c>
      <c r="CE927" s="42">
        <v>0</v>
      </c>
      <c r="CF927" s="42">
        <v>0</v>
      </c>
      <c r="CG927" s="42">
        <v>0</v>
      </c>
      <c r="CH927" s="42">
        <v>0</v>
      </c>
      <c r="CI927" s="42">
        <v>0</v>
      </c>
      <c r="CJ927" s="42">
        <v>0</v>
      </c>
      <c r="CK927" s="43">
        <f t="shared" si="83"/>
        <v>0</v>
      </c>
      <c r="CL927" s="66"/>
      <c r="CM927" s="66">
        <v>0</v>
      </c>
      <c r="CN927" s="66">
        <v>0</v>
      </c>
      <c r="CO927" s="66">
        <v>0</v>
      </c>
      <c r="CP927" s="66">
        <v>0</v>
      </c>
      <c r="CQ927" s="66">
        <v>0</v>
      </c>
      <c r="CR927" s="66">
        <v>0</v>
      </c>
      <c r="CS927" s="66">
        <v>0</v>
      </c>
      <c r="CT927" s="66">
        <v>0</v>
      </c>
      <c r="CU927" s="66">
        <v>0</v>
      </c>
      <c r="CV927" s="66">
        <v>0</v>
      </c>
      <c r="CW927" s="66">
        <v>0</v>
      </c>
      <c r="CX927" s="66">
        <v>0</v>
      </c>
      <c r="CY927" s="66">
        <v>0</v>
      </c>
      <c r="CZ927" s="66">
        <v>0</v>
      </c>
      <c r="DA927" s="66"/>
      <c r="DB927" s="66"/>
      <c r="DC927" s="66"/>
      <c r="DD927" s="66"/>
      <c r="DE927" s="66"/>
      <c r="DF927" s="66"/>
      <c r="DG927" s="66"/>
      <c r="DH927" s="66"/>
      <c r="DI927" s="66"/>
      <c r="DJ927" s="66"/>
      <c r="DK927" s="66">
        <f>SUM(Table1[[#This Row],[01-03 Apr]:[Mar-26]])</f>
        <v>0</v>
      </c>
    </row>
    <row r="928" spans="1:115" hidden="1" x14ac:dyDescent="0.2">
      <c r="A928" s="28" t="s">
        <v>371</v>
      </c>
      <c r="B928" s="29" t="s">
        <v>2013</v>
      </c>
      <c r="C928" s="29" t="s">
        <v>3381</v>
      </c>
      <c r="D928" s="30" t="s">
        <v>2014</v>
      </c>
      <c r="E928" s="30" t="s">
        <v>906</v>
      </c>
      <c r="F928" s="30"/>
      <c r="G928" s="31"/>
      <c r="H928" s="30"/>
      <c r="I928" s="30" t="str">
        <f>IF(Table1[[#This Row],[Centre Status]]="Returned","NA",IF(Table1[[#This Row],[SD]]&gt;19000,"Full Payment",IF(Table1[[#This Row],[SD]]&lt;1,"No Payment","Partial Payment")))</f>
        <v>NA</v>
      </c>
      <c r="J928" s="30" t="s">
        <v>1903</v>
      </c>
      <c r="K928" s="32">
        <v>0</v>
      </c>
      <c r="L928" s="33">
        <f>Q928+R928+U928+Table1[[#This Row],[Farmer Payment]]</f>
        <v>10000</v>
      </c>
      <c r="M928" s="30">
        <v>10000</v>
      </c>
      <c r="N928" s="34">
        <v>45357</v>
      </c>
      <c r="O928" s="34"/>
      <c r="P928" s="35">
        <f t="shared" si="84"/>
        <v>0</v>
      </c>
      <c r="Q928" s="33">
        <f>AI928+AV928+CK928+Table1[[#This Row],[FY 25-26]]</f>
        <v>0</v>
      </c>
      <c r="R928" s="36">
        <v>10000</v>
      </c>
      <c r="S928" s="37" t="s">
        <v>2169</v>
      </c>
      <c r="T928" s="38">
        <v>45212</v>
      </c>
      <c r="U928" s="39"/>
      <c r="V928" s="39"/>
      <c r="W928" s="40">
        <v>0</v>
      </c>
      <c r="X928" s="40">
        <v>0</v>
      </c>
      <c r="Y928" s="40">
        <v>0</v>
      </c>
      <c r="Z928" s="40">
        <v>0</v>
      </c>
      <c r="AA928" s="40">
        <v>0</v>
      </c>
      <c r="AB928" s="40">
        <v>0</v>
      </c>
      <c r="AC928" s="40">
        <v>0</v>
      </c>
      <c r="AD928" s="40">
        <v>0</v>
      </c>
      <c r="AE928" s="40">
        <v>0</v>
      </c>
      <c r="AF928" s="40">
        <v>0</v>
      </c>
      <c r="AG928" s="40">
        <v>0</v>
      </c>
      <c r="AH928" s="40">
        <v>0</v>
      </c>
      <c r="AI928" s="41">
        <f t="shared" si="85"/>
        <v>0</v>
      </c>
      <c r="AJ928" s="42">
        <v>0</v>
      </c>
      <c r="AK928" s="42">
        <v>0</v>
      </c>
      <c r="AL928" s="42">
        <v>0</v>
      </c>
      <c r="AM928" s="42">
        <v>0</v>
      </c>
      <c r="AN928" s="42">
        <v>0</v>
      </c>
      <c r="AO928" s="42">
        <v>0</v>
      </c>
      <c r="AP928" s="42">
        <v>0</v>
      </c>
      <c r="AQ928" s="42">
        <v>0</v>
      </c>
      <c r="AR928" s="42">
        <v>0</v>
      </c>
      <c r="AS928" s="42">
        <v>0</v>
      </c>
      <c r="AT928" s="42">
        <v>0</v>
      </c>
      <c r="AU928" s="42">
        <v>0</v>
      </c>
      <c r="AV928" s="42">
        <f t="shared" si="86"/>
        <v>0</v>
      </c>
      <c r="AW928" s="42">
        <v>0</v>
      </c>
      <c r="AX928" s="42">
        <v>0</v>
      </c>
      <c r="AY928" s="42">
        <v>0</v>
      </c>
      <c r="AZ928" s="42">
        <v>0</v>
      </c>
      <c r="BA928" s="42">
        <v>0</v>
      </c>
      <c r="BB928" s="42">
        <v>0</v>
      </c>
      <c r="BC928" s="42">
        <v>0</v>
      </c>
      <c r="BD928" s="42">
        <v>0</v>
      </c>
      <c r="BE928" s="42">
        <v>0</v>
      </c>
      <c r="BF928" s="42">
        <v>0</v>
      </c>
      <c r="BG928" s="42">
        <v>0</v>
      </c>
      <c r="BH928" s="42">
        <v>0</v>
      </c>
      <c r="BI928" s="42">
        <v>0</v>
      </c>
      <c r="BJ928" s="42">
        <v>0</v>
      </c>
      <c r="BK928" s="42">
        <v>0</v>
      </c>
      <c r="BL928" s="42">
        <v>0</v>
      </c>
      <c r="BM928" s="42">
        <v>0</v>
      </c>
      <c r="BN928" s="42">
        <v>0</v>
      </c>
      <c r="BO928" s="42">
        <v>0</v>
      </c>
      <c r="BP928" s="42">
        <v>0</v>
      </c>
      <c r="BQ928" s="42">
        <v>0</v>
      </c>
      <c r="BR928" s="42">
        <v>0</v>
      </c>
      <c r="BS928" s="42">
        <v>0</v>
      </c>
      <c r="BT928" s="42">
        <v>0</v>
      </c>
      <c r="BU928" s="42">
        <v>0</v>
      </c>
      <c r="BV928" s="42">
        <v>0</v>
      </c>
      <c r="BW928" s="42">
        <v>0</v>
      </c>
      <c r="BX928" s="42">
        <v>0</v>
      </c>
      <c r="BY928" s="42">
        <v>0</v>
      </c>
      <c r="BZ928" s="42">
        <v>0</v>
      </c>
      <c r="CA928" s="42">
        <v>0</v>
      </c>
      <c r="CB928" s="42">
        <v>0</v>
      </c>
      <c r="CC928" s="42">
        <v>0</v>
      </c>
      <c r="CD928" s="42">
        <v>0</v>
      </c>
      <c r="CE928" s="42">
        <v>0</v>
      </c>
      <c r="CF928" s="42">
        <v>0</v>
      </c>
      <c r="CG928" s="42">
        <v>0</v>
      </c>
      <c r="CH928" s="42">
        <v>0</v>
      </c>
      <c r="CI928" s="42">
        <v>0</v>
      </c>
      <c r="CJ928" s="42">
        <v>0</v>
      </c>
      <c r="CK928" s="43">
        <f t="shared" si="83"/>
        <v>0</v>
      </c>
      <c r="CL928" s="66"/>
      <c r="CM928" s="66">
        <v>0</v>
      </c>
      <c r="CN928" s="66">
        <v>0</v>
      </c>
      <c r="CO928" s="66">
        <v>0</v>
      </c>
      <c r="CP928" s="66">
        <v>0</v>
      </c>
      <c r="CQ928" s="66">
        <v>0</v>
      </c>
      <c r="CR928" s="66">
        <v>0</v>
      </c>
      <c r="CS928" s="66">
        <v>0</v>
      </c>
      <c r="CT928" s="66">
        <v>0</v>
      </c>
      <c r="CU928" s="66">
        <v>0</v>
      </c>
      <c r="CV928" s="66">
        <v>0</v>
      </c>
      <c r="CW928" s="66">
        <v>0</v>
      </c>
      <c r="CX928" s="66">
        <v>0</v>
      </c>
      <c r="CY928" s="66">
        <v>0</v>
      </c>
      <c r="CZ928" s="66">
        <v>0</v>
      </c>
      <c r="DA928" s="66"/>
      <c r="DB928" s="66"/>
      <c r="DC928" s="66"/>
      <c r="DD928" s="66"/>
      <c r="DE928" s="66"/>
      <c r="DF928" s="66"/>
      <c r="DG928" s="66"/>
      <c r="DH928" s="66"/>
      <c r="DI928" s="66"/>
      <c r="DJ928" s="66"/>
      <c r="DK928" s="66">
        <f>SUM(Table1[[#This Row],[01-03 Apr]:[Mar-26]])</f>
        <v>0</v>
      </c>
    </row>
    <row r="929" spans="1:115" hidden="1" x14ac:dyDescent="0.2">
      <c r="A929" s="28" t="s">
        <v>371</v>
      </c>
      <c r="B929" s="29" t="s">
        <v>2015</v>
      </c>
      <c r="C929" s="29" t="s">
        <v>3336</v>
      </c>
      <c r="D929" s="30" t="e">
        <v>#N/A</v>
      </c>
      <c r="E929" s="30" t="s">
        <v>85</v>
      </c>
      <c r="F929" s="30"/>
      <c r="G929" s="31"/>
      <c r="H929" s="30"/>
      <c r="I929" s="30" t="str">
        <f>IF(Table1[[#This Row],[Centre Status]]="Returned","NA",IF(Table1[[#This Row],[SD]]&gt;19000,"Full Payment",IF(Table1[[#This Row],[SD]]&lt;1,"No Payment","Partial Payment")))</f>
        <v>NA</v>
      </c>
      <c r="J929" s="30" t="s">
        <v>1903</v>
      </c>
      <c r="K929" s="32">
        <v>0</v>
      </c>
      <c r="L929" s="33">
        <f>Q929+R929+U929+Table1[[#This Row],[Farmer Payment]]</f>
        <v>10000</v>
      </c>
      <c r="M929" s="30">
        <v>10000</v>
      </c>
      <c r="N929" s="34">
        <v>44922</v>
      </c>
      <c r="O929" s="34"/>
      <c r="P929" s="35">
        <f t="shared" si="84"/>
        <v>0</v>
      </c>
      <c r="Q929" s="33">
        <f>AI929+AV929+CK929+Table1[[#This Row],[FY 25-26]]</f>
        <v>0</v>
      </c>
      <c r="R929" s="36">
        <v>10000</v>
      </c>
      <c r="S929" s="37" t="s">
        <v>2170</v>
      </c>
      <c r="T929" s="38">
        <v>44775</v>
      </c>
      <c r="U929" s="39"/>
      <c r="V929" s="39"/>
      <c r="W929" s="40">
        <v>0</v>
      </c>
      <c r="X929" s="40">
        <v>0</v>
      </c>
      <c r="Y929" s="40">
        <v>0</v>
      </c>
      <c r="Z929" s="40">
        <v>0</v>
      </c>
      <c r="AA929" s="40">
        <v>0</v>
      </c>
      <c r="AB929" s="40">
        <v>0</v>
      </c>
      <c r="AC929" s="40">
        <v>0</v>
      </c>
      <c r="AD929" s="40">
        <v>0</v>
      </c>
      <c r="AE929" s="40">
        <v>0</v>
      </c>
      <c r="AF929" s="40">
        <v>0</v>
      </c>
      <c r="AG929" s="40">
        <v>0</v>
      </c>
      <c r="AH929" s="40">
        <v>0</v>
      </c>
      <c r="AI929" s="41">
        <f t="shared" si="85"/>
        <v>0</v>
      </c>
      <c r="AJ929" s="42">
        <v>0</v>
      </c>
      <c r="AK929" s="42">
        <v>0</v>
      </c>
      <c r="AL929" s="42">
        <v>0</v>
      </c>
      <c r="AM929" s="42">
        <v>0</v>
      </c>
      <c r="AN929" s="42">
        <v>0</v>
      </c>
      <c r="AO929" s="42">
        <v>0</v>
      </c>
      <c r="AP929" s="42">
        <v>0</v>
      </c>
      <c r="AQ929" s="42">
        <v>0</v>
      </c>
      <c r="AR929" s="42">
        <v>0</v>
      </c>
      <c r="AS929" s="42">
        <v>0</v>
      </c>
      <c r="AT929" s="42">
        <v>0</v>
      </c>
      <c r="AU929" s="42">
        <v>0</v>
      </c>
      <c r="AV929" s="42">
        <f t="shared" si="86"/>
        <v>0</v>
      </c>
      <c r="AW929" s="42">
        <v>0</v>
      </c>
      <c r="AX929" s="42">
        <v>0</v>
      </c>
      <c r="AY929" s="42">
        <v>0</v>
      </c>
      <c r="AZ929" s="42">
        <v>0</v>
      </c>
      <c r="BA929" s="42">
        <v>0</v>
      </c>
      <c r="BB929" s="42">
        <v>0</v>
      </c>
      <c r="BC929" s="42">
        <v>0</v>
      </c>
      <c r="BD929" s="42">
        <v>0</v>
      </c>
      <c r="BE929" s="42">
        <v>0</v>
      </c>
      <c r="BF929" s="42">
        <v>0</v>
      </c>
      <c r="BG929" s="42">
        <v>0</v>
      </c>
      <c r="BH929" s="42">
        <v>0</v>
      </c>
      <c r="BI929" s="42">
        <v>0</v>
      </c>
      <c r="BJ929" s="42">
        <v>0</v>
      </c>
      <c r="BK929" s="42">
        <v>0</v>
      </c>
      <c r="BL929" s="42">
        <v>0</v>
      </c>
      <c r="BM929" s="42">
        <v>0</v>
      </c>
      <c r="BN929" s="42">
        <v>0</v>
      </c>
      <c r="BO929" s="42">
        <v>0</v>
      </c>
      <c r="BP929" s="42">
        <v>0</v>
      </c>
      <c r="BQ929" s="42">
        <v>0</v>
      </c>
      <c r="BR929" s="42">
        <v>0</v>
      </c>
      <c r="BS929" s="42">
        <v>0</v>
      </c>
      <c r="BT929" s="42">
        <v>0</v>
      </c>
      <c r="BU929" s="42">
        <v>0</v>
      </c>
      <c r="BV929" s="42">
        <v>0</v>
      </c>
      <c r="BW929" s="42">
        <v>0</v>
      </c>
      <c r="BX929" s="42">
        <v>0</v>
      </c>
      <c r="BY929" s="42">
        <v>0</v>
      </c>
      <c r="BZ929" s="42">
        <v>0</v>
      </c>
      <c r="CA929" s="42">
        <v>0</v>
      </c>
      <c r="CB929" s="42">
        <v>0</v>
      </c>
      <c r="CC929" s="42">
        <v>0</v>
      </c>
      <c r="CD929" s="42">
        <v>0</v>
      </c>
      <c r="CE929" s="42">
        <v>0</v>
      </c>
      <c r="CF929" s="42">
        <v>0</v>
      </c>
      <c r="CG929" s="42">
        <v>0</v>
      </c>
      <c r="CH929" s="42">
        <v>0</v>
      </c>
      <c r="CI929" s="42">
        <v>0</v>
      </c>
      <c r="CJ929" s="42">
        <v>0</v>
      </c>
      <c r="CK929" s="43">
        <f t="shared" si="83"/>
        <v>0</v>
      </c>
      <c r="CL929" s="66"/>
      <c r="CM929" s="66">
        <v>0</v>
      </c>
      <c r="CN929" s="66">
        <v>0</v>
      </c>
      <c r="CO929" s="66">
        <v>0</v>
      </c>
      <c r="CP929" s="66">
        <v>0</v>
      </c>
      <c r="CQ929" s="66">
        <v>0</v>
      </c>
      <c r="CR929" s="66">
        <v>0</v>
      </c>
      <c r="CS929" s="66">
        <v>0</v>
      </c>
      <c r="CT929" s="66">
        <v>0</v>
      </c>
      <c r="CU929" s="66">
        <v>0</v>
      </c>
      <c r="CV929" s="66">
        <v>0</v>
      </c>
      <c r="CW929" s="66">
        <v>0</v>
      </c>
      <c r="CX929" s="66">
        <v>0</v>
      </c>
      <c r="CY929" s="66">
        <v>0</v>
      </c>
      <c r="CZ929" s="66">
        <v>0</v>
      </c>
      <c r="DA929" s="66"/>
      <c r="DB929" s="66"/>
      <c r="DC929" s="66"/>
      <c r="DD929" s="66"/>
      <c r="DE929" s="66"/>
      <c r="DF929" s="66"/>
      <c r="DG929" s="66"/>
      <c r="DH929" s="66"/>
      <c r="DI929" s="66"/>
      <c r="DJ929" s="66"/>
      <c r="DK929" s="66">
        <f>SUM(Table1[[#This Row],[01-03 Apr]:[Mar-26]])</f>
        <v>0</v>
      </c>
    </row>
    <row r="930" spans="1:115" hidden="1" x14ac:dyDescent="0.2">
      <c r="A930" s="28" t="s">
        <v>371</v>
      </c>
      <c r="B930" s="29"/>
      <c r="C930" s="29" t="s">
        <v>3336</v>
      </c>
      <c r="D930" s="30" t="s">
        <v>2016</v>
      </c>
      <c r="E930" s="30"/>
      <c r="F930" s="30"/>
      <c r="G930" s="31"/>
      <c r="H930" s="30"/>
      <c r="I930" s="30" t="str">
        <f>IF(Table1[[#This Row],[Centre Status]]="Returned","NA",IF(Table1[[#This Row],[SD]]&gt;19000,"Full Payment",IF(Table1[[#This Row],[SD]]&lt;1,"No Payment","Partial Payment")))</f>
        <v>NA</v>
      </c>
      <c r="J930" s="30" t="s">
        <v>1903</v>
      </c>
      <c r="K930" s="32">
        <v>0</v>
      </c>
      <c r="L930" s="33">
        <f>Q930+R930+U930+Table1[[#This Row],[Farmer Payment]]</f>
        <v>20000</v>
      </c>
      <c r="M930" s="30">
        <v>20000</v>
      </c>
      <c r="N930" s="34">
        <v>45324</v>
      </c>
      <c r="O930" s="34"/>
      <c r="P930" s="35">
        <f t="shared" si="84"/>
        <v>0</v>
      </c>
      <c r="Q930" s="33">
        <f>AI930+AV930+CK930+Table1[[#This Row],[FY 25-26]]</f>
        <v>0</v>
      </c>
      <c r="R930" s="36">
        <v>20000</v>
      </c>
      <c r="S930" s="37" t="s">
        <v>2171</v>
      </c>
      <c r="T930" s="38">
        <v>45093</v>
      </c>
      <c r="U930" s="39"/>
      <c r="V930" s="39"/>
      <c r="W930" s="40">
        <v>0</v>
      </c>
      <c r="X930" s="40">
        <v>0</v>
      </c>
      <c r="Y930" s="40">
        <v>0</v>
      </c>
      <c r="Z930" s="40">
        <v>0</v>
      </c>
      <c r="AA930" s="40">
        <v>0</v>
      </c>
      <c r="AB930" s="40">
        <v>0</v>
      </c>
      <c r="AC930" s="40">
        <v>0</v>
      </c>
      <c r="AD930" s="40">
        <v>0</v>
      </c>
      <c r="AE930" s="40">
        <v>0</v>
      </c>
      <c r="AF930" s="40">
        <v>0</v>
      </c>
      <c r="AG930" s="40">
        <v>0</v>
      </c>
      <c r="AH930" s="40">
        <v>0</v>
      </c>
      <c r="AI930" s="41">
        <f t="shared" si="85"/>
        <v>0</v>
      </c>
      <c r="AJ930" s="42">
        <v>0</v>
      </c>
      <c r="AK930" s="42">
        <v>0</v>
      </c>
      <c r="AL930" s="42">
        <v>0</v>
      </c>
      <c r="AM930" s="42">
        <v>0</v>
      </c>
      <c r="AN930" s="42">
        <v>0</v>
      </c>
      <c r="AO930" s="42">
        <v>0</v>
      </c>
      <c r="AP930" s="42">
        <v>0</v>
      </c>
      <c r="AQ930" s="42">
        <v>0</v>
      </c>
      <c r="AR930" s="42">
        <v>0</v>
      </c>
      <c r="AS930" s="42">
        <v>0</v>
      </c>
      <c r="AT930" s="42">
        <v>0</v>
      </c>
      <c r="AU930" s="42">
        <v>0</v>
      </c>
      <c r="AV930" s="42">
        <f t="shared" si="86"/>
        <v>0</v>
      </c>
      <c r="AW930" s="42">
        <v>0</v>
      </c>
      <c r="AX930" s="42">
        <v>0</v>
      </c>
      <c r="AY930" s="42">
        <v>0</v>
      </c>
      <c r="AZ930" s="42">
        <v>0</v>
      </c>
      <c r="BA930" s="42">
        <v>0</v>
      </c>
      <c r="BB930" s="42">
        <v>0</v>
      </c>
      <c r="BC930" s="42">
        <v>0</v>
      </c>
      <c r="BD930" s="42">
        <v>0</v>
      </c>
      <c r="BE930" s="42">
        <v>0</v>
      </c>
      <c r="BF930" s="42">
        <v>0</v>
      </c>
      <c r="BG930" s="42">
        <v>0</v>
      </c>
      <c r="BH930" s="42">
        <v>0</v>
      </c>
      <c r="BI930" s="42">
        <v>0</v>
      </c>
      <c r="BJ930" s="42">
        <v>0</v>
      </c>
      <c r="BK930" s="42">
        <v>0</v>
      </c>
      <c r="BL930" s="42">
        <v>0</v>
      </c>
      <c r="BM930" s="42">
        <v>0</v>
      </c>
      <c r="BN930" s="42">
        <v>0</v>
      </c>
      <c r="BO930" s="42">
        <v>0</v>
      </c>
      <c r="BP930" s="42">
        <v>0</v>
      </c>
      <c r="BQ930" s="42">
        <v>0</v>
      </c>
      <c r="BR930" s="42">
        <v>0</v>
      </c>
      <c r="BS930" s="42">
        <v>0</v>
      </c>
      <c r="BT930" s="42">
        <v>0</v>
      </c>
      <c r="BU930" s="42">
        <v>0</v>
      </c>
      <c r="BV930" s="42">
        <v>0</v>
      </c>
      <c r="BW930" s="42">
        <v>0</v>
      </c>
      <c r="BX930" s="42">
        <v>0</v>
      </c>
      <c r="BY930" s="42">
        <v>0</v>
      </c>
      <c r="BZ930" s="42">
        <v>0</v>
      </c>
      <c r="CA930" s="42">
        <v>0</v>
      </c>
      <c r="CB930" s="42">
        <v>0</v>
      </c>
      <c r="CC930" s="42">
        <v>0</v>
      </c>
      <c r="CD930" s="42">
        <v>0</v>
      </c>
      <c r="CE930" s="42">
        <v>0</v>
      </c>
      <c r="CF930" s="42">
        <v>0</v>
      </c>
      <c r="CG930" s="42">
        <v>0</v>
      </c>
      <c r="CH930" s="42">
        <v>0</v>
      </c>
      <c r="CI930" s="42">
        <v>0</v>
      </c>
      <c r="CJ930" s="42">
        <v>0</v>
      </c>
      <c r="CK930" s="43">
        <f t="shared" si="83"/>
        <v>0</v>
      </c>
      <c r="CL930" s="66"/>
      <c r="CM930" s="66">
        <v>0</v>
      </c>
      <c r="CN930" s="66">
        <v>0</v>
      </c>
      <c r="CO930" s="66">
        <v>0</v>
      </c>
      <c r="CP930" s="66">
        <v>0</v>
      </c>
      <c r="CQ930" s="66">
        <v>0</v>
      </c>
      <c r="CR930" s="66">
        <v>0</v>
      </c>
      <c r="CS930" s="66">
        <v>0</v>
      </c>
      <c r="CT930" s="66">
        <v>0</v>
      </c>
      <c r="CU930" s="66">
        <v>0</v>
      </c>
      <c r="CV930" s="66">
        <v>0</v>
      </c>
      <c r="CW930" s="66">
        <v>0</v>
      </c>
      <c r="CX930" s="66">
        <v>0</v>
      </c>
      <c r="CY930" s="66">
        <v>0</v>
      </c>
      <c r="CZ930" s="66">
        <v>0</v>
      </c>
      <c r="DA930" s="66"/>
      <c r="DB930" s="66"/>
      <c r="DC930" s="66"/>
      <c r="DD930" s="66"/>
      <c r="DE930" s="66"/>
      <c r="DF930" s="66"/>
      <c r="DG930" s="66"/>
      <c r="DH930" s="66"/>
      <c r="DI930" s="66"/>
      <c r="DJ930" s="66"/>
      <c r="DK930" s="66">
        <f>SUM(Table1[[#This Row],[01-03 Apr]:[Mar-26]])</f>
        <v>0</v>
      </c>
    </row>
    <row r="931" spans="1:115" hidden="1" x14ac:dyDescent="0.2">
      <c r="A931" s="28" t="s">
        <v>371</v>
      </c>
      <c r="B931" s="29" t="s">
        <v>2017</v>
      </c>
      <c r="C931" s="29" t="s">
        <v>3336</v>
      </c>
      <c r="D931" s="30" t="s">
        <v>2018</v>
      </c>
      <c r="E931" s="30" t="s">
        <v>177</v>
      </c>
      <c r="F931" s="30"/>
      <c r="G931" s="31"/>
      <c r="H931" s="30"/>
      <c r="I931" s="30" t="str">
        <f>IF(Table1[[#This Row],[Centre Status]]="Returned","NA",IF(Table1[[#This Row],[SD]]&gt;19000,"Full Payment",IF(Table1[[#This Row],[SD]]&lt;1,"No Payment","Partial Payment")))</f>
        <v>NA</v>
      </c>
      <c r="J931" s="30" t="s">
        <v>1903</v>
      </c>
      <c r="K931" s="32">
        <v>0</v>
      </c>
      <c r="L931" s="33">
        <f>Q931+R931+U931+Table1[[#This Row],[Farmer Payment]]</f>
        <v>10000</v>
      </c>
      <c r="M931" s="30">
        <v>10000</v>
      </c>
      <c r="N931" s="34">
        <v>45351</v>
      </c>
      <c r="O931" s="34"/>
      <c r="P931" s="35">
        <f t="shared" si="84"/>
        <v>0</v>
      </c>
      <c r="Q931" s="33">
        <f>AI931+AV931+CK931+Table1[[#This Row],[FY 25-26]]</f>
        <v>0</v>
      </c>
      <c r="R931" s="36">
        <v>10000</v>
      </c>
      <c r="S931" s="37" t="s">
        <v>2172</v>
      </c>
      <c r="T931" s="38">
        <v>45133</v>
      </c>
      <c r="U931" s="39"/>
      <c r="V931" s="39"/>
      <c r="W931" s="40">
        <v>0</v>
      </c>
      <c r="X931" s="40">
        <v>0</v>
      </c>
      <c r="Y931" s="40">
        <v>0</v>
      </c>
      <c r="Z931" s="40">
        <v>0</v>
      </c>
      <c r="AA931" s="40">
        <v>0</v>
      </c>
      <c r="AB931" s="40">
        <v>0</v>
      </c>
      <c r="AC931" s="40">
        <v>0</v>
      </c>
      <c r="AD931" s="40">
        <v>0</v>
      </c>
      <c r="AE931" s="40">
        <v>0</v>
      </c>
      <c r="AF931" s="40">
        <v>0</v>
      </c>
      <c r="AG931" s="40">
        <v>0</v>
      </c>
      <c r="AH931" s="40">
        <v>0</v>
      </c>
      <c r="AI931" s="41">
        <f t="shared" si="85"/>
        <v>0</v>
      </c>
      <c r="AJ931" s="42">
        <v>0</v>
      </c>
      <c r="AK931" s="42">
        <v>0</v>
      </c>
      <c r="AL931" s="42">
        <v>0</v>
      </c>
      <c r="AM931" s="42">
        <v>0</v>
      </c>
      <c r="AN931" s="42">
        <v>0</v>
      </c>
      <c r="AO931" s="42">
        <v>0</v>
      </c>
      <c r="AP931" s="42">
        <v>0</v>
      </c>
      <c r="AQ931" s="42">
        <v>0</v>
      </c>
      <c r="AR931" s="42">
        <v>0</v>
      </c>
      <c r="AS931" s="42">
        <v>0</v>
      </c>
      <c r="AT931" s="42">
        <v>0</v>
      </c>
      <c r="AU931" s="42">
        <v>0</v>
      </c>
      <c r="AV931" s="42">
        <f t="shared" si="86"/>
        <v>0</v>
      </c>
      <c r="AW931" s="42">
        <v>0</v>
      </c>
      <c r="AX931" s="42">
        <v>0</v>
      </c>
      <c r="AY931" s="42">
        <v>0</v>
      </c>
      <c r="AZ931" s="42">
        <v>0</v>
      </c>
      <c r="BA931" s="42">
        <v>0</v>
      </c>
      <c r="BB931" s="42">
        <v>0</v>
      </c>
      <c r="BC931" s="42">
        <v>0</v>
      </c>
      <c r="BD931" s="42">
        <v>0</v>
      </c>
      <c r="BE931" s="42">
        <v>0</v>
      </c>
      <c r="BF931" s="42">
        <v>0</v>
      </c>
      <c r="BG931" s="42">
        <v>0</v>
      </c>
      <c r="BH931" s="42">
        <v>0</v>
      </c>
      <c r="BI931" s="42">
        <v>0</v>
      </c>
      <c r="BJ931" s="42">
        <v>0</v>
      </c>
      <c r="BK931" s="42">
        <v>0</v>
      </c>
      <c r="BL931" s="42">
        <v>0</v>
      </c>
      <c r="BM931" s="42">
        <v>0</v>
      </c>
      <c r="BN931" s="42">
        <v>0</v>
      </c>
      <c r="BO931" s="42">
        <v>0</v>
      </c>
      <c r="BP931" s="42">
        <v>0</v>
      </c>
      <c r="BQ931" s="42">
        <v>0</v>
      </c>
      <c r="BR931" s="42">
        <v>0</v>
      </c>
      <c r="BS931" s="42">
        <v>0</v>
      </c>
      <c r="BT931" s="42">
        <v>0</v>
      </c>
      <c r="BU931" s="42">
        <v>0</v>
      </c>
      <c r="BV931" s="42">
        <v>0</v>
      </c>
      <c r="BW931" s="42">
        <v>0</v>
      </c>
      <c r="BX931" s="42">
        <v>0</v>
      </c>
      <c r="BY931" s="42">
        <v>0</v>
      </c>
      <c r="BZ931" s="42">
        <v>0</v>
      </c>
      <c r="CA931" s="42">
        <v>0</v>
      </c>
      <c r="CB931" s="42">
        <v>0</v>
      </c>
      <c r="CC931" s="42">
        <v>0</v>
      </c>
      <c r="CD931" s="42">
        <v>0</v>
      </c>
      <c r="CE931" s="42">
        <v>0</v>
      </c>
      <c r="CF931" s="42">
        <v>0</v>
      </c>
      <c r="CG931" s="42">
        <v>0</v>
      </c>
      <c r="CH931" s="42">
        <v>0</v>
      </c>
      <c r="CI931" s="42">
        <v>0</v>
      </c>
      <c r="CJ931" s="42">
        <v>0</v>
      </c>
      <c r="CK931" s="43">
        <f t="shared" si="83"/>
        <v>0</v>
      </c>
      <c r="CL931" s="66"/>
      <c r="CM931" s="66">
        <v>0</v>
      </c>
      <c r="CN931" s="66">
        <v>0</v>
      </c>
      <c r="CO931" s="66">
        <v>0</v>
      </c>
      <c r="CP931" s="66">
        <v>0</v>
      </c>
      <c r="CQ931" s="66">
        <v>0</v>
      </c>
      <c r="CR931" s="66">
        <v>0</v>
      </c>
      <c r="CS931" s="66">
        <v>0</v>
      </c>
      <c r="CT931" s="66">
        <v>0</v>
      </c>
      <c r="CU931" s="66">
        <v>0</v>
      </c>
      <c r="CV931" s="66">
        <v>0</v>
      </c>
      <c r="CW931" s="66">
        <v>0</v>
      </c>
      <c r="CX931" s="66">
        <v>0</v>
      </c>
      <c r="CY931" s="66">
        <v>0</v>
      </c>
      <c r="CZ931" s="66">
        <v>0</v>
      </c>
      <c r="DA931" s="66"/>
      <c r="DB931" s="66"/>
      <c r="DC931" s="66"/>
      <c r="DD931" s="66"/>
      <c r="DE931" s="66"/>
      <c r="DF931" s="66"/>
      <c r="DG931" s="66"/>
      <c r="DH931" s="66"/>
      <c r="DI931" s="66"/>
      <c r="DJ931" s="66"/>
      <c r="DK931" s="66">
        <f>SUM(Table1[[#This Row],[01-03 Apr]:[Mar-26]])</f>
        <v>0</v>
      </c>
    </row>
    <row r="932" spans="1:115" hidden="1" x14ac:dyDescent="0.2">
      <c r="A932" s="28" t="s">
        <v>371</v>
      </c>
      <c r="B932" s="29" t="s">
        <v>2019</v>
      </c>
      <c r="C932" s="29" t="s">
        <v>3336</v>
      </c>
      <c r="D932" s="30" t="s">
        <v>2020</v>
      </c>
      <c r="E932" s="30" t="s">
        <v>906</v>
      </c>
      <c r="F932" s="30"/>
      <c r="G932" s="31"/>
      <c r="H932" s="30"/>
      <c r="I932" s="30" t="str">
        <f>IF(Table1[[#This Row],[Centre Status]]="Returned","NA",IF(Table1[[#This Row],[SD]]&gt;19000,"Full Payment",IF(Table1[[#This Row],[SD]]&lt;1,"No Payment","Partial Payment")))</f>
        <v>NA</v>
      </c>
      <c r="J932" s="30" t="s">
        <v>1903</v>
      </c>
      <c r="K932" s="32">
        <v>0</v>
      </c>
      <c r="L932" s="33">
        <f>Q932+R932+U932+Table1[[#This Row],[Farmer Payment]]</f>
        <v>10549</v>
      </c>
      <c r="M932" s="30">
        <v>10000</v>
      </c>
      <c r="N932" s="34">
        <v>45085</v>
      </c>
      <c r="O932" s="34"/>
      <c r="P932" s="35">
        <f t="shared" si="84"/>
        <v>-549</v>
      </c>
      <c r="Q932" s="33">
        <f>AI932+AV932+CK932+Table1[[#This Row],[FY 25-26]]</f>
        <v>549</v>
      </c>
      <c r="R932" s="36">
        <v>10000</v>
      </c>
      <c r="S932" s="37" t="s">
        <v>2173</v>
      </c>
      <c r="T932" s="38">
        <v>44987</v>
      </c>
      <c r="U932" s="39"/>
      <c r="V932" s="39"/>
      <c r="W932" s="40">
        <v>0</v>
      </c>
      <c r="X932" s="40">
        <v>0</v>
      </c>
      <c r="Y932" s="40">
        <v>0</v>
      </c>
      <c r="Z932" s="40">
        <v>0</v>
      </c>
      <c r="AA932" s="40">
        <v>0</v>
      </c>
      <c r="AB932" s="40">
        <v>0</v>
      </c>
      <c r="AC932" s="40">
        <v>0</v>
      </c>
      <c r="AD932" s="40">
        <v>0</v>
      </c>
      <c r="AE932" s="40">
        <v>0</v>
      </c>
      <c r="AF932" s="40">
        <v>0</v>
      </c>
      <c r="AG932" s="40">
        <v>0</v>
      </c>
      <c r="AH932" s="40">
        <v>142</v>
      </c>
      <c r="AI932" s="41">
        <f t="shared" si="85"/>
        <v>142</v>
      </c>
      <c r="AJ932" s="42">
        <v>407</v>
      </c>
      <c r="AK932" s="42">
        <v>0</v>
      </c>
      <c r="AL932" s="42">
        <v>0</v>
      </c>
      <c r="AM932" s="42">
        <v>0</v>
      </c>
      <c r="AN932" s="42">
        <v>0</v>
      </c>
      <c r="AO932" s="42">
        <v>0</v>
      </c>
      <c r="AP932" s="42">
        <v>0</v>
      </c>
      <c r="AQ932" s="42">
        <v>0</v>
      </c>
      <c r="AR932" s="42">
        <v>0</v>
      </c>
      <c r="AS932" s="42">
        <v>0</v>
      </c>
      <c r="AT932" s="42">
        <v>0</v>
      </c>
      <c r="AU932" s="42">
        <v>0</v>
      </c>
      <c r="AV932" s="42">
        <f t="shared" si="86"/>
        <v>407</v>
      </c>
      <c r="AW932" s="42">
        <v>0</v>
      </c>
      <c r="AX932" s="42">
        <v>0</v>
      </c>
      <c r="AY932" s="42">
        <v>0</v>
      </c>
      <c r="AZ932" s="42">
        <v>0</v>
      </c>
      <c r="BA932" s="42">
        <v>0</v>
      </c>
      <c r="BB932" s="42">
        <v>0</v>
      </c>
      <c r="BC932" s="42">
        <v>0</v>
      </c>
      <c r="BD932" s="42">
        <v>0</v>
      </c>
      <c r="BE932" s="42">
        <v>0</v>
      </c>
      <c r="BF932" s="42">
        <v>0</v>
      </c>
      <c r="BG932" s="42">
        <v>0</v>
      </c>
      <c r="BH932" s="42">
        <v>0</v>
      </c>
      <c r="BI932" s="42">
        <v>0</v>
      </c>
      <c r="BJ932" s="42">
        <v>0</v>
      </c>
      <c r="BK932" s="42">
        <v>0</v>
      </c>
      <c r="BL932" s="42">
        <v>0</v>
      </c>
      <c r="BM932" s="42">
        <v>0</v>
      </c>
      <c r="BN932" s="42">
        <v>0</v>
      </c>
      <c r="BO932" s="42">
        <v>0</v>
      </c>
      <c r="BP932" s="42">
        <v>0</v>
      </c>
      <c r="BQ932" s="42">
        <v>0</v>
      </c>
      <c r="BR932" s="42">
        <v>0</v>
      </c>
      <c r="BS932" s="42">
        <v>0</v>
      </c>
      <c r="BT932" s="42">
        <v>0</v>
      </c>
      <c r="BU932" s="42">
        <v>0</v>
      </c>
      <c r="BV932" s="42">
        <v>0</v>
      </c>
      <c r="BW932" s="42">
        <v>0</v>
      </c>
      <c r="BX932" s="42">
        <v>0</v>
      </c>
      <c r="BY932" s="42">
        <v>0</v>
      </c>
      <c r="BZ932" s="42">
        <v>0</v>
      </c>
      <c r="CA932" s="42">
        <v>0</v>
      </c>
      <c r="CB932" s="42">
        <v>0</v>
      </c>
      <c r="CC932" s="42">
        <v>0</v>
      </c>
      <c r="CD932" s="42">
        <v>0</v>
      </c>
      <c r="CE932" s="42">
        <v>0</v>
      </c>
      <c r="CF932" s="42">
        <v>0</v>
      </c>
      <c r="CG932" s="42">
        <v>0</v>
      </c>
      <c r="CH932" s="42">
        <v>0</v>
      </c>
      <c r="CI932" s="42">
        <v>0</v>
      </c>
      <c r="CJ932" s="42">
        <v>0</v>
      </c>
      <c r="CK932" s="43">
        <f t="shared" si="83"/>
        <v>0</v>
      </c>
      <c r="CL932" s="66"/>
      <c r="CM932" s="66">
        <v>0</v>
      </c>
      <c r="CN932" s="66">
        <v>0</v>
      </c>
      <c r="CO932" s="66">
        <v>0</v>
      </c>
      <c r="CP932" s="66">
        <v>0</v>
      </c>
      <c r="CQ932" s="66">
        <v>0</v>
      </c>
      <c r="CR932" s="66">
        <v>0</v>
      </c>
      <c r="CS932" s="66">
        <v>0</v>
      </c>
      <c r="CT932" s="66">
        <v>0</v>
      </c>
      <c r="CU932" s="66">
        <v>0</v>
      </c>
      <c r="CV932" s="66">
        <v>0</v>
      </c>
      <c r="CW932" s="66">
        <v>0</v>
      </c>
      <c r="CX932" s="66">
        <v>0</v>
      </c>
      <c r="CY932" s="66">
        <v>0</v>
      </c>
      <c r="CZ932" s="66">
        <v>0</v>
      </c>
      <c r="DA932" s="66"/>
      <c r="DB932" s="66"/>
      <c r="DC932" s="66"/>
      <c r="DD932" s="66"/>
      <c r="DE932" s="66"/>
      <c r="DF932" s="66"/>
      <c r="DG932" s="66"/>
      <c r="DH932" s="66"/>
      <c r="DI932" s="66"/>
      <c r="DJ932" s="66"/>
      <c r="DK932" s="66">
        <f>SUM(Table1[[#This Row],[01-03 Apr]:[Mar-26]])</f>
        <v>0</v>
      </c>
    </row>
    <row r="933" spans="1:115" hidden="1" x14ac:dyDescent="0.2">
      <c r="A933" s="28" t="s">
        <v>371</v>
      </c>
      <c r="B933" s="29" t="s">
        <v>2021</v>
      </c>
      <c r="C933" s="29" t="s">
        <v>3336</v>
      </c>
      <c r="D933" s="30" t="s">
        <v>2022</v>
      </c>
      <c r="E933" s="30" t="s">
        <v>906</v>
      </c>
      <c r="F933" s="30"/>
      <c r="G933" s="31"/>
      <c r="H933" s="30"/>
      <c r="I933" s="30" t="str">
        <f>IF(Table1[[#This Row],[Centre Status]]="Returned","NA",IF(Table1[[#This Row],[SD]]&gt;19000,"Full Payment",IF(Table1[[#This Row],[SD]]&lt;1,"No Payment","Partial Payment")))</f>
        <v>NA</v>
      </c>
      <c r="J933" s="30" t="s">
        <v>1903</v>
      </c>
      <c r="K933" s="32">
        <v>0</v>
      </c>
      <c r="L933" s="33">
        <f>Q933+R933+U933+Table1[[#This Row],[Farmer Payment]]</f>
        <v>16239</v>
      </c>
      <c r="M933" s="30">
        <v>16239</v>
      </c>
      <c r="N933" s="34">
        <v>45324</v>
      </c>
      <c r="O933" s="34"/>
      <c r="P933" s="35">
        <f t="shared" si="84"/>
        <v>0</v>
      </c>
      <c r="Q933" s="33">
        <f>AI933+AV933+CK933+Table1[[#This Row],[FY 25-26]]</f>
        <v>6239</v>
      </c>
      <c r="R933" s="36">
        <v>10000</v>
      </c>
      <c r="S933" s="37" t="s">
        <v>1897</v>
      </c>
      <c r="T933" s="38">
        <v>45018</v>
      </c>
      <c r="U933" s="39"/>
      <c r="V933" s="39"/>
      <c r="W933" s="40">
        <v>0</v>
      </c>
      <c r="X933" s="40">
        <v>0</v>
      </c>
      <c r="Y933" s="40">
        <v>0</v>
      </c>
      <c r="Z933" s="40">
        <v>0</v>
      </c>
      <c r="AA933" s="40">
        <v>0</v>
      </c>
      <c r="AB933" s="40">
        <v>0</v>
      </c>
      <c r="AC933" s="40">
        <v>0</v>
      </c>
      <c r="AD933" s="40">
        <v>0</v>
      </c>
      <c r="AE933" s="40">
        <v>0</v>
      </c>
      <c r="AF933" s="40">
        <v>0</v>
      </c>
      <c r="AG933" s="40">
        <v>0</v>
      </c>
      <c r="AH933" s="40">
        <v>236</v>
      </c>
      <c r="AI933" s="41">
        <f t="shared" si="85"/>
        <v>236</v>
      </c>
      <c r="AJ933" s="42">
        <v>1861</v>
      </c>
      <c r="AK933" s="42">
        <v>1861</v>
      </c>
      <c r="AL933" s="42">
        <v>420</v>
      </c>
      <c r="AM933" s="42">
        <v>1861</v>
      </c>
      <c r="AN933" s="42">
        <v>0</v>
      </c>
      <c r="AO933" s="42">
        <v>0</v>
      </c>
      <c r="AP933" s="42">
        <v>0</v>
      </c>
      <c r="AQ933" s="42">
        <v>0</v>
      </c>
      <c r="AR933" s="42">
        <v>0</v>
      </c>
      <c r="AS933" s="42">
        <v>0</v>
      </c>
      <c r="AT933" s="42">
        <v>0</v>
      </c>
      <c r="AU933" s="42">
        <v>0</v>
      </c>
      <c r="AV933" s="42">
        <f t="shared" si="86"/>
        <v>6003</v>
      </c>
      <c r="AW933" s="42">
        <v>0</v>
      </c>
      <c r="AX933" s="42">
        <v>0</v>
      </c>
      <c r="AY933" s="42">
        <v>0</v>
      </c>
      <c r="AZ933" s="42">
        <v>0</v>
      </c>
      <c r="BA933" s="42">
        <v>0</v>
      </c>
      <c r="BB933" s="42">
        <v>0</v>
      </c>
      <c r="BC933" s="42">
        <v>0</v>
      </c>
      <c r="BD933" s="42">
        <v>0</v>
      </c>
      <c r="BE933" s="42">
        <v>0</v>
      </c>
      <c r="BF933" s="42">
        <v>0</v>
      </c>
      <c r="BG933" s="42">
        <v>0</v>
      </c>
      <c r="BH933" s="42">
        <v>0</v>
      </c>
      <c r="BI933" s="42">
        <v>0</v>
      </c>
      <c r="BJ933" s="42">
        <v>0</v>
      </c>
      <c r="BK933" s="42">
        <v>0</v>
      </c>
      <c r="BL933" s="42">
        <v>0</v>
      </c>
      <c r="BM933" s="42">
        <v>0</v>
      </c>
      <c r="BN933" s="42">
        <v>0</v>
      </c>
      <c r="BO933" s="42">
        <v>0</v>
      </c>
      <c r="BP933" s="42">
        <v>0</v>
      </c>
      <c r="BQ933" s="42">
        <v>0</v>
      </c>
      <c r="BR933" s="42">
        <v>0</v>
      </c>
      <c r="BS933" s="42">
        <v>0</v>
      </c>
      <c r="BT933" s="42">
        <v>0</v>
      </c>
      <c r="BU933" s="42">
        <v>0</v>
      </c>
      <c r="BV933" s="42">
        <v>0</v>
      </c>
      <c r="BW933" s="42">
        <v>0</v>
      </c>
      <c r="BX933" s="42">
        <v>0</v>
      </c>
      <c r="BY933" s="42">
        <v>0</v>
      </c>
      <c r="BZ933" s="42">
        <v>0</v>
      </c>
      <c r="CA933" s="42">
        <v>0</v>
      </c>
      <c r="CB933" s="42">
        <v>0</v>
      </c>
      <c r="CC933" s="42">
        <v>0</v>
      </c>
      <c r="CD933" s="42">
        <v>0</v>
      </c>
      <c r="CE933" s="42">
        <v>0</v>
      </c>
      <c r="CF933" s="42">
        <v>0</v>
      </c>
      <c r="CG933" s="42">
        <v>0</v>
      </c>
      <c r="CH933" s="42">
        <v>0</v>
      </c>
      <c r="CI933" s="42">
        <v>0</v>
      </c>
      <c r="CJ933" s="42">
        <v>0</v>
      </c>
      <c r="CK933" s="43">
        <f t="shared" si="83"/>
        <v>0</v>
      </c>
      <c r="CL933" s="66"/>
      <c r="CM933" s="66">
        <v>0</v>
      </c>
      <c r="CN933" s="66">
        <v>0</v>
      </c>
      <c r="CO933" s="66">
        <v>0</v>
      </c>
      <c r="CP933" s="66">
        <v>0</v>
      </c>
      <c r="CQ933" s="66">
        <v>0</v>
      </c>
      <c r="CR933" s="66">
        <v>0</v>
      </c>
      <c r="CS933" s="66">
        <v>0</v>
      </c>
      <c r="CT933" s="66">
        <v>0</v>
      </c>
      <c r="CU933" s="66">
        <v>0</v>
      </c>
      <c r="CV933" s="66">
        <v>0</v>
      </c>
      <c r="CW933" s="66">
        <v>0</v>
      </c>
      <c r="CX933" s="66">
        <v>0</v>
      </c>
      <c r="CY933" s="66">
        <v>0</v>
      </c>
      <c r="CZ933" s="66">
        <v>0</v>
      </c>
      <c r="DA933" s="66"/>
      <c r="DB933" s="66"/>
      <c r="DC933" s="66"/>
      <c r="DD933" s="66"/>
      <c r="DE933" s="66"/>
      <c r="DF933" s="66"/>
      <c r="DG933" s="66"/>
      <c r="DH933" s="66"/>
      <c r="DI933" s="66"/>
      <c r="DJ933" s="66"/>
      <c r="DK933" s="66">
        <f>SUM(Table1[[#This Row],[01-03 Apr]:[Mar-26]])</f>
        <v>0</v>
      </c>
    </row>
    <row r="934" spans="1:115" hidden="1" x14ac:dyDescent="0.2">
      <c r="A934" s="28" t="s">
        <v>371</v>
      </c>
      <c r="B934" s="29" t="s">
        <v>2023</v>
      </c>
      <c r="C934" s="29" t="s">
        <v>3336</v>
      </c>
      <c r="D934" s="30" t="s">
        <v>2024</v>
      </c>
      <c r="E934" s="30" t="s">
        <v>177</v>
      </c>
      <c r="F934" s="30"/>
      <c r="G934" s="31"/>
      <c r="H934" s="30"/>
      <c r="I934" s="30" t="str">
        <f>IF(Table1[[#This Row],[Centre Status]]="Returned","NA",IF(Table1[[#This Row],[SD]]&gt;19000,"Full Payment",IF(Table1[[#This Row],[SD]]&lt;1,"No Payment","Partial Payment")))</f>
        <v>NA</v>
      </c>
      <c r="J934" s="30" t="s">
        <v>1903</v>
      </c>
      <c r="K934" s="32">
        <v>0</v>
      </c>
      <c r="L934" s="33">
        <f>Q934+R934+U934+Table1[[#This Row],[Farmer Payment]]</f>
        <v>11791</v>
      </c>
      <c r="M934" s="30">
        <v>11881</v>
      </c>
      <c r="N934" s="34">
        <v>45062</v>
      </c>
      <c r="O934" s="34"/>
      <c r="P934" s="35">
        <f t="shared" si="84"/>
        <v>90</v>
      </c>
      <c r="Q934" s="33">
        <f>AI934+AV934+CK934+Table1[[#This Row],[FY 25-26]]</f>
        <v>1791</v>
      </c>
      <c r="R934" s="36">
        <v>10000</v>
      </c>
      <c r="S934" s="37" t="s">
        <v>2174</v>
      </c>
      <c r="T934" s="38">
        <v>44893</v>
      </c>
      <c r="U934" s="39"/>
      <c r="V934" s="39"/>
      <c r="W934" s="40">
        <v>0</v>
      </c>
      <c r="X934" s="40">
        <v>0</v>
      </c>
      <c r="Y934" s="40">
        <v>0</v>
      </c>
      <c r="Z934" s="40">
        <v>0</v>
      </c>
      <c r="AA934" s="40">
        <v>0</v>
      </c>
      <c r="AB934" s="40">
        <v>0</v>
      </c>
      <c r="AC934" s="40">
        <v>0</v>
      </c>
      <c r="AD934" s="40">
        <v>0</v>
      </c>
      <c r="AE934" s="40">
        <v>0</v>
      </c>
      <c r="AF934" s="40">
        <v>0</v>
      </c>
      <c r="AG934" s="40">
        <v>1663</v>
      </c>
      <c r="AH934" s="40">
        <v>128</v>
      </c>
      <c r="AI934" s="41">
        <f t="shared" si="85"/>
        <v>1791</v>
      </c>
      <c r="AJ934" s="42">
        <v>0</v>
      </c>
      <c r="AK934" s="42">
        <v>0</v>
      </c>
      <c r="AL934" s="42">
        <v>0</v>
      </c>
      <c r="AM934" s="42">
        <v>0</v>
      </c>
      <c r="AN934" s="42">
        <v>0</v>
      </c>
      <c r="AO934" s="42">
        <v>0</v>
      </c>
      <c r="AP934" s="42">
        <v>0</v>
      </c>
      <c r="AQ934" s="42">
        <v>0</v>
      </c>
      <c r="AR934" s="42">
        <v>0</v>
      </c>
      <c r="AS934" s="42">
        <v>0</v>
      </c>
      <c r="AT934" s="42">
        <v>0</v>
      </c>
      <c r="AU934" s="42">
        <v>0</v>
      </c>
      <c r="AV934" s="42">
        <f t="shared" si="86"/>
        <v>0</v>
      </c>
      <c r="AW934" s="42">
        <v>0</v>
      </c>
      <c r="AX934" s="42">
        <v>0</v>
      </c>
      <c r="AY934" s="42">
        <v>0</v>
      </c>
      <c r="AZ934" s="42">
        <v>0</v>
      </c>
      <c r="BA934" s="42">
        <v>0</v>
      </c>
      <c r="BB934" s="42">
        <v>0</v>
      </c>
      <c r="BC934" s="42">
        <v>0</v>
      </c>
      <c r="BD934" s="42">
        <v>0</v>
      </c>
      <c r="BE934" s="42">
        <v>0</v>
      </c>
      <c r="BF934" s="42">
        <v>0</v>
      </c>
      <c r="BG934" s="42">
        <v>0</v>
      </c>
      <c r="BH934" s="42">
        <v>0</v>
      </c>
      <c r="BI934" s="42">
        <v>0</v>
      </c>
      <c r="BJ934" s="42">
        <v>0</v>
      </c>
      <c r="BK934" s="42">
        <v>0</v>
      </c>
      <c r="BL934" s="42">
        <v>0</v>
      </c>
      <c r="BM934" s="42">
        <v>0</v>
      </c>
      <c r="BN934" s="42">
        <v>0</v>
      </c>
      <c r="BO934" s="42">
        <v>0</v>
      </c>
      <c r="BP934" s="42">
        <v>0</v>
      </c>
      <c r="BQ934" s="42">
        <v>0</v>
      </c>
      <c r="BR934" s="42">
        <v>0</v>
      </c>
      <c r="BS934" s="42">
        <v>0</v>
      </c>
      <c r="BT934" s="42">
        <v>0</v>
      </c>
      <c r="BU934" s="42">
        <v>0</v>
      </c>
      <c r="BV934" s="42">
        <v>0</v>
      </c>
      <c r="BW934" s="42">
        <v>0</v>
      </c>
      <c r="BX934" s="42">
        <v>0</v>
      </c>
      <c r="BY934" s="42">
        <v>0</v>
      </c>
      <c r="BZ934" s="42">
        <v>0</v>
      </c>
      <c r="CA934" s="42">
        <v>0</v>
      </c>
      <c r="CB934" s="42">
        <v>0</v>
      </c>
      <c r="CC934" s="42">
        <v>0</v>
      </c>
      <c r="CD934" s="42">
        <v>0</v>
      </c>
      <c r="CE934" s="42">
        <v>0</v>
      </c>
      <c r="CF934" s="42">
        <v>0</v>
      </c>
      <c r="CG934" s="42">
        <v>0</v>
      </c>
      <c r="CH934" s="42">
        <v>0</v>
      </c>
      <c r="CI934" s="42">
        <v>0</v>
      </c>
      <c r="CJ934" s="42">
        <v>0</v>
      </c>
      <c r="CK934" s="43">
        <f t="shared" si="83"/>
        <v>0</v>
      </c>
      <c r="CL934" s="66"/>
      <c r="CM934" s="66">
        <v>0</v>
      </c>
      <c r="CN934" s="66">
        <v>0</v>
      </c>
      <c r="CO934" s="66">
        <v>0</v>
      </c>
      <c r="CP934" s="66">
        <v>0</v>
      </c>
      <c r="CQ934" s="66">
        <v>0</v>
      </c>
      <c r="CR934" s="66">
        <v>0</v>
      </c>
      <c r="CS934" s="66">
        <v>0</v>
      </c>
      <c r="CT934" s="66">
        <v>0</v>
      </c>
      <c r="CU934" s="66">
        <v>0</v>
      </c>
      <c r="CV934" s="66">
        <v>0</v>
      </c>
      <c r="CW934" s="66">
        <v>0</v>
      </c>
      <c r="CX934" s="66">
        <v>0</v>
      </c>
      <c r="CY934" s="66">
        <v>0</v>
      </c>
      <c r="CZ934" s="66">
        <v>0</v>
      </c>
      <c r="DA934" s="66"/>
      <c r="DB934" s="66"/>
      <c r="DC934" s="66"/>
      <c r="DD934" s="66"/>
      <c r="DE934" s="66"/>
      <c r="DF934" s="66"/>
      <c r="DG934" s="66"/>
      <c r="DH934" s="66"/>
      <c r="DI934" s="66"/>
      <c r="DJ934" s="66"/>
      <c r="DK934" s="66">
        <f>SUM(Table1[[#This Row],[01-03 Apr]:[Mar-26]])</f>
        <v>0</v>
      </c>
    </row>
    <row r="935" spans="1:115" hidden="1" x14ac:dyDescent="0.2">
      <c r="A935" s="28" t="s">
        <v>371</v>
      </c>
      <c r="B935" s="29"/>
      <c r="C935" s="29" t="s">
        <v>3336</v>
      </c>
      <c r="D935" s="30" t="s">
        <v>2025</v>
      </c>
      <c r="E935" s="30" t="s">
        <v>85</v>
      </c>
      <c r="F935" s="30"/>
      <c r="G935" s="31"/>
      <c r="H935" s="30"/>
      <c r="I935" s="30" t="str">
        <f>IF(Table1[[#This Row],[Centre Status]]="Returned","NA",IF(Table1[[#This Row],[SD]]&gt;19000,"Full Payment",IF(Table1[[#This Row],[SD]]&lt;1,"No Payment","Partial Payment")))</f>
        <v>NA</v>
      </c>
      <c r="J935" s="30" t="s">
        <v>1903</v>
      </c>
      <c r="K935" s="32">
        <v>0</v>
      </c>
      <c r="L935" s="33">
        <f>Q935+R935+U935+Table1[[#This Row],[Farmer Payment]]</f>
        <v>20000</v>
      </c>
      <c r="M935" s="30">
        <v>20000</v>
      </c>
      <c r="N935" s="34">
        <v>45014</v>
      </c>
      <c r="O935" s="34"/>
      <c r="P935" s="35">
        <f t="shared" si="84"/>
        <v>0</v>
      </c>
      <c r="Q935" s="33">
        <f>AI935+AV935+CK935+Table1[[#This Row],[FY 25-26]]</f>
        <v>0</v>
      </c>
      <c r="R935" s="36">
        <v>20000</v>
      </c>
      <c r="S935" s="37" t="s">
        <v>2175</v>
      </c>
      <c r="T935" s="38">
        <v>45005</v>
      </c>
      <c r="U935" s="39"/>
      <c r="V935" s="39"/>
      <c r="W935" s="40">
        <v>0</v>
      </c>
      <c r="X935" s="40">
        <v>0</v>
      </c>
      <c r="Y935" s="40">
        <v>0</v>
      </c>
      <c r="Z935" s="40">
        <v>0</v>
      </c>
      <c r="AA935" s="40">
        <v>0</v>
      </c>
      <c r="AB935" s="40">
        <v>0</v>
      </c>
      <c r="AC935" s="40">
        <v>0</v>
      </c>
      <c r="AD935" s="40">
        <v>0</v>
      </c>
      <c r="AE935" s="40">
        <v>0</v>
      </c>
      <c r="AF935" s="40">
        <v>0</v>
      </c>
      <c r="AG935" s="40">
        <v>0</v>
      </c>
      <c r="AH935" s="40">
        <v>0</v>
      </c>
      <c r="AI935" s="41">
        <f t="shared" si="85"/>
        <v>0</v>
      </c>
      <c r="AJ935" s="42">
        <v>0</v>
      </c>
      <c r="AK935" s="42">
        <v>0</v>
      </c>
      <c r="AL935" s="42">
        <v>0</v>
      </c>
      <c r="AM935" s="42">
        <v>0</v>
      </c>
      <c r="AN935" s="42">
        <v>0</v>
      </c>
      <c r="AO935" s="42">
        <v>0</v>
      </c>
      <c r="AP935" s="42">
        <v>0</v>
      </c>
      <c r="AQ935" s="42">
        <v>0</v>
      </c>
      <c r="AR935" s="42">
        <v>0</v>
      </c>
      <c r="AS935" s="42">
        <v>0</v>
      </c>
      <c r="AT935" s="42">
        <v>0</v>
      </c>
      <c r="AU935" s="42">
        <v>0</v>
      </c>
      <c r="AV935" s="42">
        <f t="shared" si="86"/>
        <v>0</v>
      </c>
      <c r="AW935" s="42">
        <v>0</v>
      </c>
      <c r="AX935" s="42">
        <v>0</v>
      </c>
      <c r="AY935" s="42">
        <v>0</v>
      </c>
      <c r="AZ935" s="42">
        <v>0</v>
      </c>
      <c r="BA935" s="42">
        <v>0</v>
      </c>
      <c r="BB935" s="42">
        <v>0</v>
      </c>
      <c r="BC935" s="42">
        <v>0</v>
      </c>
      <c r="BD935" s="42">
        <v>0</v>
      </c>
      <c r="BE935" s="42">
        <v>0</v>
      </c>
      <c r="BF935" s="42">
        <v>0</v>
      </c>
      <c r="BG935" s="42">
        <v>0</v>
      </c>
      <c r="BH935" s="42">
        <v>0</v>
      </c>
      <c r="BI935" s="42">
        <v>0</v>
      </c>
      <c r="BJ935" s="42">
        <v>0</v>
      </c>
      <c r="BK935" s="42">
        <v>0</v>
      </c>
      <c r="BL935" s="42">
        <v>0</v>
      </c>
      <c r="BM935" s="42">
        <v>0</v>
      </c>
      <c r="BN935" s="42">
        <v>0</v>
      </c>
      <c r="BO935" s="42">
        <v>0</v>
      </c>
      <c r="BP935" s="42">
        <v>0</v>
      </c>
      <c r="BQ935" s="42">
        <v>0</v>
      </c>
      <c r="BR935" s="42">
        <v>0</v>
      </c>
      <c r="BS935" s="42">
        <v>0</v>
      </c>
      <c r="BT935" s="42">
        <v>0</v>
      </c>
      <c r="BU935" s="42">
        <v>0</v>
      </c>
      <c r="BV935" s="42">
        <v>0</v>
      </c>
      <c r="BW935" s="42">
        <v>0</v>
      </c>
      <c r="BX935" s="42">
        <v>0</v>
      </c>
      <c r="BY935" s="42">
        <v>0</v>
      </c>
      <c r="BZ935" s="42">
        <v>0</v>
      </c>
      <c r="CA935" s="42">
        <v>0</v>
      </c>
      <c r="CB935" s="42">
        <v>0</v>
      </c>
      <c r="CC935" s="42">
        <v>0</v>
      </c>
      <c r="CD935" s="42">
        <v>0</v>
      </c>
      <c r="CE935" s="42">
        <v>0</v>
      </c>
      <c r="CF935" s="42">
        <v>0</v>
      </c>
      <c r="CG935" s="42">
        <v>0</v>
      </c>
      <c r="CH935" s="42">
        <v>0</v>
      </c>
      <c r="CI935" s="42">
        <v>0</v>
      </c>
      <c r="CJ935" s="42">
        <v>0</v>
      </c>
      <c r="CK935" s="43">
        <f t="shared" si="83"/>
        <v>0</v>
      </c>
      <c r="CL935" s="66"/>
      <c r="CM935" s="66">
        <v>0</v>
      </c>
      <c r="CN935" s="66">
        <v>0</v>
      </c>
      <c r="CO935" s="66">
        <v>0</v>
      </c>
      <c r="CP935" s="66">
        <v>0</v>
      </c>
      <c r="CQ935" s="66">
        <v>0</v>
      </c>
      <c r="CR935" s="66">
        <v>0</v>
      </c>
      <c r="CS935" s="66">
        <v>0</v>
      </c>
      <c r="CT935" s="66">
        <v>0</v>
      </c>
      <c r="CU935" s="66">
        <v>0</v>
      </c>
      <c r="CV935" s="66">
        <v>0</v>
      </c>
      <c r="CW935" s="66">
        <v>0</v>
      </c>
      <c r="CX935" s="66">
        <v>0</v>
      </c>
      <c r="CY935" s="66">
        <v>0</v>
      </c>
      <c r="CZ935" s="66">
        <v>0</v>
      </c>
      <c r="DA935" s="66"/>
      <c r="DB935" s="66"/>
      <c r="DC935" s="66"/>
      <c r="DD935" s="66"/>
      <c r="DE935" s="66"/>
      <c r="DF935" s="66"/>
      <c r="DG935" s="66"/>
      <c r="DH935" s="66"/>
      <c r="DI935" s="66"/>
      <c r="DJ935" s="66"/>
      <c r="DK935" s="66">
        <f>SUM(Table1[[#This Row],[01-03 Apr]:[Mar-26]])</f>
        <v>0</v>
      </c>
    </row>
    <row r="936" spans="1:115" hidden="1" x14ac:dyDescent="0.2">
      <c r="A936" s="28" t="s">
        <v>371</v>
      </c>
      <c r="B936" s="29"/>
      <c r="C936" s="29" t="s">
        <v>3336</v>
      </c>
      <c r="D936" s="30" t="s">
        <v>2026</v>
      </c>
      <c r="E936" s="30" t="s">
        <v>177</v>
      </c>
      <c r="F936" s="30"/>
      <c r="G936" s="31"/>
      <c r="H936" s="30"/>
      <c r="I936" s="30" t="str">
        <f>IF(Table1[[#This Row],[Centre Status]]="Returned","NA",IF(Table1[[#This Row],[SD]]&gt;19000,"Full Payment",IF(Table1[[#This Row],[SD]]&lt;1,"No Payment","Partial Payment")))</f>
        <v>NA</v>
      </c>
      <c r="J936" s="30" t="s">
        <v>1903</v>
      </c>
      <c r="K936" s="32">
        <v>0</v>
      </c>
      <c r="L936" s="33">
        <f>Q936+R936+U936+Table1[[#This Row],[Farmer Payment]]</f>
        <v>5000</v>
      </c>
      <c r="M936" s="30"/>
      <c r="N936" s="34"/>
      <c r="O936" s="34"/>
      <c r="P936" s="35">
        <f t="shared" si="84"/>
        <v>-5000</v>
      </c>
      <c r="Q936" s="33">
        <f>AI936+AV936+CK936+Table1[[#This Row],[FY 25-26]]</f>
        <v>0</v>
      </c>
      <c r="R936" s="36">
        <v>5000</v>
      </c>
      <c r="S936" s="37" t="s">
        <v>2176</v>
      </c>
      <c r="T936" s="38">
        <v>44906</v>
      </c>
      <c r="U936" s="39"/>
      <c r="V936" s="39"/>
      <c r="W936" s="40">
        <v>0</v>
      </c>
      <c r="X936" s="40">
        <v>0</v>
      </c>
      <c r="Y936" s="40">
        <v>0</v>
      </c>
      <c r="Z936" s="40">
        <v>0</v>
      </c>
      <c r="AA936" s="40">
        <v>0</v>
      </c>
      <c r="AB936" s="40">
        <v>0</v>
      </c>
      <c r="AC936" s="40">
        <v>0</v>
      </c>
      <c r="AD936" s="40">
        <v>0</v>
      </c>
      <c r="AE936" s="40">
        <v>0</v>
      </c>
      <c r="AF936" s="40">
        <v>0</v>
      </c>
      <c r="AG936" s="40">
        <v>0</v>
      </c>
      <c r="AH936" s="40">
        <v>0</v>
      </c>
      <c r="AI936" s="41">
        <f t="shared" si="85"/>
        <v>0</v>
      </c>
      <c r="AJ936" s="42">
        <v>0</v>
      </c>
      <c r="AK936" s="42">
        <v>0</v>
      </c>
      <c r="AL936" s="42">
        <v>0</v>
      </c>
      <c r="AM936" s="42">
        <v>0</v>
      </c>
      <c r="AN936" s="42">
        <v>0</v>
      </c>
      <c r="AO936" s="42">
        <v>0</v>
      </c>
      <c r="AP936" s="42">
        <v>0</v>
      </c>
      <c r="AQ936" s="42">
        <v>0</v>
      </c>
      <c r="AR936" s="42">
        <v>0</v>
      </c>
      <c r="AS936" s="42">
        <v>0</v>
      </c>
      <c r="AT936" s="42">
        <v>0</v>
      </c>
      <c r="AU936" s="42">
        <v>0</v>
      </c>
      <c r="AV936" s="42">
        <f t="shared" si="86"/>
        <v>0</v>
      </c>
      <c r="AW936" s="42">
        <v>0</v>
      </c>
      <c r="AX936" s="42">
        <v>0</v>
      </c>
      <c r="AY936" s="42">
        <v>0</v>
      </c>
      <c r="AZ936" s="42">
        <v>0</v>
      </c>
      <c r="BA936" s="42">
        <v>0</v>
      </c>
      <c r="BB936" s="42">
        <v>0</v>
      </c>
      <c r="BC936" s="42">
        <v>0</v>
      </c>
      <c r="BD936" s="42">
        <v>0</v>
      </c>
      <c r="BE936" s="42">
        <v>0</v>
      </c>
      <c r="BF936" s="42">
        <v>0</v>
      </c>
      <c r="BG936" s="42">
        <v>0</v>
      </c>
      <c r="BH936" s="42">
        <v>0</v>
      </c>
      <c r="BI936" s="42">
        <v>0</v>
      </c>
      <c r="BJ936" s="42">
        <v>0</v>
      </c>
      <c r="BK936" s="42">
        <v>0</v>
      </c>
      <c r="BL936" s="42">
        <v>0</v>
      </c>
      <c r="BM936" s="42">
        <v>0</v>
      </c>
      <c r="BN936" s="42">
        <v>0</v>
      </c>
      <c r="BO936" s="42">
        <v>0</v>
      </c>
      <c r="BP936" s="42">
        <v>0</v>
      </c>
      <c r="BQ936" s="42">
        <v>0</v>
      </c>
      <c r="BR936" s="42">
        <v>0</v>
      </c>
      <c r="BS936" s="42">
        <v>0</v>
      </c>
      <c r="BT936" s="42">
        <v>0</v>
      </c>
      <c r="BU936" s="42">
        <v>0</v>
      </c>
      <c r="BV936" s="42">
        <v>0</v>
      </c>
      <c r="BW936" s="42">
        <v>0</v>
      </c>
      <c r="BX936" s="42">
        <v>0</v>
      </c>
      <c r="BY936" s="42">
        <v>0</v>
      </c>
      <c r="BZ936" s="42">
        <v>0</v>
      </c>
      <c r="CA936" s="42">
        <v>0</v>
      </c>
      <c r="CB936" s="42">
        <v>0</v>
      </c>
      <c r="CC936" s="42">
        <v>0</v>
      </c>
      <c r="CD936" s="42">
        <v>0</v>
      </c>
      <c r="CE936" s="42">
        <v>0</v>
      </c>
      <c r="CF936" s="42">
        <v>0</v>
      </c>
      <c r="CG936" s="42">
        <v>0</v>
      </c>
      <c r="CH936" s="42">
        <v>0</v>
      </c>
      <c r="CI936" s="42">
        <v>0</v>
      </c>
      <c r="CJ936" s="42">
        <v>0</v>
      </c>
      <c r="CK936" s="43">
        <f t="shared" si="83"/>
        <v>0</v>
      </c>
      <c r="CL936" s="66"/>
      <c r="CM936" s="66">
        <v>0</v>
      </c>
      <c r="CN936" s="66">
        <v>0</v>
      </c>
      <c r="CO936" s="66">
        <v>0</v>
      </c>
      <c r="CP936" s="66">
        <v>0</v>
      </c>
      <c r="CQ936" s="66">
        <v>0</v>
      </c>
      <c r="CR936" s="66">
        <v>0</v>
      </c>
      <c r="CS936" s="66">
        <v>0</v>
      </c>
      <c r="CT936" s="66">
        <v>0</v>
      </c>
      <c r="CU936" s="66">
        <v>0</v>
      </c>
      <c r="CV936" s="66">
        <v>0</v>
      </c>
      <c r="CW936" s="66">
        <v>0</v>
      </c>
      <c r="CX936" s="66">
        <v>0</v>
      </c>
      <c r="CY936" s="66">
        <v>0</v>
      </c>
      <c r="CZ936" s="66">
        <v>0</v>
      </c>
      <c r="DA936" s="66"/>
      <c r="DB936" s="66"/>
      <c r="DC936" s="66"/>
      <c r="DD936" s="66"/>
      <c r="DE936" s="66"/>
      <c r="DF936" s="66"/>
      <c r="DG936" s="66"/>
      <c r="DH936" s="66"/>
      <c r="DI936" s="66"/>
      <c r="DJ936" s="66"/>
      <c r="DK936" s="66">
        <f>SUM(Table1[[#This Row],[01-03 Apr]:[Mar-26]])</f>
        <v>0</v>
      </c>
    </row>
    <row r="937" spans="1:115" hidden="1" x14ac:dyDescent="0.2">
      <c r="A937" s="28" t="s">
        <v>371</v>
      </c>
      <c r="B937" s="29"/>
      <c r="C937" s="29" t="s">
        <v>3336</v>
      </c>
      <c r="D937" s="30" t="s">
        <v>2027</v>
      </c>
      <c r="E937" s="30"/>
      <c r="F937" s="30"/>
      <c r="G937" s="31"/>
      <c r="H937" s="30"/>
      <c r="I937" s="30" t="str">
        <f>IF(Table1[[#This Row],[Centre Status]]="Returned","NA",IF(Table1[[#This Row],[SD]]&gt;19000,"Full Payment",IF(Table1[[#This Row],[SD]]&lt;1,"No Payment","Partial Payment")))</f>
        <v>NA</v>
      </c>
      <c r="J937" s="30" t="s">
        <v>1903</v>
      </c>
      <c r="K937" s="32">
        <v>0</v>
      </c>
      <c r="L937" s="33">
        <f>Q937+R937+U937+Table1[[#This Row],[Farmer Payment]]</f>
        <v>10000</v>
      </c>
      <c r="M937" s="30">
        <v>10000</v>
      </c>
      <c r="N937" s="34">
        <v>45381</v>
      </c>
      <c r="O937" s="34"/>
      <c r="P937" s="35">
        <f t="shared" si="84"/>
        <v>0</v>
      </c>
      <c r="Q937" s="33">
        <f>AI937+AV937+CK937+Table1[[#This Row],[FY 25-26]]</f>
        <v>0</v>
      </c>
      <c r="R937" s="36">
        <v>10000</v>
      </c>
      <c r="S937" s="37" t="s">
        <v>2177</v>
      </c>
      <c r="T937" s="38">
        <v>45352</v>
      </c>
      <c r="U937" s="39"/>
      <c r="V937" s="39"/>
      <c r="W937" s="40">
        <v>0</v>
      </c>
      <c r="X937" s="40">
        <v>0</v>
      </c>
      <c r="Y937" s="40">
        <v>0</v>
      </c>
      <c r="Z937" s="40">
        <v>0</v>
      </c>
      <c r="AA937" s="40">
        <v>0</v>
      </c>
      <c r="AB937" s="40">
        <v>0</v>
      </c>
      <c r="AC937" s="40">
        <v>0</v>
      </c>
      <c r="AD937" s="40">
        <v>0</v>
      </c>
      <c r="AE937" s="40">
        <v>0</v>
      </c>
      <c r="AF937" s="40">
        <v>0</v>
      </c>
      <c r="AG937" s="40">
        <v>0</v>
      </c>
      <c r="AH937" s="40">
        <v>0</v>
      </c>
      <c r="AI937" s="41">
        <f t="shared" si="85"/>
        <v>0</v>
      </c>
      <c r="AJ937" s="42">
        <v>0</v>
      </c>
      <c r="AK937" s="42">
        <v>0</v>
      </c>
      <c r="AL937" s="42">
        <v>0</v>
      </c>
      <c r="AM937" s="42">
        <v>0</v>
      </c>
      <c r="AN937" s="42">
        <v>0</v>
      </c>
      <c r="AO937" s="42">
        <v>0</v>
      </c>
      <c r="AP937" s="42">
        <v>0</v>
      </c>
      <c r="AQ937" s="42">
        <v>0</v>
      </c>
      <c r="AR937" s="42">
        <v>0</v>
      </c>
      <c r="AS937" s="42">
        <v>0</v>
      </c>
      <c r="AT937" s="42">
        <v>0</v>
      </c>
      <c r="AU937" s="42">
        <v>0</v>
      </c>
      <c r="AV937" s="42">
        <f t="shared" si="86"/>
        <v>0</v>
      </c>
      <c r="AW937" s="42">
        <v>0</v>
      </c>
      <c r="AX937" s="42">
        <v>0</v>
      </c>
      <c r="AY937" s="42">
        <v>0</v>
      </c>
      <c r="AZ937" s="42">
        <v>0</v>
      </c>
      <c r="BA937" s="42">
        <v>0</v>
      </c>
      <c r="BB937" s="42">
        <v>0</v>
      </c>
      <c r="BC937" s="42">
        <v>0</v>
      </c>
      <c r="BD937" s="42">
        <v>0</v>
      </c>
      <c r="BE937" s="42">
        <v>0</v>
      </c>
      <c r="BF937" s="42">
        <v>0</v>
      </c>
      <c r="BG937" s="42">
        <v>0</v>
      </c>
      <c r="BH937" s="42">
        <v>0</v>
      </c>
      <c r="BI937" s="42">
        <v>0</v>
      </c>
      <c r="BJ937" s="42">
        <v>0</v>
      </c>
      <c r="BK937" s="42">
        <v>0</v>
      </c>
      <c r="BL937" s="42">
        <v>0</v>
      </c>
      <c r="BM937" s="42">
        <v>0</v>
      </c>
      <c r="BN937" s="42">
        <v>0</v>
      </c>
      <c r="BO937" s="42">
        <v>0</v>
      </c>
      <c r="BP937" s="42">
        <v>0</v>
      </c>
      <c r="BQ937" s="42">
        <v>0</v>
      </c>
      <c r="BR937" s="42">
        <v>0</v>
      </c>
      <c r="BS937" s="42">
        <v>0</v>
      </c>
      <c r="BT937" s="42">
        <v>0</v>
      </c>
      <c r="BU937" s="42">
        <v>0</v>
      </c>
      <c r="BV937" s="42">
        <v>0</v>
      </c>
      <c r="BW937" s="42">
        <v>0</v>
      </c>
      <c r="BX937" s="42">
        <v>0</v>
      </c>
      <c r="BY937" s="42">
        <v>0</v>
      </c>
      <c r="BZ937" s="42">
        <v>0</v>
      </c>
      <c r="CA937" s="42">
        <v>0</v>
      </c>
      <c r="CB937" s="42">
        <v>0</v>
      </c>
      <c r="CC937" s="42">
        <v>0</v>
      </c>
      <c r="CD937" s="42">
        <v>0</v>
      </c>
      <c r="CE937" s="42">
        <v>0</v>
      </c>
      <c r="CF937" s="42">
        <v>0</v>
      </c>
      <c r="CG937" s="42">
        <v>0</v>
      </c>
      <c r="CH937" s="42">
        <v>0</v>
      </c>
      <c r="CI937" s="42">
        <v>0</v>
      </c>
      <c r="CJ937" s="42">
        <v>0</v>
      </c>
      <c r="CK937" s="43">
        <f t="shared" si="83"/>
        <v>0</v>
      </c>
      <c r="CL937" s="66"/>
      <c r="CM937" s="66">
        <v>0</v>
      </c>
      <c r="CN937" s="66">
        <v>0</v>
      </c>
      <c r="CO937" s="66">
        <v>0</v>
      </c>
      <c r="CP937" s="66">
        <v>0</v>
      </c>
      <c r="CQ937" s="66">
        <v>0</v>
      </c>
      <c r="CR937" s="66">
        <v>0</v>
      </c>
      <c r="CS937" s="66">
        <v>0</v>
      </c>
      <c r="CT937" s="66">
        <v>0</v>
      </c>
      <c r="CU937" s="66">
        <v>0</v>
      </c>
      <c r="CV937" s="66">
        <v>0</v>
      </c>
      <c r="CW937" s="66">
        <v>0</v>
      </c>
      <c r="CX937" s="66">
        <v>0</v>
      </c>
      <c r="CY937" s="66">
        <v>0</v>
      </c>
      <c r="CZ937" s="66">
        <v>0</v>
      </c>
      <c r="DA937" s="66"/>
      <c r="DB937" s="66"/>
      <c r="DC937" s="66"/>
      <c r="DD937" s="66"/>
      <c r="DE937" s="66"/>
      <c r="DF937" s="66"/>
      <c r="DG937" s="66"/>
      <c r="DH937" s="66"/>
      <c r="DI937" s="66"/>
      <c r="DJ937" s="66"/>
      <c r="DK937" s="66">
        <f>SUM(Table1[[#This Row],[01-03 Apr]:[Mar-26]])</f>
        <v>0</v>
      </c>
    </row>
    <row r="938" spans="1:115" hidden="1" x14ac:dyDescent="0.2">
      <c r="A938" s="28" t="s">
        <v>371</v>
      </c>
      <c r="B938" s="29"/>
      <c r="C938" s="29" t="s">
        <v>3336</v>
      </c>
      <c r="D938" s="30" t="s">
        <v>2028</v>
      </c>
      <c r="E938" s="30"/>
      <c r="F938" s="30"/>
      <c r="G938" s="31"/>
      <c r="H938" s="30"/>
      <c r="I938" s="30" t="str">
        <f>IF(Table1[[#This Row],[Centre Status]]="Returned","NA",IF(Table1[[#This Row],[SD]]&gt;19000,"Full Payment",IF(Table1[[#This Row],[SD]]&lt;1,"No Payment","Partial Payment")))</f>
        <v>NA</v>
      </c>
      <c r="J938" s="30" t="s">
        <v>1903</v>
      </c>
      <c r="K938" s="32">
        <v>0</v>
      </c>
      <c r="L938" s="33">
        <f>Q938+R938+U938+Table1[[#This Row],[Farmer Payment]]</f>
        <v>20000</v>
      </c>
      <c r="M938" s="30">
        <v>20000</v>
      </c>
      <c r="N938" s="34">
        <v>45381</v>
      </c>
      <c r="O938" s="34"/>
      <c r="P938" s="35">
        <f t="shared" si="84"/>
        <v>0</v>
      </c>
      <c r="Q938" s="33">
        <f>AI938+AV938+CK938+Table1[[#This Row],[FY 25-26]]</f>
        <v>0</v>
      </c>
      <c r="R938" s="36">
        <v>20000</v>
      </c>
      <c r="S938" s="37" t="s">
        <v>2178</v>
      </c>
      <c r="T938" s="38">
        <v>45353</v>
      </c>
      <c r="U938" s="39"/>
      <c r="V938" s="39"/>
      <c r="W938" s="40">
        <v>0</v>
      </c>
      <c r="X938" s="40">
        <v>0</v>
      </c>
      <c r="Y938" s="40">
        <v>0</v>
      </c>
      <c r="Z938" s="40">
        <v>0</v>
      </c>
      <c r="AA938" s="40">
        <v>0</v>
      </c>
      <c r="AB938" s="40">
        <v>0</v>
      </c>
      <c r="AC938" s="40">
        <v>0</v>
      </c>
      <c r="AD938" s="40">
        <v>0</v>
      </c>
      <c r="AE938" s="40">
        <v>0</v>
      </c>
      <c r="AF938" s="40">
        <v>0</v>
      </c>
      <c r="AG938" s="40">
        <v>0</v>
      </c>
      <c r="AH938" s="40">
        <v>0</v>
      </c>
      <c r="AI938" s="41">
        <f t="shared" si="85"/>
        <v>0</v>
      </c>
      <c r="AJ938" s="42">
        <v>0</v>
      </c>
      <c r="AK938" s="42">
        <v>0</v>
      </c>
      <c r="AL938" s="42">
        <v>0</v>
      </c>
      <c r="AM938" s="42">
        <v>0</v>
      </c>
      <c r="AN938" s="42">
        <v>0</v>
      </c>
      <c r="AO938" s="42">
        <v>0</v>
      </c>
      <c r="AP938" s="42">
        <v>0</v>
      </c>
      <c r="AQ938" s="42">
        <v>0</v>
      </c>
      <c r="AR938" s="42">
        <v>0</v>
      </c>
      <c r="AS938" s="42">
        <v>0</v>
      </c>
      <c r="AT938" s="42">
        <v>0</v>
      </c>
      <c r="AU938" s="42">
        <v>0</v>
      </c>
      <c r="AV938" s="42">
        <f t="shared" si="86"/>
        <v>0</v>
      </c>
      <c r="AW938" s="42">
        <v>0</v>
      </c>
      <c r="AX938" s="42">
        <v>0</v>
      </c>
      <c r="AY938" s="42">
        <v>0</v>
      </c>
      <c r="AZ938" s="42">
        <v>0</v>
      </c>
      <c r="BA938" s="42">
        <v>0</v>
      </c>
      <c r="BB938" s="42">
        <v>0</v>
      </c>
      <c r="BC938" s="42">
        <v>0</v>
      </c>
      <c r="BD938" s="42">
        <v>0</v>
      </c>
      <c r="BE938" s="42">
        <v>0</v>
      </c>
      <c r="BF938" s="42">
        <v>0</v>
      </c>
      <c r="BG938" s="42">
        <v>0</v>
      </c>
      <c r="BH938" s="42">
        <v>0</v>
      </c>
      <c r="BI938" s="42">
        <v>0</v>
      </c>
      <c r="BJ938" s="42">
        <v>0</v>
      </c>
      <c r="BK938" s="42">
        <v>0</v>
      </c>
      <c r="BL938" s="42">
        <v>0</v>
      </c>
      <c r="BM938" s="42">
        <v>0</v>
      </c>
      <c r="BN938" s="42">
        <v>0</v>
      </c>
      <c r="BO938" s="42">
        <v>0</v>
      </c>
      <c r="BP938" s="42">
        <v>0</v>
      </c>
      <c r="BQ938" s="42">
        <v>0</v>
      </c>
      <c r="BR938" s="42">
        <v>0</v>
      </c>
      <c r="BS938" s="42">
        <v>0</v>
      </c>
      <c r="BT938" s="42">
        <v>0</v>
      </c>
      <c r="BU938" s="42">
        <v>0</v>
      </c>
      <c r="BV938" s="42">
        <v>0</v>
      </c>
      <c r="BW938" s="42">
        <v>0</v>
      </c>
      <c r="BX938" s="42">
        <v>0</v>
      </c>
      <c r="BY938" s="42">
        <v>0</v>
      </c>
      <c r="BZ938" s="42">
        <v>0</v>
      </c>
      <c r="CA938" s="42">
        <v>0</v>
      </c>
      <c r="CB938" s="42">
        <v>0</v>
      </c>
      <c r="CC938" s="42">
        <v>0</v>
      </c>
      <c r="CD938" s="42">
        <v>0</v>
      </c>
      <c r="CE938" s="42">
        <v>0</v>
      </c>
      <c r="CF938" s="42">
        <v>0</v>
      </c>
      <c r="CG938" s="42">
        <v>0</v>
      </c>
      <c r="CH938" s="42">
        <v>0</v>
      </c>
      <c r="CI938" s="42">
        <v>0</v>
      </c>
      <c r="CJ938" s="42">
        <v>0</v>
      </c>
      <c r="CK938" s="43">
        <f t="shared" ref="CK938:CK1002" si="87">SUM(AW938:CJ938)</f>
        <v>0</v>
      </c>
      <c r="CL938" s="66"/>
      <c r="CM938" s="66">
        <v>0</v>
      </c>
      <c r="CN938" s="66">
        <v>0</v>
      </c>
      <c r="CO938" s="66">
        <v>0</v>
      </c>
      <c r="CP938" s="66">
        <v>0</v>
      </c>
      <c r="CQ938" s="66">
        <v>0</v>
      </c>
      <c r="CR938" s="66">
        <v>0</v>
      </c>
      <c r="CS938" s="66">
        <v>0</v>
      </c>
      <c r="CT938" s="66">
        <v>0</v>
      </c>
      <c r="CU938" s="66">
        <v>0</v>
      </c>
      <c r="CV938" s="66">
        <v>0</v>
      </c>
      <c r="CW938" s="66">
        <v>0</v>
      </c>
      <c r="CX938" s="66">
        <v>0</v>
      </c>
      <c r="CY938" s="66">
        <v>0</v>
      </c>
      <c r="CZ938" s="66">
        <v>0</v>
      </c>
      <c r="DA938" s="66"/>
      <c r="DB938" s="66"/>
      <c r="DC938" s="66"/>
      <c r="DD938" s="66"/>
      <c r="DE938" s="66"/>
      <c r="DF938" s="66"/>
      <c r="DG938" s="66"/>
      <c r="DH938" s="66"/>
      <c r="DI938" s="66"/>
      <c r="DJ938" s="66"/>
      <c r="DK938" s="66">
        <f>SUM(Table1[[#This Row],[01-03 Apr]:[Mar-26]])</f>
        <v>0</v>
      </c>
    </row>
    <row r="939" spans="1:115" hidden="1" x14ac:dyDescent="0.2">
      <c r="A939" s="28" t="s">
        <v>371</v>
      </c>
      <c r="B939" s="29" t="s">
        <v>2029</v>
      </c>
      <c r="C939" s="29" t="s">
        <v>3336</v>
      </c>
      <c r="D939" s="30"/>
      <c r="E939" s="30" t="s">
        <v>217</v>
      </c>
      <c r="F939" s="30"/>
      <c r="G939" s="31"/>
      <c r="H939" s="30"/>
      <c r="I939" s="30" t="str">
        <f>IF(Table1[[#This Row],[Centre Status]]="Returned","NA",IF(Table1[[#This Row],[SD]]&gt;19000,"Full Payment",IF(Table1[[#This Row],[SD]]&lt;1,"No Payment","Partial Payment")))</f>
        <v>NA</v>
      </c>
      <c r="J939" s="30" t="s">
        <v>1903</v>
      </c>
      <c r="K939" s="32">
        <v>0</v>
      </c>
      <c r="L939" s="33">
        <f>Q939+R939+U939+Table1[[#This Row],[Farmer Payment]]</f>
        <v>0</v>
      </c>
      <c r="M939" s="30">
        <v>20000</v>
      </c>
      <c r="N939" s="34">
        <v>45365</v>
      </c>
      <c r="O939" s="34"/>
      <c r="P939" s="35">
        <f t="shared" si="84"/>
        <v>20000</v>
      </c>
      <c r="Q939" s="33">
        <f>AI939+AV939+CK939+Table1[[#This Row],[FY 25-26]]</f>
        <v>0</v>
      </c>
      <c r="R939" s="36"/>
      <c r="S939" s="37"/>
      <c r="T939" s="38"/>
      <c r="U939" s="39"/>
      <c r="V939" s="39"/>
      <c r="W939" s="40">
        <v>0</v>
      </c>
      <c r="X939" s="40">
        <v>0</v>
      </c>
      <c r="Y939" s="40">
        <v>0</v>
      </c>
      <c r="Z939" s="40">
        <v>0</v>
      </c>
      <c r="AA939" s="40">
        <v>0</v>
      </c>
      <c r="AB939" s="40">
        <v>0</v>
      </c>
      <c r="AC939" s="40">
        <v>0</v>
      </c>
      <c r="AD939" s="40">
        <v>0</v>
      </c>
      <c r="AE939" s="40">
        <v>0</v>
      </c>
      <c r="AF939" s="40">
        <v>0</v>
      </c>
      <c r="AG939" s="40">
        <v>0</v>
      </c>
      <c r="AH939" s="40">
        <v>0</v>
      </c>
      <c r="AI939" s="41">
        <f t="shared" si="85"/>
        <v>0</v>
      </c>
      <c r="AJ939" s="42">
        <v>0</v>
      </c>
      <c r="AK939" s="42">
        <v>0</v>
      </c>
      <c r="AL939" s="42">
        <v>0</v>
      </c>
      <c r="AM939" s="42">
        <v>0</v>
      </c>
      <c r="AN939" s="42">
        <v>0</v>
      </c>
      <c r="AO939" s="42">
        <v>0</v>
      </c>
      <c r="AP939" s="42">
        <v>0</v>
      </c>
      <c r="AQ939" s="42">
        <v>0</v>
      </c>
      <c r="AR939" s="42">
        <v>0</v>
      </c>
      <c r="AS939" s="42">
        <v>0</v>
      </c>
      <c r="AT939" s="42">
        <v>0</v>
      </c>
      <c r="AU939" s="42">
        <v>0</v>
      </c>
      <c r="AV939" s="42">
        <f t="shared" si="86"/>
        <v>0</v>
      </c>
      <c r="AW939" s="42">
        <v>0</v>
      </c>
      <c r="AX939" s="42">
        <v>0</v>
      </c>
      <c r="AY939" s="42">
        <v>0</v>
      </c>
      <c r="AZ939" s="42">
        <v>0</v>
      </c>
      <c r="BA939" s="42">
        <v>0</v>
      </c>
      <c r="BB939" s="42">
        <v>0</v>
      </c>
      <c r="BC939" s="42">
        <v>0</v>
      </c>
      <c r="BD939" s="42">
        <v>0</v>
      </c>
      <c r="BE939" s="42">
        <v>0</v>
      </c>
      <c r="BF939" s="42">
        <v>0</v>
      </c>
      <c r="BG939" s="42">
        <v>0</v>
      </c>
      <c r="BH939" s="42">
        <v>0</v>
      </c>
      <c r="BI939" s="42">
        <v>0</v>
      </c>
      <c r="BJ939" s="42">
        <v>0</v>
      </c>
      <c r="BK939" s="42">
        <v>0</v>
      </c>
      <c r="BL939" s="42">
        <v>0</v>
      </c>
      <c r="BM939" s="42">
        <v>0</v>
      </c>
      <c r="BN939" s="42">
        <v>0</v>
      </c>
      <c r="BO939" s="42">
        <v>0</v>
      </c>
      <c r="BP939" s="42">
        <v>0</v>
      </c>
      <c r="BQ939" s="42">
        <v>0</v>
      </c>
      <c r="BR939" s="42">
        <v>0</v>
      </c>
      <c r="BS939" s="42">
        <v>0</v>
      </c>
      <c r="BT939" s="42">
        <v>0</v>
      </c>
      <c r="BU939" s="42">
        <v>0</v>
      </c>
      <c r="BV939" s="42">
        <v>0</v>
      </c>
      <c r="BW939" s="42">
        <v>0</v>
      </c>
      <c r="BX939" s="42">
        <v>0</v>
      </c>
      <c r="BY939" s="42">
        <v>0</v>
      </c>
      <c r="BZ939" s="42">
        <v>0</v>
      </c>
      <c r="CA939" s="42">
        <v>0</v>
      </c>
      <c r="CB939" s="42">
        <v>0</v>
      </c>
      <c r="CC939" s="42">
        <v>0</v>
      </c>
      <c r="CD939" s="42">
        <v>0</v>
      </c>
      <c r="CE939" s="42">
        <v>0</v>
      </c>
      <c r="CF939" s="42">
        <v>0</v>
      </c>
      <c r="CG939" s="42">
        <v>0</v>
      </c>
      <c r="CH939" s="42">
        <v>0</v>
      </c>
      <c r="CI939" s="42">
        <v>0</v>
      </c>
      <c r="CJ939" s="42">
        <v>0</v>
      </c>
      <c r="CK939" s="43">
        <f t="shared" si="87"/>
        <v>0</v>
      </c>
      <c r="CL939" s="66"/>
      <c r="CM939" s="66">
        <v>0</v>
      </c>
      <c r="CN939" s="66">
        <v>0</v>
      </c>
      <c r="CO939" s="66">
        <v>0</v>
      </c>
      <c r="CP939" s="66">
        <v>0</v>
      </c>
      <c r="CQ939" s="66">
        <v>0</v>
      </c>
      <c r="CR939" s="66">
        <v>0</v>
      </c>
      <c r="CS939" s="66">
        <v>0</v>
      </c>
      <c r="CT939" s="66">
        <v>0</v>
      </c>
      <c r="CU939" s="66">
        <v>0</v>
      </c>
      <c r="CV939" s="66">
        <v>0</v>
      </c>
      <c r="CW939" s="66">
        <v>0</v>
      </c>
      <c r="CX939" s="66">
        <v>0</v>
      </c>
      <c r="CY939" s="66">
        <v>0</v>
      </c>
      <c r="CZ939" s="66">
        <v>0</v>
      </c>
      <c r="DA939" s="66"/>
      <c r="DB939" s="66"/>
      <c r="DC939" s="66"/>
      <c r="DD939" s="66"/>
      <c r="DE939" s="66"/>
      <c r="DF939" s="66"/>
      <c r="DG939" s="66"/>
      <c r="DH939" s="66"/>
      <c r="DI939" s="66"/>
      <c r="DJ939" s="66"/>
      <c r="DK939" s="66">
        <f>SUM(Table1[[#This Row],[01-03 Apr]:[Mar-26]])</f>
        <v>0</v>
      </c>
    </row>
    <row r="940" spans="1:115" hidden="1" x14ac:dyDescent="0.2">
      <c r="A940" s="28" t="s">
        <v>371</v>
      </c>
      <c r="B940" s="29"/>
      <c r="C940" s="29" t="s">
        <v>3336</v>
      </c>
      <c r="D940" s="30"/>
      <c r="E940" s="30"/>
      <c r="F940" s="30"/>
      <c r="G940" s="31"/>
      <c r="H940" s="30"/>
      <c r="I940" s="30" t="str">
        <f>IF(Table1[[#This Row],[Centre Status]]="Returned","NA",IF(Table1[[#This Row],[SD]]&gt;19000,"Full Payment",IF(Table1[[#This Row],[SD]]&lt;1,"No Payment","Partial Payment")))</f>
        <v>NA</v>
      </c>
      <c r="J940" s="30" t="s">
        <v>1903</v>
      </c>
      <c r="K940" s="32">
        <v>0</v>
      </c>
      <c r="L940" s="33">
        <f>Q940+R940+U940+Table1[[#This Row],[Farmer Payment]]</f>
        <v>0</v>
      </c>
      <c r="M940" s="30"/>
      <c r="N940" s="34"/>
      <c r="O940" s="34"/>
      <c r="P940" s="35">
        <f t="shared" ref="P940:P1004" si="88">K940-L940+M940</f>
        <v>0</v>
      </c>
      <c r="Q940" s="33">
        <f>AI940+AV940+CK940+Table1[[#This Row],[FY 25-26]]</f>
        <v>0</v>
      </c>
      <c r="R940" s="36"/>
      <c r="S940" s="37"/>
      <c r="T940" s="38"/>
      <c r="U940" s="39"/>
      <c r="V940" s="39"/>
      <c r="W940" s="40">
        <v>0</v>
      </c>
      <c r="X940" s="40">
        <v>0</v>
      </c>
      <c r="Y940" s="40">
        <v>0</v>
      </c>
      <c r="Z940" s="40">
        <v>0</v>
      </c>
      <c r="AA940" s="40">
        <v>0</v>
      </c>
      <c r="AB940" s="40">
        <v>0</v>
      </c>
      <c r="AC940" s="40">
        <v>0</v>
      </c>
      <c r="AD940" s="40">
        <v>0</v>
      </c>
      <c r="AE940" s="40">
        <v>0</v>
      </c>
      <c r="AF940" s="40">
        <v>0</v>
      </c>
      <c r="AG940" s="40">
        <v>0</v>
      </c>
      <c r="AH940" s="40">
        <v>0</v>
      </c>
      <c r="AI940" s="41">
        <f t="shared" ref="AI940:AI1004" si="89">SUM(W940:AH940)</f>
        <v>0</v>
      </c>
      <c r="AJ940" s="42">
        <v>0</v>
      </c>
      <c r="AK940" s="42">
        <v>0</v>
      </c>
      <c r="AL940" s="42">
        <v>0</v>
      </c>
      <c r="AM940" s="42">
        <v>0</v>
      </c>
      <c r="AN940" s="42">
        <v>0</v>
      </c>
      <c r="AO940" s="42">
        <v>0</v>
      </c>
      <c r="AP940" s="42">
        <v>0</v>
      </c>
      <c r="AQ940" s="42">
        <v>0</v>
      </c>
      <c r="AR940" s="42">
        <v>0</v>
      </c>
      <c r="AS940" s="42">
        <v>0</v>
      </c>
      <c r="AT940" s="42">
        <v>0</v>
      </c>
      <c r="AU940" s="42">
        <v>0</v>
      </c>
      <c r="AV940" s="42">
        <f t="shared" ref="AV940:AV1004" si="90">SUM(AJ940:AU940)</f>
        <v>0</v>
      </c>
      <c r="AW940" s="42">
        <v>0</v>
      </c>
      <c r="AX940" s="42">
        <v>0</v>
      </c>
      <c r="AY940" s="42">
        <v>0</v>
      </c>
      <c r="AZ940" s="42">
        <v>0</v>
      </c>
      <c r="BA940" s="42">
        <v>0</v>
      </c>
      <c r="BB940" s="42">
        <v>0</v>
      </c>
      <c r="BC940" s="42">
        <v>0</v>
      </c>
      <c r="BD940" s="42">
        <v>0</v>
      </c>
      <c r="BE940" s="42">
        <v>0</v>
      </c>
      <c r="BF940" s="42">
        <v>0</v>
      </c>
      <c r="BG940" s="42">
        <v>0</v>
      </c>
      <c r="BH940" s="42">
        <v>0</v>
      </c>
      <c r="BI940" s="42">
        <v>0</v>
      </c>
      <c r="BJ940" s="42">
        <v>0</v>
      </c>
      <c r="BK940" s="42">
        <v>0</v>
      </c>
      <c r="BL940" s="42">
        <v>0</v>
      </c>
      <c r="BM940" s="42">
        <v>0</v>
      </c>
      <c r="BN940" s="42">
        <v>0</v>
      </c>
      <c r="BO940" s="42">
        <v>0</v>
      </c>
      <c r="BP940" s="42">
        <v>0</v>
      </c>
      <c r="BQ940" s="42">
        <v>0</v>
      </c>
      <c r="BR940" s="42">
        <v>0</v>
      </c>
      <c r="BS940" s="42">
        <v>0</v>
      </c>
      <c r="BT940" s="42">
        <v>0</v>
      </c>
      <c r="BU940" s="42">
        <v>0</v>
      </c>
      <c r="BV940" s="42">
        <v>0</v>
      </c>
      <c r="BW940" s="42">
        <v>0</v>
      </c>
      <c r="BX940" s="42">
        <v>0</v>
      </c>
      <c r="BY940" s="42">
        <v>0</v>
      </c>
      <c r="BZ940" s="42">
        <v>0</v>
      </c>
      <c r="CA940" s="42">
        <v>0</v>
      </c>
      <c r="CB940" s="42">
        <v>0</v>
      </c>
      <c r="CC940" s="42">
        <v>0</v>
      </c>
      <c r="CD940" s="42">
        <v>0</v>
      </c>
      <c r="CE940" s="42">
        <v>0</v>
      </c>
      <c r="CF940" s="42">
        <v>0</v>
      </c>
      <c r="CG940" s="42">
        <v>0</v>
      </c>
      <c r="CH940" s="42">
        <v>0</v>
      </c>
      <c r="CI940" s="42">
        <v>0</v>
      </c>
      <c r="CJ940" s="42">
        <v>0</v>
      </c>
      <c r="CK940" s="43">
        <f t="shared" si="87"/>
        <v>0</v>
      </c>
      <c r="CL940" s="66"/>
      <c r="CM940" s="66">
        <v>0</v>
      </c>
      <c r="CN940" s="66">
        <v>0</v>
      </c>
      <c r="CO940" s="66">
        <v>0</v>
      </c>
      <c r="CP940" s="66">
        <v>0</v>
      </c>
      <c r="CQ940" s="66">
        <v>0</v>
      </c>
      <c r="CR940" s="66">
        <v>0</v>
      </c>
      <c r="CS940" s="66">
        <v>0</v>
      </c>
      <c r="CT940" s="66">
        <v>0</v>
      </c>
      <c r="CU940" s="66">
        <v>0</v>
      </c>
      <c r="CV940" s="66">
        <v>0</v>
      </c>
      <c r="CW940" s="66">
        <v>0</v>
      </c>
      <c r="CX940" s="66">
        <v>0</v>
      </c>
      <c r="CY940" s="66">
        <v>0</v>
      </c>
      <c r="CZ940" s="66">
        <v>0</v>
      </c>
      <c r="DA940" s="66"/>
      <c r="DB940" s="66"/>
      <c r="DC940" s="66"/>
      <c r="DD940" s="66"/>
      <c r="DE940" s="66"/>
      <c r="DF940" s="66"/>
      <c r="DG940" s="66"/>
      <c r="DH940" s="66"/>
      <c r="DI940" s="66"/>
      <c r="DJ940" s="66"/>
      <c r="DK940" s="66">
        <f>SUM(Table1[[#This Row],[01-03 Apr]:[Mar-26]])</f>
        <v>0</v>
      </c>
    </row>
    <row r="941" spans="1:115" hidden="1" x14ac:dyDescent="0.2">
      <c r="A941" s="28" t="s">
        <v>371</v>
      </c>
      <c r="B941" s="29" t="s">
        <v>2030</v>
      </c>
      <c r="C941" s="29" t="s">
        <v>3336</v>
      </c>
      <c r="D941" s="30" t="s">
        <v>2031</v>
      </c>
      <c r="E941" s="30" t="s">
        <v>177</v>
      </c>
      <c r="F941" s="30"/>
      <c r="G941" s="31"/>
      <c r="H941" s="30"/>
      <c r="I941" s="30" t="str">
        <f>IF(Table1[[#This Row],[Centre Status]]="Returned","NA",IF(Table1[[#This Row],[SD]]&gt;19000,"Full Payment",IF(Table1[[#This Row],[SD]]&lt;1,"No Payment","Partial Payment")))</f>
        <v>NA</v>
      </c>
      <c r="J941" s="30" t="s">
        <v>1903</v>
      </c>
      <c r="K941" s="32">
        <v>0</v>
      </c>
      <c r="L941" s="33">
        <f>Q941+R941+U941+Table1[[#This Row],[Farmer Payment]]</f>
        <v>16519</v>
      </c>
      <c r="M941" s="30">
        <v>16519</v>
      </c>
      <c r="N941" s="34">
        <v>44985</v>
      </c>
      <c r="O941" s="34"/>
      <c r="P941" s="35">
        <f t="shared" si="88"/>
        <v>0</v>
      </c>
      <c r="Q941" s="33">
        <f>AI941+AV941+CK941+Table1[[#This Row],[FY 25-26]]</f>
        <v>6519</v>
      </c>
      <c r="R941" s="36">
        <v>10000</v>
      </c>
      <c r="S941" s="37" t="s">
        <v>2179</v>
      </c>
      <c r="T941" s="38">
        <v>44698</v>
      </c>
      <c r="U941" s="39"/>
      <c r="V941" s="39"/>
      <c r="W941" s="40">
        <v>0</v>
      </c>
      <c r="X941" s="40">
        <v>0</v>
      </c>
      <c r="Y941" s="40">
        <v>483</v>
      </c>
      <c r="Z941" s="40">
        <v>1861</v>
      </c>
      <c r="AA941" s="40">
        <v>1861</v>
      </c>
      <c r="AB941" s="40">
        <v>1172</v>
      </c>
      <c r="AC941" s="40">
        <v>1142</v>
      </c>
      <c r="AD941" s="40">
        <v>0</v>
      </c>
      <c r="AE941" s="40">
        <v>0</v>
      </c>
      <c r="AF941" s="40">
        <v>0</v>
      </c>
      <c r="AG941" s="40">
        <v>0</v>
      </c>
      <c r="AH941" s="40">
        <v>0</v>
      </c>
      <c r="AI941" s="41">
        <f t="shared" si="89"/>
        <v>6519</v>
      </c>
      <c r="AJ941" s="42">
        <v>0</v>
      </c>
      <c r="AK941" s="42">
        <v>0</v>
      </c>
      <c r="AL941" s="42">
        <v>0</v>
      </c>
      <c r="AM941" s="42">
        <v>0</v>
      </c>
      <c r="AN941" s="42">
        <v>0</v>
      </c>
      <c r="AO941" s="42">
        <v>0</v>
      </c>
      <c r="AP941" s="42">
        <v>0</v>
      </c>
      <c r="AQ941" s="42">
        <v>0</v>
      </c>
      <c r="AR941" s="42">
        <v>0</v>
      </c>
      <c r="AS941" s="42">
        <v>0</v>
      </c>
      <c r="AT941" s="42">
        <v>0</v>
      </c>
      <c r="AU941" s="42">
        <v>0</v>
      </c>
      <c r="AV941" s="42">
        <f t="shared" si="90"/>
        <v>0</v>
      </c>
      <c r="AW941" s="42">
        <v>0</v>
      </c>
      <c r="AX941" s="42">
        <v>0</v>
      </c>
      <c r="AY941" s="42">
        <v>0</v>
      </c>
      <c r="AZ941" s="42">
        <v>0</v>
      </c>
      <c r="BA941" s="42">
        <v>0</v>
      </c>
      <c r="BB941" s="42">
        <v>0</v>
      </c>
      <c r="BC941" s="42">
        <v>0</v>
      </c>
      <c r="BD941" s="42">
        <v>0</v>
      </c>
      <c r="BE941" s="42">
        <v>0</v>
      </c>
      <c r="BF941" s="42">
        <v>0</v>
      </c>
      <c r="BG941" s="42">
        <v>0</v>
      </c>
      <c r="BH941" s="42">
        <v>0</v>
      </c>
      <c r="BI941" s="42">
        <v>0</v>
      </c>
      <c r="BJ941" s="42">
        <v>0</v>
      </c>
      <c r="BK941" s="42">
        <v>0</v>
      </c>
      <c r="BL941" s="42">
        <v>0</v>
      </c>
      <c r="BM941" s="42">
        <v>0</v>
      </c>
      <c r="BN941" s="42">
        <v>0</v>
      </c>
      <c r="BO941" s="42">
        <v>0</v>
      </c>
      <c r="BP941" s="42">
        <v>0</v>
      </c>
      <c r="BQ941" s="42">
        <v>0</v>
      </c>
      <c r="BR941" s="42">
        <v>0</v>
      </c>
      <c r="BS941" s="42">
        <v>0</v>
      </c>
      <c r="BT941" s="42">
        <v>0</v>
      </c>
      <c r="BU941" s="42">
        <v>0</v>
      </c>
      <c r="BV941" s="42">
        <v>0</v>
      </c>
      <c r="BW941" s="42">
        <v>0</v>
      </c>
      <c r="BX941" s="42">
        <v>0</v>
      </c>
      <c r="BY941" s="42">
        <v>0</v>
      </c>
      <c r="BZ941" s="42">
        <v>0</v>
      </c>
      <c r="CA941" s="42">
        <v>0</v>
      </c>
      <c r="CB941" s="42">
        <v>0</v>
      </c>
      <c r="CC941" s="42">
        <v>0</v>
      </c>
      <c r="CD941" s="42">
        <v>0</v>
      </c>
      <c r="CE941" s="42">
        <v>0</v>
      </c>
      <c r="CF941" s="42">
        <v>0</v>
      </c>
      <c r="CG941" s="42">
        <v>0</v>
      </c>
      <c r="CH941" s="42">
        <v>0</v>
      </c>
      <c r="CI941" s="42">
        <v>0</v>
      </c>
      <c r="CJ941" s="42">
        <v>0</v>
      </c>
      <c r="CK941" s="43">
        <f t="shared" si="87"/>
        <v>0</v>
      </c>
      <c r="CL941" s="66"/>
      <c r="CM941" s="66">
        <v>0</v>
      </c>
      <c r="CN941" s="66">
        <v>0</v>
      </c>
      <c r="CO941" s="66">
        <v>0</v>
      </c>
      <c r="CP941" s="66">
        <v>0</v>
      </c>
      <c r="CQ941" s="66">
        <v>0</v>
      </c>
      <c r="CR941" s="66">
        <v>0</v>
      </c>
      <c r="CS941" s="66">
        <v>0</v>
      </c>
      <c r="CT941" s="66">
        <v>0</v>
      </c>
      <c r="CU941" s="66">
        <v>0</v>
      </c>
      <c r="CV941" s="66">
        <v>0</v>
      </c>
      <c r="CW941" s="66">
        <v>0</v>
      </c>
      <c r="CX941" s="66">
        <v>0</v>
      </c>
      <c r="CY941" s="66">
        <v>0</v>
      </c>
      <c r="CZ941" s="66">
        <v>0</v>
      </c>
      <c r="DA941" s="66"/>
      <c r="DB941" s="66"/>
      <c r="DC941" s="66"/>
      <c r="DD941" s="66"/>
      <c r="DE941" s="66"/>
      <c r="DF941" s="66"/>
      <c r="DG941" s="66"/>
      <c r="DH941" s="66"/>
      <c r="DI941" s="66"/>
      <c r="DJ941" s="66"/>
      <c r="DK941" s="66">
        <f>SUM(Table1[[#This Row],[01-03 Apr]:[Mar-26]])</f>
        <v>0</v>
      </c>
    </row>
    <row r="942" spans="1:115" hidden="1" x14ac:dyDescent="0.2">
      <c r="A942" s="28" t="s">
        <v>371</v>
      </c>
      <c r="B942" s="29" t="s">
        <v>2032</v>
      </c>
      <c r="C942" s="29" t="s">
        <v>3336</v>
      </c>
      <c r="D942" s="30" t="s">
        <v>2033</v>
      </c>
      <c r="E942" s="30" t="s">
        <v>349</v>
      </c>
      <c r="F942" s="30"/>
      <c r="G942" s="31"/>
      <c r="H942" s="30"/>
      <c r="I942" s="30" t="str">
        <f>IF(Table1[[#This Row],[Centre Status]]="Returned","NA",IF(Table1[[#This Row],[SD]]&gt;19000,"Full Payment",IF(Table1[[#This Row],[SD]]&lt;1,"No Payment","Partial Payment")))</f>
        <v>NA</v>
      </c>
      <c r="J942" s="30" t="s">
        <v>1903</v>
      </c>
      <c r="K942" s="32">
        <v>0</v>
      </c>
      <c r="L942" s="33">
        <f>Q942+R942+U942+Table1[[#This Row],[Farmer Payment]]</f>
        <v>20598</v>
      </c>
      <c r="M942" s="30">
        <v>20598</v>
      </c>
      <c r="N942" s="34">
        <v>44985</v>
      </c>
      <c r="O942" s="34"/>
      <c r="P942" s="35">
        <f t="shared" si="88"/>
        <v>0</v>
      </c>
      <c r="Q942" s="33">
        <f>AI942+AV942+CK942+Table1[[#This Row],[FY 25-26]]</f>
        <v>598</v>
      </c>
      <c r="R942" s="36">
        <v>20000</v>
      </c>
      <c r="S942" s="37" t="s">
        <v>2180</v>
      </c>
      <c r="T942" s="38">
        <v>44676</v>
      </c>
      <c r="U942" s="39"/>
      <c r="V942" s="39"/>
      <c r="W942" s="40">
        <v>0</v>
      </c>
      <c r="X942" s="40">
        <v>0</v>
      </c>
      <c r="Y942" s="40">
        <v>598</v>
      </c>
      <c r="Z942" s="40">
        <v>0</v>
      </c>
      <c r="AA942" s="40">
        <v>0</v>
      </c>
      <c r="AB942" s="40">
        <v>0</v>
      </c>
      <c r="AC942" s="40">
        <v>0</v>
      </c>
      <c r="AD942" s="40">
        <v>0</v>
      </c>
      <c r="AE942" s="40">
        <v>0</v>
      </c>
      <c r="AF942" s="40">
        <v>0</v>
      </c>
      <c r="AG942" s="40">
        <v>0</v>
      </c>
      <c r="AH942" s="40">
        <v>0</v>
      </c>
      <c r="AI942" s="41">
        <f t="shared" si="89"/>
        <v>598</v>
      </c>
      <c r="AJ942" s="42">
        <v>0</v>
      </c>
      <c r="AK942" s="42">
        <v>0</v>
      </c>
      <c r="AL942" s="42">
        <v>0</v>
      </c>
      <c r="AM942" s="42">
        <v>0</v>
      </c>
      <c r="AN942" s="42">
        <v>0</v>
      </c>
      <c r="AO942" s="42">
        <v>0</v>
      </c>
      <c r="AP942" s="42">
        <v>0</v>
      </c>
      <c r="AQ942" s="42">
        <v>0</v>
      </c>
      <c r="AR942" s="42">
        <v>0</v>
      </c>
      <c r="AS942" s="42">
        <v>0</v>
      </c>
      <c r="AT942" s="42">
        <v>0</v>
      </c>
      <c r="AU942" s="42">
        <v>0</v>
      </c>
      <c r="AV942" s="42">
        <f t="shared" si="90"/>
        <v>0</v>
      </c>
      <c r="AW942" s="42">
        <v>0</v>
      </c>
      <c r="AX942" s="42">
        <v>0</v>
      </c>
      <c r="AY942" s="42">
        <v>0</v>
      </c>
      <c r="AZ942" s="42">
        <v>0</v>
      </c>
      <c r="BA942" s="42">
        <v>0</v>
      </c>
      <c r="BB942" s="42">
        <v>0</v>
      </c>
      <c r="BC942" s="42">
        <v>0</v>
      </c>
      <c r="BD942" s="42">
        <v>0</v>
      </c>
      <c r="BE942" s="42">
        <v>0</v>
      </c>
      <c r="BF942" s="42">
        <v>0</v>
      </c>
      <c r="BG942" s="42">
        <v>0</v>
      </c>
      <c r="BH942" s="42">
        <v>0</v>
      </c>
      <c r="BI942" s="42">
        <v>0</v>
      </c>
      <c r="BJ942" s="42">
        <v>0</v>
      </c>
      <c r="BK942" s="42">
        <v>0</v>
      </c>
      <c r="BL942" s="42">
        <v>0</v>
      </c>
      <c r="BM942" s="42">
        <v>0</v>
      </c>
      <c r="BN942" s="42">
        <v>0</v>
      </c>
      <c r="BO942" s="42">
        <v>0</v>
      </c>
      <c r="BP942" s="42">
        <v>0</v>
      </c>
      <c r="BQ942" s="42">
        <v>0</v>
      </c>
      <c r="BR942" s="42">
        <v>0</v>
      </c>
      <c r="BS942" s="42">
        <v>0</v>
      </c>
      <c r="BT942" s="42">
        <v>0</v>
      </c>
      <c r="BU942" s="42">
        <v>0</v>
      </c>
      <c r="BV942" s="42">
        <v>0</v>
      </c>
      <c r="BW942" s="42">
        <v>0</v>
      </c>
      <c r="BX942" s="42">
        <v>0</v>
      </c>
      <c r="BY942" s="42">
        <v>0</v>
      </c>
      <c r="BZ942" s="42">
        <v>0</v>
      </c>
      <c r="CA942" s="42">
        <v>0</v>
      </c>
      <c r="CB942" s="42">
        <v>0</v>
      </c>
      <c r="CC942" s="42">
        <v>0</v>
      </c>
      <c r="CD942" s="42">
        <v>0</v>
      </c>
      <c r="CE942" s="42">
        <v>0</v>
      </c>
      <c r="CF942" s="42">
        <v>0</v>
      </c>
      <c r="CG942" s="42">
        <v>0</v>
      </c>
      <c r="CH942" s="42">
        <v>0</v>
      </c>
      <c r="CI942" s="42">
        <v>0</v>
      </c>
      <c r="CJ942" s="42">
        <v>0</v>
      </c>
      <c r="CK942" s="43">
        <f t="shared" si="87"/>
        <v>0</v>
      </c>
      <c r="CL942" s="66"/>
      <c r="CM942" s="66">
        <v>0</v>
      </c>
      <c r="CN942" s="66">
        <v>0</v>
      </c>
      <c r="CO942" s="66">
        <v>0</v>
      </c>
      <c r="CP942" s="66">
        <v>0</v>
      </c>
      <c r="CQ942" s="66">
        <v>0</v>
      </c>
      <c r="CR942" s="66">
        <v>0</v>
      </c>
      <c r="CS942" s="66">
        <v>0</v>
      </c>
      <c r="CT942" s="66">
        <v>0</v>
      </c>
      <c r="CU942" s="66">
        <v>0</v>
      </c>
      <c r="CV942" s="66">
        <v>0</v>
      </c>
      <c r="CW942" s="66">
        <v>0</v>
      </c>
      <c r="CX942" s="66">
        <v>0</v>
      </c>
      <c r="CY942" s="66">
        <v>0</v>
      </c>
      <c r="CZ942" s="66">
        <v>0</v>
      </c>
      <c r="DA942" s="66"/>
      <c r="DB942" s="66"/>
      <c r="DC942" s="66"/>
      <c r="DD942" s="66"/>
      <c r="DE942" s="66"/>
      <c r="DF942" s="66"/>
      <c r="DG942" s="66"/>
      <c r="DH942" s="66"/>
      <c r="DI942" s="66"/>
      <c r="DJ942" s="66"/>
      <c r="DK942" s="66">
        <f>SUM(Table1[[#This Row],[01-03 Apr]:[Mar-26]])</f>
        <v>0</v>
      </c>
    </row>
    <row r="943" spans="1:115" hidden="1" x14ac:dyDescent="0.2">
      <c r="A943" s="28" t="s">
        <v>371</v>
      </c>
      <c r="B943" s="29" t="s">
        <v>2034</v>
      </c>
      <c r="C943" s="29" t="s">
        <v>3336</v>
      </c>
      <c r="D943" s="30"/>
      <c r="E943" s="30" t="s">
        <v>177</v>
      </c>
      <c r="F943" s="30"/>
      <c r="G943" s="31"/>
      <c r="H943" s="30"/>
      <c r="I943" s="30" t="str">
        <f>IF(Table1[[#This Row],[Centre Status]]="Returned","NA",IF(Table1[[#This Row],[SD]]&gt;19000,"Full Payment",IF(Table1[[#This Row],[SD]]&lt;1,"No Payment","Partial Payment")))</f>
        <v>NA</v>
      </c>
      <c r="J943" s="30" t="s">
        <v>1903</v>
      </c>
      <c r="K943" s="32">
        <v>0</v>
      </c>
      <c r="L943" s="33">
        <f>Q943+R943+U943+Table1[[#This Row],[Farmer Payment]]</f>
        <v>0</v>
      </c>
      <c r="M943" s="30">
        <v>19112</v>
      </c>
      <c r="N943" s="34">
        <v>44985</v>
      </c>
      <c r="O943" s="34"/>
      <c r="P943" s="35">
        <f t="shared" si="88"/>
        <v>19112</v>
      </c>
      <c r="Q943" s="33">
        <f>AI943+AV943+CK943+Table1[[#This Row],[FY 25-26]]</f>
        <v>0</v>
      </c>
      <c r="R943" s="36"/>
      <c r="S943" s="37"/>
      <c r="T943" s="38"/>
      <c r="U943" s="39"/>
      <c r="V943" s="39"/>
      <c r="W943" s="40">
        <v>0</v>
      </c>
      <c r="X943" s="40">
        <v>0</v>
      </c>
      <c r="Y943" s="40">
        <v>0</v>
      </c>
      <c r="Z943" s="40">
        <v>0</v>
      </c>
      <c r="AA943" s="40">
        <v>0</v>
      </c>
      <c r="AB943" s="40">
        <v>0</v>
      </c>
      <c r="AC943" s="40">
        <v>0</v>
      </c>
      <c r="AD943" s="40">
        <v>0</v>
      </c>
      <c r="AE943" s="40">
        <v>0</v>
      </c>
      <c r="AF943" s="40">
        <v>0</v>
      </c>
      <c r="AG943" s="40">
        <v>0</v>
      </c>
      <c r="AH943" s="40">
        <v>0</v>
      </c>
      <c r="AI943" s="41">
        <f t="shared" si="89"/>
        <v>0</v>
      </c>
      <c r="AJ943" s="42">
        <v>0</v>
      </c>
      <c r="AK943" s="42">
        <v>0</v>
      </c>
      <c r="AL943" s="42">
        <v>0</v>
      </c>
      <c r="AM943" s="42">
        <v>0</v>
      </c>
      <c r="AN943" s="42">
        <v>0</v>
      </c>
      <c r="AO943" s="42">
        <v>0</v>
      </c>
      <c r="AP943" s="42">
        <v>0</v>
      </c>
      <c r="AQ943" s="42">
        <v>0</v>
      </c>
      <c r="AR943" s="42">
        <v>0</v>
      </c>
      <c r="AS943" s="42">
        <v>0</v>
      </c>
      <c r="AT943" s="42">
        <v>0</v>
      </c>
      <c r="AU943" s="42">
        <v>0</v>
      </c>
      <c r="AV943" s="42">
        <f t="shared" si="90"/>
        <v>0</v>
      </c>
      <c r="AW943" s="42">
        <v>0</v>
      </c>
      <c r="AX943" s="42">
        <v>0</v>
      </c>
      <c r="AY943" s="42">
        <v>0</v>
      </c>
      <c r="AZ943" s="42">
        <v>0</v>
      </c>
      <c r="BA943" s="42">
        <v>0</v>
      </c>
      <c r="BB943" s="42">
        <v>0</v>
      </c>
      <c r="BC943" s="42">
        <v>0</v>
      </c>
      <c r="BD943" s="42">
        <v>0</v>
      </c>
      <c r="BE943" s="42">
        <v>0</v>
      </c>
      <c r="BF943" s="42">
        <v>0</v>
      </c>
      <c r="BG943" s="42">
        <v>0</v>
      </c>
      <c r="BH943" s="42">
        <v>0</v>
      </c>
      <c r="BI943" s="42">
        <v>0</v>
      </c>
      <c r="BJ943" s="42">
        <v>0</v>
      </c>
      <c r="BK943" s="42">
        <v>0</v>
      </c>
      <c r="BL943" s="42">
        <v>0</v>
      </c>
      <c r="BM943" s="42">
        <v>0</v>
      </c>
      <c r="BN943" s="42">
        <v>0</v>
      </c>
      <c r="BO943" s="42">
        <v>0</v>
      </c>
      <c r="BP943" s="42">
        <v>0</v>
      </c>
      <c r="BQ943" s="42">
        <v>0</v>
      </c>
      <c r="BR943" s="42">
        <v>0</v>
      </c>
      <c r="BS943" s="42">
        <v>0</v>
      </c>
      <c r="BT943" s="42">
        <v>0</v>
      </c>
      <c r="BU943" s="42">
        <v>0</v>
      </c>
      <c r="BV943" s="42">
        <v>0</v>
      </c>
      <c r="BW943" s="42">
        <v>0</v>
      </c>
      <c r="BX943" s="42">
        <v>0</v>
      </c>
      <c r="BY943" s="42">
        <v>0</v>
      </c>
      <c r="BZ943" s="42">
        <v>0</v>
      </c>
      <c r="CA943" s="42">
        <v>0</v>
      </c>
      <c r="CB943" s="42">
        <v>0</v>
      </c>
      <c r="CC943" s="42">
        <v>0</v>
      </c>
      <c r="CD943" s="42">
        <v>0</v>
      </c>
      <c r="CE943" s="42">
        <v>0</v>
      </c>
      <c r="CF943" s="42">
        <v>0</v>
      </c>
      <c r="CG943" s="42">
        <v>0</v>
      </c>
      <c r="CH943" s="42">
        <v>0</v>
      </c>
      <c r="CI943" s="42">
        <v>0</v>
      </c>
      <c r="CJ943" s="42">
        <v>0</v>
      </c>
      <c r="CK943" s="43">
        <f t="shared" si="87"/>
        <v>0</v>
      </c>
      <c r="CL943" s="66"/>
      <c r="CM943" s="66">
        <v>0</v>
      </c>
      <c r="CN943" s="66">
        <v>0</v>
      </c>
      <c r="CO943" s="66">
        <v>0</v>
      </c>
      <c r="CP943" s="66">
        <v>0</v>
      </c>
      <c r="CQ943" s="66">
        <v>0</v>
      </c>
      <c r="CR943" s="66">
        <v>0</v>
      </c>
      <c r="CS943" s="66">
        <v>0</v>
      </c>
      <c r="CT943" s="66">
        <v>0</v>
      </c>
      <c r="CU943" s="66">
        <v>0</v>
      </c>
      <c r="CV943" s="66">
        <v>0</v>
      </c>
      <c r="CW943" s="66">
        <v>0</v>
      </c>
      <c r="CX943" s="66">
        <v>0</v>
      </c>
      <c r="CY943" s="66">
        <v>0</v>
      </c>
      <c r="CZ943" s="66">
        <v>0</v>
      </c>
      <c r="DA943" s="66"/>
      <c r="DB943" s="66"/>
      <c r="DC943" s="66"/>
      <c r="DD943" s="66"/>
      <c r="DE943" s="66"/>
      <c r="DF943" s="66"/>
      <c r="DG943" s="66"/>
      <c r="DH943" s="66"/>
      <c r="DI943" s="66"/>
      <c r="DJ943" s="66"/>
      <c r="DK943" s="66">
        <f>SUM(Table1[[#This Row],[01-03 Apr]:[Mar-26]])</f>
        <v>0</v>
      </c>
    </row>
    <row r="944" spans="1:115" hidden="1" x14ac:dyDescent="0.2">
      <c r="A944" s="28" t="s">
        <v>371</v>
      </c>
      <c r="B944" s="29" t="s">
        <v>2035</v>
      </c>
      <c r="C944" s="29" t="s">
        <v>3336</v>
      </c>
      <c r="D944" s="30"/>
      <c r="E944" s="30" t="s">
        <v>177</v>
      </c>
      <c r="F944" s="30"/>
      <c r="G944" s="31"/>
      <c r="H944" s="30"/>
      <c r="I944" s="30" t="str">
        <f>IF(Table1[[#This Row],[Centre Status]]="Returned","NA",IF(Table1[[#This Row],[SD]]&gt;19000,"Full Payment",IF(Table1[[#This Row],[SD]]&lt;1,"No Payment","Partial Payment")))</f>
        <v>NA</v>
      </c>
      <c r="J944" s="30" t="s">
        <v>1903</v>
      </c>
      <c r="K944" s="32">
        <v>0</v>
      </c>
      <c r="L944" s="33">
        <f>Q944+R944+U944+Table1[[#This Row],[Farmer Payment]]</f>
        <v>0</v>
      </c>
      <c r="M944" s="30">
        <v>22304</v>
      </c>
      <c r="N944" s="34">
        <v>44985</v>
      </c>
      <c r="O944" s="34"/>
      <c r="P944" s="35">
        <f t="shared" si="88"/>
        <v>22304</v>
      </c>
      <c r="Q944" s="33">
        <f>AI944+AV944+CK944+Table1[[#This Row],[FY 25-26]]</f>
        <v>0</v>
      </c>
      <c r="R944" s="36"/>
      <c r="S944" s="37"/>
      <c r="T944" s="38"/>
      <c r="U944" s="39"/>
      <c r="V944" s="39"/>
      <c r="W944" s="40">
        <v>0</v>
      </c>
      <c r="X944" s="40">
        <v>0</v>
      </c>
      <c r="Y944" s="40">
        <v>0</v>
      </c>
      <c r="Z944" s="40">
        <v>0</v>
      </c>
      <c r="AA944" s="40">
        <v>0</v>
      </c>
      <c r="AB944" s="40">
        <v>0</v>
      </c>
      <c r="AC944" s="40">
        <v>0</v>
      </c>
      <c r="AD944" s="40">
        <v>0</v>
      </c>
      <c r="AE944" s="40">
        <v>0</v>
      </c>
      <c r="AF944" s="40">
        <v>0</v>
      </c>
      <c r="AG944" s="40">
        <v>0</v>
      </c>
      <c r="AH944" s="40">
        <v>0</v>
      </c>
      <c r="AI944" s="41">
        <f t="shared" si="89"/>
        <v>0</v>
      </c>
      <c r="AJ944" s="42">
        <v>0</v>
      </c>
      <c r="AK944" s="42">
        <v>0</v>
      </c>
      <c r="AL944" s="42">
        <v>0</v>
      </c>
      <c r="AM944" s="42">
        <v>0</v>
      </c>
      <c r="AN944" s="42">
        <v>0</v>
      </c>
      <c r="AO944" s="42">
        <v>0</v>
      </c>
      <c r="AP944" s="42">
        <v>0</v>
      </c>
      <c r="AQ944" s="42">
        <v>0</v>
      </c>
      <c r="AR944" s="42">
        <v>0</v>
      </c>
      <c r="AS944" s="42">
        <v>0</v>
      </c>
      <c r="AT944" s="42">
        <v>0</v>
      </c>
      <c r="AU944" s="42">
        <v>0</v>
      </c>
      <c r="AV944" s="42">
        <f t="shared" si="90"/>
        <v>0</v>
      </c>
      <c r="AW944" s="42">
        <v>0</v>
      </c>
      <c r="AX944" s="42">
        <v>0</v>
      </c>
      <c r="AY944" s="42">
        <v>0</v>
      </c>
      <c r="AZ944" s="42">
        <v>0</v>
      </c>
      <c r="BA944" s="42">
        <v>0</v>
      </c>
      <c r="BB944" s="42">
        <v>0</v>
      </c>
      <c r="BC944" s="42">
        <v>0</v>
      </c>
      <c r="BD944" s="42">
        <v>0</v>
      </c>
      <c r="BE944" s="42">
        <v>0</v>
      </c>
      <c r="BF944" s="42">
        <v>0</v>
      </c>
      <c r="BG944" s="42">
        <v>0</v>
      </c>
      <c r="BH944" s="42">
        <v>0</v>
      </c>
      <c r="BI944" s="42">
        <v>0</v>
      </c>
      <c r="BJ944" s="42">
        <v>0</v>
      </c>
      <c r="BK944" s="42">
        <v>0</v>
      </c>
      <c r="BL944" s="42">
        <v>0</v>
      </c>
      <c r="BM944" s="42">
        <v>0</v>
      </c>
      <c r="BN944" s="42">
        <v>0</v>
      </c>
      <c r="BO944" s="42">
        <v>0</v>
      </c>
      <c r="BP944" s="42">
        <v>0</v>
      </c>
      <c r="BQ944" s="42">
        <v>0</v>
      </c>
      <c r="BR944" s="42">
        <v>0</v>
      </c>
      <c r="BS944" s="42">
        <v>0</v>
      </c>
      <c r="BT944" s="42">
        <v>0</v>
      </c>
      <c r="BU944" s="42">
        <v>0</v>
      </c>
      <c r="BV944" s="42">
        <v>0</v>
      </c>
      <c r="BW944" s="42">
        <v>0</v>
      </c>
      <c r="BX944" s="42">
        <v>0</v>
      </c>
      <c r="BY944" s="42">
        <v>0</v>
      </c>
      <c r="BZ944" s="42">
        <v>0</v>
      </c>
      <c r="CA944" s="42">
        <v>0</v>
      </c>
      <c r="CB944" s="42">
        <v>0</v>
      </c>
      <c r="CC944" s="42">
        <v>0</v>
      </c>
      <c r="CD944" s="42">
        <v>0</v>
      </c>
      <c r="CE944" s="42">
        <v>0</v>
      </c>
      <c r="CF944" s="42">
        <v>0</v>
      </c>
      <c r="CG944" s="42">
        <v>0</v>
      </c>
      <c r="CH944" s="42">
        <v>0</v>
      </c>
      <c r="CI944" s="42">
        <v>0</v>
      </c>
      <c r="CJ944" s="42">
        <v>0</v>
      </c>
      <c r="CK944" s="43">
        <f t="shared" si="87"/>
        <v>0</v>
      </c>
      <c r="CL944" s="66"/>
      <c r="CM944" s="66">
        <v>0</v>
      </c>
      <c r="CN944" s="66">
        <v>0</v>
      </c>
      <c r="CO944" s="66">
        <v>0</v>
      </c>
      <c r="CP944" s="66">
        <v>0</v>
      </c>
      <c r="CQ944" s="66">
        <v>0</v>
      </c>
      <c r="CR944" s="66">
        <v>0</v>
      </c>
      <c r="CS944" s="66">
        <v>0</v>
      </c>
      <c r="CT944" s="66">
        <v>0</v>
      </c>
      <c r="CU944" s="66">
        <v>0</v>
      </c>
      <c r="CV944" s="66">
        <v>0</v>
      </c>
      <c r="CW944" s="66">
        <v>0</v>
      </c>
      <c r="CX944" s="66">
        <v>0</v>
      </c>
      <c r="CY944" s="66">
        <v>0</v>
      </c>
      <c r="CZ944" s="66">
        <v>0</v>
      </c>
      <c r="DA944" s="66"/>
      <c r="DB944" s="66"/>
      <c r="DC944" s="66"/>
      <c r="DD944" s="66"/>
      <c r="DE944" s="66"/>
      <c r="DF944" s="66"/>
      <c r="DG944" s="66"/>
      <c r="DH944" s="66"/>
      <c r="DI944" s="66"/>
      <c r="DJ944" s="66"/>
      <c r="DK944" s="66">
        <f>SUM(Table1[[#This Row],[01-03 Apr]:[Mar-26]])</f>
        <v>0</v>
      </c>
    </row>
    <row r="945" spans="1:115" hidden="1" x14ac:dyDescent="0.2">
      <c r="A945" s="28" t="s">
        <v>371</v>
      </c>
      <c r="B945" s="29" t="s">
        <v>2036</v>
      </c>
      <c r="C945" s="29" t="s">
        <v>3336</v>
      </c>
      <c r="D945" s="30" t="s">
        <v>2037</v>
      </c>
      <c r="E945" s="30" t="s">
        <v>177</v>
      </c>
      <c r="F945" s="30"/>
      <c r="G945" s="31"/>
      <c r="H945" s="30"/>
      <c r="I945" s="30" t="str">
        <f>IF(Table1[[#This Row],[Centre Status]]="Returned","NA",IF(Table1[[#This Row],[SD]]&gt;19000,"Full Payment",IF(Table1[[#This Row],[SD]]&lt;1,"No Payment","Partial Payment")))</f>
        <v>NA</v>
      </c>
      <c r="J945" s="30" t="s">
        <v>1903</v>
      </c>
      <c r="K945" s="32">
        <v>0</v>
      </c>
      <c r="L945" s="33">
        <f>Q945+R945+U945+Table1[[#This Row],[Farmer Payment]]</f>
        <v>16821</v>
      </c>
      <c r="M945" s="30">
        <v>17298</v>
      </c>
      <c r="N945" s="34">
        <v>45062</v>
      </c>
      <c r="O945" s="34"/>
      <c r="P945" s="35">
        <f t="shared" si="88"/>
        <v>477</v>
      </c>
      <c r="Q945" s="33">
        <f>AI945+AV945+CK945+Table1[[#This Row],[FY 25-26]]</f>
        <v>6821</v>
      </c>
      <c r="R945" s="36">
        <v>10000</v>
      </c>
      <c r="S945" s="37" t="s">
        <v>2181</v>
      </c>
      <c r="T945" s="38">
        <v>44845</v>
      </c>
      <c r="U945" s="39"/>
      <c r="V945" s="39"/>
      <c r="W945" s="40">
        <v>0</v>
      </c>
      <c r="X945" s="40">
        <v>0</v>
      </c>
      <c r="Y945" s="40">
        <v>0</v>
      </c>
      <c r="Z945" s="40">
        <v>0</v>
      </c>
      <c r="AA945" s="40">
        <v>0</v>
      </c>
      <c r="AB945" s="40">
        <v>0</v>
      </c>
      <c r="AC945" s="40">
        <v>0</v>
      </c>
      <c r="AD945" s="40">
        <v>1582</v>
      </c>
      <c r="AE945" s="40">
        <v>1834</v>
      </c>
      <c r="AF945" s="40">
        <v>835</v>
      </c>
      <c r="AG945" s="40">
        <v>1861</v>
      </c>
      <c r="AH945" s="40">
        <v>709</v>
      </c>
      <c r="AI945" s="41">
        <f t="shared" si="89"/>
        <v>6821</v>
      </c>
      <c r="AJ945" s="42">
        <v>0</v>
      </c>
      <c r="AK945" s="42">
        <v>0</v>
      </c>
      <c r="AL945" s="42">
        <v>0</v>
      </c>
      <c r="AM945" s="42">
        <v>0</v>
      </c>
      <c r="AN945" s="42">
        <v>0</v>
      </c>
      <c r="AO945" s="42">
        <v>0</v>
      </c>
      <c r="AP945" s="42">
        <v>0</v>
      </c>
      <c r="AQ945" s="42">
        <v>0</v>
      </c>
      <c r="AR945" s="42">
        <v>0</v>
      </c>
      <c r="AS945" s="42">
        <v>0</v>
      </c>
      <c r="AT945" s="42">
        <v>0</v>
      </c>
      <c r="AU945" s="42">
        <v>0</v>
      </c>
      <c r="AV945" s="42">
        <f t="shared" si="90"/>
        <v>0</v>
      </c>
      <c r="AW945" s="42">
        <v>0</v>
      </c>
      <c r="AX945" s="42">
        <v>0</v>
      </c>
      <c r="AY945" s="42">
        <v>0</v>
      </c>
      <c r="AZ945" s="42">
        <v>0</v>
      </c>
      <c r="BA945" s="42">
        <v>0</v>
      </c>
      <c r="BB945" s="42">
        <v>0</v>
      </c>
      <c r="BC945" s="42">
        <v>0</v>
      </c>
      <c r="BD945" s="42">
        <v>0</v>
      </c>
      <c r="BE945" s="42">
        <v>0</v>
      </c>
      <c r="BF945" s="42">
        <v>0</v>
      </c>
      <c r="BG945" s="42">
        <v>0</v>
      </c>
      <c r="BH945" s="42">
        <v>0</v>
      </c>
      <c r="BI945" s="42">
        <v>0</v>
      </c>
      <c r="BJ945" s="42">
        <v>0</v>
      </c>
      <c r="BK945" s="42">
        <v>0</v>
      </c>
      <c r="BL945" s="42">
        <v>0</v>
      </c>
      <c r="BM945" s="42">
        <v>0</v>
      </c>
      <c r="BN945" s="42">
        <v>0</v>
      </c>
      <c r="BO945" s="42">
        <v>0</v>
      </c>
      <c r="BP945" s="42">
        <v>0</v>
      </c>
      <c r="BQ945" s="42">
        <v>0</v>
      </c>
      <c r="BR945" s="42">
        <v>0</v>
      </c>
      <c r="BS945" s="42">
        <v>0</v>
      </c>
      <c r="BT945" s="42">
        <v>0</v>
      </c>
      <c r="BU945" s="42">
        <v>0</v>
      </c>
      <c r="BV945" s="42">
        <v>0</v>
      </c>
      <c r="BW945" s="42">
        <v>0</v>
      </c>
      <c r="BX945" s="42">
        <v>0</v>
      </c>
      <c r="BY945" s="42">
        <v>0</v>
      </c>
      <c r="BZ945" s="42">
        <v>0</v>
      </c>
      <c r="CA945" s="42">
        <v>0</v>
      </c>
      <c r="CB945" s="42">
        <v>0</v>
      </c>
      <c r="CC945" s="42">
        <v>0</v>
      </c>
      <c r="CD945" s="42">
        <v>0</v>
      </c>
      <c r="CE945" s="42">
        <v>0</v>
      </c>
      <c r="CF945" s="42">
        <v>0</v>
      </c>
      <c r="CG945" s="42">
        <v>0</v>
      </c>
      <c r="CH945" s="42">
        <v>0</v>
      </c>
      <c r="CI945" s="42">
        <v>0</v>
      </c>
      <c r="CJ945" s="42">
        <v>0</v>
      </c>
      <c r="CK945" s="43">
        <f t="shared" si="87"/>
        <v>0</v>
      </c>
      <c r="CL945" s="66"/>
      <c r="CM945" s="66">
        <v>0</v>
      </c>
      <c r="CN945" s="66">
        <v>0</v>
      </c>
      <c r="CO945" s="66">
        <v>0</v>
      </c>
      <c r="CP945" s="66">
        <v>0</v>
      </c>
      <c r="CQ945" s="66">
        <v>0</v>
      </c>
      <c r="CR945" s="66">
        <v>0</v>
      </c>
      <c r="CS945" s="66">
        <v>0</v>
      </c>
      <c r="CT945" s="66">
        <v>0</v>
      </c>
      <c r="CU945" s="66">
        <v>0</v>
      </c>
      <c r="CV945" s="66">
        <v>0</v>
      </c>
      <c r="CW945" s="66">
        <v>0</v>
      </c>
      <c r="CX945" s="66">
        <v>0</v>
      </c>
      <c r="CY945" s="66">
        <v>0</v>
      </c>
      <c r="CZ945" s="66">
        <v>0</v>
      </c>
      <c r="DA945" s="66"/>
      <c r="DB945" s="66"/>
      <c r="DC945" s="66"/>
      <c r="DD945" s="66"/>
      <c r="DE945" s="66"/>
      <c r="DF945" s="66"/>
      <c r="DG945" s="66"/>
      <c r="DH945" s="66"/>
      <c r="DI945" s="66"/>
      <c r="DJ945" s="66"/>
      <c r="DK945" s="66">
        <f>SUM(Table1[[#This Row],[01-03 Apr]:[Mar-26]])</f>
        <v>0</v>
      </c>
    </row>
    <row r="946" spans="1:115" hidden="1" x14ac:dyDescent="0.2">
      <c r="A946" s="28" t="s">
        <v>371</v>
      </c>
      <c r="B946" s="29" t="s">
        <v>2038</v>
      </c>
      <c r="C946" s="29" t="s">
        <v>3336</v>
      </c>
      <c r="D946" s="30" t="s">
        <v>2039</v>
      </c>
      <c r="E946" s="30" t="s">
        <v>349</v>
      </c>
      <c r="F946" s="30"/>
      <c r="G946" s="31"/>
      <c r="H946" s="30"/>
      <c r="I946" s="30" t="str">
        <f>IF(Table1[[#This Row],[Centre Status]]="Returned","NA",IF(Table1[[#This Row],[SD]]&gt;19000,"Full Payment",IF(Table1[[#This Row],[SD]]&lt;1,"No Payment","Partial Payment")))</f>
        <v>NA</v>
      </c>
      <c r="J946" s="30" t="s">
        <v>1903</v>
      </c>
      <c r="K946" s="32">
        <v>0</v>
      </c>
      <c r="L946" s="33">
        <f>Q946+R946+U946+Table1[[#This Row],[Farmer Payment]]</f>
        <v>14106</v>
      </c>
      <c r="M946" s="30">
        <v>17349</v>
      </c>
      <c r="N946" s="34">
        <v>45062</v>
      </c>
      <c r="O946" s="34"/>
      <c r="P946" s="35">
        <f t="shared" si="88"/>
        <v>3243</v>
      </c>
      <c r="Q946" s="33">
        <f>AI946+AV946+CK946+Table1[[#This Row],[FY 25-26]]</f>
        <v>4106</v>
      </c>
      <c r="R946" s="36">
        <v>10000</v>
      </c>
      <c r="S946" s="37" t="s">
        <v>2182</v>
      </c>
      <c r="T946" s="38">
        <v>44714</v>
      </c>
      <c r="U946" s="39"/>
      <c r="V946" s="39"/>
      <c r="W946" s="40">
        <v>0</v>
      </c>
      <c r="X946" s="40">
        <v>0</v>
      </c>
      <c r="Y946" s="40">
        <v>495</v>
      </c>
      <c r="Z946" s="40">
        <v>133</v>
      </c>
      <c r="AA946" s="40">
        <v>1299</v>
      </c>
      <c r="AB946" s="40">
        <v>107</v>
      </c>
      <c r="AC946" s="40">
        <v>304</v>
      </c>
      <c r="AD946" s="40">
        <v>786</v>
      </c>
      <c r="AE946" s="40">
        <v>982</v>
      </c>
      <c r="AF946" s="40">
        <v>0</v>
      </c>
      <c r="AG946" s="40">
        <v>0</v>
      </c>
      <c r="AH946" s="40">
        <v>0</v>
      </c>
      <c r="AI946" s="41">
        <f t="shared" si="89"/>
        <v>4106</v>
      </c>
      <c r="AJ946" s="42">
        <v>0</v>
      </c>
      <c r="AK946" s="42">
        <v>0</v>
      </c>
      <c r="AL946" s="42">
        <v>0</v>
      </c>
      <c r="AM946" s="42">
        <v>0</v>
      </c>
      <c r="AN946" s="42">
        <v>0</v>
      </c>
      <c r="AO946" s="42">
        <v>0</v>
      </c>
      <c r="AP946" s="42">
        <v>0</v>
      </c>
      <c r="AQ946" s="42">
        <v>0</v>
      </c>
      <c r="AR946" s="42">
        <v>0</v>
      </c>
      <c r="AS946" s="42">
        <v>0</v>
      </c>
      <c r="AT946" s="42">
        <v>0</v>
      </c>
      <c r="AU946" s="42">
        <v>0</v>
      </c>
      <c r="AV946" s="42">
        <f t="shared" si="90"/>
        <v>0</v>
      </c>
      <c r="AW946" s="42">
        <v>0</v>
      </c>
      <c r="AX946" s="42">
        <v>0</v>
      </c>
      <c r="AY946" s="42">
        <v>0</v>
      </c>
      <c r="AZ946" s="42">
        <v>0</v>
      </c>
      <c r="BA946" s="42">
        <v>0</v>
      </c>
      <c r="BB946" s="42">
        <v>0</v>
      </c>
      <c r="BC946" s="42">
        <v>0</v>
      </c>
      <c r="BD946" s="42">
        <v>0</v>
      </c>
      <c r="BE946" s="42">
        <v>0</v>
      </c>
      <c r="BF946" s="42">
        <v>0</v>
      </c>
      <c r="BG946" s="42">
        <v>0</v>
      </c>
      <c r="BH946" s="42">
        <v>0</v>
      </c>
      <c r="BI946" s="42">
        <v>0</v>
      </c>
      <c r="BJ946" s="42">
        <v>0</v>
      </c>
      <c r="BK946" s="42">
        <v>0</v>
      </c>
      <c r="BL946" s="42">
        <v>0</v>
      </c>
      <c r="BM946" s="42">
        <v>0</v>
      </c>
      <c r="BN946" s="42">
        <v>0</v>
      </c>
      <c r="BO946" s="42">
        <v>0</v>
      </c>
      <c r="BP946" s="42">
        <v>0</v>
      </c>
      <c r="BQ946" s="42">
        <v>0</v>
      </c>
      <c r="BR946" s="42">
        <v>0</v>
      </c>
      <c r="BS946" s="42">
        <v>0</v>
      </c>
      <c r="BT946" s="42">
        <v>0</v>
      </c>
      <c r="BU946" s="42">
        <v>0</v>
      </c>
      <c r="BV946" s="42">
        <v>0</v>
      </c>
      <c r="BW946" s="42">
        <v>0</v>
      </c>
      <c r="BX946" s="42">
        <v>0</v>
      </c>
      <c r="BY946" s="42">
        <v>0</v>
      </c>
      <c r="BZ946" s="42">
        <v>0</v>
      </c>
      <c r="CA946" s="42">
        <v>0</v>
      </c>
      <c r="CB946" s="42">
        <v>0</v>
      </c>
      <c r="CC946" s="42">
        <v>0</v>
      </c>
      <c r="CD946" s="42">
        <v>0</v>
      </c>
      <c r="CE946" s="42">
        <v>0</v>
      </c>
      <c r="CF946" s="42">
        <v>0</v>
      </c>
      <c r="CG946" s="42">
        <v>0</v>
      </c>
      <c r="CH946" s="42">
        <v>0</v>
      </c>
      <c r="CI946" s="42">
        <v>0</v>
      </c>
      <c r="CJ946" s="42">
        <v>0</v>
      </c>
      <c r="CK946" s="43">
        <f t="shared" si="87"/>
        <v>0</v>
      </c>
      <c r="CL946" s="66"/>
      <c r="CM946" s="66">
        <v>0</v>
      </c>
      <c r="CN946" s="66">
        <v>0</v>
      </c>
      <c r="CO946" s="66">
        <v>0</v>
      </c>
      <c r="CP946" s="66">
        <v>0</v>
      </c>
      <c r="CQ946" s="66">
        <v>0</v>
      </c>
      <c r="CR946" s="66">
        <v>0</v>
      </c>
      <c r="CS946" s="66">
        <v>0</v>
      </c>
      <c r="CT946" s="66">
        <v>0</v>
      </c>
      <c r="CU946" s="66">
        <v>0</v>
      </c>
      <c r="CV946" s="66">
        <v>0</v>
      </c>
      <c r="CW946" s="66">
        <v>0</v>
      </c>
      <c r="CX946" s="66">
        <v>0</v>
      </c>
      <c r="CY946" s="66">
        <v>0</v>
      </c>
      <c r="CZ946" s="66">
        <v>0</v>
      </c>
      <c r="DA946" s="66"/>
      <c r="DB946" s="66"/>
      <c r="DC946" s="66"/>
      <c r="DD946" s="66"/>
      <c r="DE946" s="66"/>
      <c r="DF946" s="66"/>
      <c r="DG946" s="66"/>
      <c r="DH946" s="66"/>
      <c r="DI946" s="66"/>
      <c r="DJ946" s="66"/>
      <c r="DK946" s="66">
        <f>SUM(Table1[[#This Row],[01-03 Apr]:[Mar-26]])</f>
        <v>0</v>
      </c>
    </row>
    <row r="947" spans="1:115" hidden="1" x14ac:dyDescent="0.2">
      <c r="A947" s="28" t="s">
        <v>2255</v>
      </c>
      <c r="B947" s="29" t="s">
        <v>2040</v>
      </c>
      <c r="C947" s="29" t="s">
        <v>3382</v>
      </c>
      <c r="D947" s="30" t="s">
        <v>2041</v>
      </c>
      <c r="E947" s="30" t="s">
        <v>906</v>
      </c>
      <c r="F947" s="30"/>
      <c r="G947" s="31"/>
      <c r="H947" s="30">
        <v>276049</v>
      </c>
      <c r="I947" s="30" t="str">
        <f>IF(Table1[[#This Row],[Centre Status]]="Returned","NA",IF(Table1[[#This Row],[SD]]&gt;19000,"Full Payment",IF(Table1[[#This Row],[SD]]&lt;1,"No Payment","Partial Payment")))</f>
        <v>NA</v>
      </c>
      <c r="J947" s="30" t="s">
        <v>1903</v>
      </c>
      <c r="K947" s="32">
        <v>0</v>
      </c>
      <c r="L947" s="33">
        <f>Q947+R947+U947+Table1[[#This Row],[Farmer Payment]]</f>
        <v>10071</v>
      </c>
      <c r="M947" s="30">
        <v>10000</v>
      </c>
      <c r="N947" s="34">
        <v>45085</v>
      </c>
      <c r="O947" s="34"/>
      <c r="P947" s="35">
        <f t="shared" si="88"/>
        <v>-71</v>
      </c>
      <c r="Q947" s="33">
        <f>AI947+AV947+CK947+Table1[[#This Row],[FY 25-26]]</f>
        <v>71</v>
      </c>
      <c r="R947" s="36">
        <v>10000</v>
      </c>
      <c r="S947" s="37" t="s">
        <v>2183</v>
      </c>
      <c r="T947" s="38">
        <v>45001</v>
      </c>
      <c r="U947" s="39"/>
      <c r="V947" s="39"/>
      <c r="W947" s="40">
        <v>0</v>
      </c>
      <c r="X947" s="40">
        <v>0</v>
      </c>
      <c r="Y947" s="40">
        <v>0</v>
      </c>
      <c r="Z947" s="40">
        <v>0</v>
      </c>
      <c r="AA947" s="40">
        <v>0</v>
      </c>
      <c r="AB947" s="40">
        <v>0</v>
      </c>
      <c r="AC947" s="40">
        <v>0</v>
      </c>
      <c r="AD947" s="40">
        <v>0</v>
      </c>
      <c r="AE947" s="40">
        <v>0</v>
      </c>
      <c r="AF947" s="40">
        <v>0</v>
      </c>
      <c r="AG947" s="40">
        <v>0</v>
      </c>
      <c r="AH947" s="40">
        <v>64</v>
      </c>
      <c r="AI947" s="41">
        <f t="shared" si="89"/>
        <v>64</v>
      </c>
      <c r="AJ947" s="42">
        <v>7</v>
      </c>
      <c r="AK947" s="42">
        <v>0</v>
      </c>
      <c r="AL947" s="42">
        <v>0</v>
      </c>
      <c r="AM947" s="42">
        <v>0</v>
      </c>
      <c r="AN947" s="42">
        <v>0</v>
      </c>
      <c r="AO947" s="42">
        <v>0</v>
      </c>
      <c r="AP947" s="42">
        <v>0</v>
      </c>
      <c r="AQ947" s="42">
        <v>0</v>
      </c>
      <c r="AR947" s="42">
        <v>0</v>
      </c>
      <c r="AS947" s="42">
        <v>0</v>
      </c>
      <c r="AT947" s="42">
        <v>0</v>
      </c>
      <c r="AU947" s="42">
        <v>0</v>
      </c>
      <c r="AV947" s="42">
        <f t="shared" si="90"/>
        <v>7</v>
      </c>
      <c r="AW947" s="42">
        <v>0</v>
      </c>
      <c r="AX947" s="42">
        <v>0</v>
      </c>
      <c r="AY947" s="42">
        <v>0</v>
      </c>
      <c r="AZ947" s="42">
        <v>0</v>
      </c>
      <c r="BA947" s="42">
        <v>0</v>
      </c>
      <c r="BB947" s="42">
        <v>0</v>
      </c>
      <c r="BC947" s="42">
        <v>0</v>
      </c>
      <c r="BD947" s="42">
        <v>0</v>
      </c>
      <c r="BE947" s="42">
        <v>0</v>
      </c>
      <c r="BF947" s="42">
        <v>0</v>
      </c>
      <c r="BG947" s="42">
        <v>0</v>
      </c>
      <c r="BH947" s="42">
        <v>0</v>
      </c>
      <c r="BI947" s="42">
        <v>0</v>
      </c>
      <c r="BJ947" s="42">
        <v>0</v>
      </c>
      <c r="BK947" s="42">
        <v>0</v>
      </c>
      <c r="BL947" s="42">
        <v>0</v>
      </c>
      <c r="BM947" s="42">
        <v>0</v>
      </c>
      <c r="BN947" s="42">
        <v>0</v>
      </c>
      <c r="BO947" s="42">
        <v>0</v>
      </c>
      <c r="BP947" s="42">
        <v>0</v>
      </c>
      <c r="BQ947" s="42">
        <v>0</v>
      </c>
      <c r="BR947" s="42">
        <v>0</v>
      </c>
      <c r="BS947" s="42">
        <v>0</v>
      </c>
      <c r="BT947" s="42">
        <v>0</v>
      </c>
      <c r="BU947" s="42">
        <v>0</v>
      </c>
      <c r="BV947" s="42">
        <v>0</v>
      </c>
      <c r="BW947" s="42">
        <v>0</v>
      </c>
      <c r="BX947" s="42">
        <v>0</v>
      </c>
      <c r="BY947" s="42">
        <v>0</v>
      </c>
      <c r="BZ947" s="42">
        <v>0</v>
      </c>
      <c r="CA947" s="42">
        <v>0</v>
      </c>
      <c r="CB947" s="42">
        <v>0</v>
      </c>
      <c r="CC947" s="42">
        <v>0</v>
      </c>
      <c r="CD947" s="42">
        <v>0</v>
      </c>
      <c r="CE947" s="42">
        <v>0</v>
      </c>
      <c r="CF947" s="42">
        <v>0</v>
      </c>
      <c r="CG947" s="42">
        <v>0</v>
      </c>
      <c r="CH947" s="42">
        <v>0</v>
      </c>
      <c r="CI947" s="42">
        <v>0</v>
      </c>
      <c r="CJ947" s="42">
        <v>0</v>
      </c>
      <c r="CK947" s="43">
        <f t="shared" si="87"/>
        <v>0</v>
      </c>
      <c r="CL947" s="66"/>
      <c r="CM947" s="66">
        <v>0</v>
      </c>
      <c r="CN947" s="66">
        <v>0</v>
      </c>
      <c r="CO947" s="66">
        <v>0</v>
      </c>
      <c r="CP947" s="66">
        <v>0</v>
      </c>
      <c r="CQ947" s="66">
        <v>0</v>
      </c>
      <c r="CR947" s="66">
        <v>0</v>
      </c>
      <c r="CS947" s="66">
        <v>0</v>
      </c>
      <c r="CT947" s="66">
        <v>0</v>
      </c>
      <c r="CU947" s="66">
        <v>0</v>
      </c>
      <c r="CV947" s="66">
        <v>0</v>
      </c>
      <c r="CW947" s="66">
        <v>0</v>
      </c>
      <c r="CX947" s="66">
        <v>0</v>
      </c>
      <c r="CY947" s="66">
        <v>0</v>
      </c>
      <c r="CZ947" s="66">
        <v>0</v>
      </c>
      <c r="DA947" s="66"/>
      <c r="DB947" s="66"/>
      <c r="DC947" s="66"/>
      <c r="DD947" s="66"/>
      <c r="DE947" s="66"/>
      <c r="DF947" s="66"/>
      <c r="DG947" s="66"/>
      <c r="DH947" s="66"/>
      <c r="DI947" s="66"/>
      <c r="DJ947" s="66"/>
      <c r="DK947" s="66">
        <f>SUM(Table1[[#This Row],[01-03 Apr]:[Mar-26]])</f>
        <v>0</v>
      </c>
    </row>
    <row r="948" spans="1:115" hidden="1" x14ac:dyDescent="0.2">
      <c r="A948" s="28" t="s">
        <v>371</v>
      </c>
      <c r="B948" s="29" t="s">
        <v>2042</v>
      </c>
      <c r="C948" s="29" t="s">
        <v>3336</v>
      </c>
      <c r="D948" s="30" t="s">
        <v>2043</v>
      </c>
      <c r="E948" s="30" t="s">
        <v>85</v>
      </c>
      <c r="F948" s="30"/>
      <c r="G948" s="31"/>
      <c r="H948" s="30"/>
      <c r="I948" s="30" t="str">
        <f>IF(Table1[[#This Row],[Centre Status]]="Returned","NA",IF(Table1[[#This Row],[SD]]&gt;19000,"Full Payment",IF(Table1[[#This Row],[SD]]&lt;1,"No Payment","Partial Payment")))</f>
        <v>NA</v>
      </c>
      <c r="J948" s="30" t="s">
        <v>1903</v>
      </c>
      <c r="K948" s="32">
        <v>0</v>
      </c>
      <c r="L948" s="33">
        <f>Q948+R948+U948+Table1[[#This Row],[Farmer Payment]]</f>
        <v>20000</v>
      </c>
      <c r="M948" s="30">
        <v>20000</v>
      </c>
      <c r="N948" s="34">
        <v>44716</v>
      </c>
      <c r="O948" s="34"/>
      <c r="P948" s="35">
        <f t="shared" si="88"/>
        <v>0</v>
      </c>
      <c r="Q948" s="33">
        <f>AI948+AV948+CK948+Table1[[#This Row],[FY 25-26]]</f>
        <v>0</v>
      </c>
      <c r="R948" s="36">
        <v>20000</v>
      </c>
      <c r="S948" s="37" t="s">
        <v>2184</v>
      </c>
      <c r="T948" s="38">
        <v>44684</v>
      </c>
      <c r="U948" s="39"/>
      <c r="V948" s="39"/>
      <c r="W948" s="40">
        <v>0</v>
      </c>
      <c r="X948" s="40">
        <v>0</v>
      </c>
      <c r="Y948" s="40">
        <v>0</v>
      </c>
      <c r="Z948" s="40">
        <v>0</v>
      </c>
      <c r="AA948" s="40">
        <v>0</v>
      </c>
      <c r="AB948" s="40">
        <v>0</v>
      </c>
      <c r="AC948" s="40">
        <v>0</v>
      </c>
      <c r="AD948" s="40">
        <v>0</v>
      </c>
      <c r="AE948" s="40">
        <v>0</v>
      </c>
      <c r="AF948" s="40">
        <v>0</v>
      </c>
      <c r="AG948" s="40">
        <v>0</v>
      </c>
      <c r="AH948" s="40">
        <v>0</v>
      </c>
      <c r="AI948" s="41">
        <f t="shared" si="89"/>
        <v>0</v>
      </c>
      <c r="AJ948" s="42">
        <v>0</v>
      </c>
      <c r="AK948" s="42">
        <v>0</v>
      </c>
      <c r="AL948" s="42">
        <v>0</v>
      </c>
      <c r="AM948" s="42">
        <v>0</v>
      </c>
      <c r="AN948" s="42">
        <v>0</v>
      </c>
      <c r="AO948" s="42">
        <v>0</v>
      </c>
      <c r="AP948" s="42">
        <v>0</v>
      </c>
      <c r="AQ948" s="42">
        <v>0</v>
      </c>
      <c r="AR948" s="42">
        <v>0</v>
      </c>
      <c r="AS948" s="42">
        <v>0</v>
      </c>
      <c r="AT948" s="42">
        <v>0</v>
      </c>
      <c r="AU948" s="42">
        <v>0</v>
      </c>
      <c r="AV948" s="42">
        <f t="shared" si="90"/>
        <v>0</v>
      </c>
      <c r="AW948" s="42">
        <v>0</v>
      </c>
      <c r="AX948" s="42">
        <v>0</v>
      </c>
      <c r="AY948" s="42">
        <v>0</v>
      </c>
      <c r="AZ948" s="42">
        <v>0</v>
      </c>
      <c r="BA948" s="42">
        <v>0</v>
      </c>
      <c r="BB948" s="42">
        <v>0</v>
      </c>
      <c r="BC948" s="42">
        <v>0</v>
      </c>
      <c r="BD948" s="42">
        <v>0</v>
      </c>
      <c r="BE948" s="42">
        <v>0</v>
      </c>
      <c r="BF948" s="42">
        <v>0</v>
      </c>
      <c r="BG948" s="42">
        <v>0</v>
      </c>
      <c r="BH948" s="42">
        <v>0</v>
      </c>
      <c r="BI948" s="42">
        <v>0</v>
      </c>
      <c r="BJ948" s="42">
        <v>0</v>
      </c>
      <c r="BK948" s="42">
        <v>0</v>
      </c>
      <c r="BL948" s="42">
        <v>0</v>
      </c>
      <c r="BM948" s="42">
        <v>0</v>
      </c>
      <c r="BN948" s="42">
        <v>0</v>
      </c>
      <c r="BO948" s="42">
        <v>0</v>
      </c>
      <c r="BP948" s="42">
        <v>0</v>
      </c>
      <c r="BQ948" s="42">
        <v>0</v>
      </c>
      <c r="BR948" s="42">
        <v>0</v>
      </c>
      <c r="BS948" s="42">
        <v>0</v>
      </c>
      <c r="BT948" s="42">
        <v>0</v>
      </c>
      <c r="BU948" s="42">
        <v>0</v>
      </c>
      <c r="BV948" s="42">
        <v>0</v>
      </c>
      <c r="BW948" s="42">
        <v>0</v>
      </c>
      <c r="BX948" s="42">
        <v>0</v>
      </c>
      <c r="BY948" s="42">
        <v>0</v>
      </c>
      <c r="BZ948" s="42">
        <v>0</v>
      </c>
      <c r="CA948" s="42">
        <v>0</v>
      </c>
      <c r="CB948" s="42">
        <v>0</v>
      </c>
      <c r="CC948" s="42">
        <v>0</v>
      </c>
      <c r="CD948" s="42">
        <v>0</v>
      </c>
      <c r="CE948" s="42">
        <v>0</v>
      </c>
      <c r="CF948" s="42">
        <v>0</v>
      </c>
      <c r="CG948" s="42">
        <v>0</v>
      </c>
      <c r="CH948" s="42">
        <v>0</v>
      </c>
      <c r="CI948" s="42">
        <v>0</v>
      </c>
      <c r="CJ948" s="42">
        <v>0</v>
      </c>
      <c r="CK948" s="43">
        <f t="shared" si="87"/>
        <v>0</v>
      </c>
      <c r="CL948" s="66"/>
      <c r="CM948" s="66">
        <v>0</v>
      </c>
      <c r="CN948" s="66">
        <v>0</v>
      </c>
      <c r="CO948" s="66">
        <v>0</v>
      </c>
      <c r="CP948" s="66">
        <v>0</v>
      </c>
      <c r="CQ948" s="66">
        <v>0</v>
      </c>
      <c r="CR948" s="66">
        <v>0</v>
      </c>
      <c r="CS948" s="66">
        <v>0</v>
      </c>
      <c r="CT948" s="66">
        <v>0</v>
      </c>
      <c r="CU948" s="66">
        <v>0</v>
      </c>
      <c r="CV948" s="66">
        <v>0</v>
      </c>
      <c r="CW948" s="66">
        <v>0</v>
      </c>
      <c r="CX948" s="66">
        <v>0</v>
      </c>
      <c r="CY948" s="66">
        <v>0</v>
      </c>
      <c r="CZ948" s="66">
        <v>0</v>
      </c>
      <c r="DA948" s="66"/>
      <c r="DB948" s="66"/>
      <c r="DC948" s="66"/>
      <c r="DD948" s="66"/>
      <c r="DE948" s="66"/>
      <c r="DF948" s="66"/>
      <c r="DG948" s="66"/>
      <c r="DH948" s="66"/>
      <c r="DI948" s="66"/>
      <c r="DJ948" s="66"/>
      <c r="DK948" s="66">
        <f>SUM(Table1[[#This Row],[01-03 Apr]:[Mar-26]])</f>
        <v>0</v>
      </c>
    </row>
    <row r="949" spans="1:115" hidden="1" x14ac:dyDescent="0.2">
      <c r="A949" s="28" t="s">
        <v>371</v>
      </c>
      <c r="B949" s="29" t="s">
        <v>2044</v>
      </c>
      <c r="C949" s="29" t="s">
        <v>3383</v>
      </c>
      <c r="D949" s="30" t="s">
        <v>2045</v>
      </c>
      <c r="E949" s="30" t="s">
        <v>203</v>
      </c>
      <c r="F949" s="30"/>
      <c r="G949" s="31"/>
      <c r="H949" s="30"/>
      <c r="I949" s="30" t="str">
        <f>IF(Table1[[#This Row],[Centre Status]]="Returned","NA",IF(Table1[[#This Row],[SD]]&gt;19000,"Full Payment",IF(Table1[[#This Row],[SD]]&lt;1,"No Payment","Partial Payment")))</f>
        <v>NA</v>
      </c>
      <c r="J949" s="30" t="s">
        <v>1903</v>
      </c>
      <c r="K949" s="32">
        <v>0</v>
      </c>
      <c r="L949" s="33">
        <f>Q949+R949+U949+Table1[[#This Row],[Farmer Payment]]</f>
        <v>23225</v>
      </c>
      <c r="M949" s="30">
        <v>20000</v>
      </c>
      <c r="N949" s="34">
        <v>45085</v>
      </c>
      <c r="O949" s="34"/>
      <c r="P949" s="35">
        <f t="shared" si="88"/>
        <v>-3225</v>
      </c>
      <c r="Q949" s="33">
        <f>AI949+AV949+CK949+Table1[[#This Row],[FY 25-26]]</f>
        <v>3225</v>
      </c>
      <c r="R949" s="36">
        <v>20000</v>
      </c>
      <c r="S949" s="37" t="s">
        <v>2185</v>
      </c>
      <c r="T949" s="38">
        <v>44988</v>
      </c>
      <c r="U949" s="39"/>
      <c r="V949" s="39"/>
      <c r="W949" s="40">
        <v>0</v>
      </c>
      <c r="X949" s="40">
        <v>0</v>
      </c>
      <c r="Y949" s="40">
        <v>0</v>
      </c>
      <c r="Z949" s="40">
        <v>0</v>
      </c>
      <c r="AA949" s="40">
        <v>0</v>
      </c>
      <c r="AB949" s="40">
        <v>0</v>
      </c>
      <c r="AC949" s="40">
        <v>0</v>
      </c>
      <c r="AD949" s="40">
        <v>0</v>
      </c>
      <c r="AE949" s="40">
        <v>0</v>
      </c>
      <c r="AF949" s="40">
        <v>0</v>
      </c>
      <c r="AG949" s="40">
        <v>0</v>
      </c>
      <c r="AH949" s="40">
        <v>1456</v>
      </c>
      <c r="AI949" s="41">
        <f t="shared" si="89"/>
        <v>1456</v>
      </c>
      <c r="AJ949" s="42">
        <v>1769</v>
      </c>
      <c r="AK949" s="42">
        <v>0</v>
      </c>
      <c r="AL949" s="42">
        <v>0</v>
      </c>
      <c r="AM949" s="42">
        <v>0</v>
      </c>
      <c r="AN949" s="42">
        <v>0</v>
      </c>
      <c r="AO949" s="42">
        <v>0</v>
      </c>
      <c r="AP949" s="42">
        <v>0</v>
      </c>
      <c r="AQ949" s="42">
        <v>0</v>
      </c>
      <c r="AR949" s="42">
        <v>0</v>
      </c>
      <c r="AS949" s="42">
        <v>0</v>
      </c>
      <c r="AT949" s="42">
        <v>0</v>
      </c>
      <c r="AU949" s="42">
        <v>0</v>
      </c>
      <c r="AV949" s="42">
        <f t="shared" si="90"/>
        <v>1769</v>
      </c>
      <c r="AW949" s="42">
        <v>0</v>
      </c>
      <c r="AX949" s="42">
        <v>0</v>
      </c>
      <c r="AY949" s="42">
        <v>0</v>
      </c>
      <c r="AZ949" s="42">
        <v>0</v>
      </c>
      <c r="BA949" s="42">
        <v>0</v>
      </c>
      <c r="BB949" s="42">
        <v>0</v>
      </c>
      <c r="BC949" s="42">
        <v>0</v>
      </c>
      <c r="BD949" s="42">
        <v>0</v>
      </c>
      <c r="BE949" s="42">
        <v>0</v>
      </c>
      <c r="BF949" s="42">
        <v>0</v>
      </c>
      <c r="BG949" s="42">
        <v>0</v>
      </c>
      <c r="BH949" s="42">
        <v>0</v>
      </c>
      <c r="BI949" s="42">
        <v>0</v>
      </c>
      <c r="BJ949" s="42">
        <v>0</v>
      </c>
      <c r="BK949" s="42">
        <v>0</v>
      </c>
      <c r="BL949" s="42">
        <v>0</v>
      </c>
      <c r="BM949" s="42">
        <v>0</v>
      </c>
      <c r="BN949" s="42">
        <v>0</v>
      </c>
      <c r="BO949" s="42">
        <v>0</v>
      </c>
      <c r="BP949" s="42">
        <v>0</v>
      </c>
      <c r="BQ949" s="42">
        <v>0</v>
      </c>
      <c r="BR949" s="42">
        <v>0</v>
      </c>
      <c r="BS949" s="42">
        <v>0</v>
      </c>
      <c r="BT949" s="42">
        <v>0</v>
      </c>
      <c r="BU949" s="42">
        <v>0</v>
      </c>
      <c r="BV949" s="42">
        <v>0</v>
      </c>
      <c r="BW949" s="42">
        <v>0</v>
      </c>
      <c r="BX949" s="42">
        <v>0</v>
      </c>
      <c r="BY949" s="42">
        <v>0</v>
      </c>
      <c r="BZ949" s="42">
        <v>0</v>
      </c>
      <c r="CA949" s="42">
        <v>0</v>
      </c>
      <c r="CB949" s="42">
        <v>0</v>
      </c>
      <c r="CC949" s="42">
        <v>0</v>
      </c>
      <c r="CD949" s="42">
        <v>0</v>
      </c>
      <c r="CE949" s="42">
        <v>0</v>
      </c>
      <c r="CF949" s="42">
        <v>0</v>
      </c>
      <c r="CG949" s="42">
        <v>0</v>
      </c>
      <c r="CH949" s="42">
        <v>0</v>
      </c>
      <c r="CI949" s="42">
        <v>0</v>
      </c>
      <c r="CJ949" s="42">
        <v>0</v>
      </c>
      <c r="CK949" s="43">
        <f t="shared" si="87"/>
        <v>0</v>
      </c>
      <c r="CL949" s="66"/>
      <c r="CM949" s="66">
        <v>0</v>
      </c>
      <c r="CN949" s="66">
        <v>0</v>
      </c>
      <c r="CO949" s="66">
        <v>0</v>
      </c>
      <c r="CP949" s="66">
        <v>0</v>
      </c>
      <c r="CQ949" s="66">
        <v>0</v>
      </c>
      <c r="CR949" s="66">
        <v>0</v>
      </c>
      <c r="CS949" s="66">
        <v>0</v>
      </c>
      <c r="CT949" s="66">
        <v>0</v>
      </c>
      <c r="CU949" s="66">
        <v>0</v>
      </c>
      <c r="CV949" s="66">
        <v>0</v>
      </c>
      <c r="CW949" s="66">
        <v>0</v>
      </c>
      <c r="CX949" s="66">
        <v>0</v>
      </c>
      <c r="CY949" s="66">
        <v>0</v>
      </c>
      <c r="CZ949" s="66">
        <v>0</v>
      </c>
      <c r="DA949" s="66"/>
      <c r="DB949" s="66"/>
      <c r="DC949" s="66"/>
      <c r="DD949" s="66"/>
      <c r="DE949" s="66"/>
      <c r="DF949" s="66"/>
      <c r="DG949" s="66"/>
      <c r="DH949" s="66"/>
      <c r="DI949" s="66"/>
      <c r="DJ949" s="66"/>
      <c r="DK949" s="66">
        <f>SUM(Table1[[#This Row],[01-03 Apr]:[Mar-26]])</f>
        <v>0</v>
      </c>
    </row>
    <row r="950" spans="1:115" hidden="1" x14ac:dyDescent="0.2">
      <c r="A950" s="28" t="s">
        <v>371</v>
      </c>
      <c r="B950" s="29" t="s">
        <v>2046</v>
      </c>
      <c r="C950" s="29" t="s">
        <v>3384</v>
      </c>
      <c r="D950" s="30" t="s">
        <v>2047</v>
      </c>
      <c r="E950" s="30" t="s">
        <v>906</v>
      </c>
      <c r="F950" s="30"/>
      <c r="G950" s="31"/>
      <c r="H950" s="30"/>
      <c r="I950" s="30" t="str">
        <f>IF(Table1[[#This Row],[Centre Status]]="Returned","NA",IF(Table1[[#This Row],[SD]]&gt;19000,"Full Payment",IF(Table1[[#This Row],[SD]]&lt;1,"No Payment","Partial Payment")))</f>
        <v>NA</v>
      </c>
      <c r="J950" s="30" t="s">
        <v>1903</v>
      </c>
      <c r="K950" s="32">
        <v>0</v>
      </c>
      <c r="L950" s="33">
        <f>Q950+R950+U950+Table1[[#This Row],[Farmer Payment]]</f>
        <v>23871</v>
      </c>
      <c r="M950" s="30">
        <v>23722</v>
      </c>
      <c r="N950" s="34">
        <v>45337</v>
      </c>
      <c r="O950" s="34"/>
      <c r="P950" s="35">
        <f t="shared" si="88"/>
        <v>-149</v>
      </c>
      <c r="Q950" s="33">
        <f>AI950+AV950+CK950+Table1[[#This Row],[FY 25-26]]</f>
        <v>3871</v>
      </c>
      <c r="R950" s="36">
        <v>20000</v>
      </c>
      <c r="S950" s="37" t="s">
        <v>2546</v>
      </c>
      <c r="T950" s="38">
        <v>45195</v>
      </c>
      <c r="U950" s="39"/>
      <c r="V950" s="39"/>
      <c r="W950" s="40">
        <v>0</v>
      </c>
      <c r="X950" s="40">
        <v>0</v>
      </c>
      <c r="Y950" s="40">
        <v>0</v>
      </c>
      <c r="Z950" s="40">
        <v>0</v>
      </c>
      <c r="AA950" s="40">
        <v>0</v>
      </c>
      <c r="AB950" s="40">
        <v>0</v>
      </c>
      <c r="AC950" s="40">
        <v>0</v>
      </c>
      <c r="AD950" s="40">
        <v>0</v>
      </c>
      <c r="AE950" s="40">
        <v>0</v>
      </c>
      <c r="AF950" s="40">
        <v>0</v>
      </c>
      <c r="AG950" s="40">
        <v>0</v>
      </c>
      <c r="AH950" s="40">
        <v>0</v>
      </c>
      <c r="AI950" s="41">
        <f t="shared" si="89"/>
        <v>0</v>
      </c>
      <c r="AJ950" s="42">
        <v>0</v>
      </c>
      <c r="AK950" s="42">
        <v>0</v>
      </c>
      <c r="AL950" s="42">
        <v>0</v>
      </c>
      <c r="AM950" s="42">
        <v>0</v>
      </c>
      <c r="AN950" s="42">
        <v>0</v>
      </c>
      <c r="AO950" s="42">
        <v>0</v>
      </c>
      <c r="AP950" s="42">
        <v>0</v>
      </c>
      <c r="AQ950" s="42">
        <v>1861</v>
      </c>
      <c r="AR950" s="42">
        <v>1861</v>
      </c>
      <c r="AS950" s="42">
        <v>149</v>
      </c>
      <c r="AT950" s="42">
        <v>0</v>
      </c>
      <c r="AU950" s="42">
        <v>0</v>
      </c>
      <c r="AV950" s="42">
        <f t="shared" si="90"/>
        <v>3871</v>
      </c>
      <c r="AW950" s="42">
        <v>0</v>
      </c>
      <c r="AX950" s="42">
        <v>0</v>
      </c>
      <c r="AY950" s="42">
        <v>0</v>
      </c>
      <c r="AZ950" s="42">
        <v>0</v>
      </c>
      <c r="BA950" s="42">
        <v>0</v>
      </c>
      <c r="BB950" s="42">
        <v>0</v>
      </c>
      <c r="BC950" s="42">
        <v>0</v>
      </c>
      <c r="BD950" s="42">
        <v>0</v>
      </c>
      <c r="BE950" s="42">
        <v>0</v>
      </c>
      <c r="BF950" s="42">
        <v>0</v>
      </c>
      <c r="BG950" s="42">
        <v>0</v>
      </c>
      <c r="BH950" s="42">
        <v>0</v>
      </c>
      <c r="BI950" s="42">
        <v>0</v>
      </c>
      <c r="BJ950" s="42">
        <v>0</v>
      </c>
      <c r="BK950" s="42">
        <v>0</v>
      </c>
      <c r="BL950" s="42">
        <v>0</v>
      </c>
      <c r="BM950" s="42">
        <v>0</v>
      </c>
      <c r="BN950" s="42">
        <v>0</v>
      </c>
      <c r="BO950" s="42">
        <v>0</v>
      </c>
      <c r="BP950" s="42">
        <v>0</v>
      </c>
      <c r="BQ950" s="42">
        <v>0</v>
      </c>
      <c r="BR950" s="42">
        <v>0</v>
      </c>
      <c r="BS950" s="42">
        <v>0</v>
      </c>
      <c r="BT950" s="42">
        <v>0</v>
      </c>
      <c r="BU950" s="42">
        <v>0</v>
      </c>
      <c r="BV950" s="42">
        <v>0</v>
      </c>
      <c r="BW950" s="42">
        <v>0</v>
      </c>
      <c r="BX950" s="42">
        <v>0</v>
      </c>
      <c r="BY950" s="42">
        <v>0</v>
      </c>
      <c r="BZ950" s="42">
        <v>0</v>
      </c>
      <c r="CA950" s="42">
        <v>0</v>
      </c>
      <c r="CB950" s="42">
        <v>0</v>
      </c>
      <c r="CC950" s="42">
        <v>0</v>
      </c>
      <c r="CD950" s="42">
        <v>0</v>
      </c>
      <c r="CE950" s="42">
        <v>0</v>
      </c>
      <c r="CF950" s="42">
        <v>0</v>
      </c>
      <c r="CG950" s="42">
        <v>0</v>
      </c>
      <c r="CH950" s="42">
        <v>0</v>
      </c>
      <c r="CI950" s="42">
        <v>0</v>
      </c>
      <c r="CJ950" s="42">
        <v>0</v>
      </c>
      <c r="CK950" s="43">
        <f t="shared" si="87"/>
        <v>0</v>
      </c>
      <c r="CL950" s="66"/>
      <c r="CM950" s="66">
        <v>0</v>
      </c>
      <c r="CN950" s="66">
        <v>0</v>
      </c>
      <c r="CO950" s="66">
        <v>0</v>
      </c>
      <c r="CP950" s="66">
        <v>0</v>
      </c>
      <c r="CQ950" s="66">
        <v>0</v>
      </c>
      <c r="CR950" s="66">
        <v>0</v>
      </c>
      <c r="CS950" s="66">
        <v>0</v>
      </c>
      <c r="CT950" s="66">
        <v>0</v>
      </c>
      <c r="CU950" s="66">
        <v>0</v>
      </c>
      <c r="CV950" s="66">
        <v>0</v>
      </c>
      <c r="CW950" s="66">
        <v>0</v>
      </c>
      <c r="CX950" s="66">
        <v>0</v>
      </c>
      <c r="CY950" s="66">
        <v>0</v>
      </c>
      <c r="CZ950" s="66">
        <v>0</v>
      </c>
      <c r="DA950" s="66"/>
      <c r="DB950" s="66"/>
      <c r="DC950" s="66"/>
      <c r="DD950" s="66"/>
      <c r="DE950" s="66"/>
      <c r="DF950" s="66"/>
      <c r="DG950" s="66"/>
      <c r="DH950" s="66"/>
      <c r="DI950" s="66"/>
      <c r="DJ950" s="66"/>
      <c r="DK950" s="66">
        <f>SUM(Table1[[#This Row],[01-03 Apr]:[Mar-26]])</f>
        <v>0</v>
      </c>
    </row>
    <row r="951" spans="1:115" hidden="1" x14ac:dyDescent="0.2">
      <c r="A951" s="28" t="s">
        <v>371</v>
      </c>
      <c r="B951" s="29"/>
      <c r="C951" s="29" t="s">
        <v>3336</v>
      </c>
      <c r="D951" s="30" t="s">
        <v>2048</v>
      </c>
      <c r="E951" s="30" t="s">
        <v>177</v>
      </c>
      <c r="F951" s="30"/>
      <c r="G951" s="31"/>
      <c r="H951" s="30"/>
      <c r="I951" s="30" t="str">
        <f>IF(Table1[[#This Row],[Centre Status]]="Returned","NA",IF(Table1[[#This Row],[SD]]&gt;19000,"Full Payment",IF(Table1[[#This Row],[SD]]&lt;1,"No Payment","Partial Payment")))</f>
        <v>NA</v>
      </c>
      <c r="J951" s="30" t="s">
        <v>1903</v>
      </c>
      <c r="K951" s="32">
        <v>0</v>
      </c>
      <c r="L951" s="33">
        <f>Q951+R951+U951+Table1[[#This Row],[Farmer Payment]]</f>
        <v>5000</v>
      </c>
      <c r="M951" s="30">
        <v>5000</v>
      </c>
      <c r="N951" s="34">
        <v>45351</v>
      </c>
      <c r="O951" s="34"/>
      <c r="P951" s="35">
        <f t="shared" si="88"/>
        <v>0</v>
      </c>
      <c r="Q951" s="33">
        <f>AI951+AV951+CK951+Table1[[#This Row],[FY 25-26]]</f>
        <v>0</v>
      </c>
      <c r="R951" s="36">
        <v>5000</v>
      </c>
      <c r="S951" s="37" t="s">
        <v>2186</v>
      </c>
      <c r="T951" s="38">
        <v>45218</v>
      </c>
      <c r="U951" s="39"/>
      <c r="V951" s="39"/>
      <c r="W951" s="40">
        <v>0</v>
      </c>
      <c r="X951" s="40">
        <v>0</v>
      </c>
      <c r="Y951" s="40">
        <v>0</v>
      </c>
      <c r="Z951" s="40">
        <v>0</v>
      </c>
      <c r="AA951" s="40">
        <v>0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>
        <v>0</v>
      </c>
      <c r="AH951" s="40">
        <v>0</v>
      </c>
      <c r="AI951" s="41">
        <f t="shared" si="89"/>
        <v>0</v>
      </c>
      <c r="AJ951" s="42">
        <v>0</v>
      </c>
      <c r="AK951" s="42">
        <v>0</v>
      </c>
      <c r="AL951" s="42">
        <v>0</v>
      </c>
      <c r="AM951" s="42">
        <v>0</v>
      </c>
      <c r="AN951" s="42">
        <v>0</v>
      </c>
      <c r="AO951" s="42">
        <v>0</v>
      </c>
      <c r="AP951" s="42">
        <v>0</v>
      </c>
      <c r="AQ951" s="42">
        <v>0</v>
      </c>
      <c r="AR951" s="42">
        <v>0</v>
      </c>
      <c r="AS951" s="42">
        <v>0</v>
      </c>
      <c r="AT951" s="42">
        <v>0</v>
      </c>
      <c r="AU951" s="42">
        <v>0</v>
      </c>
      <c r="AV951" s="42">
        <f t="shared" si="90"/>
        <v>0</v>
      </c>
      <c r="AW951" s="42">
        <v>0</v>
      </c>
      <c r="AX951" s="42">
        <v>0</v>
      </c>
      <c r="AY951" s="42">
        <v>0</v>
      </c>
      <c r="AZ951" s="42">
        <v>0</v>
      </c>
      <c r="BA951" s="42">
        <v>0</v>
      </c>
      <c r="BB951" s="42">
        <v>0</v>
      </c>
      <c r="BC951" s="42">
        <v>0</v>
      </c>
      <c r="BD951" s="42">
        <v>0</v>
      </c>
      <c r="BE951" s="42">
        <v>0</v>
      </c>
      <c r="BF951" s="42">
        <v>0</v>
      </c>
      <c r="BG951" s="42">
        <v>0</v>
      </c>
      <c r="BH951" s="42">
        <v>0</v>
      </c>
      <c r="BI951" s="42">
        <v>0</v>
      </c>
      <c r="BJ951" s="42">
        <v>0</v>
      </c>
      <c r="BK951" s="42">
        <v>0</v>
      </c>
      <c r="BL951" s="42">
        <v>0</v>
      </c>
      <c r="BM951" s="42">
        <v>0</v>
      </c>
      <c r="BN951" s="42">
        <v>0</v>
      </c>
      <c r="BO951" s="42">
        <v>0</v>
      </c>
      <c r="BP951" s="42">
        <v>0</v>
      </c>
      <c r="BQ951" s="42">
        <v>0</v>
      </c>
      <c r="BR951" s="42">
        <v>0</v>
      </c>
      <c r="BS951" s="42">
        <v>0</v>
      </c>
      <c r="BT951" s="42">
        <v>0</v>
      </c>
      <c r="BU951" s="42">
        <v>0</v>
      </c>
      <c r="BV951" s="42">
        <v>0</v>
      </c>
      <c r="BW951" s="42">
        <v>0</v>
      </c>
      <c r="BX951" s="42">
        <v>0</v>
      </c>
      <c r="BY951" s="42">
        <v>0</v>
      </c>
      <c r="BZ951" s="42">
        <v>0</v>
      </c>
      <c r="CA951" s="42">
        <v>0</v>
      </c>
      <c r="CB951" s="42">
        <v>0</v>
      </c>
      <c r="CC951" s="42">
        <v>0</v>
      </c>
      <c r="CD951" s="42">
        <v>0</v>
      </c>
      <c r="CE951" s="42">
        <v>0</v>
      </c>
      <c r="CF951" s="42">
        <v>0</v>
      </c>
      <c r="CG951" s="42">
        <v>0</v>
      </c>
      <c r="CH951" s="42">
        <v>0</v>
      </c>
      <c r="CI951" s="42">
        <v>0</v>
      </c>
      <c r="CJ951" s="42">
        <v>0</v>
      </c>
      <c r="CK951" s="43">
        <f t="shared" si="87"/>
        <v>0</v>
      </c>
      <c r="CL951" s="66"/>
      <c r="CM951" s="66">
        <v>0</v>
      </c>
      <c r="CN951" s="66">
        <v>0</v>
      </c>
      <c r="CO951" s="66">
        <v>0</v>
      </c>
      <c r="CP951" s="66">
        <v>0</v>
      </c>
      <c r="CQ951" s="66">
        <v>0</v>
      </c>
      <c r="CR951" s="66">
        <v>0</v>
      </c>
      <c r="CS951" s="66">
        <v>0</v>
      </c>
      <c r="CT951" s="66">
        <v>0</v>
      </c>
      <c r="CU951" s="66">
        <v>0</v>
      </c>
      <c r="CV951" s="66">
        <v>0</v>
      </c>
      <c r="CW951" s="66">
        <v>0</v>
      </c>
      <c r="CX951" s="66">
        <v>0</v>
      </c>
      <c r="CY951" s="66">
        <v>0</v>
      </c>
      <c r="CZ951" s="66">
        <v>0</v>
      </c>
      <c r="DA951" s="66"/>
      <c r="DB951" s="66"/>
      <c r="DC951" s="66"/>
      <c r="DD951" s="66"/>
      <c r="DE951" s="66"/>
      <c r="DF951" s="66"/>
      <c r="DG951" s="66"/>
      <c r="DH951" s="66"/>
      <c r="DI951" s="66"/>
      <c r="DJ951" s="66"/>
      <c r="DK951" s="66">
        <f>SUM(Table1[[#This Row],[01-03 Apr]:[Mar-26]])</f>
        <v>0</v>
      </c>
    </row>
    <row r="952" spans="1:115" hidden="1" x14ac:dyDescent="0.2">
      <c r="A952" s="28" t="s">
        <v>371</v>
      </c>
      <c r="B952" s="29" t="s">
        <v>2049</v>
      </c>
      <c r="C952" s="29" t="s">
        <v>3336</v>
      </c>
      <c r="D952" s="30" t="s">
        <v>2050</v>
      </c>
      <c r="E952" s="30" t="s">
        <v>217</v>
      </c>
      <c r="F952" s="30"/>
      <c r="G952" s="31"/>
      <c r="H952" s="30"/>
      <c r="I952" s="30" t="str">
        <f>IF(Table1[[#This Row],[Centre Status]]="Returned","NA",IF(Table1[[#This Row],[SD]]&gt;19000,"Full Payment",IF(Table1[[#This Row],[SD]]&lt;1,"No Payment","Partial Payment")))</f>
        <v>NA</v>
      </c>
      <c r="J952" s="30" t="s">
        <v>1903</v>
      </c>
      <c r="K952" s="32">
        <v>0</v>
      </c>
      <c r="L952" s="33">
        <f>Q952+R952+U952+Table1[[#This Row],[Farmer Payment]]</f>
        <v>20000</v>
      </c>
      <c r="M952" s="30">
        <v>20000</v>
      </c>
      <c r="N952" s="34">
        <v>45085</v>
      </c>
      <c r="O952" s="34"/>
      <c r="P952" s="35">
        <f t="shared" si="88"/>
        <v>0</v>
      </c>
      <c r="Q952" s="33">
        <f>AI952+AV952+CK952+Table1[[#This Row],[FY 25-26]]</f>
        <v>0</v>
      </c>
      <c r="R952" s="36">
        <v>20000</v>
      </c>
      <c r="S952" s="37" t="s">
        <v>2187</v>
      </c>
      <c r="T952" s="38">
        <v>44780</v>
      </c>
      <c r="U952" s="39"/>
      <c r="V952" s="39"/>
      <c r="W952" s="40">
        <v>0</v>
      </c>
      <c r="X952" s="40">
        <v>0</v>
      </c>
      <c r="Y952" s="40">
        <v>0</v>
      </c>
      <c r="Z952" s="40">
        <v>0</v>
      </c>
      <c r="AA952" s="40">
        <v>0</v>
      </c>
      <c r="AB952" s="40">
        <v>0</v>
      </c>
      <c r="AC952" s="40">
        <v>0</v>
      </c>
      <c r="AD952" s="40">
        <v>0</v>
      </c>
      <c r="AE952" s="40">
        <v>0</v>
      </c>
      <c r="AF952" s="40">
        <v>0</v>
      </c>
      <c r="AG952" s="40">
        <v>0</v>
      </c>
      <c r="AH952" s="40">
        <v>0</v>
      </c>
      <c r="AI952" s="41">
        <f t="shared" si="89"/>
        <v>0</v>
      </c>
      <c r="AJ952" s="42">
        <v>0</v>
      </c>
      <c r="AK952" s="42">
        <v>0</v>
      </c>
      <c r="AL952" s="42">
        <v>0</v>
      </c>
      <c r="AM952" s="42">
        <v>0</v>
      </c>
      <c r="AN952" s="42">
        <v>0</v>
      </c>
      <c r="AO952" s="42">
        <v>0</v>
      </c>
      <c r="AP952" s="42">
        <v>0</v>
      </c>
      <c r="AQ952" s="42">
        <v>0</v>
      </c>
      <c r="AR952" s="42">
        <v>0</v>
      </c>
      <c r="AS952" s="42">
        <v>0</v>
      </c>
      <c r="AT952" s="42">
        <v>0</v>
      </c>
      <c r="AU952" s="42">
        <v>0</v>
      </c>
      <c r="AV952" s="42">
        <f t="shared" si="90"/>
        <v>0</v>
      </c>
      <c r="AW952" s="42">
        <v>0</v>
      </c>
      <c r="AX952" s="42">
        <v>0</v>
      </c>
      <c r="AY952" s="42">
        <v>0</v>
      </c>
      <c r="AZ952" s="42">
        <v>0</v>
      </c>
      <c r="BA952" s="42">
        <v>0</v>
      </c>
      <c r="BB952" s="42">
        <v>0</v>
      </c>
      <c r="BC952" s="42">
        <v>0</v>
      </c>
      <c r="BD952" s="42">
        <v>0</v>
      </c>
      <c r="BE952" s="42">
        <v>0</v>
      </c>
      <c r="BF952" s="42">
        <v>0</v>
      </c>
      <c r="BG952" s="42">
        <v>0</v>
      </c>
      <c r="BH952" s="42">
        <v>0</v>
      </c>
      <c r="BI952" s="42">
        <v>0</v>
      </c>
      <c r="BJ952" s="42">
        <v>0</v>
      </c>
      <c r="BK952" s="42">
        <v>0</v>
      </c>
      <c r="BL952" s="42">
        <v>0</v>
      </c>
      <c r="BM952" s="42">
        <v>0</v>
      </c>
      <c r="BN952" s="42">
        <v>0</v>
      </c>
      <c r="BO952" s="42">
        <v>0</v>
      </c>
      <c r="BP952" s="42">
        <v>0</v>
      </c>
      <c r="BQ952" s="42">
        <v>0</v>
      </c>
      <c r="BR952" s="42">
        <v>0</v>
      </c>
      <c r="BS952" s="42">
        <v>0</v>
      </c>
      <c r="BT952" s="42">
        <v>0</v>
      </c>
      <c r="BU952" s="42">
        <v>0</v>
      </c>
      <c r="BV952" s="42">
        <v>0</v>
      </c>
      <c r="BW952" s="42">
        <v>0</v>
      </c>
      <c r="BX952" s="42">
        <v>0</v>
      </c>
      <c r="BY952" s="42">
        <v>0</v>
      </c>
      <c r="BZ952" s="42">
        <v>0</v>
      </c>
      <c r="CA952" s="42">
        <v>0</v>
      </c>
      <c r="CB952" s="42">
        <v>0</v>
      </c>
      <c r="CC952" s="42">
        <v>0</v>
      </c>
      <c r="CD952" s="42">
        <v>0</v>
      </c>
      <c r="CE952" s="42">
        <v>0</v>
      </c>
      <c r="CF952" s="42">
        <v>0</v>
      </c>
      <c r="CG952" s="42">
        <v>0</v>
      </c>
      <c r="CH952" s="42">
        <v>0</v>
      </c>
      <c r="CI952" s="42">
        <v>0</v>
      </c>
      <c r="CJ952" s="42">
        <v>0</v>
      </c>
      <c r="CK952" s="43">
        <f t="shared" si="87"/>
        <v>0</v>
      </c>
      <c r="CL952" s="66"/>
      <c r="CM952" s="66">
        <v>0</v>
      </c>
      <c r="CN952" s="66">
        <v>0</v>
      </c>
      <c r="CO952" s="66">
        <v>0</v>
      </c>
      <c r="CP952" s="66">
        <v>0</v>
      </c>
      <c r="CQ952" s="66">
        <v>0</v>
      </c>
      <c r="CR952" s="66">
        <v>0</v>
      </c>
      <c r="CS952" s="66">
        <v>0</v>
      </c>
      <c r="CT952" s="66">
        <v>0</v>
      </c>
      <c r="CU952" s="66">
        <v>0</v>
      </c>
      <c r="CV952" s="66">
        <v>0</v>
      </c>
      <c r="CW952" s="66">
        <v>0</v>
      </c>
      <c r="CX952" s="66">
        <v>0</v>
      </c>
      <c r="CY952" s="66">
        <v>0</v>
      </c>
      <c r="CZ952" s="66">
        <v>0</v>
      </c>
      <c r="DA952" s="66"/>
      <c r="DB952" s="66"/>
      <c r="DC952" s="66"/>
      <c r="DD952" s="66"/>
      <c r="DE952" s="66"/>
      <c r="DF952" s="66"/>
      <c r="DG952" s="66"/>
      <c r="DH952" s="66"/>
      <c r="DI952" s="66"/>
      <c r="DJ952" s="66"/>
      <c r="DK952" s="66">
        <f>SUM(Table1[[#This Row],[01-03 Apr]:[Mar-26]])</f>
        <v>0</v>
      </c>
    </row>
    <row r="953" spans="1:115" hidden="1" x14ac:dyDescent="0.2">
      <c r="A953" s="28" t="s">
        <v>371</v>
      </c>
      <c r="B953" s="29" t="s">
        <v>2051</v>
      </c>
      <c r="C953" s="29" t="s">
        <v>3336</v>
      </c>
      <c r="D953" s="30" t="s">
        <v>2052</v>
      </c>
      <c r="E953" s="30" t="s">
        <v>85</v>
      </c>
      <c r="F953" s="30"/>
      <c r="G953" s="31"/>
      <c r="H953" s="30"/>
      <c r="I953" s="30" t="str">
        <f>IF(Table1[[#This Row],[Centre Status]]="Returned","NA",IF(Table1[[#This Row],[SD]]&gt;19000,"Full Payment",IF(Table1[[#This Row],[SD]]&lt;1,"No Payment","Partial Payment")))</f>
        <v>NA</v>
      </c>
      <c r="J953" s="30" t="s">
        <v>1903</v>
      </c>
      <c r="K953" s="32">
        <v>0</v>
      </c>
      <c r="L953" s="33">
        <f>Q953+R953+U953+Table1[[#This Row],[Farmer Payment]]</f>
        <v>20586</v>
      </c>
      <c r="M953" s="30">
        <v>20000</v>
      </c>
      <c r="N953" s="34">
        <v>44735</v>
      </c>
      <c r="O953" s="34"/>
      <c r="P953" s="35">
        <f t="shared" si="88"/>
        <v>-586</v>
      </c>
      <c r="Q953" s="33">
        <f>AI953+AV953+CK953+Table1[[#This Row],[FY 25-26]]</f>
        <v>586</v>
      </c>
      <c r="R953" s="36">
        <v>20000</v>
      </c>
      <c r="S953" s="37" t="s">
        <v>2188</v>
      </c>
      <c r="T953" s="38">
        <v>44650</v>
      </c>
      <c r="U953" s="39"/>
      <c r="V953" s="39"/>
      <c r="W953" s="40">
        <v>195</v>
      </c>
      <c r="X953" s="40">
        <v>391</v>
      </c>
      <c r="Y953" s="40">
        <v>0</v>
      </c>
      <c r="Z953" s="40">
        <v>0</v>
      </c>
      <c r="AA953" s="40">
        <v>0</v>
      </c>
      <c r="AB953" s="40">
        <v>0</v>
      </c>
      <c r="AC953" s="40">
        <v>0</v>
      </c>
      <c r="AD953" s="40">
        <v>0</v>
      </c>
      <c r="AE953" s="40">
        <v>0</v>
      </c>
      <c r="AF953" s="40">
        <v>0</v>
      </c>
      <c r="AG953" s="40">
        <v>0</v>
      </c>
      <c r="AH953" s="40">
        <v>0</v>
      </c>
      <c r="AI953" s="41">
        <f t="shared" si="89"/>
        <v>586</v>
      </c>
      <c r="AJ953" s="42">
        <v>0</v>
      </c>
      <c r="AK953" s="42">
        <v>0</v>
      </c>
      <c r="AL953" s="42">
        <v>0</v>
      </c>
      <c r="AM953" s="42">
        <v>0</v>
      </c>
      <c r="AN953" s="42">
        <v>0</v>
      </c>
      <c r="AO953" s="42">
        <v>0</v>
      </c>
      <c r="AP953" s="42">
        <v>0</v>
      </c>
      <c r="AQ953" s="42">
        <v>0</v>
      </c>
      <c r="AR953" s="42">
        <v>0</v>
      </c>
      <c r="AS953" s="42">
        <v>0</v>
      </c>
      <c r="AT953" s="42">
        <v>0</v>
      </c>
      <c r="AU953" s="42">
        <v>0</v>
      </c>
      <c r="AV953" s="42">
        <f t="shared" si="90"/>
        <v>0</v>
      </c>
      <c r="AW953" s="42">
        <v>0</v>
      </c>
      <c r="AX953" s="42">
        <v>0</v>
      </c>
      <c r="AY953" s="42">
        <v>0</v>
      </c>
      <c r="AZ953" s="42">
        <v>0</v>
      </c>
      <c r="BA953" s="42">
        <v>0</v>
      </c>
      <c r="BB953" s="42">
        <v>0</v>
      </c>
      <c r="BC953" s="42">
        <v>0</v>
      </c>
      <c r="BD953" s="42">
        <v>0</v>
      </c>
      <c r="BE953" s="42">
        <v>0</v>
      </c>
      <c r="BF953" s="42">
        <v>0</v>
      </c>
      <c r="BG953" s="42">
        <v>0</v>
      </c>
      <c r="BH953" s="42">
        <v>0</v>
      </c>
      <c r="BI953" s="42">
        <v>0</v>
      </c>
      <c r="BJ953" s="42">
        <v>0</v>
      </c>
      <c r="BK953" s="42">
        <v>0</v>
      </c>
      <c r="BL953" s="42">
        <v>0</v>
      </c>
      <c r="BM953" s="42">
        <v>0</v>
      </c>
      <c r="BN953" s="42">
        <v>0</v>
      </c>
      <c r="BO953" s="42">
        <v>0</v>
      </c>
      <c r="BP953" s="42">
        <v>0</v>
      </c>
      <c r="BQ953" s="42">
        <v>0</v>
      </c>
      <c r="BR953" s="42">
        <v>0</v>
      </c>
      <c r="BS953" s="42">
        <v>0</v>
      </c>
      <c r="BT953" s="42">
        <v>0</v>
      </c>
      <c r="BU953" s="42">
        <v>0</v>
      </c>
      <c r="BV953" s="42">
        <v>0</v>
      </c>
      <c r="BW953" s="42">
        <v>0</v>
      </c>
      <c r="BX953" s="42">
        <v>0</v>
      </c>
      <c r="BY953" s="42">
        <v>0</v>
      </c>
      <c r="BZ953" s="42">
        <v>0</v>
      </c>
      <c r="CA953" s="42">
        <v>0</v>
      </c>
      <c r="CB953" s="42">
        <v>0</v>
      </c>
      <c r="CC953" s="42">
        <v>0</v>
      </c>
      <c r="CD953" s="42">
        <v>0</v>
      </c>
      <c r="CE953" s="42">
        <v>0</v>
      </c>
      <c r="CF953" s="42">
        <v>0</v>
      </c>
      <c r="CG953" s="42">
        <v>0</v>
      </c>
      <c r="CH953" s="42">
        <v>0</v>
      </c>
      <c r="CI953" s="42">
        <v>0</v>
      </c>
      <c r="CJ953" s="42">
        <v>0</v>
      </c>
      <c r="CK953" s="43">
        <f t="shared" si="87"/>
        <v>0</v>
      </c>
      <c r="CL953" s="66"/>
      <c r="CM953" s="66">
        <v>0</v>
      </c>
      <c r="CN953" s="66">
        <v>0</v>
      </c>
      <c r="CO953" s="66">
        <v>0</v>
      </c>
      <c r="CP953" s="66">
        <v>0</v>
      </c>
      <c r="CQ953" s="66">
        <v>0</v>
      </c>
      <c r="CR953" s="66">
        <v>0</v>
      </c>
      <c r="CS953" s="66">
        <v>0</v>
      </c>
      <c r="CT953" s="66">
        <v>0</v>
      </c>
      <c r="CU953" s="66">
        <v>0</v>
      </c>
      <c r="CV953" s="66">
        <v>0</v>
      </c>
      <c r="CW953" s="66">
        <v>0</v>
      </c>
      <c r="CX953" s="66">
        <v>0</v>
      </c>
      <c r="CY953" s="66">
        <v>0</v>
      </c>
      <c r="CZ953" s="66">
        <v>0</v>
      </c>
      <c r="DA953" s="66"/>
      <c r="DB953" s="66"/>
      <c r="DC953" s="66"/>
      <c r="DD953" s="66"/>
      <c r="DE953" s="66"/>
      <c r="DF953" s="66"/>
      <c r="DG953" s="66"/>
      <c r="DH953" s="66"/>
      <c r="DI953" s="66"/>
      <c r="DJ953" s="66"/>
      <c r="DK953" s="66">
        <f>SUM(Table1[[#This Row],[01-03 Apr]:[Mar-26]])</f>
        <v>0</v>
      </c>
    </row>
    <row r="954" spans="1:115" hidden="1" x14ac:dyDescent="0.2">
      <c r="A954" s="28" t="s">
        <v>371</v>
      </c>
      <c r="B954" s="29" t="s">
        <v>2053</v>
      </c>
      <c r="C954" s="29" t="s">
        <v>3336</v>
      </c>
      <c r="D954" s="30" t="s">
        <v>2054</v>
      </c>
      <c r="E954" s="30" t="s">
        <v>85</v>
      </c>
      <c r="F954" s="30"/>
      <c r="G954" s="31"/>
      <c r="H954" s="30"/>
      <c r="I954" s="30" t="str">
        <f>IF(Table1[[#This Row],[Centre Status]]="Returned","NA",IF(Table1[[#This Row],[SD]]&gt;19000,"Full Payment",IF(Table1[[#This Row],[SD]]&lt;1,"No Payment","Partial Payment")))</f>
        <v>NA</v>
      </c>
      <c r="J954" s="30" t="s">
        <v>1903</v>
      </c>
      <c r="K954" s="32">
        <v>11929</v>
      </c>
      <c r="L954" s="33">
        <f>Q954+R954+U954+Table1[[#This Row],[Farmer Payment]]</f>
        <v>44008.134000000005</v>
      </c>
      <c r="M954" s="30">
        <v>32079</v>
      </c>
      <c r="N954" s="34">
        <v>44918</v>
      </c>
      <c r="O954" s="34"/>
      <c r="P954" s="35">
        <f t="shared" si="88"/>
        <v>-0.13400000000547152</v>
      </c>
      <c r="Q954" s="33">
        <f>AI954+AV954+CK954+Table1[[#This Row],[FY 25-26]]</f>
        <v>24008.134000000002</v>
      </c>
      <c r="R954" s="36">
        <v>20000</v>
      </c>
      <c r="S954" s="37" t="s">
        <v>2189</v>
      </c>
      <c r="T954" s="38">
        <v>44684</v>
      </c>
      <c r="U954" s="39"/>
      <c r="V954" s="39"/>
      <c r="W954" s="40">
        <v>0</v>
      </c>
      <c r="X954" s="40">
        <v>1861</v>
      </c>
      <c r="Y954" s="40">
        <v>3124.7530000000002</v>
      </c>
      <c r="Z954" s="40">
        <v>2917.5021999999999</v>
      </c>
      <c r="AA954" s="40">
        <v>4021.5443999999993</v>
      </c>
      <c r="AB954" s="40">
        <v>4950.6535999999996</v>
      </c>
      <c r="AC954" s="40">
        <v>4403.6766000000007</v>
      </c>
      <c r="AD954" s="40">
        <v>2729.0041999999999</v>
      </c>
      <c r="AE954" s="40">
        <v>0</v>
      </c>
      <c r="AF954" s="40">
        <v>0</v>
      </c>
      <c r="AG954" s="40">
        <v>0</v>
      </c>
      <c r="AH954" s="40">
        <v>0</v>
      </c>
      <c r="AI954" s="41">
        <f t="shared" si="89"/>
        <v>24008.134000000002</v>
      </c>
      <c r="AJ954" s="42">
        <v>0</v>
      </c>
      <c r="AK954" s="42">
        <v>0</v>
      </c>
      <c r="AL954" s="42">
        <v>0</v>
      </c>
      <c r="AM954" s="42">
        <v>0</v>
      </c>
      <c r="AN954" s="42">
        <v>0</v>
      </c>
      <c r="AO954" s="42">
        <v>0</v>
      </c>
      <c r="AP954" s="42">
        <v>0</v>
      </c>
      <c r="AQ954" s="42">
        <v>0</v>
      </c>
      <c r="AR954" s="42">
        <v>0</v>
      </c>
      <c r="AS954" s="42">
        <v>0</v>
      </c>
      <c r="AT954" s="42">
        <v>0</v>
      </c>
      <c r="AU954" s="42">
        <v>0</v>
      </c>
      <c r="AV954" s="42">
        <f t="shared" si="90"/>
        <v>0</v>
      </c>
      <c r="AW954" s="42">
        <v>0</v>
      </c>
      <c r="AX954" s="42">
        <v>0</v>
      </c>
      <c r="AY954" s="42">
        <v>0</v>
      </c>
      <c r="AZ954" s="42">
        <v>0</v>
      </c>
      <c r="BA954" s="42">
        <v>0</v>
      </c>
      <c r="BB954" s="42">
        <v>0</v>
      </c>
      <c r="BC954" s="42">
        <v>0</v>
      </c>
      <c r="BD954" s="42">
        <v>0</v>
      </c>
      <c r="BE954" s="42">
        <v>0</v>
      </c>
      <c r="BF954" s="42">
        <v>0</v>
      </c>
      <c r="BG954" s="42">
        <v>0</v>
      </c>
      <c r="BH954" s="42">
        <v>0</v>
      </c>
      <c r="BI954" s="42">
        <v>0</v>
      </c>
      <c r="BJ954" s="42">
        <v>0</v>
      </c>
      <c r="BK954" s="42">
        <v>0</v>
      </c>
      <c r="BL954" s="42">
        <v>0</v>
      </c>
      <c r="BM954" s="42">
        <v>0</v>
      </c>
      <c r="BN954" s="42">
        <v>0</v>
      </c>
      <c r="BO954" s="42">
        <v>0</v>
      </c>
      <c r="BP954" s="42">
        <v>0</v>
      </c>
      <c r="BQ954" s="42">
        <v>0</v>
      </c>
      <c r="BR954" s="42">
        <v>0</v>
      </c>
      <c r="BS954" s="42">
        <v>0</v>
      </c>
      <c r="BT954" s="42">
        <v>0</v>
      </c>
      <c r="BU954" s="42">
        <v>0</v>
      </c>
      <c r="BV954" s="42">
        <v>0</v>
      </c>
      <c r="BW954" s="42">
        <v>0</v>
      </c>
      <c r="BX954" s="42">
        <v>0</v>
      </c>
      <c r="BY954" s="42">
        <v>0</v>
      </c>
      <c r="BZ954" s="42">
        <v>0</v>
      </c>
      <c r="CA954" s="42">
        <v>0</v>
      </c>
      <c r="CB954" s="42">
        <v>0</v>
      </c>
      <c r="CC954" s="42">
        <v>0</v>
      </c>
      <c r="CD954" s="42">
        <v>0</v>
      </c>
      <c r="CE954" s="42">
        <v>0</v>
      </c>
      <c r="CF954" s="42">
        <v>0</v>
      </c>
      <c r="CG954" s="42">
        <v>0</v>
      </c>
      <c r="CH954" s="42">
        <v>0</v>
      </c>
      <c r="CI954" s="42">
        <v>0</v>
      </c>
      <c r="CJ954" s="42">
        <v>0</v>
      </c>
      <c r="CK954" s="43">
        <f t="shared" si="87"/>
        <v>0</v>
      </c>
      <c r="CL954" s="66"/>
      <c r="CM954" s="66">
        <v>0</v>
      </c>
      <c r="CN954" s="66">
        <v>0</v>
      </c>
      <c r="CO954" s="66">
        <v>0</v>
      </c>
      <c r="CP954" s="66">
        <v>0</v>
      </c>
      <c r="CQ954" s="66">
        <v>0</v>
      </c>
      <c r="CR954" s="66">
        <v>0</v>
      </c>
      <c r="CS954" s="66">
        <v>0</v>
      </c>
      <c r="CT954" s="66">
        <v>0</v>
      </c>
      <c r="CU954" s="66">
        <v>0</v>
      </c>
      <c r="CV954" s="66">
        <v>0</v>
      </c>
      <c r="CW954" s="66">
        <v>0</v>
      </c>
      <c r="CX954" s="66">
        <v>0</v>
      </c>
      <c r="CY954" s="66">
        <v>0</v>
      </c>
      <c r="CZ954" s="66">
        <v>0</v>
      </c>
      <c r="DA954" s="66"/>
      <c r="DB954" s="66"/>
      <c r="DC954" s="66"/>
      <c r="DD954" s="66"/>
      <c r="DE954" s="66"/>
      <c r="DF954" s="66"/>
      <c r="DG954" s="66"/>
      <c r="DH954" s="66"/>
      <c r="DI954" s="66"/>
      <c r="DJ954" s="66"/>
      <c r="DK954" s="66">
        <f>SUM(Table1[[#This Row],[01-03 Apr]:[Mar-26]])</f>
        <v>0</v>
      </c>
    </row>
    <row r="955" spans="1:115" hidden="1" x14ac:dyDescent="0.2">
      <c r="A955" s="28" t="s">
        <v>371</v>
      </c>
      <c r="B955" s="29" t="s">
        <v>2055</v>
      </c>
      <c r="C955" s="29" t="s">
        <v>3336</v>
      </c>
      <c r="D955" s="30" t="s">
        <v>2018</v>
      </c>
      <c r="E955" s="30" t="s">
        <v>177</v>
      </c>
      <c r="F955" s="30"/>
      <c r="G955" s="31"/>
      <c r="H955" s="30"/>
      <c r="I955" s="30" t="str">
        <f>IF(Table1[[#This Row],[Centre Status]]="Returned","NA",IF(Table1[[#This Row],[SD]]&gt;19000,"Full Payment",IF(Table1[[#This Row],[SD]]&lt;1,"No Payment","Partial Payment")))</f>
        <v>NA</v>
      </c>
      <c r="J955" s="30" t="s">
        <v>1903</v>
      </c>
      <c r="K955" s="32">
        <v>0</v>
      </c>
      <c r="L955" s="33">
        <f>Q955+R955+U955+Table1[[#This Row],[Farmer Payment]]</f>
        <v>10000</v>
      </c>
      <c r="M955" s="30">
        <f>10000+10000</f>
        <v>20000</v>
      </c>
      <c r="N955" s="34">
        <v>45062</v>
      </c>
      <c r="O955" s="34"/>
      <c r="P955" s="35">
        <f t="shared" si="88"/>
        <v>10000</v>
      </c>
      <c r="Q955" s="33">
        <f>AI955+AV955+CK955+Table1[[#This Row],[FY 25-26]]</f>
        <v>0</v>
      </c>
      <c r="R955" s="36">
        <v>10000</v>
      </c>
      <c r="S955" s="37" t="s">
        <v>2226</v>
      </c>
      <c r="T955" s="38">
        <v>44909</v>
      </c>
      <c r="U955" s="39"/>
      <c r="V955" s="39"/>
      <c r="W955" s="40">
        <v>0</v>
      </c>
      <c r="X955" s="40">
        <v>0</v>
      </c>
      <c r="Y955" s="40">
        <v>0</v>
      </c>
      <c r="Z955" s="40">
        <v>0</v>
      </c>
      <c r="AA955" s="40">
        <v>0</v>
      </c>
      <c r="AB955" s="40">
        <v>0</v>
      </c>
      <c r="AC955" s="40">
        <v>0</v>
      </c>
      <c r="AD955" s="40">
        <v>0</v>
      </c>
      <c r="AE955" s="40">
        <v>0</v>
      </c>
      <c r="AF955" s="40">
        <v>0</v>
      </c>
      <c r="AG955" s="40">
        <v>0</v>
      </c>
      <c r="AH955" s="40">
        <v>0</v>
      </c>
      <c r="AI955" s="41">
        <f t="shared" si="89"/>
        <v>0</v>
      </c>
      <c r="AJ955" s="42">
        <v>0</v>
      </c>
      <c r="AK955" s="42">
        <v>0</v>
      </c>
      <c r="AL955" s="42">
        <v>0</v>
      </c>
      <c r="AM955" s="42">
        <v>0</v>
      </c>
      <c r="AN955" s="42">
        <v>0</v>
      </c>
      <c r="AO955" s="42">
        <v>0</v>
      </c>
      <c r="AP955" s="42">
        <v>0</v>
      </c>
      <c r="AQ955" s="42">
        <v>0</v>
      </c>
      <c r="AR955" s="42">
        <v>0</v>
      </c>
      <c r="AS955" s="42">
        <v>0</v>
      </c>
      <c r="AT955" s="42">
        <v>0</v>
      </c>
      <c r="AU955" s="42">
        <v>0</v>
      </c>
      <c r="AV955" s="42">
        <f t="shared" si="90"/>
        <v>0</v>
      </c>
      <c r="AW955" s="42">
        <v>0</v>
      </c>
      <c r="AX955" s="42">
        <v>0</v>
      </c>
      <c r="AY955" s="42">
        <v>0</v>
      </c>
      <c r="AZ955" s="42">
        <v>0</v>
      </c>
      <c r="BA955" s="42">
        <v>0</v>
      </c>
      <c r="BB955" s="42">
        <v>0</v>
      </c>
      <c r="BC955" s="42">
        <v>0</v>
      </c>
      <c r="BD955" s="42">
        <v>0</v>
      </c>
      <c r="BE955" s="42">
        <v>0</v>
      </c>
      <c r="BF955" s="42">
        <v>0</v>
      </c>
      <c r="BG955" s="42">
        <v>0</v>
      </c>
      <c r="BH955" s="42">
        <v>0</v>
      </c>
      <c r="BI955" s="42">
        <v>0</v>
      </c>
      <c r="BJ955" s="42">
        <v>0</v>
      </c>
      <c r="BK955" s="42">
        <v>0</v>
      </c>
      <c r="BL955" s="42">
        <v>0</v>
      </c>
      <c r="BM955" s="42">
        <v>0</v>
      </c>
      <c r="BN955" s="42">
        <v>0</v>
      </c>
      <c r="BO955" s="42">
        <v>0</v>
      </c>
      <c r="BP955" s="42">
        <v>0</v>
      </c>
      <c r="BQ955" s="42">
        <v>0</v>
      </c>
      <c r="BR955" s="42">
        <v>0</v>
      </c>
      <c r="BS955" s="42">
        <v>0</v>
      </c>
      <c r="BT955" s="42">
        <v>0</v>
      </c>
      <c r="BU955" s="42">
        <v>0</v>
      </c>
      <c r="BV955" s="42">
        <v>0</v>
      </c>
      <c r="BW955" s="42">
        <v>0</v>
      </c>
      <c r="BX955" s="42">
        <v>0</v>
      </c>
      <c r="BY955" s="42">
        <v>0</v>
      </c>
      <c r="BZ955" s="42">
        <v>0</v>
      </c>
      <c r="CA955" s="42">
        <v>0</v>
      </c>
      <c r="CB955" s="42">
        <v>0</v>
      </c>
      <c r="CC955" s="42">
        <v>0</v>
      </c>
      <c r="CD955" s="42">
        <v>0</v>
      </c>
      <c r="CE955" s="42">
        <v>0</v>
      </c>
      <c r="CF955" s="42">
        <v>0</v>
      </c>
      <c r="CG955" s="42">
        <v>0</v>
      </c>
      <c r="CH955" s="42">
        <v>0</v>
      </c>
      <c r="CI955" s="42">
        <v>0</v>
      </c>
      <c r="CJ955" s="42">
        <v>0</v>
      </c>
      <c r="CK955" s="43">
        <f t="shared" si="87"/>
        <v>0</v>
      </c>
      <c r="CL955" s="66"/>
      <c r="CM955" s="66">
        <v>0</v>
      </c>
      <c r="CN955" s="66">
        <v>0</v>
      </c>
      <c r="CO955" s="66">
        <v>0</v>
      </c>
      <c r="CP955" s="66">
        <v>0</v>
      </c>
      <c r="CQ955" s="66">
        <v>0</v>
      </c>
      <c r="CR955" s="66">
        <v>0</v>
      </c>
      <c r="CS955" s="66">
        <v>0</v>
      </c>
      <c r="CT955" s="66">
        <v>0</v>
      </c>
      <c r="CU955" s="66">
        <v>0</v>
      </c>
      <c r="CV955" s="66">
        <v>0</v>
      </c>
      <c r="CW955" s="66">
        <v>0</v>
      </c>
      <c r="CX955" s="66">
        <v>0</v>
      </c>
      <c r="CY955" s="66">
        <v>0</v>
      </c>
      <c r="CZ955" s="66">
        <v>0</v>
      </c>
      <c r="DA955" s="66"/>
      <c r="DB955" s="66"/>
      <c r="DC955" s="66"/>
      <c r="DD955" s="66"/>
      <c r="DE955" s="66"/>
      <c r="DF955" s="66"/>
      <c r="DG955" s="66"/>
      <c r="DH955" s="66"/>
      <c r="DI955" s="66"/>
      <c r="DJ955" s="66"/>
      <c r="DK955" s="66">
        <f>SUM(Table1[[#This Row],[01-03 Apr]:[Mar-26]])</f>
        <v>0</v>
      </c>
    </row>
    <row r="956" spans="1:115" hidden="1" x14ac:dyDescent="0.2">
      <c r="A956" s="28" t="s">
        <v>371</v>
      </c>
      <c r="B956" s="29" t="s">
        <v>2056</v>
      </c>
      <c r="C956" s="29" t="s">
        <v>3336</v>
      </c>
      <c r="D956" s="30" t="s">
        <v>2057</v>
      </c>
      <c r="E956" s="30" t="s">
        <v>1321</v>
      </c>
      <c r="F956" s="30"/>
      <c r="G956" s="31"/>
      <c r="H956" s="30"/>
      <c r="I956" s="30" t="str">
        <f>IF(Table1[[#This Row],[Centre Status]]="Returned","NA",IF(Table1[[#This Row],[SD]]&gt;19000,"Full Payment",IF(Table1[[#This Row],[SD]]&lt;1,"No Payment","Partial Payment")))</f>
        <v>NA</v>
      </c>
      <c r="J956" s="30" t="s">
        <v>1903</v>
      </c>
      <c r="K956" s="32">
        <v>763</v>
      </c>
      <c r="L956" s="33">
        <f>Q956+R956+U956+Table1[[#This Row],[Farmer Payment]]</f>
        <v>20763</v>
      </c>
      <c r="M956" s="30">
        <v>20000</v>
      </c>
      <c r="N956" s="34">
        <v>44898</v>
      </c>
      <c r="O956" s="34"/>
      <c r="P956" s="35">
        <f t="shared" si="88"/>
        <v>0</v>
      </c>
      <c r="Q956" s="33">
        <f>AI956+AV956+CK956+Table1[[#This Row],[FY 25-26]]</f>
        <v>763</v>
      </c>
      <c r="R956" s="36">
        <v>20000</v>
      </c>
      <c r="S956" s="37" t="s">
        <v>2190</v>
      </c>
      <c r="T956" s="38">
        <v>44742</v>
      </c>
      <c r="U956" s="39"/>
      <c r="V956" s="39"/>
      <c r="W956" s="40">
        <v>0</v>
      </c>
      <c r="X956" s="40">
        <v>0</v>
      </c>
      <c r="Y956" s="40">
        <v>0</v>
      </c>
      <c r="Z956" s="40">
        <v>0</v>
      </c>
      <c r="AA956" s="40">
        <v>0</v>
      </c>
      <c r="AB956" s="40">
        <v>763</v>
      </c>
      <c r="AC956" s="40">
        <v>0</v>
      </c>
      <c r="AD956" s="40">
        <v>0</v>
      </c>
      <c r="AE956" s="40">
        <v>0</v>
      </c>
      <c r="AF956" s="40">
        <v>0</v>
      </c>
      <c r="AG956" s="40">
        <v>0</v>
      </c>
      <c r="AH956" s="40">
        <v>0</v>
      </c>
      <c r="AI956" s="41">
        <f t="shared" si="89"/>
        <v>763</v>
      </c>
      <c r="AJ956" s="42">
        <v>0</v>
      </c>
      <c r="AK956" s="42">
        <v>0</v>
      </c>
      <c r="AL956" s="42">
        <v>0</v>
      </c>
      <c r="AM956" s="42">
        <v>0</v>
      </c>
      <c r="AN956" s="42">
        <v>0</v>
      </c>
      <c r="AO956" s="42">
        <v>0</v>
      </c>
      <c r="AP956" s="42">
        <v>0</v>
      </c>
      <c r="AQ956" s="42">
        <v>0</v>
      </c>
      <c r="AR956" s="42">
        <v>0</v>
      </c>
      <c r="AS956" s="42">
        <v>0</v>
      </c>
      <c r="AT956" s="42">
        <v>0</v>
      </c>
      <c r="AU956" s="42">
        <v>0</v>
      </c>
      <c r="AV956" s="42">
        <f t="shared" si="90"/>
        <v>0</v>
      </c>
      <c r="AW956" s="42">
        <v>0</v>
      </c>
      <c r="AX956" s="42">
        <v>0</v>
      </c>
      <c r="AY956" s="42">
        <v>0</v>
      </c>
      <c r="AZ956" s="42">
        <v>0</v>
      </c>
      <c r="BA956" s="42">
        <v>0</v>
      </c>
      <c r="BB956" s="42">
        <v>0</v>
      </c>
      <c r="BC956" s="42">
        <v>0</v>
      </c>
      <c r="BD956" s="42">
        <v>0</v>
      </c>
      <c r="BE956" s="42">
        <v>0</v>
      </c>
      <c r="BF956" s="42">
        <v>0</v>
      </c>
      <c r="BG956" s="42">
        <v>0</v>
      </c>
      <c r="BH956" s="42">
        <v>0</v>
      </c>
      <c r="BI956" s="42">
        <v>0</v>
      </c>
      <c r="BJ956" s="42">
        <v>0</v>
      </c>
      <c r="BK956" s="42">
        <v>0</v>
      </c>
      <c r="BL956" s="42">
        <v>0</v>
      </c>
      <c r="BM956" s="42">
        <v>0</v>
      </c>
      <c r="BN956" s="42">
        <v>0</v>
      </c>
      <c r="BO956" s="42">
        <v>0</v>
      </c>
      <c r="BP956" s="42">
        <v>0</v>
      </c>
      <c r="BQ956" s="42">
        <v>0</v>
      </c>
      <c r="BR956" s="42">
        <v>0</v>
      </c>
      <c r="BS956" s="42">
        <v>0</v>
      </c>
      <c r="BT956" s="42">
        <v>0</v>
      </c>
      <c r="BU956" s="42">
        <v>0</v>
      </c>
      <c r="BV956" s="42">
        <v>0</v>
      </c>
      <c r="BW956" s="42">
        <v>0</v>
      </c>
      <c r="BX956" s="42">
        <v>0</v>
      </c>
      <c r="BY956" s="42">
        <v>0</v>
      </c>
      <c r="BZ956" s="42">
        <v>0</v>
      </c>
      <c r="CA956" s="42">
        <v>0</v>
      </c>
      <c r="CB956" s="42">
        <v>0</v>
      </c>
      <c r="CC956" s="42">
        <v>0</v>
      </c>
      <c r="CD956" s="42">
        <v>0</v>
      </c>
      <c r="CE956" s="42">
        <v>0</v>
      </c>
      <c r="CF956" s="42">
        <v>0</v>
      </c>
      <c r="CG956" s="42">
        <v>0</v>
      </c>
      <c r="CH956" s="42">
        <v>0</v>
      </c>
      <c r="CI956" s="42">
        <v>0</v>
      </c>
      <c r="CJ956" s="42">
        <v>0</v>
      </c>
      <c r="CK956" s="43">
        <f t="shared" si="87"/>
        <v>0</v>
      </c>
      <c r="CL956" s="66"/>
      <c r="CM956" s="66">
        <v>0</v>
      </c>
      <c r="CN956" s="66">
        <v>0</v>
      </c>
      <c r="CO956" s="66">
        <v>0</v>
      </c>
      <c r="CP956" s="66">
        <v>0</v>
      </c>
      <c r="CQ956" s="66">
        <v>0</v>
      </c>
      <c r="CR956" s="66">
        <v>0</v>
      </c>
      <c r="CS956" s="66">
        <v>0</v>
      </c>
      <c r="CT956" s="66">
        <v>0</v>
      </c>
      <c r="CU956" s="66">
        <v>0</v>
      </c>
      <c r="CV956" s="66">
        <v>0</v>
      </c>
      <c r="CW956" s="66">
        <v>0</v>
      </c>
      <c r="CX956" s="66">
        <v>0</v>
      </c>
      <c r="CY956" s="66">
        <v>0</v>
      </c>
      <c r="CZ956" s="66">
        <v>0</v>
      </c>
      <c r="DA956" s="66"/>
      <c r="DB956" s="66"/>
      <c r="DC956" s="66"/>
      <c r="DD956" s="66"/>
      <c r="DE956" s="66"/>
      <c r="DF956" s="66"/>
      <c r="DG956" s="66"/>
      <c r="DH956" s="66"/>
      <c r="DI956" s="66"/>
      <c r="DJ956" s="66"/>
      <c r="DK956" s="66">
        <f>SUM(Table1[[#This Row],[01-03 Apr]:[Mar-26]])</f>
        <v>0</v>
      </c>
    </row>
    <row r="957" spans="1:115" hidden="1" x14ac:dyDescent="0.2">
      <c r="A957" s="28" t="s">
        <v>2255</v>
      </c>
      <c r="B957" s="29" t="s">
        <v>2058</v>
      </c>
      <c r="C957" s="29" t="s">
        <v>3336</v>
      </c>
      <c r="D957" s="30" t="s">
        <v>2059</v>
      </c>
      <c r="E957" s="30" t="s">
        <v>906</v>
      </c>
      <c r="F957" s="30"/>
      <c r="G957" s="31"/>
      <c r="H957" s="30">
        <v>276102</v>
      </c>
      <c r="I957" s="30" t="str">
        <f>IF(Table1[[#This Row],[Centre Status]]="Returned","NA",IF(Table1[[#This Row],[SD]]&gt;19000,"Full Payment",IF(Table1[[#This Row],[SD]]&lt;1,"No Payment","Partial Payment")))</f>
        <v>NA</v>
      </c>
      <c r="J957" s="30" t="s">
        <v>1903</v>
      </c>
      <c r="K957" s="32">
        <v>0</v>
      </c>
      <c r="L957" s="33">
        <f>Q957+R957+U957+Table1[[#This Row],[Farmer Payment]]</f>
        <v>10185</v>
      </c>
      <c r="M957" s="30">
        <v>10000</v>
      </c>
      <c r="N957" s="34">
        <v>45033</v>
      </c>
      <c r="O957" s="34"/>
      <c r="P957" s="35">
        <f t="shared" si="88"/>
        <v>-185</v>
      </c>
      <c r="Q957" s="33">
        <f>AI957+AV957+CK957+Table1[[#This Row],[FY 25-26]]</f>
        <v>185</v>
      </c>
      <c r="R957" s="36">
        <v>10000</v>
      </c>
      <c r="S957" s="37" t="s">
        <v>2191</v>
      </c>
      <c r="T957" s="38">
        <v>45004</v>
      </c>
      <c r="U957" s="39"/>
      <c r="V957" s="39"/>
      <c r="W957" s="40">
        <v>0</v>
      </c>
      <c r="X957" s="40">
        <v>0</v>
      </c>
      <c r="Y957" s="40">
        <v>0</v>
      </c>
      <c r="Z957" s="40">
        <v>0</v>
      </c>
      <c r="AA957" s="40">
        <v>0</v>
      </c>
      <c r="AB957" s="40">
        <v>0</v>
      </c>
      <c r="AC957" s="40">
        <v>0</v>
      </c>
      <c r="AD957" s="40">
        <v>0</v>
      </c>
      <c r="AE957" s="40">
        <v>0</v>
      </c>
      <c r="AF957" s="40">
        <v>0</v>
      </c>
      <c r="AG957" s="40">
        <v>0</v>
      </c>
      <c r="AH957" s="40">
        <v>185</v>
      </c>
      <c r="AI957" s="41">
        <f t="shared" si="89"/>
        <v>185</v>
      </c>
      <c r="AJ957" s="42">
        <v>0</v>
      </c>
      <c r="AK957" s="42">
        <v>0</v>
      </c>
      <c r="AL957" s="42">
        <v>0</v>
      </c>
      <c r="AM957" s="42">
        <v>0</v>
      </c>
      <c r="AN957" s="42">
        <v>0</v>
      </c>
      <c r="AO957" s="42">
        <v>0</v>
      </c>
      <c r="AP957" s="42">
        <v>0</v>
      </c>
      <c r="AQ957" s="42">
        <v>0</v>
      </c>
      <c r="AR957" s="42">
        <v>0</v>
      </c>
      <c r="AS957" s="42">
        <v>0</v>
      </c>
      <c r="AT957" s="42">
        <v>0</v>
      </c>
      <c r="AU957" s="42">
        <v>0</v>
      </c>
      <c r="AV957" s="42">
        <f t="shared" si="90"/>
        <v>0</v>
      </c>
      <c r="AW957" s="42">
        <v>0</v>
      </c>
      <c r="AX957" s="42">
        <v>0</v>
      </c>
      <c r="AY957" s="42">
        <v>0</v>
      </c>
      <c r="AZ957" s="42">
        <v>0</v>
      </c>
      <c r="BA957" s="42">
        <v>0</v>
      </c>
      <c r="BB957" s="42">
        <v>0</v>
      </c>
      <c r="BC957" s="42">
        <v>0</v>
      </c>
      <c r="BD957" s="42">
        <v>0</v>
      </c>
      <c r="BE957" s="42">
        <v>0</v>
      </c>
      <c r="BF957" s="42">
        <v>0</v>
      </c>
      <c r="BG957" s="42">
        <v>0</v>
      </c>
      <c r="BH957" s="42">
        <v>0</v>
      </c>
      <c r="BI957" s="42">
        <v>0</v>
      </c>
      <c r="BJ957" s="42">
        <v>0</v>
      </c>
      <c r="BK957" s="42">
        <v>0</v>
      </c>
      <c r="BL957" s="42">
        <v>0</v>
      </c>
      <c r="BM957" s="42">
        <v>0</v>
      </c>
      <c r="BN957" s="42">
        <v>0</v>
      </c>
      <c r="BO957" s="42">
        <v>0</v>
      </c>
      <c r="BP957" s="42">
        <v>0</v>
      </c>
      <c r="BQ957" s="42">
        <v>0</v>
      </c>
      <c r="BR957" s="42">
        <v>0</v>
      </c>
      <c r="BS957" s="42">
        <v>0</v>
      </c>
      <c r="BT957" s="42">
        <v>0</v>
      </c>
      <c r="BU957" s="42">
        <v>0</v>
      </c>
      <c r="BV957" s="42">
        <v>0</v>
      </c>
      <c r="BW957" s="42">
        <v>0</v>
      </c>
      <c r="BX957" s="42">
        <v>0</v>
      </c>
      <c r="BY957" s="42">
        <v>0</v>
      </c>
      <c r="BZ957" s="42">
        <v>0</v>
      </c>
      <c r="CA957" s="42">
        <v>0</v>
      </c>
      <c r="CB957" s="42">
        <v>0</v>
      </c>
      <c r="CC957" s="42">
        <v>0</v>
      </c>
      <c r="CD957" s="42">
        <v>0</v>
      </c>
      <c r="CE957" s="42">
        <v>0</v>
      </c>
      <c r="CF957" s="42">
        <v>0</v>
      </c>
      <c r="CG957" s="42">
        <v>0</v>
      </c>
      <c r="CH957" s="42">
        <v>0</v>
      </c>
      <c r="CI957" s="42">
        <v>0</v>
      </c>
      <c r="CJ957" s="42">
        <v>0</v>
      </c>
      <c r="CK957" s="43">
        <f t="shared" si="87"/>
        <v>0</v>
      </c>
      <c r="CL957" s="66"/>
      <c r="CM957" s="66">
        <v>0</v>
      </c>
      <c r="CN957" s="66">
        <v>0</v>
      </c>
      <c r="CO957" s="66">
        <v>0</v>
      </c>
      <c r="CP957" s="66">
        <v>0</v>
      </c>
      <c r="CQ957" s="66">
        <v>0</v>
      </c>
      <c r="CR957" s="66">
        <v>0</v>
      </c>
      <c r="CS957" s="66">
        <v>0</v>
      </c>
      <c r="CT957" s="66">
        <v>0</v>
      </c>
      <c r="CU957" s="66">
        <v>0</v>
      </c>
      <c r="CV957" s="66">
        <v>0</v>
      </c>
      <c r="CW957" s="66">
        <v>0</v>
      </c>
      <c r="CX957" s="66">
        <v>0</v>
      </c>
      <c r="CY957" s="66">
        <v>0</v>
      </c>
      <c r="CZ957" s="66">
        <v>0</v>
      </c>
      <c r="DA957" s="66"/>
      <c r="DB957" s="66"/>
      <c r="DC957" s="66"/>
      <c r="DD957" s="66"/>
      <c r="DE957" s="66"/>
      <c r="DF957" s="66"/>
      <c r="DG957" s="66"/>
      <c r="DH957" s="66"/>
      <c r="DI957" s="66"/>
      <c r="DJ957" s="66"/>
      <c r="DK957" s="66">
        <f>SUM(Table1[[#This Row],[01-03 Apr]:[Mar-26]])</f>
        <v>0</v>
      </c>
    </row>
    <row r="958" spans="1:115" hidden="1" x14ac:dyDescent="0.2">
      <c r="A958" s="28" t="s">
        <v>371</v>
      </c>
      <c r="B958" s="29" t="s">
        <v>2060</v>
      </c>
      <c r="C958" s="29" t="s">
        <v>3336</v>
      </c>
      <c r="D958" s="30" t="s">
        <v>2061</v>
      </c>
      <c r="E958" s="30" t="s">
        <v>217</v>
      </c>
      <c r="F958" s="30"/>
      <c r="G958" s="31"/>
      <c r="H958" s="30"/>
      <c r="I958" s="30" t="str">
        <f>IF(Table1[[#This Row],[Centre Status]]="Returned","NA",IF(Table1[[#This Row],[SD]]&gt;19000,"Full Payment",IF(Table1[[#This Row],[SD]]&lt;1,"No Payment","Partial Payment")))</f>
        <v>NA</v>
      </c>
      <c r="J958" s="30" t="s">
        <v>1903</v>
      </c>
      <c r="K958" s="32">
        <v>0</v>
      </c>
      <c r="L958" s="33">
        <f>Q958+R958+U958+Table1[[#This Row],[Farmer Payment]]</f>
        <v>20622</v>
      </c>
      <c r="M958" s="30">
        <v>40000</v>
      </c>
      <c r="N958" s="34">
        <v>45033</v>
      </c>
      <c r="O958" s="34"/>
      <c r="P958" s="35">
        <f t="shared" si="88"/>
        <v>19378</v>
      </c>
      <c r="Q958" s="33">
        <f>AI958+AV958+CK958+Table1[[#This Row],[FY 25-26]]</f>
        <v>622</v>
      </c>
      <c r="R958" s="36">
        <v>20000</v>
      </c>
      <c r="S958" s="37" t="s">
        <v>2192</v>
      </c>
      <c r="T958" s="38">
        <v>44783</v>
      </c>
      <c r="U958" s="39"/>
      <c r="V958" s="39"/>
      <c r="W958" s="40">
        <v>0</v>
      </c>
      <c r="X958" s="40">
        <v>0</v>
      </c>
      <c r="Y958" s="40">
        <v>0</v>
      </c>
      <c r="Z958" s="40">
        <v>0</v>
      </c>
      <c r="AA958" s="40">
        <v>0</v>
      </c>
      <c r="AB958" s="40">
        <v>0</v>
      </c>
      <c r="AC958" s="40">
        <v>0</v>
      </c>
      <c r="AD958" s="40">
        <v>0</v>
      </c>
      <c r="AE958" s="40">
        <v>622</v>
      </c>
      <c r="AF958" s="40">
        <v>0</v>
      </c>
      <c r="AG958" s="40">
        <v>0</v>
      </c>
      <c r="AH958" s="40">
        <v>0</v>
      </c>
      <c r="AI958" s="41">
        <f t="shared" si="89"/>
        <v>622</v>
      </c>
      <c r="AJ958" s="42">
        <v>0</v>
      </c>
      <c r="AK958" s="42">
        <v>0</v>
      </c>
      <c r="AL958" s="42">
        <v>0</v>
      </c>
      <c r="AM958" s="42">
        <v>0</v>
      </c>
      <c r="AN958" s="42">
        <v>0</v>
      </c>
      <c r="AO958" s="42">
        <v>0</v>
      </c>
      <c r="AP958" s="42">
        <v>0</v>
      </c>
      <c r="AQ958" s="42">
        <v>0</v>
      </c>
      <c r="AR958" s="42">
        <v>0</v>
      </c>
      <c r="AS958" s="42">
        <v>0</v>
      </c>
      <c r="AT958" s="42">
        <v>0</v>
      </c>
      <c r="AU958" s="42">
        <v>0</v>
      </c>
      <c r="AV958" s="42">
        <f t="shared" si="90"/>
        <v>0</v>
      </c>
      <c r="AW958" s="42">
        <v>0</v>
      </c>
      <c r="AX958" s="42">
        <v>0</v>
      </c>
      <c r="AY958" s="42">
        <v>0</v>
      </c>
      <c r="AZ958" s="42">
        <v>0</v>
      </c>
      <c r="BA958" s="42">
        <v>0</v>
      </c>
      <c r="BB958" s="42">
        <v>0</v>
      </c>
      <c r="BC958" s="42">
        <v>0</v>
      </c>
      <c r="BD958" s="42">
        <v>0</v>
      </c>
      <c r="BE958" s="42">
        <v>0</v>
      </c>
      <c r="BF958" s="42">
        <v>0</v>
      </c>
      <c r="BG958" s="42">
        <v>0</v>
      </c>
      <c r="BH958" s="42">
        <v>0</v>
      </c>
      <c r="BI958" s="42">
        <v>0</v>
      </c>
      <c r="BJ958" s="42">
        <v>0</v>
      </c>
      <c r="BK958" s="42">
        <v>0</v>
      </c>
      <c r="BL958" s="42">
        <v>0</v>
      </c>
      <c r="BM958" s="42">
        <v>0</v>
      </c>
      <c r="BN958" s="42">
        <v>0</v>
      </c>
      <c r="BO958" s="42">
        <v>0</v>
      </c>
      <c r="BP958" s="42">
        <v>0</v>
      </c>
      <c r="BQ958" s="42">
        <v>0</v>
      </c>
      <c r="BR958" s="42">
        <v>0</v>
      </c>
      <c r="BS958" s="42">
        <v>0</v>
      </c>
      <c r="BT958" s="42">
        <v>0</v>
      </c>
      <c r="BU958" s="42">
        <v>0</v>
      </c>
      <c r="BV958" s="42">
        <v>0</v>
      </c>
      <c r="BW958" s="42">
        <v>0</v>
      </c>
      <c r="BX958" s="42">
        <v>0</v>
      </c>
      <c r="BY958" s="42">
        <v>0</v>
      </c>
      <c r="BZ958" s="42">
        <v>0</v>
      </c>
      <c r="CA958" s="42">
        <v>0</v>
      </c>
      <c r="CB958" s="42">
        <v>0</v>
      </c>
      <c r="CC958" s="42">
        <v>0</v>
      </c>
      <c r="CD958" s="42">
        <v>0</v>
      </c>
      <c r="CE958" s="42">
        <v>0</v>
      </c>
      <c r="CF958" s="42">
        <v>0</v>
      </c>
      <c r="CG958" s="42">
        <v>0</v>
      </c>
      <c r="CH958" s="42">
        <v>0</v>
      </c>
      <c r="CI958" s="42">
        <v>0</v>
      </c>
      <c r="CJ958" s="42">
        <v>0</v>
      </c>
      <c r="CK958" s="43">
        <f t="shared" si="87"/>
        <v>0</v>
      </c>
      <c r="CL958" s="66"/>
      <c r="CM958" s="66">
        <v>0</v>
      </c>
      <c r="CN958" s="66">
        <v>0</v>
      </c>
      <c r="CO958" s="66">
        <v>0</v>
      </c>
      <c r="CP958" s="66">
        <v>0</v>
      </c>
      <c r="CQ958" s="66">
        <v>0</v>
      </c>
      <c r="CR958" s="66">
        <v>0</v>
      </c>
      <c r="CS958" s="66">
        <v>0</v>
      </c>
      <c r="CT958" s="66">
        <v>0</v>
      </c>
      <c r="CU958" s="66">
        <v>0</v>
      </c>
      <c r="CV958" s="66">
        <v>0</v>
      </c>
      <c r="CW958" s="66">
        <v>0</v>
      </c>
      <c r="CX958" s="66">
        <v>0</v>
      </c>
      <c r="CY958" s="66">
        <v>0</v>
      </c>
      <c r="CZ958" s="66">
        <v>0</v>
      </c>
      <c r="DA958" s="66"/>
      <c r="DB958" s="66"/>
      <c r="DC958" s="66"/>
      <c r="DD958" s="66"/>
      <c r="DE958" s="66"/>
      <c r="DF958" s="66"/>
      <c r="DG958" s="66"/>
      <c r="DH958" s="66"/>
      <c r="DI958" s="66"/>
      <c r="DJ958" s="66"/>
      <c r="DK958" s="66">
        <f>SUM(Table1[[#This Row],[01-03 Apr]:[Mar-26]])</f>
        <v>0</v>
      </c>
    </row>
    <row r="959" spans="1:115" hidden="1" x14ac:dyDescent="0.2">
      <c r="A959" s="28" t="s">
        <v>371</v>
      </c>
      <c r="B959" s="29" t="s">
        <v>2062</v>
      </c>
      <c r="C959" s="29" t="s">
        <v>3336</v>
      </c>
      <c r="D959" s="30" t="s">
        <v>2063</v>
      </c>
      <c r="E959" s="30" t="s">
        <v>203</v>
      </c>
      <c r="F959" s="30"/>
      <c r="G959" s="31"/>
      <c r="H959" s="30"/>
      <c r="I959" s="30" t="str">
        <f>IF(Table1[[#This Row],[Centre Status]]="Returned","NA",IF(Table1[[#This Row],[SD]]&gt;19000,"Full Payment",IF(Table1[[#This Row],[SD]]&lt;1,"No Payment","Partial Payment")))</f>
        <v>NA</v>
      </c>
      <c r="J959" s="30" t="s">
        <v>1903</v>
      </c>
      <c r="K959" s="32">
        <v>0</v>
      </c>
      <c r="L959" s="33">
        <f>Q959+R959+U959+Table1[[#This Row],[Farmer Payment]]</f>
        <v>5000</v>
      </c>
      <c r="M959" s="30">
        <v>5000</v>
      </c>
      <c r="N959" s="34">
        <v>45033</v>
      </c>
      <c r="O959" s="34"/>
      <c r="P959" s="35">
        <f t="shared" si="88"/>
        <v>0</v>
      </c>
      <c r="Q959" s="33">
        <f>AI959+AV959+CK959+Table1[[#This Row],[FY 25-26]]</f>
        <v>0</v>
      </c>
      <c r="R959" s="36">
        <v>5000</v>
      </c>
      <c r="S959" s="37" t="s">
        <v>2227</v>
      </c>
      <c r="T959" s="38">
        <v>44951</v>
      </c>
      <c r="U959" s="39"/>
      <c r="V959" s="39"/>
      <c r="W959" s="40">
        <v>0</v>
      </c>
      <c r="X959" s="40">
        <v>0</v>
      </c>
      <c r="Y959" s="40">
        <v>0</v>
      </c>
      <c r="Z959" s="40">
        <v>0</v>
      </c>
      <c r="AA959" s="40">
        <v>0</v>
      </c>
      <c r="AB959" s="40">
        <v>0</v>
      </c>
      <c r="AC959" s="40">
        <v>0</v>
      </c>
      <c r="AD959" s="40">
        <v>0</v>
      </c>
      <c r="AE959" s="40">
        <v>0</v>
      </c>
      <c r="AF959" s="40">
        <v>0</v>
      </c>
      <c r="AG959" s="40">
        <v>0</v>
      </c>
      <c r="AH959" s="40">
        <v>0</v>
      </c>
      <c r="AI959" s="41">
        <f t="shared" si="89"/>
        <v>0</v>
      </c>
      <c r="AJ959" s="42">
        <v>0</v>
      </c>
      <c r="AK959" s="42">
        <v>0</v>
      </c>
      <c r="AL959" s="42">
        <v>0</v>
      </c>
      <c r="AM959" s="42">
        <v>0</v>
      </c>
      <c r="AN959" s="42">
        <v>0</v>
      </c>
      <c r="AO959" s="42">
        <v>0</v>
      </c>
      <c r="AP959" s="42">
        <v>0</v>
      </c>
      <c r="AQ959" s="42">
        <v>0</v>
      </c>
      <c r="AR959" s="42">
        <v>0</v>
      </c>
      <c r="AS959" s="42">
        <v>0</v>
      </c>
      <c r="AT959" s="42">
        <v>0</v>
      </c>
      <c r="AU959" s="42">
        <v>0</v>
      </c>
      <c r="AV959" s="42">
        <f t="shared" si="90"/>
        <v>0</v>
      </c>
      <c r="AW959" s="42">
        <v>0</v>
      </c>
      <c r="AX959" s="42">
        <v>0</v>
      </c>
      <c r="AY959" s="42">
        <v>0</v>
      </c>
      <c r="AZ959" s="42">
        <v>0</v>
      </c>
      <c r="BA959" s="42">
        <v>0</v>
      </c>
      <c r="BB959" s="42">
        <v>0</v>
      </c>
      <c r="BC959" s="42">
        <v>0</v>
      </c>
      <c r="BD959" s="42">
        <v>0</v>
      </c>
      <c r="BE959" s="42">
        <v>0</v>
      </c>
      <c r="BF959" s="42">
        <v>0</v>
      </c>
      <c r="BG959" s="42">
        <v>0</v>
      </c>
      <c r="BH959" s="42">
        <v>0</v>
      </c>
      <c r="BI959" s="42">
        <v>0</v>
      </c>
      <c r="BJ959" s="42">
        <v>0</v>
      </c>
      <c r="BK959" s="42">
        <v>0</v>
      </c>
      <c r="BL959" s="42">
        <v>0</v>
      </c>
      <c r="BM959" s="42">
        <v>0</v>
      </c>
      <c r="BN959" s="42">
        <v>0</v>
      </c>
      <c r="BO959" s="42">
        <v>0</v>
      </c>
      <c r="BP959" s="42">
        <v>0</v>
      </c>
      <c r="BQ959" s="42">
        <v>0</v>
      </c>
      <c r="BR959" s="42">
        <v>0</v>
      </c>
      <c r="BS959" s="42">
        <v>0</v>
      </c>
      <c r="BT959" s="42">
        <v>0</v>
      </c>
      <c r="BU959" s="42">
        <v>0</v>
      </c>
      <c r="BV959" s="42">
        <v>0</v>
      </c>
      <c r="BW959" s="42">
        <v>0</v>
      </c>
      <c r="BX959" s="42">
        <v>0</v>
      </c>
      <c r="BY959" s="42">
        <v>0</v>
      </c>
      <c r="BZ959" s="42">
        <v>0</v>
      </c>
      <c r="CA959" s="42">
        <v>0</v>
      </c>
      <c r="CB959" s="42">
        <v>0</v>
      </c>
      <c r="CC959" s="42">
        <v>0</v>
      </c>
      <c r="CD959" s="42">
        <v>0</v>
      </c>
      <c r="CE959" s="42">
        <v>0</v>
      </c>
      <c r="CF959" s="42">
        <v>0</v>
      </c>
      <c r="CG959" s="42">
        <v>0</v>
      </c>
      <c r="CH959" s="42">
        <v>0</v>
      </c>
      <c r="CI959" s="42">
        <v>0</v>
      </c>
      <c r="CJ959" s="42">
        <v>0</v>
      </c>
      <c r="CK959" s="43">
        <f t="shared" si="87"/>
        <v>0</v>
      </c>
      <c r="CL959" s="66"/>
      <c r="CM959" s="66">
        <v>0</v>
      </c>
      <c r="CN959" s="66">
        <v>0</v>
      </c>
      <c r="CO959" s="66">
        <v>0</v>
      </c>
      <c r="CP959" s="66">
        <v>0</v>
      </c>
      <c r="CQ959" s="66">
        <v>0</v>
      </c>
      <c r="CR959" s="66">
        <v>0</v>
      </c>
      <c r="CS959" s="66">
        <v>0</v>
      </c>
      <c r="CT959" s="66">
        <v>0</v>
      </c>
      <c r="CU959" s="66">
        <v>0</v>
      </c>
      <c r="CV959" s="66">
        <v>0</v>
      </c>
      <c r="CW959" s="66">
        <v>0</v>
      </c>
      <c r="CX959" s="66">
        <v>0</v>
      </c>
      <c r="CY959" s="66">
        <v>0</v>
      </c>
      <c r="CZ959" s="66">
        <v>0</v>
      </c>
      <c r="DA959" s="66"/>
      <c r="DB959" s="66"/>
      <c r="DC959" s="66"/>
      <c r="DD959" s="66"/>
      <c r="DE959" s="66"/>
      <c r="DF959" s="66"/>
      <c r="DG959" s="66"/>
      <c r="DH959" s="66"/>
      <c r="DI959" s="66"/>
      <c r="DJ959" s="66"/>
      <c r="DK959" s="66">
        <f>SUM(Table1[[#This Row],[01-03 Apr]:[Mar-26]])</f>
        <v>0</v>
      </c>
    </row>
    <row r="960" spans="1:115" hidden="1" x14ac:dyDescent="0.2">
      <c r="A960" s="28" t="s">
        <v>371</v>
      </c>
      <c r="B960" s="29" t="s">
        <v>2064</v>
      </c>
      <c r="C960" s="29" t="s">
        <v>3336</v>
      </c>
      <c r="D960" s="30" t="s">
        <v>2065</v>
      </c>
      <c r="E960" s="30" t="s">
        <v>349</v>
      </c>
      <c r="F960" s="30"/>
      <c r="G960" s="31"/>
      <c r="H960" s="30"/>
      <c r="I960" s="30" t="str">
        <f>IF(Table1[[#This Row],[Centre Status]]="Returned","NA",IF(Table1[[#This Row],[SD]]&gt;19000,"Full Payment",IF(Table1[[#This Row],[SD]]&lt;1,"No Payment","Partial Payment")))</f>
        <v>NA</v>
      </c>
      <c r="J960" s="30" t="s">
        <v>1903</v>
      </c>
      <c r="K960" s="32">
        <v>0</v>
      </c>
      <c r="L960" s="33">
        <f>Q960+R960+U960+Table1[[#This Row],[Farmer Payment]]</f>
        <v>10544</v>
      </c>
      <c r="M960" s="30">
        <v>10754</v>
      </c>
      <c r="N960" s="34">
        <v>44810</v>
      </c>
      <c r="O960" s="34"/>
      <c r="P960" s="35">
        <f t="shared" si="88"/>
        <v>210</v>
      </c>
      <c r="Q960" s="33">
        <f>AI960+AV960+CK960+Table1[[#This Row],[FY 25-26]]</f>
        <v>544</v>
      </c>
      <c r="R960" s="36">
        <v>10000</v>
      </c>
      <c r="S960" s="37" t="s">
        <v>2193</v>
      </c>
      <c r="T960" s="38">
        <v>44705</v>
      </c>
      <c r="U960" s="39"/>
      <c r="V960" s="39"/>
      <c r="W960" s="40">
        <v>0</v>
      </c>
      <c r="X960" s="40">
        <v>0</v>
      </c>
      <c r="Y960" s="40">
        <v>544</v>
      </c>
      <c r="Z960" s="40">
        <v>0</v>
      </c>
      <c r="AA960" s="40">
        <v>0</v>
      </c>
      <c r="AB960" s="40">
        <v>0</v>
      </c>
      <c r="AC960" s="40">
        <v>0</v>
      </c>
      <c r="AD960" s="40">
        <v>0</v>
      </c>
      <c r="AE960" s="40">
        <v>0</v>
      </c>
      <c r="AF960" s="40">
        <v>0</v>
      </c>
      <c r="AG960" s="40">
        <v>0</v>
      </c>
      <c r="AH960" s="40">
        <v>0</v>
      </c>
      <c r="AI960" s="41">
        <f t="shared" si="89"/>
        <v>544</v>
      </c>
      <c r="AJ960" s="42">
        <v>0</v>
      </c>
      <c r="AK960" s="42">
        <v>0</v>
      </c>
      <c r="AL960" s="42">
        <v>0</v>
      </c>
      <c r="AM960" s="42">
        <v>0</v>
      </c>
      <c r="AN960" s="42">
        <v>0</v>
      </c>
      <c r="AO960" s="42">
        <v>0</v>
      </c>
      <c r="AP960" s="42">
        <v>0</v>
      </c>
      <c r="AQ960" s="42">
        <v>0</v>
      </c>
      <c r="AR960" s="42">
        <v>0</v>
      </c>
      <c r="AS960" s="42">
        <v>0</v>
      </c>
      <c r="AT960" s="42">
        <v>0</v>
      </c>
      <c r="AU960" s="42">
        <v>0</v>
      </c>
      <c r="AV960" s="42">
        <f t="shared" si="90"/>
        <v>0</v>
      </c>
      <c r="AW960" s="42">
        <v>0</v>
      </c>
      <c r="AX960" s="42">
        <v>0</v>
      </c>
      <c r="AY960" s="42">
        <v>0</v>
      </c>
      <c r="AZ960" s="42">
        <v>0</v>
      </c>
      <c r="BA960" s="42">
        <v>0</v>
      </c>
      <c r="BB960" s="42">
        <v>0</v>
      </c>
      <c r="BC960" s="42">
        <v>0</v>
      </c>
      <c r="BD960" s="42">
        <v>0</v>
      </c>
      <c r="BE960" s="42">
        <v>0</v>
      </c>
      <c r="BF960" s="42">
        <v>0</v>
      </c>
      <c r="BG960" s="42">
        <v>0</v>
      </c>
      <c r="BH960" s="42">
        <v>0</v>
      </c>
      <c r="BI960" s="42">
        <v>0</v>
      </c>
      <c r="BJ960" s="42">
        <v>0</v>
      </c>
      <c r="BK960" s="42">
        <v>0</v>
      </c>
      <c r="BL960" s="42">
        <v>0</v>
      </c>
      <c r="BM960" s="42">
        <v>0</v>
      </c>
      <c r="BN960" s="42">
        <v>0</v>
      </c>
      <c r="BO960" s="42">
        <v>0</v>
      </c>
      <c r="BP960" s="42">
        <v>0</v>
      </c>
      <c r="BQ960" s="42">
        <v>0</v>
      </c>
      <c r="BR960" s="42">
        <v>0</v>
      </c>
      <c r="BS960" s="42">
        <v>0</v>
      </c>
      <c r="BT960" s="42">
        <v>0</v>
      </c>
      <c r="BU960" s="42">
        <v>0</v>
      </c>
      <c r="BV960" s="42">
        <v>0</v>
      </c>
      <c r="BW960" s="42">
        <v>0</v>
      </c>
      <c r="BX960" s="42">
        <v>0</v>
      </c>
      <c r="BY960" s="42">
        <v>0</v>
      </c>
      <c r="BZ960" s="42">
        <v>0</v>
      </c>
      <c r="CA960" s="42">
        <v>0</v>
      </c>
      <c r="CB960" s="42">
        <v>0</v>
      </c>
      <c r="CC960" s="42">
        <v>0</v>
      </c>
      <c r="CD960" s="42">
        <v>0</v>
      </c>
      <c r="CE960" s="42">
        <v>0</v>
      </c>
      <c r="CF960" s="42">
        <v>0</v>
      </c>
      <c r="CG960" s="42">
        <v>0</v>
      </c>
      <c r="CH960" s="42">
        <v>0</v>
      </c>
      <c r="CI960" s="42">
        <v>0</v>
      </c>
      <c r="CJ960" s="42">
        <v>0</v>
      </c>
      <c r="CK960" s="43">
        <f t="shared" si="87"/>
        <v>0</v>
      </c>
      <c r="CL960" s="66"/>
      <c r="CM960" s="66">
        <v>0</v>
      </c>
      <c r="CN960" s="66">
        <v>0</v>
      </c>
      <c r="CO960" s="66">
        <v>0</v>
      </c>
      <c r="CP960" s="66">
        <v>0</v>
      </c>
      <c r="CQ960" s="66">
        <v>0</v>
      </c>
      <c r="CR960" s="66">
        <v>0</v>
      </c>
      <c r="CS960" s="66">
        <v>0</v>
      </c>
      <c r="CT960" s="66">
        <v>0</v>
      </c>
      <c r="CU960" s="66">
        <v>0</v>
      </c>
      <c r="CV960" s="66">
        <v>0</v>
      </c>
      <c r="CW960" s="66">
        <v>0</v>
      </c>
      <c r="CX960" s="66">
        <v>0</v>
      </c>
      <c r="CY960" s="66">
        <v>0</v>
      </c>
      <c r="CZ960" s="66">
        <v>0</v>
      </c>
      <c r="DA960" s="66"/>
      <c r="DB960" s="66"/>
      <c r="DC960" s="66"/>
      <c r="DD960" s="66"/>
      <c r="DE960" s="66"/>
      <c r="DF960" s="66"/>
      <c r="DG960" s="66"/>
      <c r="DH960" s="66"/>
      <c r="DI960" s="66"/>
      <c r="DJ960" s="66"/>
      <c r="DK960" s="66">
        <f>SUM(Table1[[#This Row],[01-03 Apr]:[Mar-26]])</f>
        <v>0</v>
      </c>
    </row>
    <row r="961" spans="1:115" hidden="1" x14ac:dyDescent="0.2">
      <c r="A961" s="28" t="s">
        <v>371</v>
      </c>
      <c r="B961" s="29" t="s">
        <v>2066</v>
      </c>
      <c r="C961" s="29" t="s">
        <v>3336</v>
      </c>
      <c r="D961" s="30" t="s">
        <v>2067</v>
      </c>
      <c r="E961" s="30"/>
      <c r="F961" s="30"/>
      <c r="G961" s="31"/>
      <c r="H961" s="30"/>
      <c r="I961" s="30" t="str">
        <f>IF(Table1[[#This Row],[Centre Status]]="Returned","NA",IF(Table1[[#This Row],[SD]]&gt;19000,"Full Payment",IF(Table1[[#This Row],[SD]]&lt;1,"No Payment","Partial Payment")))</f>
        <v>NA</v>
      </c>
      <c r="J961" s="30" t="s">
        <v>1903</v>
      </c>
      <c r="K961" s="32">
        <v>0</v>
      </c>
      <c r="L961" s="33">
        <f>Q961+R961+U961+Table1[[#This Row],[Farmer Payment]]</f>
        <v>13716.144200000001</v>
      </c>
      <c r="M961" s="30">
        <v>0</v>
      </c>
      <c r="N961" s="34"/>
      <c r="O961" s="34"/>
      <c r="P961" s="35">
        <f t="shared" si="88"/>
        <v>-13716.144200000001</v>
      </c>
      <c r="Q961" s="33">
        <f>AI961+AV961+CK961+Table1[[#This Row],[FY 25-26]]</f>
        <v>13716.144200000001</v>
      </c>
      <c r="R961" s="36">
        <v>0</v>
      </c>
      <c r="S961" s="37" t="s">
        <v>2194</v>
      </c>
      <c r="T961" s="38"/>
      <c r="U961" s="39"/>
      <c r="V961" s="39"/>
      <c r="W961" s="40">
        <v>861</v>
      </c>
      <c r="X961" s="40">
        <v>1861</v>
      </c>
      <c r="Y961" s="40">
        <v>1766</v>
      </c>
      <c r="Z961" s="40">
        <v>2641.4759999999997</v>
      </c>
      <c r="AA961" s="40">
        <v>5293.668200000001</v>
      </c>
      <c r="AB961" s="40">
        <v>1021</v>
      </c>
      <c r="AC961" s="40">
        <v>272</v>
      </c>
      <c r="AD961" s="40">
        <v>0</v>
      </c>
      <c r="AE961" s="40">
        <v>0</v>
      </c>
      <c r="AF961" s="40">
        <v>0</v>
      </c>
      <c r="AG961" s="40">
        <v>0</v>
      </c>
      <c r="AH961" s="40">
        <v>0</v>
      </c>
      <c r="AI961" s="41">
        <f t="shared" si="89"/>
        <v>13716.144200000001</v>
      </c>
      <c r="AJ961" s="42">
        <v>0</v>
      </c>
      <c r="AK961" s="42">
        <v>0</v>
      </c>
      <c r="AL961" s="42">
        <v>0</v>
      </c>
      <c r="AM961" s="42">
        <v>0</v>
      </c>
      <c r="AN961" s="42">
        <v>0</v>
      </c>
      <c r="AO961" s="42">
        <v>0</v>
      </c>
      <c r="AP961" s="42">
        <v>0</v>
      </c>
      <c r="AQ961" s="42">
        <v>0</v>
      </c>
      <c r="AR961" s="42">
        <v>0</v>
      </c>
      <c r="AS961" s="42">
        <v>0</v>
      </c>
      <c r="AT961" s="42">
        <v>0</v>
      </c>
      <c r="AU961" s="42">
        <v>0</v>
      </c>
      <c r="AV961" s="42">
        <f t="shared" si="90"/>
        <v>0</v>
      </c>
      <c r="AW961" s="42">
        <v>0</v>
      </c>
      <c r="AX961" s="42">
        <v>0</v>
      </c>
      <c r="AY961" s="42">
        <v>0</v>
      </c>
      <c r="AZ961" s="42">
        <v>0</v>
      </c>
      <c r="BA961" s="42">
        <v>0</v>
      </c>
      <c r="BB961" s="42">
        <v>0</v>
      </c>
      <c r="BC961" s="42">
        <v>0</v>
      </c>
      <c r="BD961" s="42">
        <v>0</v>
      </c>
      <c r="BE961" s="42">
        <v>0</v>
      </c>
      <c r="BF961" s="42">
        <v>0</v>
      </c>
      <c r="BG961" s="42">
        <v>0</v>
      </c>
      <c r="BH961" s="42">
        <v>0</v>
      </c>
      <c r="BI961" s="42">
        <v>0</v>
      </c>
      <c r="BJ961" s="42">
        <v>0</v>
      </c>
      <c r="BK961" s="42">
        <v>0</v>
      </c>
      <c r="BL961" s="42">
        <v>0</v>
      </c>
      <c r="BM961" s="42">
        <v>0</v>
      </c>
      <c r="BN961" s="42">
        <v>0</v>
      </c>
      <c r="BO961" s="42">
        <v>0</v>
      </c>
      <c r="BP961" s="42">
        <v>0</v>
      </c>
      <c r="BQ961" s="42">
        <v>0</v>
      </c>
      <c r="BR961" s="42">
        <v>0</v>
      </c>
      <c r="BS961" s="42">
        <v>0</v>
      </c>
      <c r="BT961" s="42">
        <v>0</v>
      </c>
      <c r="BU961" s="42">
        <v>0</v>
      </c>
      <c r="BV961" s="42">
        <v>0</v>
      </c>
      <c r="BW961" s="42">
        <v>0</v>
      </c>
      <c r="BX961" s="42">
        <v>0</v>
      </c>
      <c r="BY961" s="42">
        <v>0</v>
      </c>
      <c r="BZ961" s="42">
        <v>0</v>
      </c>
      <c r="CA961" s="42">
        <v>0</v>
      </c>
      <c r="CB961" s="42">
        <v>0</v>
      </c>
      <c r="CC961" s="42">
        <v>0</v>
      </c>
      <c r="CD961" s="42">
        <v>0</v>
      </c>
      <c r="CE961" s="42">
        <v>0</v>
      </c>
      <c r="CF961" s="42">
        <v>0</v>
      </c>
      <c r="CG961" s="42">
        <v>0</v>
      </c>
      <c r="CH961" s="42">
        <v>0</v>
      </c>
      <c r="CI961" s="42">
        <v>0</v>
      </c>
      <c r="CJ961" s="42">
        <v>0</v>
      </c>
      <c r="CK961" s="43">
        <f t="shared" si="87"/>
        <v>0</v>
      </c>
      <c r="CL961" s="66"/>
      <c r="CM961" s="66">
        <v>0</v>
      </c>
      <c r="CN961" s="66">
        <v>0</v>
      </c>
      <c r="CO961" s="66">
        <v>0</v>
      </c>
      <c r="CP961" s="66">
        <v>0</v>
      </c>
      <c r="CQ961" s="66">
        <v>0</v>
      </c>
      <c r="CR961" s="66">
        <v>0</v>
      </c>
      <c r="CS961" s="66">
        <v>0</v>
      </c>
      <c r="CT961" s="66">
        <v>0</v>
      </c>
      <c r="CU961" s="66">
        <v>0</v>
      </c>
      <c r="CV961" s="66">
        <v>0</v>
      </c>
      <c r="CW961" s="66">
        <v>0</v>
      </c>
      <c r="CX961" s="66">
        <v>0</v>
      </c>
      <c r="CY961" s="66">
        <v>0</v>
      </c>
      <c r="CZ961" s="66">
        <v>0</v>
      </c>
      <c r="DA961" s="66"/>
      <c r="DB961" s="66"/>
      <c r="DC961" s="66"/>
      <c r="DD961" s="66"/>
      <c r="DE961" s="66"/>
      <c r="DF961" s="66"/>
      <c r="DG961" s="66"/>
      <c r="DH961" s="66"/>
      <c r="DI961" s="66"/>
      <c r="DJ961" s="66"/>
      <c r="DK961" s="66">
        <f>SUM(Table1[[#This Row],[01-03 Apr]:[Mar-26]])</f>
        <v>0</v>
      </c>
    </row>
    <row r="962" spans="1:115" hidden="1" x14ac:dyDescent="0.2">
      <c r="A962" s="28" t="s">
        <v>371</v>
      </c>
      <c r="B962" s="29" t="s">
        <v>2068</v>
      </c>
      <c r="C962" s="29" t="s">
        <v>3336</v>
      </c>
      <c r="D962" s="30" t="s">
        <v>2069</v>
      </c>
      <c r="E962" s="30" t="s">
        <v>1321</v>
      </c>
      <c r="F962" s="30"/>
      <c r="G962" s="31"/>
      <c r="H962" s="30"/>
      <c r="I962" s="30" t="str">
        <f>IF(Table1[[#This Row],[Centre Status]]="Returned","NA",IF(Table1[[#This Row],[SD]]&gt;19000,"Full Payment",IF(Table1[[#This Row],[SD]]&lt;1,"No Payment","Partial Payment")))</f>
        <v>NA</v>
      </c>
      <c r="J962" s="30" t="s">
        <v>1903</v>
      </c>
      <c r="K962" s="32">
        <v>0</v>
      </c>
      <c r="L962" s="33">
        <f>Q962+R962+U962+Table1[[#This Row],[Farmer Payment]]</f>
        <v>20000</v>
      </c>
      <c r="M962" s="30">
        <v>20000</v>
      </c>
      <c r="N962" s="34">
        <v>45139</v>
      </c>
      <c r="O962" s="34"/>
      <c r="P962" s="35">
        <f t="shared" si="88"/>
        <v>0</v>
      </c>
      <c r="Q962" s="33">
        <f>AI962+AV962+CK962+Table1[[#This Row],[FY 25-26]]</f>
        <v>0</v>
      </c>
      <c r="R962" s="36">
        <v>20000</v>
      </c>
      <c r="S962" s="37" t="s">
        <v>90</v>
      </c>
      <c r="T962" s="38">
        <v>44946</v>
      </c>
      <c r="U962" s="39"/>
      <c r="V962" s="39"/>
      <c r="W962" s="40">
        <v>0</v>
      </c>
      <c r="X962" s="40">
        <v>0</v>
      </c>
      <c r="Y962" s="40">
        <v>0</v>
      </c>
      <c r="Z962" s="40">
        <v>0</v>
      </c>
      <c r="AA962" s="40">
        <v>0</v>
      </c>
      <c r="AB962" s="40">
        <v>0</v>
      </c>
      <c r="AC962" s="40">
        <v>0</v>
      </c>
      <c r="AD962" s="40">
        <v>0</v>
      </c>
      <c r="AE962" s="40">
        <v>0</v>
      </c>
      <c r="AF962" s="40">
        <v>0</v>
      </c>
      <c r="AG962" s="40">
        <v>0</v>
      </c>
      <c r="AH962" s="40">
        <v>0</v>
      </c>
      <c r="AI962" s="41">
        <f t="shared" si="89"/>
        <v>0</v>
      </c>
      <c r="AJ962" s="42">
        <v>0</v>
      </c>
      <c r="AK962" s="42">
        <v>0</v>
      </c>
      <c r="AL962" s="42">
        <v>0</v>
      </c>
      <c r="AM962" s="42">
        <v>0</v>
      </c>
      <c r="AN962" s="42">
        <v>0</v>
      </c>
      <c r="AO962" s="42">
        <v>0</v>
      </c>
      <c r="AP962" s="42">
        <v>0</v>
      </c>
      <c r="AQ962" s="42">
        <v>0</v>
      </c>
      <c r="AR962" s="42">
        <v>0</v>
      </c>
      <c r="AS962" s="42">
        <v>0</v>
      </c>
      <c r="AT962" s="42">
        <v>0</v>
      </c>
      <c r="AU962" s="42">
        <v>0</v>
      </c>
      <c r="AV962" s="42">
        <f t="shared" si="90"/>
        <v>0</v>
      </c>
      <c r="AW962" s="42">
        <v>0</v>
      </c>
      <c r="AX962" s="42">
        <v>0</v>
      </c>
      <c r="AY962" s="42">
        <v>0</v>
      </c>
      <c r="AZ962" s="42">
        <v>0</v>
      </c>
      <c r="BA962" s="42">
        <v>0</v>
      </c>
      <c r="BB962" s="42">
        <v>0</v>
      </c>
      <c r="BC962" s="42">
        <v>0</v>
      </c>
      <c r="BD962" s="42">
        <v>0</v>
      </c>
      <c r="BE962" s="42">
        <v>0</v>
      </c>
      <c r="BF962" s="42">
        <v>0</v>
      </c>
      <c r="BG962" s="42">
        <v>0</v>
      </c>
      <c r="BH962" s="42">
        <v>0</v>
      </c>
      <c r="BI962" s="42">
        <v>0</v>
      </c>
      <c r="BJ962" s="42">
        <v>0</v>
      </c>
      <c r="BK962" s="42">
        <v>0</v>
      </c>
      <c r="BL962" s="42">
        <v>0</v>
      </c>
      <c r="BM962" s="42">
        <v>0</v>
      </c>
      <c r="BN962" s="42">
        <v>0</v>
      </c>
      <c r="BO962" s="42">
        <v>0</v>
      </c>
      <c r="BP962" s="42">
        <v>0</v>
      </c>
      <c r="BQ962" s="42">
        <v>0</v>
      </c>
      <c r="BR962" s="42">
        <v>0</v>
      </c>
      <c r="BS962" s="42">
        <v>0</v>
      </c>
      <c r="BT962" s="42">
        <v>0</v>
      </c>
      <c r="BU962" s="42">
        <v>0</v>
      </c>
      <c r="BV962" s="42">
        <v>0</v>
      </c>
      <c r="BW962" s="42">
        <v>0</v>
      </c>
      <c r="BX962" s="42">
        <v>0</v>
      </c>
      <c r="BY962" s="42">
        <v>0</v>
      </c>
      <c r="BZ962" s="42">
        <v>0</v>
      </c>
      <c r="CA962" s="42">
        <v>0</v>
      </c>
      <c r="CB962" s="42">
        <v>0</v>
      </c>
      <c r="CC962" s="42">
        <v>0</v>
      </c>
      <c r="CD962" s="42">
        <v>0</v>
      </c>
      <c r="CE962" s="42">
        <v>0</v>
      </c>
      <c r="CF962" s="42">
        <v>0</v>
      </c>
      <c r="CG962" s="42">
        <v>0</v>
      </c>
      <c r="CH962" s="42">
        <v>0</v>
      </c>
      <c r="CI962" s="42">
        <v>0</v>
      </c>
      <c r="CJ962" s="42">
        <v>0</v>
      </c>
      <c r="CK962" s="43">
        <f t="shared" si="87"/>
        <v>0</v>
      </c>
      <c r="CL962" s="66"/>
      <c r="CM962" s="66">
        <v>0</v>
      </c>
      <c r="CN962" s="66">
        <v>0</v>
      </c>
      <c r="CO962" s="66">
        <v>0</v>
      </c>
      <c r="CP962" s="66">
        <v>0</v>
      </c>
      <c r="CQ962" s="66">
        <v>0</v>
      </c>
      <c r="CR962" s="66">
        <v>0</v>
      </c>
      <c r="CS962" s="66">
        <v>0</v>
      </c>
      <c r="CT962" s="66">
        <v>0</v>
      </c>
      <c r="CU962" s="66">
        <v>0</v>
      </c>
      <c r="CV962" s="66">
        <v>0</v>
      </c>
      <c r="CW962" s="66">
        <v>0</v>
      </c>
      <c r="CX962" s="66">
        <v>0</v>
      </c>
      <c r="CY962" s="66">
        <v>0</v>
      </c>
      <c r="CZ962" s="66">
        <v>0</v>
      </c>
      <c r="DA962" s="66"/>
      <c r="DB962" s="66"/>
      <c r="DC962" s="66"/>
      <c r="DD962" s="66"/>
      <c r="DE962" s="66"/>
      <c r="DF962" s="66"/>
      <c r="DG962" s="66"/>
      <c r="DH962" s="66"/>
      <c r="DI962" s="66"/>
      <c r="DJ962" s="66"/>
      <c r="DK962" s="66">
        <f>SUM(Table1[[#This Row],[01-03 Apr]:[Mar-26]])</f>
        <v>0</v>
      </c>
    </row>
    <row r="963" spans="1:115" hidden="1" x14ac:dyDescent="0.2">
      <c r="A963" s="28" t="s">
        <v>371</v>
      </c>
      <c r="B963" s="29" t="s">
        <v>2070</v>
      </c>
      <c r="C963" s="29" t="s">
        <v>3336</v>
      </c>
      <c r="D963" s="30" t="s">
        <v>2071</v>
      </c>
      <c r="E963" s="30" t="s">
        <v>177</v>
      </c>
      <c r="F963" s="30"/>
      <c r="G963" s="31"/>
      <c r="H963" s="30"/>
      <c r="I963" s="30" t="str">
        <f>IF(Table1[[#This Row],[Centre Status]]="Returned","NA",IF(Table1[[#This Row],[SD]]&gt;19000,"Full Payment",IF(Table1[[#This Row],[SD]]&lt;1,"No Payment","Partial Payment")))</f>
        <v>NA</v>
      </c>
      <c r="J963" s="30" t="s">
        <v>1903</v>
      </c>
      <c r="K963" s="32">
        <v>0</v>
      </c>
      <c r="L963" s="33">
        <f>Q963+R963+U963+Table1[[#This Row],[Farmer Payment]]</f>
        <v>10000</v>
      </c>
      <c r="M963" s="30"/>
      <c r="N963" s="34"/>
      <c r="O963" s="34"/>
      <c r="P963" s="35">
        <f t="shared" si="88"/>
        <v>-10000</v>
      </c>
      <c r="Q963" s="33">
        <f>AI963+AV963+CK963+Table1[[#This Row],[FY 25-26]]</f>
        <v>0</v>
      </c>
      <c r="R963" s="36">
        <v>10000</v>
      </c>
      <c r="S963" s="37" t="s">
        <v>2195</v>
      </c>
      <c r="T963" s="38">
        <v>44791</v>
      </c>
      <c r="U963" s="39"/>
      <c r="V963" s="39"/>
      <c r="W963" s="40">
        <v>0</v>
      </c>
      <c r="X963" s="40">
        <v>0</v>
      </c>
      <c r="Y963" s="40">
        <v>0</v>
      </c>
      <c r="Z963" s="40">
        <v>0</v>
      </c>
      <c r="AA963" s="40">
        <v>0</v>
      </c>
      <c r="AB963" s="40">
        <v>0</v>
      </c>
      <c r="AC963" s="40">
        <v>0</v>
      </c>
      <c r="AD963" s="40">
        <v>0</v>
      </c>
      <c r="AE963" s="40">
        <v>0</v>
      </c>
      <c r="AF963" s="40">
        <v>0</v>
      </c>
      <c r="AG963" s="40">
        <v>0</v>
      </c>
      <c r="AH963" s="40">
        <v>0</v>
      </c>
      <c r="AI963" s="41">
        <f t="shared" si="89"/>
        <v>0</v>
      </c>
      <c r="AJ963" s="42">
        <v>0</v>
      </c>
      <c r="AK963" s="42">
        <v>0</v>
      </c>
      <c r="AL963" s="42">
        <v>0</v>
      </c>
      <c r="AM963" s="42">
        <v>0</v>
      </c>
      <c r="AN963" s="42">
        <v>0</v>
      </c>
      <c r="AO963" s="42">
        <v>0</v>
      </c>
      <c r="AP963" s="42">
        <v>0</v>
      </c>
      <c r="AQ963" s="42">
        <v>0</v>
      </c>
      <c r="AR963" s="42">
        <v>0</v>
      </c>
      <c r="AS963" s="42">
        <v>0</v>
      </c>
      <c r="AT963" s="42">
        <v>0</v>
      </c>
      <c r="AU963" s="42">
        <v>0</v>
      </c>
      <c r="AV963" s="42">
        <f t="shared" si="90"/>
        <v>0</v>
      </c>
      <c r="AW963" s="42">
        <v>0</v>
      </c>
      <c r="AX963" s="42">
        <v>0</v>
      </c>
      <c r="AY963" s="42">
        <v>0</v>
      </c>
      <c r="AZ963" s="42">
        <v>0</v>
      </c>
      <c r="BA963" s="42">
        <v>0</v>
      </c>
      <c r="BB963" s="42">
        <v>0</v>
      </c>
      <c r="BC963" s="42">
        <v>0</v>
      </c>
      <c r="BD963" s="42">
        <v>0</v>
      </c>
      <c r="BE963" s="42">
        <v>0</v>
      </c>
      <c r="BF963" s="42">
        <v>0</v>
      </c>
      <c r="BG963" s="42">
        <v>0</v>
      </c>
      <c r="BH963" s="42">
        <v>0</v>
      </c>
      <c r="BI963" s="42">
        <v>0</v>
      </c>
      <c r="BJ963" s="42">
        <v>0</v>
      </c>
      <c r="BK963" s="42">
        <v>0</v>
      </c>
      <c r="BL963" s="42">
        <v>0</v>
      </c>
      <c r="BM963" s="42">
        <v>0</v>
      </c>
      <c r="BN963" s="42">
        <v>0</v>
      </c>
      <c r="BO963" s="42">
        <v>0</v>
      </c>
      <c r="BP963" s="42">
        <v>0</v>
      </c>
      <c r="BQ963" s="42">
        <v>0</v>
      </c>
      <c r="BR963" s="42">
        <v>0</v>
      </c>
      <c r="BS963" s="42">
        <v>0</v>
      </c>
      <c r="BT963" s="42">
        <v>0</v>
      </c>
      <c r="BU963" s="42">
        <v>0</v>
      </c>
      <c r="BV963" s="42">
        <v>0</v>
      </c>
      <c r="BW963" s="42">
        <v>0</v>
      </c>
      <c r="BX963" s="42">
        <v>0</v>
      </c>
      <c r="BY963" s="42">
        <v>0</v>
      </c>
      <c r="BZ963" s="42">
        <v>0</v>
      </c>
      <c r="CA963" s="42">
        <v>0</v>
      </c>
      <c r="CB963" s="42">
        <v>0</v>
      </c>
      <c r="CC963" s="42">
        <v>0</v>
      </c>
      <c r="CD963" s="42">
        <v>0</v>
      </c>
      <c r="CE963" s="42">
        <v>0</v>
      </c>
      <c r="CF963" s="42">
        <v>0</v>
      </c>
      <c r="CG963" s="42">
        <v>0</v>
      </c>
      <c r="CH963" s="42">
        <v>0</v>
      </c>
      <c r="CI963" s="42">
        <v>0</v>
      </c>
      <c r="CJ963" s="42">
        <v>0</v>
      </c>
      <c r="CK963" s="43">
        <f t="shared" si="87"/>
        <v>0</v>
      </c>
      <c r="CL963" s="66"/>
      <c r="CM963" s="66">
        <v>0</v>
      </c>
      <c r="CN963" s="66">
        <v>0</v>
      </c>
      <c r="CO963" s="66">
        <v>0</v>
      </c>
      <c r="CP963" s="66">
        <v>0</v>
      </c>
      <c r="CQ963" s="66">
        <v>0</v>
      </c>
      <c r="CR963" s="66">
        <v>0</v>
      </c>
      <c r="CS963" s="66">
        <v>0</v>
      </c>
      <c r="CT963" s="66">
        <v>0</v>
      </c>
      <c r="CU963" s="66">
        <v>0</v>
      </c>
      <c r="CV963" s="66">
        <v>0</v>
      </c>
      <c r="CW963" s="66">
        <v>0</v>
      </c>
      <c r="CX963" s="66">
        <v>0</v>
      </c>
      <c r="CY963" s="66">
        <v>0</v>
      </c>
      <c r="CZ963" s="66">
        <v>0</v>
      </c>
      <c r="DA963" s="66"/>
      <c r="DB963" s="66"/>
      <c r="DC963" s="66"/>
      <c r="DD963" s="66"/>
      <c r="DE963" s="66"/>
      <c r="DF963" s="66"/>
      <c r="DG963" s="66"/>
      <c r="DH963" s="66"/>
      <c r="DI963" s="66"/>
      <c r="DJ963" s="66"/>
      <c r="DK963" s="66">
        <f>SUM(Table1[[#This Row],[01-03 Apr]:[Mar-26]])</f>
        <v>0</v>
      </c>
    </row>
    <row r="964" spans="1:115" hidden="1" x14ac:dyDescent="0.2">
      <c r="A964" s="28" t="s">
        <v>371</v>
      </c>
      <c r="B964" s="29" t="s">
        <v>2072</v>
      </c>
      <c r="C964" s="29" t="s">
        <v>3336</v>
      </c>
      <c r="D964" s="30" t="s">
        <v>2073</v>
      </c>
      <c r="E964" s="30" t="s">
        <v>177</v>
      </c>
      <c r="F964" s="30"/>
      <c r="G964" s="31"/>
      <c r="H964" s="30"/>
      <c r="I964" s="30" t="str">
        <f>IF(Table1[[#This Row],[Centre Status]]="Returned","NA",IF(Table1[[#This Row],[SD]]&gt;19000,"Full Payment",IF(Table1[[#This Row],[SD]]&lt;1,"No Payment","Partial Payment")))</f>
        <v>NA</v>
      </c>
      <c r="J964" s="30" t="s">
        <v>1903</v>
      </c>
      <c r="K964" s="32">
        <v>0</v>
      </c>
      <c r="L964" s="33">
        <f>Q964+R964+U964+Table1[[#This Row],[Farmer Payment]]</f>
        <v>10331</v>
      </c>
      <c r="M964" s="30"/>
      <c r="N964" s="34"/>
      <c r="O964" s="34"/>
      <c r="P964" s="35">
        <f t="shared" si="88"/>
        <v>-10331</v>
      </c>
      <c r="Q964" s="33">
        <f>AI964+AV964+CK964+Table1[[#This Row],[FY 25-26]]</f>
        <v>331</v>
      </c>
      <c r="R964" s="36">
        <v>10000</v>
      </c>
      <c r="S964" s="37" t="s">
        <v>2196</v>
      </c>
      <c r="T964" s="38">
        <v>44727</v>
      </c>
      <c r="U964" s="39"/>
      <c r="V964" s="39"/>
      <c r="W964" s="40">
        <v>0</v>
      </c>
      <c r="X964" s="40">
        <v>0</v>
      </c>
      <c r="Y964" s="40">
        <v>0</v>
      </c>
      <c r="Z964" s="40">
        <v>0</v>
      </c>
      <c r="AA964" s="40">
        <v>8</v>
      </c>
      <c r="AB964" s="40">
        <v>309</v>
      </c>
      <c r="AC964" s="40">
        <v>14</v>
      </c>
      <c r="AD964" s="40">
        <v>0</v>
      </c>
      <c r="AE964" s="40">
        <v>0</v>
      </c>
      <c r="AF964" s="40">
        <v>0</v>
      </c>
      <c r="AG964" s="40">
        <v>0</v>
      </c>
      <c r="AH964" s="40">
        <v>0</v>
      </c>
      <c r="AI964" s="41">
        <f t="shared" si="89"/>
        <v>331</v>
      </c>
      <c r="AJ964" s="42">
        <v>0</v>
      </c>
      <c r="AK964" s="42">
        <v>0</v>
      </c>
      <c r="AL964" s="42">
        <v>0</v>
      </c>
      <c r="AM964" s="42">
        <v>0</v>
      </c>
      <c r="AN964" s="42">
        <v>0</v>
      </c>
      <c r="AO964" s="42">
        <v>0</v>
      </c>
      <c r="AP964" s="42">
        <v>0</v>
      </c>
      <c r="AQ964" s="42">
        <v>0</v>
      </c>
      <c r="AR964" s="42">
        <v>0</v>
      </c>
      <c r="AS964" s="42">
        <v>0</v>
      </c>
      <c r="AT964" s="42">
        <v>0</v>
      </c>
      <c r="AU964" s="42">
        <v>0</v>
      </c>
      <c r="AV964" s="42">
        <f t="shared" si="90"/>
        <v>0</v>
      </c>
      <c r="AW964" s="42">
        <v>0</v>
      </c>
      <c r="AX964" s="42">
        <v>0</v>
      </c>
      <c r="AY964" s="42">
        <v>0</v>
      </c>
      <c r="AZ964" s="42">
        <v>0</v>
      </c>
      <c r="BA964" s="42">
        <v>0</v>
      </c>
      <c r="BB964" s="42">
        <v>0</v>
      </c>
      <c r="BC964" s="42">
        <v>0</v>
      </c>
      <c r="BD964" s="42">
        <v>0</v>
      </c>
      <c r="BE964" s="42">
        <v>0</v>
      </c>
      <c r="BF964" s="42">
        <v>0</v>
      </c>
      <c r="BG964" s="42">
        <v>0</v>
      </c>
      <c r="BH964" s="42">
        <v>0</v>
      </c>
      <c r="BI964" s="42">
        <v>0</v>
      </c>
      <c r="BJ964" s="42">
        <v>0</v>
      </c>
      <c r="BK964" s="42">
        <v>0</v>
      </c>
      <c r="BL964" s="42">
        <v>0</v>
      </c>
      <c r="BM964" s="42">
        <v>0</v>
      </c>
      <c r="BN964" s="42">
        <v>0</v>
      </c>
      <c r="BO964" s="42">
        <v>0</v>
      </c>
      <c r="BP964" s="42">
        <v>0</v>
      </c>
      <c r="BQ964" s="42">
        <v>0</v>
      </c>
      <c r="BR964" s="42">
        <v>0</v>
      </c>
      <c r="BS964" s="42">
        <v>0</v>
      </c>
      <c r="BT964" s="42">
        <v>0</v>
      </c>
      <c r="BU964" s="42">
        <v>0</v>
      </c>
      <c r="BV964" s="42">
        <v>0</v>
      </c>
      <c r="BW964" s="42">
        <v>0</v>
      </c>
      <c r="BX964" s="42">
        <v>0</v>
      </c>
      <c r="BY964" s="42">
        <v>0</v>
      </c>
      <c r="BZ964" s="42">
        <v>0</v>
      </c>
      <c r="CA964" s="42">
        <v>0</v>
      </c>
      <c r="CB964" s="42">
        <v>0</v>
      </c>
      <c r="CC964" s="42">
        <v>0</v>
      </c>
      <c r="CD964" s="42">
        <v>0</v>
      </c>
      <c r="CE964" s="42">
        <v>0</v>
      </c>
      <c r="CF964" s="42">
        <v>0</v>
      </c>
      <c r="CG964" s="42">
        <v>0</v>
      </c>
      <c r="CH964" s="42">
        <v>0</v>
      </c>
      <c r="CI964" s="42">
        <v>0</v>
      </c>
      <c r="CJ964" s="42">
        <v>0</v>
      </c>
      <c r="CK964" s="43">
        <f t="shared" si="87"/>
        <v>0</v>
      </c>
      <c r="CL964" s="66"/>
      <c r="CM964" s="66">
        <v>0</v>
      </c>
      <c r="CN964" s="66">
        <v>0</v>
      </c>
      <c r="CO964" s="66">
        <v>0</v>
      </c>
      <c r="CP964" s="66">
        <v>0</v>
      </c>
      <c r="CQ964" s="66">
        <v>0</v>
      </c>
      <c r="CR964" s="66">
        <v>0</v>
      </c>
      <c r="CS964" s="66">
        <v>0</v>
      </c>
      <c r="CT964" s="66">
        <v>0</v>
      </c>
      <c r="CU964" s="66">
        <v>0</v>
      </c>
      <c r="CV964" s="66">
        <v>0</v>
      </c>
      <c r="CW964" s="66">
        <v>0</v>
      </c>
      <c r="CX964" s="66">
        <v>0</v>
      </c>
      <c r="CY964" s="66">
        <v>0</v>
      </c>
      <c r="CZ964" s="66">
        <v>0</v>
      </c>
      <c r="DA964" s="66"/>
      <c r="DB964" s="66"/>
      <c r="DC964" s="66"/>
      <c r="DD964" s="66"/>
      <c r="DE964" s="66"/>
      <c r="DF964" s="66"/>
      <c r="DG964" s="66"/>
      <c r="DH964" s="66"/>
      <c r="DI964" s="66"/>
      <c r="DJ964" s="66"/>
      <c r="DK964" s="66">
        <f>SUM(Table1[[#This Row],[01-03 Apr]:[Mar-26]])</f>
        <v>0</v>
      </c>
    </row>
    <row r="965" spans="1:115" hidden="1" x14ac:dyDescent="0.2">
      <c r="A965" s="28" t="s">
        <v>371</v>
      </c>
      <c r="B965" s="29" t="s">
        <v>2074</v>
      </c>
      <c r="C965" s="29" t="s">
        <v>3336</v>
      </c>
      <c r="D965" s="30" t="s">
        <v>2075</v>
      </c>
      <c r="E965" s="30" t="s">
        <v>177</v>
      </c>
      <c r="F965" s="30"/>
      <c r="G965" s="31"/>
      <c r="H965" s="30"/>
      <c r="I965" s="30" t="str">
        <f>IF(Table1[[#This Row],[Centre Status]]="Returned","NA",IF(Table1[[#This Row],[SD]]&gt;19000,"Full Payment",IF(Table1[[#This Row],[SD]]&lt;1,"No Payment","Partial Payment")))</f>
        <v>NA</v>
      </c>
      <c r="J965" s="30" t="s">
        <v>1903</v>
      </c>
      <c r="K965" s="32">
        <v>0</v>
      </c>
      <c r="L965" s="33">
        <f>Q965+R965+U965+Table1[[#This Row],[Farmer Payment]]</f>
        <v>10418</v>
      </c>
      <c r="M965" s="30"/>
      <c r="N965" s="34"/>
      <c r="O965" s="34"/>
      <c r="P965" s="35">
        <f t="shared" si="88"/>
        <v>-10418</v>
      </c>
      <c r="Q965" s="33">
        <f>AI965+AV965+CK965+Table1[[#This Row],[FY 25-26]]</f>
        <v>418</v>
      </c>
      <c r="R965" s="36">
        <v>10000</v>
      </c>
      <c r="S965" s="37" t="s">
        <v>2197</v>
      </c>
      <c r="T965" s="38">
        <v>44746</v>
      </c>
      <c r="U965" s="39"/>
      <c r="V965" s="39"/>
      <c r="W965" s="40">
        <v>0</v>
      </c>
      <c r="X965" s="40">
        <v>0</v>
      </c>
      <c r="Y965" s="40">
        <v>0</v>
      </c>
      <c r="Z965" s="40">
        <v>0</v>
      </c>
      <c r="AA965" s="40">
        <v>418</v>
      </c>
      <c r="AB965" s="40">
        <v>0</v>
      </c>
      <c r="AC965" s="40">
        <v>0</v>
      </c>
      <c r="AD965" s="40">
        <v>0</v>
      </c>
      <c r="AE965" s="40">
        <v>0</v>
      </c>
      <c r="AF965" s="40">
        <v>0</v>
      </c>
      <c r="AG965" s="40">
        <v>0</v>
      </c>
      <c r="AH965" s="40">
        <v>0</v>
      </c>
      <c r="AI965" s="41">
        <f t="shared" si="89"/>
        <v>418</v>
      </c>
      <c r="AJ965" s="42">
        <v>0</v>
      </c>
      <c r="AK965" s="42">
        <v>0</v>
      </c>
      <c r="AL965" s="42">
        <v>0</v>
      </c>
      <c r="AM965" s="42">
        <v>0</v>
      </c>
      <c r="AN965" s="42">
        <v>0</v>
      </c>
      <c r="AO965" s="42">
        <v>0</v>
      </c>
      <c r="AP965" s="42">
        <v>0</v>
      </c>
      <c r="AQ965" s="42">
        <v>0</v>
      </c>
      <c r="AR965" s="42">
        <v>0</v>
      </c>
      <c r="AS965" s="42">
        <v>0</v>
      </c>
      <c r="AT965" s="42">
        <v>0</v>
      </c>
      <c r="AU965" s="42">
        <v>0</v>
      </c>
      <c r="AV965" s="42">
        <f t="shared" si="90"/>
        <v>0</v>
      </c>
      <c r="AW965" s="42">
        <v>0</v>
      </c>
      <c r="AX965" s="42">
        <v>0</v>
      </c>
      <c r="AY965" s="42">
        <v>0</v>
      </c>
      <c r="AZ965" s="42">
        <v>0</v>
      </c>
      <c r="BA965" s="42">
        <v>0</v>
      </c>
      <c r="BB965" s="42">
        <v>0</v>
      </c>
      <c r="BC965" s="42">
        <v>0</v>
      </c>
      <c r="BD965" s="42">
        <v>0</v>
      </c>
      <c r="BE965" s="42">
        <v>0</v>
      </c>
      <c r="BF965" s="42">
        <v>0</v>
      </c>
      <c r="BG965" s="42">
        <v>0</v>
      </c>
      <c r="BH965" s="42">
        <v>0</v>
      </c>
      <c r="BI965" s="42">
        <v>0</v>
      </c>
      <c r="BJ965" s="42">
        <v>0</v>
      </c>
      <c r="BK965" s="42">
        <v>0</v>
      </c>
      <c r="BL965" s="42">
        <v>0</v>
      </c>
      <c r="BM965" s="42">
        <v>0</v>
      </c>
      <c r="BN965" s="42">
        <v>0</v>
      </c>
      <c r="BO965" s="42">
        <v>0</v>
      </c>
      <c r="BP965" s="42">
        <v>0</v>
      </c>
      <c r="BQ965" s="42">
        <v>0</v>
      </c>
      <c r="BR965" s="42">
        <v>0</v>
      </c>
      <c r="BS965" s="42">
        <v>0</v>
      </c>
      <c r="BT965" s="42">
        <v>0</v>
      </c>
      <c r="BU965" s="42">
        <v>0</v>
      </c>
      <c r="BV965" s="42">
        <v>0</v>
      </c>
      <c r="BW965" s="42">
        <v>0</v>
      </c>
      <c r="BX965" s="42">
        <v>0</v>
      </c>
      <c r="BY965" s="42">
        <v>0</v>
      </c>
      <c r="BZ965" s="42">
        <v>0</v>
      </c>
      <c r="CA965" s="42">
        <v>0</v>
      </c>
      <c r="CB965" s="42">
        <v>0</v>
      </c>
      <c r="CC965" s="42">
        <v>0</v>
      </c>
      <c r="CD965" s="42">
        <v>0</v>
      </c>
      <c r="CE965" s="42">
        <v>0</v>
      </c>
      <c r="CF965" s="42">
        <v>0</v>
      </c>
      <c r="CG965" s="42">
        <v>0</v>
      </c>
      <c r="CH965" s="42">
        <v>0</v>
      </c>
      <c r="CI965" s="42">
        <v>0</v>
      </c>
      <c r="CJ965" s="42">
        <v>0</v>
      </c>
      <c r="CK965" s="43">
        <f t="shared" si="87"/>
        <v>0</v>
      </c>
      <c r="CL965" s="66"/>
      <c r="CM965" s="66">
        <v>0</v>
      </c>
      <c r="CN965" s="66">
        <v>0</v>
      </c>
      <c r="CO965" s="66">
        <v>0</v>
      </c>
      <c r="CP965" s="66">
        <v>0</v>
      </c>
      <c r="CQ965" s="66">
        <v>0</v>
      </c>
      <c r="CR965" s="66">
        <v>0</v>
      </c>
      <c r="CS965" s="66">
        <v>0</v>
      </c>
      <c r="CT965" s="66">
        <v>0</v>
      </c>
      <c r="CU965" s="66">
        <v>0</v>
      </c>
      <c r="CV965" s="66">
        <v>0</v>
      </c>
      <c r="CW965" s="66">
        <v>0</v>
      </c>
      <c r="CX965" s="66">
        <v>0</v>
      </c>
      <c r="CY965" s="66">
        <v>0</v>
      </c>
      <c r="CZ965" s="66">
        <v>0</v>
      </c>
      <c r="DA965" s="66"/>
      <c r="DB965" s="66"/>
      <c r="DC965" s="66"/>
      <c r="DD965" s="66"/>
      <c r="DE965" s="66"/>
      <c r="DF965" s="66"/>
      <c r="DG965" s="66"/>
      <c r="DH965" s="66"/>
      <c r="DI965" s="66"/>
      <c r="DJ965" s="66"/>
      <c r="DK965" s="66">
        <f>SUM(Table1[[#This Row],[01-03 Apr]:[Mar-26]])</f>
        <v>0</v>
      </c>
    </row>
    <row r="966" spans="1:115" hidden="1" x14ac:dyDescent="0.2">
      <c r="A966" s="28" t="s">
        <v>371</v>
      </c>
      <c r="B966" s="29" t="s">
        <v>2076</v>
      </c>
      <c r="C966" s="29" t="s">
        <v>3336</v>
      </c>
      <c r="D966" s="30" t="s">
        <v>2077</v>
      </c>
      <c r="E966" s="30" t="s">
        <v>217</v>
      </c>
      <c r="F966" s="30"/>
      <c r="G966" s="31"/>
      <c r="H966" s="30"/>
      <c r="I966" s="30" t="str">
        <f>IF(Table1[[#This Row],[Centre Status]]="Returned","NA",IF(Table1[[#This Row],[SD]]&gt;19000,"Full Payment",IF(Table1[[#This Row],[SD]]&lt;1,"No Payment","Partial Payment")))</f>
        <v>NA</v>
      </c>
      <c r="J966" s="30" t="s">
        <v>1903</v>
      </c>
      <c r="K966" s="32">
        <v>0</v>
      </c>
      <c r="L966" s="33">
        <f>Q966+R966+U966+Table1[[#This Row],[Farmer Payment]]</f>
        <v>21746</v>
      </c>
      <c r="M966" s="30">
        <v>21391</v>
      </c>
      <c r="N966" s="34">
        <v>44947</v>
      </c>
      <c r="O966" s="34"/>
      <c r="P966" s="35">
        <f t="shared" si="88"/>
        <v>-355</v>
      </c>
      <c r="Q966" s="33">
        <f>AI966+AV966+CK966+Table1[[#This Row],[FY 25-26]]</f>
        <v>1746</v>
      </c>
      <c r="R966" s="36">
        <v>20000</v>
      </c>
      <c r="S966" s="37" t="s">
        <v>2228</v>
      </c>
      <c r="T966" s="38">
        <v>44753</v>
      </c>
      <c r="U966" s="39"/>
      <c r="V966" s="39"/>
      <c r="W966" s="40">
        <v>0</v>
      </c>
      <c r="X966" s="40">
        <v>0</v>
      </c>
      <c r="Y966" s="40">
        <v>0</v>
      </c>
      <c r="Z966" s="40">
        <v>0</v>
      </c>
      <c r="AA966" s="40">
        <v>1449</v>
      </c>
      <c r="AB966" s="40">
        <v>297</v>
      </c>
      <c r="AC966" s="40">
        <v>0</v>
      </c>
      <c r="AD966" s="40">
        <v>0</v>
      </c>
      <c r="AE966" s="40">
        <v>0</v>
      </c>
      <c r="AF966" s="40">
        <v>0</v>
      </c>
      <c r="AG966" s="40">
        <v>0</v>
      </c>
      <c r="AH966" s="40">
        <v>0</v>
      </c>
      <c r="AI966" s="41">
        <f t="shared" si="89"/>
        <v>1746</v>
      </c>
      <c r="AJ966" s="42">
        <v>0</v>
      </c>
      <c r="AK966" s="42">
        <v>0</v>
      </c>
      <c r="AL966" s="42">
        <v>0</v>
      </c>
      <c r="AM966" s="42">
        <v>0</v>
      </c>
      <c r="AN966" s="42">
        <v>0</v>
      </c>
      <c r="AO966" s="42">
        <v>0</v>
      </c>
      <c r="AP966" s="42">
        <v>0</v>
      </c>
      <c r="AQ966" s="42">
        <v>0</v>
      </c>
      <c r="AR966" s="42">
        <v>0</v>
      </c>
      <c r="AS966" s="42">
        <v>0</v>
      </c>
      <c r="AT966" s="42">
        <v>0</v>
      </c>
      <c r="AU966" s="42">
        <v>0</v>
      </c>
      <c r="AV966" s="42">
        <f t="shared" si="90"/>
        <v>0</v>
      </c>
      <c r="AW966" s="42">
        <v>0</v>
      </c>
      <c r="AX966" s="42">
        <v>0</v>
      </c>
      <c r="AY966" s="42">
        <v>0</v>
      </c>
      <c r="AZ966" s="42">
        <v>0</v>
      </c>
      <c r="BA966" s="42">
        <v>0</v>
      </c>
      <c r="BB966" s="42">
        <v>0</v>
      </c>
      <c r="BC966" s="42">
        <v>0</v>
      </c>
      <c r="BD966" s="42">
        <v>0</v>
      </c>
      <c r="BE966" s="42">
        <v>0</v>
      </c>
      <c r="BF966" s="42">
        <v>0</v>
      </c>
      <c r="BG966" s="42">
        <v>0</v>
      </c>
      <c r="BH966" s="42">
        <v>0</v>
      </c>
      <c r="BI966" s="42">
        <v>0</v>
      </c>
      <c r="BJ966" s="42">
        <v>0</v>
      </c>
      <c r="BK966" s="42">
        <v>0</v>
      </c>
      <c r="BL966" s="42">
        <v>0</v>
      </c>
      <c r="BM966" s="42">
        <v>0</v>
      </c>
      <c r="BN966" s="42">
        <v>0</v>
      </c>
      <c r="BO966" s="42">
        <v>0</v>
      </c>
      <c r="BP966" s="42">
        <v>0</v>
      </c>
      <c r="BQ966" s="42">
        <v>0</v>
      </c>
      <c r="BR966" s="42">
        <v>0</v>
      </c>
      <c r="BS966" s="42">
        <v>0</v>
      </c>
      <c r="BT966" s="42">
        <v>0</v>
      </c>
      <c r="BU966" s="42">
        <v>0</v>
      </c>
      <c r="BV966" s="42">
        <v>0</v>
      </c>
      <c r="BW966" s="42">
        <v>0</v>
      </c>
      <c r="BX966" s="42">
        <v>0</v>
      </c>
      <c r="BY966" s="42">
        <v>0</v>
      </c>
      <c r="BZ966" s="42">
        <v>0</v>
      </c>
      <c r="CA966" s="42">
        <v>0</v>
      </c>
      <c r="CB966" s="42">
        <v>0</v>
      </c>
      <c r="CC966" s="42">
        <v>0</v>
      </c>
      <c r="CD966" s="42">
        <v>0</v>
      </c>
      <c r="CE966" s="42">
        <v>0</v>
      </c>
      <c r="CF966" s="42">
        <v>0</v>
      </c>
      <c r="CG966" s="42">
        <v>0</v>
      </c>
      <c r="CH966" s="42">
        <v>0</v>
      </c>
      <c r="CI966" s="42">
        <v>0</v>
      </c>
      <c r="CJ966" s="42">
        <v>0</v>
      </c>
      <c r="CK966" s="43">
        <f t="shared" si="87"/>
        <v>0</v>
      </c>
      <c r="CL966" s="66"/>
      <c r="CM966" s="66">
        <v>0</v>
      </c>
      <c r="CN966" s="66">
        <v>0</v>
      </c>
      <c r="CO966" s="66">
        <v>0</v>
      </c>
      <c r="CP966" s="66">
        <v>0</v>
      </c>
      <c r="CQ966" s="66">
        <v>0</v>
      </c>
      <c r="CR966" s="66">
        <v>0</v>
      </c>
      <c r="CS966" s="66">
        <v>0</v>
      </c>
      <c r="CT966" s="66">
        <v>0</v>
      </c>
      <c r="CU966" s="66">
        <v>0</v>
      </c>
      <c r="CV966" s="66">
        <v>0</v>
      </c>
      <c r="CW966" s="66">
        <v>0</v>
      </c>
      <c r="CX966" s="66">
        <v>0</v>
      </c>
      <c r="CY966" s="66">
        <v>0</v>
      </c>
      <c r="CZ966" s="66">
        <v>0</v>
      </c>
      <c r="DA966" s="66"/>
      <c r="DB966" s="66"/>
      <c r="DC966" s="66"/>
      <c r="DD966" s="66"/>
      <c r="DE966" s="66"/>
      <c r="DF966" s="66"/>
      <c r="DG966" s="66"/>
      <c r="DH966" s="66"/>
      <c r="DI966" s="66"/>
      <c r="DJ966" s="66"/>
      <c r="DK966" s="66">
        <f>SUM(Table1[[#This Row],[01-03 Apr]:[Mar-26]])</f>
        <v>0</v>
      </c>
    </row>
    <row r="967" spans="1:115" hidden="1" x14ac:dyDescent="0.2">
      <c r="A967" s="28" t="s">
        <v>371</v>
      </c>
      <c r="B967" s="29" t="s">
        <v>2078</v>
      </c>
      <c r="C967" s="29" t="s">
        <v>3336</v>
      </c>
      <c r="D967" s="30" t="s">
        <v>2079</v>
      </c>
      <c r="E967" s="30" t="s">
        <v>217</v>
      </c>
      <c r="F967" s="30"/>
      <c r="G967" s="31"/>
      <c r="H967" s="30"/>
      <c r="I967" s="30" t="str">
        <f>IF(Table1[[#This Row],[Centre Status]]="Returned","NA",IF(Table1[[#This Row],[SD]]&gt;19000,"Full Payment",IF(Table1[[#This Row],[SD]]&lt;1,"No Payment","Partial Payment")))</f>
        <v>NA</v>
      </c>
      <c r="J967" s="30" t="s">
        <v>1903</v>
      </c>
      <c r="K967" s="32">
        <v>0</v>
      </c>
      <c r="L967" s="33">
        <f>Q967+R967+U967+Table1[[#This Row],[Farmer Payment]]</f>
        <v>19715</v>
      </c>
      <c r="M967" s="30">
        <v>19715</v>
      </c>
      <c r="N967" s="34">
        <v>44939</v>
      </c>
      <c r="O967" s="34"/>
      <c r="P967" s="35">
        <f t="shared" si="88"/>
        <v>0</v>
      </c>
      <c r="Q967" s="33">
        <f>AI967+AV967+CK967+Table1[[#This Row],[FY 25-26]]</f>
        <v>0</v>
      </c>
      <c r="R967" s="36">
        <v>19715</v>
      </c>
      <c r="S967" s="37" t="s">
        <v>2198</v>
      </c>
      <c r="T967" s="38">
        <v>44847</v>
      </c>
      <c r="U967" s="39"/>
      <c r="V967" s="39"/>
      <c r="W967" s="40">
        <v>0</v>
      </c>
      <c r="X967" s="40">
        <v>0</v>
      </c>
      <c r="Y967" s="40">
        <v>0</v>
      </c>
      <c r="Z967" s="40">
        <v>0</v>
      </c>
      <c r="AA967" s="40">
        <v>0</v>
      </c>
      <c r="AB967" s="40">
        <v>0</v>
      </c>
      <c r="AC967" s="40">
        <v>0</v>
      </c>
      <c r="AD967" s="40">
        <v>0</v>
      </c>
      <c r="AE967" s="40">
        <v>0</v>
      </c>
      <c r="AF967" s="40">
        <v>0</v>
      </c>
      <c r="AG967" s="40">
        <v>0</v>
      </c>
      <c r="AH967" s="40">
        <v>0</v>
      </c>
      <c r="AI967" s="41">
        <f t="shared" si="89"/>
        <v>0</v>
      </c>
      <c r="AJ967" s="42">
        <v>0</v>
      </c>
      <c r="AK967" s="42">
        <v>0</v>
      </c>
      <c r="AL967" s="42">
        <v>0</v>
      </c>
      <c r="AM967" s="42">
        <v>0</v>
      </c>
      <c r="AN967" s="42">
        <v>0</v>
      </c>
      <c r="AO967" s="42">
        <v>0</v>
      </c>
      <c r="AP967" s="42">
        <v>0</v>
      </c>
      <c r="AQ967" s="42">
        <v>0</v>
      </c>
      <c r="AR967" s="42">
        <v>0</v>
      </c>
      <c r="AS967" s="42">
        <v>0</v>
      </c>
      <c r="AT967" s="42">
        <v>0</v>
      </c>
      <c r="AU967" s="42">
        <v>0</v>
      </c>
      <c r="AV967" s="42">
        <f t="shared" si="90"/>
        <v>0</v>
      </c>
      <c r="AW967" s="42">
        <v>0</v>
      </c>
      <c r="AX967" s="42">
        <v>0</v>
      </c>
      <c r="AY967" s="42">
        <v>0</v>
      </c>
      <c r="AZ967" s="42">
        <v>0</v>
      </c>
      <c r="BA967" s="42">
        <v>0</v>
      </c>
      <c r="BB967" s="42">
        <v>0</v>
      </c>
      <c r="BC967" s="42">
        <v>0</v>
      </c>
      <c r="BD967" s="42">
        <v>0</v>
      </c>
      <c r="BE967" s="42">
        <v>0</v>
      </c>
      <c r="BF967" s="42">
        <v>0</v>
      </c>
      <c r="BG967" s="42">
        <v>0</v>
      </c>
      <c r="BH967" s="42">
        <v>0</v>
      </c>
      <c r="BI967" s="42">
        <v>0</v>
      </c>
      <c r="BJ967" s="42">
        <v>0</v>
      </c>
      <c r="BK967" s="42">
        <v>0</v>
      </c>
      <c r="BL967" s="42">
        <v>0</v>
      </c>
      <c r="BM967" s="42">
        <v>0</v>
      </c>
      <c r="BN967" s="42">
        <v>0</v>
      </c>
      <c r="BO967" s="42">
        <v>0</v>
      </c>
      <c r="BP967" s="42">
        <v>0</v>
      </c>
      <c r="BQ967" s="42">
        <v>0</v>
      </c>
      <c r="BR967" s="42">
        <v>0</v>
      </c>
      <c r="BS967" s="42">
        <v>0</v>
      </c>
      <c r="BT967" s="42">
        <v>0</v>
      </c>
      <c r="BU967" s="42">
        <v>0</v>
      </c>
      <c r="BV967" s="42">
        <v>0</v>
      </c>
      <c r="BW967" s="42">
        <v>0</v>
      </c>
      <c r="BX967" s="42">
        <v>0</v>
      </c>
      <c r="BY967" s="42">
        <v>0</v>
      </c>
      <c r="BZ967" s="42">
        <v>0</v>
      </c>
      <c r="CA967" s="42">
        <v>0</v>
      </c>
      <c r="CB967" s="42">
        <v>0</v>
      </c>
      <c r="CC967" s="42">
        <v>0</v>
      </c>
      <c r="CD967" s="42">
        <v>0</v>
      </c>
      <c r="CE967" s="42">
        <v>0</v>
      </c>
      <c r="CF967" s="42">
        <v>0</v>
      </c>
      <c r="CG967" s="42">
        <v>0</v>
      </c>
      <c r="CH967" s="42">
        <v>0</v>
      </c>
      <c r="CI967" s="42">
        <v>0</v>
      </c>
      <c r="CJ967" s="42">
        <v>0</v>
      </c>
      <c r="CK967" s="43">
        <f t="shared" si="87"/>
        <v>0</v>
      </c>
      <c r="CL967" s="66"/>
      <c r="CM967" s="66">
        <v>0</v>
      </c>
      <c r="CN967" s="66">
        <v>0</v>
      </c>
      <c r="CO967" s="66">
        <v>0</v>
      </c>
      <c r="CP967" s="66">
        <v>0</v>
      </c>
      <c r="CQ967" s="66">
        <v>0</v>
      </c>
      <c r="CR967" s="66">
        <v>0</v>
      </c>
      <c r="CS967" s="66">
        <v>0</v>
      </c>
      <c r="CT967" s="66">
        <v>0</v>
      </c>
      <c r="CU967" s="66">
        <v>0</v>
      </c>
      <c r="CV967" s="66">
        <v>0</v>
      </c>
      <c r="CW967" s="66">
        <v>0</v>
      </c>
      <c r="CX967" s="66">
        <v>0</v>
      </c>
      <c r="CY967" s="66">
        <v>0</v>
      </c>
      <c r="CZ967" s="66">
        <v>0</v>
      </c>
      <c r="DA967" s="66"/>
      <c r="DB967" s="66"/>
      <c r="DC967" s="66"/>
      <c r="DD967" s="66"/>
      <c r="DE967" s="66"/>
      <c r="DF967" s="66"/>
      <c r="DG967" s="66"/>
      <c r="DH967" s="66"/>
      <c r="DI967" s="66"/>
      <c r="DJ967" s="66"/>
      <c r="DK967" s="66">
        <f>SUM(Table1[[#This Row],[01-03 Apr]:[Mar-26]])</f>
        <v>0</v>
      </c>
    </row>
    <row r="968" spans="1:115" hidden="1" x14ac:dyDescent="0.2">
      <c r="A968" s="28" t="s">
        <v>371</v>
      </c>
      <c r="B968" s="29" t="s">
        <v>2080</v>
      </c>
      <c r="C968" s="29" t="s">
        <v>3336</v>
      </c>
      <c r="D968" s="30" t="s">
        <v>2081</v>
      </c>
      <c r="E968" s="30" t="s">
        <v>217</v>
      </c>
      <c r="F968" s="30"/>
      <c r="G968" s="31"/>
      <c r="H968" s="30"/>
      <c r="I968" s="30" t="str">
        <f>IF(Table1[[#This Row],[Centre Status]]="Returned","NA",IF(Table1[[#This Row],[SD]]&gt;19000,"Full Payment",IF(Table1[[#This Row],[SD]]&lt;1,"No Payment","Partial Payment")))</f>
        <v>NA</v>
      </c>
      <c r="J968" s="30" t="s">
        <v>1903</v>
      </c>
      <c r="K968" s="32">
        <v>0</v>
      </c>
      <c r="L968" s="33">
        <f>Q968+R968+U968+Table1[[#This Row],[Farmer Payment]]</f>
        <v>5000</v>
      </c>
      <c r="M968" s="30">
        <v>5000</v>
      </c>
      <c r="N968" s="34">
        <v>44922</v>
      </c>
      <c r="O968" s="34"/>
      <c r="P968" s="35">
        <f t="shared" si="88"/>
        <v>0</v>
      </c>
      <c r="Q968" s="33">
        <f>AI968+AV968+CK968+Table1[[#This Row],[FY 25-26]]</f>
        <v>0</v>
      </c>
      <c r="R968" s="36">
        <v>5000</v>
      </c>
      <c r="S968" s="37" t="s">
        <v>2199</v>
      </c>
      <c r="T968" s="38">
        <v>44702</v>
      </c>
      <c r="U968" s="39"/>
      <c r="V968" s="39"/>
      <c r="W968" s="40">
        <v>0</v>
      </c>
      <c r="X968" s="40">
        <v>0</v>
      </c>
      <c r="Y968" s="40">
        <v>0</v>
      </c>
      <c r="Z968" s="40">
        <v>0</v>
      </c>
      <c r="AA968" s="40">
        <v>0</v>
      </c>
      <c r="AB968" s="40">
        <v>0</v>
      </c>
      <c r="AC968" s="40">
        <v>0</v>
      </c>
      <c r="AD968" s="40">
        <v>0</v>
      </c>
      <c r="AE968" s="40">
        <v>0</v>
      </c>
      <c r="AF968" s="40">
        <v>0</v>
      </c>
      <c r="AG968" s="40">
        <v>0</v>
      </c>
      <c r="AH968" s="40">
        <v>0</v>
      </c>
      <c r="AI968" s="41">
        <f t="shared" si="89"/>
        <v>0</v>
      </c>
      <c r="AJ968" s="42">
        <v>0</v>
      </c>
      <c r="AK968" s="42">
        <v>0</v>
      </c>
      <c r="AL968" s="42">
        <v>0</v>
      </c>
      <c r="AM968" s="42">
        <v>0</v>
      </c>
      <c r="AN968" s="42">
        <v>0</v>
      </c>
      <c r="AO968" s="42">
        <v>0</v>
      </c>
      <c r="AP968" s="42">
        <v>0</v>
      </c>
      <c r="AQ968" s="42">
        <v>0</v>
      </c>
      <c r="AR968" s="42">
        <v>0</v>
      </c>
      <c r="AS968" s="42">
        <v>0</v>
      </c>
      <c r="AT968" s="42">
        <v>0</v>
      </c>
      <c r="AU968" s="42">
        <v>0</v>
      </c>
      <c r="AV968" s="42">
        <f t="shared" si="90"/>
        <v>0</v>
      </c>
      <c r="AW968" s="42">
        <v>0</v>
      </c>
      <c r="AX968" s="42">
        <v>0</v>
      </c>
      <c r="AY968" s="42">
        <v>0</v>
      </c>
      <c r="AZ968" s="42">
        <v>0</v>
      </c>
      <c r="BA968" s="42">
        <v>0</v>
      </c>
      <c r="BB968" s="42">
        <v>0</v>
      </c>
      <c r="BC968" s="42">
        <v>0</v>
      </c>
      <c r="BD968" s="42">
        <v>0</v>
      </c>
      <c r="BE968" s="42">
        <v>0</v>
      </c>
      <c r="BF968" s="42">
        <v>0</v>
      </c>
      <c r="BG968" s="42">
        <v>0</v>
      </c>
      <c r="BH968" s="42">
        <v>0</v>
      </c>
      <c r="BI968" s="42">
        <v>0</v>
      </c>
      <c r="BJ968" s="42">
        <v>0</v>
      </c>
      <c r="BK968" s="42">
        <v>0</v>
      </c>
      <c r="BL968" s="42">
        <v>0</v>
      </c>
      <c r="BM968" s="42">
        <v>0</v>
      </c>
      <c r="BN968" s="42">
        <v>0</v>
      </c>
      <c r="BO968" s="42">
        <v>0</v>
      </c>
      <c r="BP968" s="42">
        <v>0</v>
      </c>
      <c r="BQ968" s="42">
        <v>0</v>
      </c>
      <c r="BR968" s="42">
        <v>0</v>
      </c>
      <c r="BS968" s="42">
        <v>0</v>
      </c>
      <c r="BT968" s="42">
        <v>0</v>
      </c>
      <c r="BU968" s="42">
        <v>0</v>
      </c>
      <c r="BV968" s="42">
        <v>0</v>
      </c>
      <c r="BW968" s="42">
        <v>0</v>
      </c>
      <c r="BX968" s="42">
        <v>0</v>
      </c>
      <c r="BY968" s="42">
        <v>0</v>
      </c>
      <c r="BZ968" s="42">
        <v>0</v>
      </c>
      <c r="CA968" s="42">
        <v>0</v>
      </c>
      <c r="CB968" s="42">
        <v>0</v>
      </c>
      <c r="CC968" s="42">
        <v>0</v>
      </c>
      <c r="CD968" s="42">
        <v>0</v>
      </c>
      <c r="CE968" s="42">
        <v>0</v>
      </c>
      <c r="CF968" s="42">
        <v>0</v>
      </c>
      <c r="CG968" s="42">
        <v>0</v>
      </c>
      <c r="CH968" s="42">
        <v>0</v>
      </c>
      <c r="CI968" s="42">
        <v>0</v>
      </c>
      <c r="CJ968" s="42">
        <v>0</v>
      </c>
      <c r="CK968" s="43">
        <f t="shared" si="87"/>
        <v>0</v>
      </c>
      <c r="CL968" s="66"/>
      <c r="CM968" s="66">
        <v>0</v>
      </c>
      <c r="CN968" s="66">
        <v>0</v>
      </c>
      <c r="CO968" s="66">
        <v>0</v>
      </c>
      <c r="CP968" s="66">
        <v>0</v>
      </c>
      <c r="CQ968" s="66">
        <v>0</v>
      </c>
      <c r="CR968" s="66">
        <v>0</v>
      </c>
      <c r="CS968" s="66">
        <v>0</v>
      </c>
      <c r="CT968" s="66">
        <v>0</v>
      </c>
      <c r="CU968" s="66">
        <v>0</v>
      </c>
      <c r="CV968" s="66">
        <v>0</v>
      </c>
      <c r="CW968" s="66">
        <v>0</v>
      </c>
      <c r="CX968" s="66">
        <v>0</v>
      </c>
      <c r="CY968" s="66">
        <v>0</v>
      </c>
      <c r="CZ968" s="66">
        <v>0</v>
      </c>
      <c r="DA968" s="66"/>
      <c r="DB968" s="66"/>
      <c r="DC968" s="66"/>
      <c r="DD968" s="66"/>
      <c r="DE968" s="66"/>
      <c r="DF968" s="66"/>
      <c r="DG968" s="66"/>
      <c r="DH968" s="66"/>
      <c r="DI968" s="66"/>
      <c r="DJ968" s="66"/>
      <c r="DK968" s="66">
        <f>SUM(Table1[[#This Row],[01-03 Apr]:[Mar-26]])</f>
        <v>0</v>
      </c>
    </row>
    <row r="969" spans="1:115" hidden="1" x14ac:dyDescent="0.2">
      <c r="A969" s="28" t="s">
        <v>371</v>
      </c>
      <c r="B969" s="29" t="s">
        <v>2082</v>
      </c>
      <c r="C969" s="29" t="s">
        <v>3336</v>
      </c>
      <c r="D969" s="30" t="e">
        <v>#N/A</v>
      </c>
      <c r="E969" s="30" t="s">
        <v>297</v>
      </c>
      <c r="F969" s="30"/>
      <c r="G969" s="31"/>
      <c r="H969" s="30"/>
      <c r="I969" s="30" t="str">
        <f>IF(Table1[[#This Row],[Centre Status]]="Returned","NA",IF(Table1[[#This Row],[SD]]&gt;19000,"Full Payment",IF(Table1[[#This Row],[SD]]&lt;1,"No Payment","Partial Payment")))</f>
        <v>NA</v>
      </c>
      <c r="J969" s="30" t="s">
        <v>1903</v>
      </c>
      <c r="K969" s="32">
        <v>0</v>
      </c>
      <c r="L969" s="33">
        <f>Q969+R969+U969+Table1[[#This Row],[Farmer Payment]]</f>
        <v>23282</v>
      </c>
      <c r="M969" s="30">
        <v>23282</v>
      </c>
      <c r="N969" s="34">
        <v>44826</v>
      </c>
      <c r="O969" s="34"/>
      <c r="P969" s="35">
        <f t="shared" si="88"/>
        <v>0</v>
      </c>
      <c r="Q969" s="33">
        <f>AI969+AV969+CK969+Table1[[#This Row],[FY 25-26]]</f>
        <v>3282</v>
      </c>
      <c r="R969" s="36">
        <v>20000</v>
      </c>
      <c r="S969" s="37" t="s">
        <v>2200</v>
      </c>
      <c r="T969" s="38">
        <v>44674</v>
      </c>
      <c r="U969" s="39"/>
      <c r="V969" s="39"/>
      <c r="W969" s="40">
        <v>0</v>
      </c>
      <c r="X969" s="40">
        <v>1421</v>
      </c>
      <c r="Y969" s="40">
        <v>1861</v>
      </c>
      <c r="Z969" s="40">
        <v>0</v>
      </c>
      <c r="AA969" s="40">
        <v>0</v>
      </c>
      <c r="AB969" s="40">
        <v>0</v>
      </c>
      <c r="AC969" s="40">
        <v>0</v>
      </c>
      <c r="AD969" s="40">
        <v>0</v>
      </c>
      <c r="AE969" s="40">
        <v>0</v>
      </c>
      <c r="AF969" s="40">
        <v>0</v>
      </c>
      <c r="AG969" s="40">
        <v>0</v>
      </c>
      <c r="AH969" s="40">
        <v>0</v>
      </c>
      <c r="AI969" s="41">
        <f t="shared" si="89"/>
        <v>3282</v>
      </c>
      <c r="AJ969" s="42">
        <v>0</v>
      </c>
      <c r="AK969" s="42">
        <v>0</v>
      </c>
      <c r="AL969" s="42">
        <v>0</v>
      </c>
      <c r="AM969" s="42">
        <v>0</v>
      </c>
      <c r="AN969" s="42">
        <v>0</v>
      </c>
      <c r="AO969" s="42">
        <v>0</v>
      </c>
      <c r="AP969" s="42">
        <v>0</v>
      </c>
      <c r="AQ969" s="42">
        <v>0</v>
      </c>
      <c r="AR969" s="42">
        <v>0</v>
      </c>
      <c r="AS969" s="42">
        <v>0</v>
      </c>
      <c r="AT969" s="42">
        <v>0</v>
      </c>
      <c r="AU969" s="42">
        <v>0</v>
      </c>
      <c r="AV969" s="42">
        <f t="shared" si="90"/>
        <v>0</v>
      </c>
      <c r="AW969" s="42">
        <v>0</v>
      </c>
      <c r="AX969" s="42">
        <v>0</v>
      </c>
      <c r="AY969" s="42">
        <v>0</v>
      </c>
      <c r="AZ969" s="42">
        <v>0</v>
      </c>
      <c r="BA969" s="42">
        <v>0</v>
      </c>
      <c r="BB969" s="42">
        <v>0</v>
      </c>
      <c r="BC969" s="42">
        <v>0</v>
      </c>
      <c r="BD969" s="42">
        <v>0</v>
      </c>
      <c r="BE969" s="42">
        <v>0</v>
      </c>
      <c r="BF969" s="42">
        <v>0</v>
      </c>
      <c r="BG969" s="42">
        <v>0</v>
      </c>
      <c r="BH969" s="42">
        <v>0</v>
      </c>
      <c r="BI969" s="42">
        <v>0</v>
      </c>
      <c r="BJ969" s="42">
        <v>0</v>
      </c>
      <c r="BK969" s="42">
        <v>0</v>
      </c>
      <c r="BL969" s="42">
        <v>0</v>
      </c>
      <c r="BM969" s="42">
        <v>0</v>
      </c>
      <c r="BN969" s="42">
        <v>0</v>
      </c>
      <c r="BO969" s="42">
        <v>0</v>
      </c>
      <c r="BP969" s="42">
        <v>0</v>
      </c>
      <c r="BQ969" s="42">
        <v>0</v>
      </c>
      <c r="BR969" s="42">
        <v>0</v>
      </c>
      <c r="BS969" s="42">
        <v>0</v>
      </c>
      <c r="BT969" s="42">
        <v>0</v>
      </c>
      <c r="BU969" s="42">
        <v>0</v>
      </c>
      <c r="BV969" s="42">
        <v>0</v>
      </c>
      <c r="BW969" s="42">
        <v>0</v>
      </c>
      <c r="BX969" s="42">
        <v>0</v>
      </c>
      <c r="BY969" s="42">
        <v>0</v>
      </c>
      <c r="BZ969" s="42">
        <v>0</v>
      </c>
      <c r="CA969" s="42">
        <v>0</v>
      </c>
      <c r="CB969" s="42">
        <v>0</v>
      </c>
      <c r="CC969" s="42">
        <v>0</v>
      </c>
      <c r="CD969" s="42">
        <v>0</v>
      </c>
      <c r="CE969" s="42">
        <v>0</v>
      </c>
      <c r="CF969" s="42">
        <v>0</v>
      </c>
      <c r="CG969" s="42">
        <v>0</v>
      </c>
      <c r="CH969" s="42">
        <v>0</v>
      </c>
      <c r="CI969" s="42">
        <v>0</v>
      </c>
      <c r="CJ969" s="42">
        <v>0</v>
      </c>
      <c r="CK969" s="43">
        <f t="shared" si="87"/>
        <v>0</v>
      </c>
      <c r="CL969" s="66"/>
      <c r="CM969" s="66">
        <v>0</v>
      </c>
      <c r="CN969" s="66">
        <v>0</v>
      </c>
      <c r="CO969" s="66">
        <v>0</v>
      </c>
      <c r="CP969" s="66">
        <v>0</v>
      </c>
      <c r="CQ969" s="66">
        <v>0</v>
      </c>
      <c r="CR969" s="66">
        <v>0</v>
      </c>
      <c r="CS969" s="66">
        <v>0</v>
      </c>
      <c r="CT969" s="66">
        <v>0</v>
      </c>
      <c r="CU969" s="66">
        <v>0</v>
      </c>
      <c r="CV969" s="66">
        <v>0</v>
      </c>
      <c r="CW969" s="66">
        <v>0</v>
      </c>
      <c r="CX969" s="66">
        <v>0</v>
      </c>
      <c r="CY969" s="66">
        <v>0</v>
      </c>
      <c r="CZ969" s="66">
        <v>0</v>
      </c>
      <c r="DA969" s="66"/>
      <c r="DB969" s="66"/>
      <c r="DC969" s="66"/>
      <c r="DD969" s="66"/>
      <c r="DE969" s="66"/>
      <c r="DF969" s="66"/>
      <c r="DG969" s="66"/>
      <c r="DH969" s="66"/>
      <c r="DI969" s="66"/>
      <c r="DJ969" s="66"/>
      <c r="DK969" s="66">
        <f>SUM(Table1[[#This Row],[01-03 Apr]:[Mar-26]])</f>
        <v>0</v>
      </c>
    </row>
    <row r="970" spans="1:115" hidden="1" x14ac:dyDescent="0.2">
      <c r="A970" s="28" t="s">
        <v>371</v>
      </c>
      <c r="B970" s="29" t="s">
        <v>2083</v>
      </c>
      <c r="C970" s="29" t="s">
        <v>3336</v>
      </c>
      <c r="D970" s="30" t="s">
        <v>2084</v>
      </c>
      <c r="E970" s="30" t="s">
        <v>217</v>
      </c>
      <c r="F970" s="30"/>
      <c r="G970" s="31"/>
      <c r="H970" s="30"/>
      <c r="I970" s="30" t="str">
        <f>IF(Table1[[#This Row],[Centre Status]]="Returned","NA",IF(Table1[[#This Row],[SD]]&gt;19000,"Full Payment",IF(Table1[[#This Row],[SD]]&lt;1,"No Payment","Partial Payment")))</f>
        <v>NA</v>
      </c>
      <c r="J970" s="30" t="s">
        <v>1903</v>
      </c>
      <c r="K970" s="32">
        <v>0</v>
      </c>
      <c r="L970" s="33">
        <f>Q970+R970+U970+Table1[[#This Row],[Farmer Payment]]</f>
        <v>20000</v>
      </c>
      <c r="M970" s="30">
        <v>20000</v>
      </c>
      <c r="N970" s="34">
        <v>44846</v>
      </c>
      <c r="O970" s="34"/>
      <c r="P970" s="35">
        <f t="shared" si="88"/>
        <v>0</v>
      </c>
      <c r="Q970" s="33">
        <f>AI970+AV970+CK970+Table1[[#This Row],[FY 25-26]]</f>
        <v>0</v>
      </c>
      <c r="R970" s="36">
        <v>20000</v>
      </c>
      <c r="S970" s="37" t="s">
        <v>2201</v>
      </c>
      <c r="T970" s="38">
        <v>44768</v>
      </c>
      <c r="U970" s="39"/>
      <c r="V970" s="39"/>
      <c r="W970" s="40">
        <v>0</v>
      </c>
      <c r="X970" s="40">
        <v>0</v>
      </c>
      <c r="Y970" s="40">
        <v>0</v>
      </c>
      <c r="Z970" s="40">
        <v>0</v>
      </c>
      <c r="AA970" s="40">
        <v>0</v>
      </c>
      <c r="AB970" s="40">
        <v>0</v>
      </c>
      <c r="AC970" s="40">
        <v>0</v>
      </c>
      <c r="AD970" s="40">
        <v>0</v>
      </c>
      <c r="AE970" s="40">
        <v>0</v>
      </c>
      <c r="AF970" s="40">
        <v>0</v>
      </c>
      <c r="AG970" s="40">
        <v>0</v>
      </c>
      <c r="AH970" s="40">
        <v>0</v>
      </c>
      <c r="AI970" s="41">
        <f t="shared" si="89"/>
        <v>0</v>
      </c>
      <c r="AJ970" s="42">
        <v>0</v>
      </c>
      <c r="AK970" s="42">
        <v>0</v>
      </c>
      <c r="AL970" s="42">
        <v>0</v>
      </c>
      <c r="AM970" s="42">
        <v>0</v>
      </c>
      <c r="AN970" s="42">
        <v>0</v>
      </c>
      <c r="AO970" s="42">
        <v>0</v>
      </c>
      <c r="AP970" s="42">
        <v>0</v>
      </c>
      <c r="AQ970" s="42">
        <v>0</v>
      </c>
      <c r="AR970" s="42">
        <v>0</v>
      </c>
      <c r="AS970" s="42">
        <v>0</v>
      </c>
      <c r="AT970" s="42">
        <v>0</v>
      </c>
      <c r="AU970" s="42">
        <v>0</v>
      </c>
      <c r="AV970" s="42">
        <f t="shared" si="90"/>
        <v>0</v>
      </c>
      <c r="AW970" s="42">
        <v>0</v>
      </c>
      <c r="AX970" s="42">
        <v>0</v>
      </c>
      <c r="AY970" s="42">
        <v>0</v>
      </c>
      <c r="AZ970" s="42">
        <v>0</v>
      </c>
      <c r="BA970" s="42">
        <v>0</v>
      </c>
      <c r="BB970" s="42">
        <v>0</v>
      </c>
      <c r="BC970" s="42">
        <v>0</v>
      </c>
      <c r="BD970" s="42">
        <v>0</v>
      </c>
      <c r="BE970" s="42">
        <v>0</v>
      </c>
      <c r="BF970" s="42">
        <v>0</v>
      </c>
      <c r="BG970" s="42">
        <v>0</v>
      </c>
      <c r="BH970" s="42">
        <v>0</v>
      </c>
      <c r="BI970" s="42">
        <v>0</v>
      </c>
      <c r="BJ970" s="42">
        <v>0</v>
      </c>
      <c r="BK970" s="42">
        <v>0</v>
      </c>
      <c r="BL970" s="42">
        <v>0</v>
      </c>
      <c r="BM970" s="42">
        <v>0</v>
      </c>
      <c r="BN970" s="42">
        <v>0</v>
      </c>
      <c r="BO970" s="42">
        <v>0</v>
      </c>
      <c r="BP970" s="42">
        <v>0</v>
      </c>
      <c r="BQ970" s="42">
        <v>0</v>
      </c>
      <c r="BR970" s="42">
        <v>0</v>
      </c>
      <c r="BS970" s="42">
        <v>0</v>
      </c>
      <c r="BT970" s="42">
        <v>0</v>
      </c>
      <c r="BU970" s="42">
        <v>0</v>
      </c>
      <c r="BV970" s="42">
        <v>0</v>
      </c>
      <c r="BW970" s="42">
        <v>0</v>
      </c>
      <c r="BX970" s="42">
        <v>0</v>
      </c>
      <c r="BY970" s="42">
        <v>0</v>
      </c>
      <c r="BZ970" s="42">
        <v>0</v>
      </c>
      <c r="CA970" s="42">
        <v>0</v>
      </c>
      <c r="CB970" s="42">
        <v>0</v>
      </c>
      <c r="CC970" s="42">
        <v>0</v>
      </c>
      <c r="CD970" s="42">
        <v>0</v>
      </c>
      <c r="CE970" s="42">
        <v>0</v>
      </c>
      <c r="CF970" s="42">
        <v>0</v>
      </c>
      <c r="CG970" s="42">
        <v>0</v>
      </c>
      <c r="CH970" s="42">
        <v>0</v>
      </c>
      <c r="CI970" s="42">
        <v>0</v>
      </c>
      <c r="CJ970" s="42">
        <v>0</v>
      </c>
      <c r="CK970" s="43">
        <f t="shared" si="87"/>
        <v>0</v>
      </c>
      <c r="CL970" s="66"/>
      <c r="CM970" s="66">
        <v>0</v>
      </c>
      <c r="CN970" s="66">
        <v>0</v>
      </c>
      <c r="CO970" s="66">
        <v>0</v>
      </c>
      <c r="CP970" s="66">
        <v>0</v>
      </c>
      <c r="CQ970" s="66">
        <v>0</v>
      </c>
      <c r="CR970" s="66">
        <v>0</v>
      </c>
      <c r="CS970" s="66">
        <v>0</v>
      </c>
      <c r="CT970" s="66">
        <v>0</v>
      </c>
      <c r="CU970" s="66">
        <v>0</v>
      </c>
      <c r="CV970" s="66">
        <v>0</v>
      </c>
      <c r="CW970" s="66">
        <v>0</v>
      </c>
      <c r="CX970" s="66">
        <v>0</v>
      </c>
      <c r="CY970" s="66">
        <v>0</v>
      </c>
      <c r="CZ970" s="66">
        <v>0</v>
      </c>
      <c r="DA970" s="66"/>
      <c r="DB970" s="66"/>
      <c r="DC970" s="66"/>
      <c r="DD970" s="66"/>
      <c r="DE970" s="66"/>
      <c r="DF970" s="66"/>
      <c r="DG970" s="66"/>
      <c r="DH970" s="66"/>
      <c r="DI970" s="66"/>
      <c r="DJ970" s="66"/>
      <c r="DK970" s="66">
        <f>SUM(Table1[[#This Row],[01-03 Apr]:[Mar-26]])</f>
        <v>0</v>
      </c>
    </row>
    <row r="971" spans="1:115" hidden="1" x14ac:dyDescent="0.2">
      <c r="A971" s="28" t="s">
        <v>371</v>
      </c>
      <c r="B971" s="29" t="s">
        <v>2085</v>
      </c>
      <c r="C971" s="29" t="s">
        <v>3336</v>
      </c>
      <c r="D971" s="30" t="s">
        <v>2086</v>
      </c>
      <c r="E971" s="30" t="s">
        <v>85</v>
      </c>
      <c r="F971" s="30"/>
      <c r="G971" s="31"/>
      <c r="H971" s="30"/>
      <c r="I971" s="30" t="str">
        <f>IF(Table1[[#This Row],[Centre Status]]="Returned","NA",IF(Table1[[#This Row],[SD]]&gt;19000,"Full Payment",IF(Table1[[#This Row],[SD]]&lt;1,"No Payment","Partial Payment")))</f>
        <v>NA</v>
      </c>
      <c r="J971" s="30" t="s">
        <v>1903</v>
      </c>
      <c r="K971" s="32">
        <v>0</v>
      </c>
      <c r="L971" s="33">
        <f>Q971+R971+U971+Table1[[#This Row],[Farmer Payment]]</f>
        <v>49704.635600000001</v>
      </c>
      <c r="M971" s="30">
        <v>12905</v>
      </c>
      <c r="N971" s="34">
        <v>45219</v>
      </c>
      <c r="O971" s="34"/>
      <c r="P971" s="35">
        <f t="shared" si="88"/>
        <v>-36799.635600000001</v>
      </c>
      <c r="Q971" s="33">
        <f>AI971+AV971+CK971+Table1[[#This Row],[FY 25-26]]</f>
        <v>29704.635600000001</v>
      </c>
      <c r="R971" s="36">
        <v>20000</v>
      </c>
      <c r="S971" s="37" t="s">
        <v>2202</v>
      </c>
      <c r="T971" s="38">
        <v>44645</v>
      </c>
      <c r="U971" s="39"/>
      <c r="V971" s="39"/>
      <c r="W971" s="40">
        <v>113</v>
      </c>
      <c r="X971" s="40">
        <v>1861</v>
      </c>
      <c r="Y971" s="40">
        <v>1861</v>
      </c>
      <c r="Z971" s="40">
        <v>1048</v>
      </c>
      <c r="AA971" s="40">
        <v>1861</v>
      </c>
      <c r="AB971" s="40">
        <v>1744</v>
      </c>
      <c r="AC971" s="40">
        <v>1861</v>
      </c>
      <c r="AD971" s="40">
        <v>2032.9446000000003</v>
      </c>
      <c r="AE971" s="40">
        <v>2337.7532000000001</v>
      </c>
      <c r="AF971" s="40">
        <v>2000</v>
      </c>
      <c r="AG971" s="40">
        <v>3123.9378000000002</v>
      </c>
      <c r="AH971" s="40">
        <v>2000</v>
      </c>
      <c r="AI971" s="41">
        <f t="shared" si="89"/>
        <v>21843.635600000001</v>
      </c>
      <c r="AJ971" s="42">
        <v>2000</v>
      </c>
      <c r="AK971" s="42">
        <v>2000</v>
      </c>
      <c r="AL971" s="42">
        <v>2000</v>
      </c>
      <c r="AM971" s="42">
        <v>1861</v>
      </c>
      <c r="AN971" s="42">
        <v>0</v>
      </c>
      <c r="AO971" s="42">
        <v>0</v>
      </c>
      <c r="AP971" s="42">
        <v>0</v>
      </c>
      <c r="AQ971" s="42">
        <v>0</v>
      </c>
      <c r="AR971" s="42">
        <v>0</v>
      </c>
      <c r="AS971" s="42">
        <v>0</v>
      </c>
      <c r="AT971" s="42">
        <v>0</v>
      </c>
      <c r="AU971" s="42">
        <v>0</v>
      </c>
      <c r="AV971" s="42">
        <f t="shared" si="90"/>
        <v>7861</v>
      </c>
      <c r="AW971" s="42">
        <v>0</v>
      </c>
      <c r="AX971" s="42">
        <v>0</v>
      </c>
      <c r="AY971" s="42">
        <v>0</v>
      </c>
      <c r="AZ971" s="42">
        <v>0</v>
      </c>
      <c r="BA971" s="42">
        <v>0</v>
      </c>
      <c r="BB971" s="42">
        <v>0</v>
      </c>
      <c r="BC971" s="42">
        <v>0</v>
      </c>
      <c r="BD971" s="42">
        <v>0</v>
      </c>
      <c r="BE971" s="42">
        <v>0</v>
      </c>
      <c r="BF971" s="42">
        <v>0</v>
      </c>
      <c r="BG971" s="42">
        <v>0</v>
      </c>
      <c r="BH971" s="42">
        <v>0</v>
      </c>
      <c r="BI971" s="42">
        <v>0</v>
      </c>
      <c r="BJ971" s="42">
        <v>0</v>
      </c>
      <c r="BK971" s="42">
        <v>0</v>
      </c>
      <c r="BL971" s="42">
        <v>0</v>
      </c>
      <c r="BM971" s="42">
        <v>0</v>
      </c>
      <c r="BN971" s="42">
        <v>0</v>
      </c>
      <c r="BO971" s="42">
        <v>0</v>
      </c>
      <c r="BP971" s="42">
        <v>0</v>
      </c>
      <c r="BQ971" s="42">
        <v>0</v>
      </c>
      <c r="BR971" s="42">
        <v>0</v>
      </c>
      <c r="BS971" s="42">
        <v>0</v>
      </c>
      <c r="BT971" s="42">
        <v>0</v>
      </c>
      <c r="BU971" s="42">
        <v>0</v>
      </c>
      <c r="BV971" s="42">
        <v>0</v>
      </c>
      <c r="BW971" s="42">
        <v>0</v>
      </c>
      <c r="BX971" s="42">
        <v>0</v>
      </c>
      <c r="BY971" s="42">
        <v>0</v>
      </c>
      <c r="BZ971" s="42">
        <v>0</v>
      </c>
      <c r="CA971" s="42">
        <v>0</v>
      </c>
      <c r="CB971" s="42">
        <v>0</v>
      </c>
      <c r="CC971" s="42">
        <v>0</v>
      </c>
      <c r="CD971" s="42">
        <v>0</v>
      </c>
      <c r="CE971" s="42">
        <v>0</v>
      </c>
      <c r="CF971" s="42">
        <v>0</v>
      </c>
      <c r="CG971" s="42">
        <v>0</v>
      </c>
      <c r="CH971" s="42">
        <v>0</v>
      </c>
      <c r="CI971" s="42">
        <v>0</v>
      </c>
      <c r="CJ971" s="42">
        <v>0</v>
      </c>
      <c r="CK971" s="43">
        <f t="shared" si="87"/>
        <v>0</v>
      </c>
      <c r="CL971" s="66"/>
      <c r="CM971" s="66">
        <v>0</v>
      </c>
      <c r="CN971" s="66">
        <v>0</v>
      </c>
      <c r="CO971" s="66">
        <v>0</v>
      </c>
      <c r="CP971" s="66">
        <v>0</v>
      </c>
      <c r="CQ971" s="66">
        <v>0</v>
      </c>
      <c r="CR971" s="66">
        <v>0</v>
      </c>
      <c r="CS971" s="66">
        <v>0</v>
      </c>
      <c r="CT971" s="66">
        <v>0</v>
      </c>
      <c r="CU971" s="66">
        <v>0</v>
      </c>
      <c r="CV971" s="66">
        <v>0</v>
      </c>
      <c r="CW971" s="66">
        <v>0</v>
      </c>
      <c r="CX971" s="66">
        <v>0</v>
      </c>
      <c r="CY971" s="66">
        <v>0</v>
      </c>
      <c r="CZ971" s="66">
        <v>0</v>
      </c>
      <c r="DA971" s="66"/>
      <c r="DB971" s="66"/>
      <c r="DC971" s="66"/>
      <c r="DD971" s="66"/>
      <c r="DE971" s="66"/>
      <c r="DF971" s="66"/>
      <c r="DG971" s="66"/>
      <c r="DH971" s="66"/>
      <c r="DI971" s="66"/>
      <c r="DJ971" s="66"/>
      <c r="DK971" s="66">
        <f>SUM(Table1[[#This Row],[01-03 Apr]:[Mar-26]])</f>
        <v>0</v>
      </c>
    </row>
    <row r="972" spans="1:115" hidden="1" x14ac:dyDescent="0.2">
      <c r="A972" s="28" t="s">
        <v>371</v>
      </c>
      <c r="B972" s="29" t="s">
        <v>2087</v>
      </c>
      <c r="C972" s="29" t="s">
        <v>3336</v>
      </c>
      <c r="D972" s="30" t="s">
        <v>2087</v>
      </c>
      <c r="E972" s="30" t="s">
        <v>63</v>
      </c>
      <c r="F972" s="30"/>
      <c r="G972" s="31"/>
      <c r="H972" s="30"/>
      <c r="I972" s="30" t="str">
        <f>IF(Table1[[#This Row],[Centre Status]]="Returned","NA",IF(Table1[[#This Row],[SD]]&gt;19000,"Full Payment",IF(Table1[[#This Row],[SD]]&lt;1,"No Payment","Partial Payment")))</f>
        <v>NA</v>
      </c>
      <c r="J972" s="30" t="s">
        <v>1903</v>
      </c>
      <c r="K972" s="32">
        <v>0</v>
      </c>
      <c r="L972" s="33">
        <f>Q972+R972+U972+Table1[[#This Row],[Farmer Payment]]</f>
        <v>5000</v>
      </c>
      <c r="M972" s="30">
        <v>5000</v>
      </c>
      <c r="N972" s="34">
        <v>44873</v>
      </c>
      <c r="O972" s="34"/>
      <c r="P972" s="35">
        <f t="shared" si="88"/>
        <v>0</v>
      </c>
      <c r="Q972" s="33">
        <f>AI972+AV972+CK972+Table1[[#This Row],[FY 25-26]]</f>
        <v>0</v>
      </c>
      <c r="R972" s="36">
        <v>5000</v>
      </c>
      <c r="S972" s="37" t="s">
        <v>2203</v>
      </c>
      <c r="T972" s="38">
        <v>44807</v>
      </c>
      <c r="U972" s="39"/>
      <c r="V972" s="39"/>
      <c r="W972" s="40">
        <v>0</v>
      </c>
      <c r="X972" s="40">
        <v>0</v>
      </c>
      <c r="Y972" s="40">
        <v>0</v>
      </c>
      <c r="Z972" s="40">
        <v>0</v>
      </c>
      <c r="AA972" s="40">
        <v>0</v>
      </c>
      <c r="AB972" s="40">
        <v>0</v>
      </c>
      <c r="AC972" s="40">
        <v>0</v>
      </c>
      <c r="AD972" s="40">
        <v>0</v>
      </c>
      <c r="AE972" s="40">
        <v>0</v>
      </c>
      <c r="AF972" s="40">
        <v>0</v>
      </c>
      <c r="AG972" s="40">
        <v>0</v>
      </c>
      <c r="AH972" s="40">
        <v>0</v>
      </c>
      <c r="AI972" s="41">
        <f t="shared" si="89"/>
        <v>0</v>
      </c>
      <c r="AJ972" s="42">
        <v>0</v>
      </c>
      <c r="AK972" s="42">
        <v>0</v>
      </c>
      <c r="AL972" s="42">
        <v>0</v>
      </c>
      <c r="AM972" s="42">
        <v>0</v>
      </c>
      <c r="AN972" s="42">
        <v>0</v>
      </c>
      <c r="AO972" s="42">
        <v>0</v>
      </c>
      <c r="AP972" s="42">
        <v>0</v>
      </c>
      <c r="AQ972" s="42">
        <v>0</v>
      </c>
      <c r="AR972" s="42">
        <v>0</v>
      </c>
      <c r="AS972" s="42">
        <v>0</v>
      </c>
      <c r="AT972" s="42">
        <v>0</v>
      </c>
      <c r="AU972" s="42">
        <v>0</v>
      </c>
      <c r="AV972" s="42">
        <f t="shared" si="90"/>
        <v>0</v>
      </c>
      <c r="AW972" s="42">
        <v>0</v>
      </c>
      <c r="AX972" s="42">
        <v>0</v>
      </c>
      <c r="AY972" s="42">
        <v>0</v>
      </c>
      <c r="AZ972" s="42">
        <v>0</v>
      </c>
      <c r="BA972" s="42">
        <v>0</v>
      </c>
      <c r="BB972" s="42">
        <v>0</v>
      </c>
      <c r="BC972" s="42">
        <v>0</v>
      </c>
      <c r="BD972" s="42">
        <v>0</v>
      </c>
      <c r="BE972" s="42">
        <v>0</v>
      </c>
      <c r="BF972" s="42">
        <v>0</v>
      </c>
      <c r="BG972" s="42">
        <v>0</v>
      </c>
      <c r="BH972" s="42">
        <v>0</v>
      </c>
      <c r="BI972" s="42">
        <v>0</v>
      </c>
      <c r="BJ972" s="42">
        <v>0</v>
      </c>
      <c r="BK972" s="42">
        <v>0</v>
      </c>
      <c r="BL972" s="42">
        <v>0</v>
      </c>
      <c r="BM972" s="42">
        <v>0</v>
      </c>
      <c r="BN972" s="42">
        <v>0</v>
      </c>
      <c r="BO972" s="42">
        <v>0</v>
      </c>
      <c r="BP972" s="42">
        <v>0</v>
      </c>
      <c r="BQ972" s="42">
        <v>0</v>
      </c>
      <c r="BR972" s="42">
        <v>0</v>
      </c>
      <c r="BS972" s="42">
        <v>0</v>
      </c>
      <c r="BT972" s="42">
        <v>0</v>
      </c>
      <c r="BU972" s="42">
        <v>0</v>
      </c>
      <c r="BV972" s="42">
        <v>0</v>
      </c>
      <c r="BW972" s="42">
        <v>0</v>
      </c>
      <c r="BX972" s="42">
        <v>0</v>
      </c>
      <c r="BY972" s="42">
        <v>0</v>
      </c>
      <c r="BZ972" s="42">
        <v>0</v>
      </c>
      <c r="CA972" s="42">
        <v>0</v>
      </c>
      <c r="CB972" s="42">
        <v>0</v>
      </c>
      <c r="CC972" s="42">
        <v>0</v>
      </c>
      <c r="CD972" s="42">
        <v>0</v>
      </c>
      <c r="CE972" s="42">
        <v>0</v>
      </c>
      <c r="CF972" s="42">
        <v>0</v>
      </c>
      <c r="CG972" s="42">
        <v>0</v>
      </c>
      <c r="CH972" s="42">
        <v>0</v>
      </c>
      <c r="CI972" s="42">
        <v>0</v>
      </c>
      <c r="CJ972" s="42">
        <v>0</v>
      </c>
      <c r="CK972" s="43">
        <f t="shared" si="87"/>
        <v>0</v>
      </c>
      <c r="CL972" s="66"/>
      <c r="CM972" s="66">
        <v>0</v>
      </c>
      <c r="CN972" s="66">
        <v>0</v>
      </c>
      <c r="CO972" s="66">
        <v>0</v>
      </c>
      <c r="CP972" s="66">
        <v>0</v>
      </c>
      <c r="CQ972" s="66">
        <v>0</v>
      </c>
      <c r="CR972" s="66">
        <v>0</v>
      </c>
      <c r="CS972" s="66">
        <v>0</v>
      </c>
      <c r="CT972" s="66">
        <v>0</v>
      </c>
      <c r="CU972" s="66">
        <v>0</v>
      </c>
      <c r="CV972" s="66">
        <v>0</v>
      </c>
      <c r="CW972" s="66">
        <v>0</v>
      </c>
      <c r="CX972" s="66">
        <v>0</v>
      </c>
      <c r="CY972" s="66">
        <v>0</v>
      </c>
      <c r="CZ972" s="66">
        <v>0</v>
      </c>
      <c r="DA972" s="66"/>
      <c r="DB972" s="66"/>
      <c r="DC972" s="66"/>
      <c r="DD972" s="66"/>
      <c r="DE972" s="66"/>
      <c r="DF972" s="66"/>
      <c r="DG972" s="66"/>
      <c r="DH972" s="66"/>
      <c r="DI972" s="66"/>
      <c r="DJ972" s="66"/>
      <c r="DK972" s="66">
        <f>SUM(Table1[[#This Row],[01-03 Apr]:[Mar-26]])</f>
        <v>0</v>
      </c>
    </row>
    <row r="973" spans="1:115" hidden="1" x14ac:dyDescent="0.2">
      <c r="A973" s="28" t="s">
        <v>371</v>
      </c>
      <c r="B973" s="29" t="s">
        <v>2088</v>
      </c>
      <c r="C973" s="29" t="s">
        <v>3336</v>
      </c>
      <c r="D973" s="30" t="s">
        <v>2089</v>
      </c>
      <c r="E973" s="30" t="s">
        <v>85</v>
      </c>
      <c r="F973" s="30"/>
      <c r="G973" s="31"/>
      <c r="H973" s="30"/>
      <c r="I973" s="30" t="str">
        <f>IF(Table1[[#This Row],[Centre Status]]="Returned","NA",IF(Table1[[#This Row],[SD]]&gt;19000,"Full Payment",IF(Table1[[#This Row],[SD]]&lt;1,"No Payment","Partial Payment")))</f>
        <v>NA</v>
      </c>
      <c r="J973" s="30" t="s">
        <v>1903</v>
      </c>
      <c r="K973" s="32">
        <v>0</v>
      </c>
      <c r="L973" s="33">
        <f>Q973+R973+U973+Table1[[#This Row],[Farmer Payment]]</f>
        <v>11509</v>
      </c>
      <c r="M973" s="30">
        <v>6497</v>
      </c>
      <c r="N973" s="34">
        <v>44796</v>
      </c>
      <c r="O973" s="34"/>
      <c r="P973" s="35">
        <f t="shared" si="88"/>
        <v>-5012</v>
      </c>
      <c r="Q973" s="33">
        <f>AI973+AV973+CK973+Table1[[#This Row],[FY 25-26]]</f>
        <v>1509</v>
      </c>
      <c r="R973" s="36">
        <v>10000</v>
      </c>
      <c r="S973" s="37" t="s">
        <v>2204</v>
      </c>
      <c r="T973" s="38">
        <v>44696</v>
      </c>
      <c r="U973" s="39"/>
      <c r="V973" s="39"/>
      <c r="W973" s="40">
        <v>0</v>
      </c>
      <c r="X973" s="40">
        <v>0</v>
      </c>
      <c r="Y973" s="40">
        <v>1509</v>
      </c>
      <c r="Z973" s="40">
        <v>0</v>
      </c>
      <c r="AA973" s="40">
        <v>0</v>
      </c>
      <c r="AB973" s="40">
        <v>0</v>
      </c>
      <c r="AC973" s="40">
        <v>0</v>
      </c>
      <c r="AD973" s="40">
        <v>0</v>
      </c>
      <c r="AE973" s="40">
        <v>0</v>
      </c>
      <c r="AF973" s="40">
        <v>0</v>
      </c>
      <c r="AG973" s="40">
        <v>0</v>
      </c>
      <c r="AH973" s="40">
        <v>0</v>
      </c>
      <c r="AI973" s="41">
        <f t="shared" si="89"/>
        <v>1509</v>
      </c>
      <c r="AJ973" s="42">
        <v>0</v>
      </c>
      <c r="AK973" s="42">
        <v>0</v>
      </c>
      <c r="AL973" s="42">
        <v>0</v>
      </c>
      <c r="AM973" s="42">
        <v>0</v>
      </c>
      <c r="AN973" s="42">
        <v>0</v>
      </c>
      <c r="AO973" s="42">
        <v>0</v>
      </c>
      <c r="AP973" s="42">
        <v>0</v>
      </c>
      <c r="AQ973" s="42">
        <v>0</v>
      </c>
      <c r="AR973" s="42">
        <v>0</v>
      </c>
      <c r="AS973" s="42">
        <v>0</v>
      </c>
      <c r="AT973" s="42">
        <v>0</v>
      </c>
      <c r="AU973" s="42">
        <v>0</v>
      </c>
      <c r="AV973" s="42">
        <f t="shared" si="90"/>
        <v>0</v>
      </c>
      <c r="AW973" s="42">
        <v>0</v>
      </c>
      <c r="AX973" s="42">
        <v>0</v>
      </c>
      <c r="AY973" s="42">
        <v>0</v>
      </c>
      <c r="AZ973" s="42">
        <v>0</v>
      </c>
      <c r="BA973" s="42">
        <v>0</v>
      </c>
      <c r="BB973" s="42">
        <v>0</v>
      </c>
      <c r="BC973" s="42">
        <v>0</v>
      </c>
      <c r="BD973" s="42">
        <v>0</v>
      </c>
      <c r="BE973" s="42">
        <v>0</v>
      </c>
      <c r="BF973" s="42">
        <v>0</v>
      </c>
      <c r="BG973" s="42">
        <v>0</v>
      </c>
      <c r="BH973" s="42">
        <v>0</v>
      </c>
      <c r="BI973" s="42">
        <v>0</v>
      </c>
      <c r="BJ973" s="42">
        <v>0</v>
      </c>
      <c r="BK973" s="42">
        <v>0</v>
      </c>
      <c r="BL973" s="42">
        <v>0</v>
      </c>
      <c r="BM973" s="42">
        <v>0</v>
      </c>
      <c r="BN973" s="42">
        <v>0</v>
      </c>
      <c r="BO973" s="42">
        <v>0</v>
      </c>
      <c r="BP973" s="42">
        <v>0</v>
      </c>
      <c r="BQ973" s="42">
        <v>0</v>
      </c>
      <c r="BR973" s="42">
        <v>0</v>
      </c>
      <c r="BS973" s="42">
        <v>0</v>
      </c>
      <c r="BT973" s="42">
        <v>0</v>
      </c>
      <c r="BU973" s="42">
        <v>0</v>
      </c>
      <c r="BV973" s="42">
        <v>0</v>
      </c>
      <c r="BW973" s="42">
        <v>0</v>
      </c>
      <c r="BX973" s="42">
        <v>0</v>
      </c>
      <c r="BY973" s="42">
        <v>0</v>
      </c>
      <c r="BZ973" s="42">
        <v>0</v>
      </c>
      <c r="CA973" s="42">
        <v>0</v>
      </c>
      <c r="CB973" s="42">
        <v>0</v>
      </c>
      <c r="CC973" s="42">
        <v>0</v>
      </c>
      <c r="CD973" s="42">
        <v>0</v>
      </c>
      <c r="CE973" s="42">
        <v>0</v>
      </c>
      <c r="CF973" s="42">
        <v>0</v>
      </c>
      <c r="CG973" s="42">
        <v>0</v>
      </c>
      <c r="CH973" s="42">
        <v>0</v>
      </c>
      <c r="CI973" s="42">
        <v>0</v>
      </c>
      <c r="CJ973" s="42">
        <v>0</v>
      </c>
      <c r="CK973" s="43">
        <f t="shared" si="87"/>
        <v>0</v>
      </c>
      <c r="CL973" s="66"/>
      <c r="CM973" s="66">
        <v>0</v>
      </c>
      <c r="CN973" s="66">
        <v>0</v>
      </c>
      <c r="CO973" s="66">
        <v>0</v>
      </c>
      <c r="CP973" s="66">
        <v>0</v>
      </c>
      <c r="CQ973" s="66">
        <v>0</v>
      </c>
      <c r="CR973" s="66">
        <v>0</v>
      </c>
      <c r="CS973" s="66">
        <v>0</v>
      </c>
      <c r="CT973" s="66">
        <v>0</v>
      </c>
      <c r="CU973" s="66">
        <v>0</v>
      </c>
      <c r="CV973" s="66">
        <v>0</v>
      </c>
      <c r="CW973" s="66">
        <v>0</v>
      </c>
      <c r="CX973" s="66">
        <v>0</v>
      </c>
      <c r="CY973" s="66">
        <v>0</v>
      </c>
      <c r="CZ973" s="66">
        <v>0</v>
      </c>
      <c r="DA973" s="66"/>
      <c r="DB973" s="66"/>
      <c r="DC973" s="66"/>
      <c r="DD973" s="66"/>
      <c r="DE973" s="66"/>
      <c r="DF973" s="66"/>
      <c r="DG973" s="66"/>
      <c r="DH973" s="66"/>
      <c r="DI973" s="66"/>
      <c r="DJ973" s="66"/>
      <c r="DK973" s="66">
        <f>SUM(Table1[[#This Row],[01-03 Apr]:[Mar-26]])</f>
        <v>0</v>
      </c>
    </row>
    <row r="974" spans="1:115" hidden="1" x14ac:dyDescent="0.2">
      <c r="A974" s="28" t="s">
        <v>371</v>
      </c>
      <c r="B974" s="29" t="s">
        <v>2090</v>
      </c>
      <c r="C974" s="29" t="s">
        <v>3385</v>
      </c>
      <c r="D974" s="30" t="s">
        <v>2091</v>
      </c>
      <c r="E974" s="30" t="s">
        <v>1321</v>
      </c>
      <c r="F974" s="30"/>
      <c r="G974" s="31"/>
      <c r="H974" s="30"/>
      <c r="I974" s="30" t="str">
        <f>IF(Table1[[#This Row],[Centre Status]]="Returned","NA",IF(Table1[[#This Row],[SD]]&gt;19000,"Full Payment",IF(Table1[[#This Row],[SD]]&lt;1,"No Payment","Partial Payment")))</f>
        <v>NA</v>
      </c>
      <c r="J974" s="30" t="s">
        <v>1903</v>
      </c>
      <c r="K974" s="32">
        <v>0</v>
      </c>
      <c r="L974" s="33">
        <f>Q974+R974+U974+Table1[[#This Row],[Farmer Payment]]</f>
        <v>24704</v>
      </c>
      <c r="M974" s="30">
        <v>20000</v>
      </c>
      <c r="N974" s="34">
        <v>45175</v>
      </c>
      <c r="O974" s="34"/>
      <c r="P974" s="35">
        <f t="shared" si="88"/>
        <v>-4704</v>
      </c>
      <c r="Q974" s="33">
        <f>AI974+AV974+CK974+Table1[[#This Row],[FY 25-26]]</f>
        <v>4704</v>
      </c>
      <c r="R974" s="36">
        <v>20000</v>
      </c>
      <c r="S974" s="37" t="s">
        <v>731</v>
      </c>
      <c r="T974" s="38">
        <v>44956</v>
      </c>
      <c r="U974" s="39"/>
      <c r="V974" s="39"/>
      <c r="W974" s="40">
        <v>0</v>
      </c>
      <c r="X974" s="40">
        <v>0</v>
      </c>
      <c r="Y974" s="40">
        <v>0</v>
      </c>
      <c r="Z974" s="40">
        <v>0</v>
      </c>
      <c r="AA974" s="40">
        <v>0</v>
      </c>
      <c r="AB974" s="40">
        <v>0</v>
      </c>
      <c r="AC974" s="40">
        <v>0</v>
      </c>
      <c r="AD974" s="40">
        <v>0</v>
      </c>
      <c r="AE974" s="40">
        <v>0</v>
      </c>
      <c r="AF974" s="40">
        <v>0</v>
      </c>
      <c r="AG974" s="40">
        <v>0</v>
      </c>
      <c r="AH974" s="40">
        <v>1844</v>
      </c>
      <c r="AI974" s="41">
        <f t="shared" si="89"/>
        <v>1844</v>
      </c>
      <c r="AJ974" s="42">
        <v>1093</v>
      </c>
      <c r="AK974" s="42">
        <v>1505</v>
      </c>
      <c r="AL974" s="42">
        <v>262</v>
      </c>
      <c r="AM974" s="42">
        <v>0</v>
      </c>
      <c r="AN974" s="42">
        <v>0</v>
      </c>
      <c r="AO974" s="42">
        <v>0</v>
      </c>
      <c r="AP974" s="42">
        <v>0</v>
      </c>
      <c r="AQ974" s="42">
        <v>0</v>
      </c>
      <c r="AR974" s="42">
        <v>0</v>
      </c>
      <c r="AS974" s="42">
        <v>0</v>
      </c>
      <c r="AT974" s="42">
        <v>0</v>
      </c>
      <c r="AU974" s="42">
        <v>0</v>
      </c>
      <c r="AV974" s="42">
        <f t="shared" si="90"/>
        <v>2860</v>
      </c>
      <c r="AW974" s="42">
        <v>0</v>
      </c>
      <c r="AX974" s="42">
        <v>0</v>
      </c>
      <c r="AY974" s="42">
        <v>0</v>
      </c>
      <c r="AZ974" s="42">
        <v>0</v>
      </c>
      <c r="BA974" s="42">
        <v>0</v>
      </c>
      <c r="BB974" s="42">
        <v>0</v>
      </c>
      <c r="BC974" s="42">
        <v>0</v>
      </c>
      <c r="BD974" s="42">
        <v>0</v>
      </c>
      <c r="BE974" s="42">
        <v>0</v>
      </c>
      <c r="BF974" s="42">
        <v>0</v>
      </c>
      <c r="BG974" s="42">
        <v>0</v>
      </c>
      <c r="BH974" s="42">
        <v>0</v>
      </c>
      <c r="BI974" s="42">
        <v>0</v>
      </c>
      <c r="BJ974" s="42">
        <v>0</v>
      </c>
      <c r="BK974" s="42">
        <v>0</v>
      </c>
      <c r="BL974" s="42">
        <v>0</v>
      </c>
      <c r="BM974" s="42">
        <v>0</v>
      </c>
      <c r="BN974" s="42">
        <v>0</v>
      </c>
      <c r="BO974" s="42">
        <v>0</v>
      </c>
      <c r="BP974" s="42">
        <v>0</v>
      </c>
      <c r="BQ974" s="42">
        <v>0</v>
      </c>
      <c r="BR974" s="42">
        <v>0</v>
      </c>
      <c r="BS974" s="42">
        <v>0</v>
      </c>
      <c r="BT974" s="42">
        <v>0</v>
      </c>
      <c r="BU974" s="42">
        <v>0</v>
      </c>
      <c r="BV974" s="42">
        <v>0</v>
      </c>
      <c r="BW974" s="42">
        <v>0</v>
      </c>
      <c r="BX974" s="42">
        <v>0</v>
      </c>
      <c r="BY974" s="42">
        <v>0</v>
      </c>
      <c r="BZ974" s="42">
        <v>0</v>
      </c>
      <c r="CA974" s="42">
        <v>0</v>
      </c>
      <c r="CB974" s="42">
        <v>0</v>
      </c>
      <c r="CC974" s="42">
        <v>0</v>
      </c>
      <c r="CD974" s="42">
        <v>0</v>
      </c>
      <c r="CE974" s="42">
        <v>0</v>
      </c>
      <c r="CF974" s="42">
        <v>0</v>
      </c>
      <c r="CG974" s="42">
        <v>0</v>
      </c>
      <c r="CH974" s="42">
        <v>0</v>
      </c>
      <c r="CI974" s="42">
        <v>0</v>
      </c>
      <c r="CJ974" s="42">
        <v>0</v>
      </c>
      <c r="CK974" s="43">
        <f t="shared" si="87"/>
        <v>0</v>
      </c>
      <c r="CL974" s="66"/>
      <c r="CM974" s="66">
        <v>0</v>
      </c>
      <c r="CN974" s="66">
        <v>0</v>
      </c>
      <c r="CO974" s="66">
        <v>0</v>
      </c>
      <c r="CP974" s="66">
        <v>0</v>
      </c>
      <c r="CQ974" s="66">
        <v>0</v>
      </c>
      <c r="CR974" s="66">
        <v>0</v>
      </c>
      <c r="CS974" s="66">
        <v>0</v>
      </c>
      <c r="CT974" s="66">
        <v>0</v>
      </c>
      <c r="CU974" s="66">
        <v>0</v>
      </c>
      <c r="CV974" s="66">
        <v>0</v>
      </c>
      <c r="CW974" s="66">
        <v>0</v>
      </c>
      <c r="CX974" s="66">
        <v>0</v>
      </c>
      <c r="CY974" s="66">
        <v>0</v>
      </c>
      <c r="CZ974" s="66">
        <v>0</v>
      </c>
      <c r="DA974" s="66"/>
      <c r="DB974" s="66"/>
      <c r="DC974" s="66"/>
      <c r="DD974" s="66"/>
      <c r="DE974" s="66"/>
      <c r="DF974" s="66"/>
      <c r="DG974" s="66"/>
      <c r="DH974" s="66"/>
      <c r="DI974" s="66"/>
      <c r="DJ974" s="66"/>
      <c r="DK974" s="66">
        <f>SUM(Table1[[#This Row],[01-03 Apr]:[Mar-26]])</f>
        <v>0</v>
      </c>
    </row>
    <row r="975" spans="1:115" hidden="1" x14ac:dyDescent="0.2">
      <c r="A975" s="28" t="s">
        <v>371</v>
      </c>
      <c r="B975" s="29" t="s">
        <v>2092</v>
      </c>
      <c r="C975" s="29" t="s">
        <v>3386</v>
      </c>
      <c r="D975" s="30" t="s">
        <v>2093</v>
      </c>
      <c r="E975" s="30" t="s">
        <v>63</v>
      </c>
      <c r="F975" s="30"/>
      <c r="G975" s="31"/>
      <c r="H975" s="30"/>
      <c r="I975" s="30" t="str">
        <f>IF(Table1[[#This Row],[Centre Status]]="Returned","NA",IF(Table1[[#This Row],[SD]]&gt;19000,"Full Payment",IF(Table1[[#This Row],[SD]]&lt;1,"No Payment","Partial Payment")))</f>
        <v>NA</v>
      </c>
      <c r="J975" s="30" t="s">
        <v>1903</v>
      </c>
      <c r="K975" s="32">
        <v>0</v>
      </c>
      <c r="L975" s="33">
        <f>Q975+R975+U975+Table1[[#This Row],[Farmer Payment]]</f>
        <v>21476</v>
      </c>
      <c r="M975" s="30">
        <v>21333</v>
      </c>
      <c r="N975" s="34">
        <v>45175</v>
      </c>
      <c r="O975" s="34"/>
      <c r="P975" s="35">
        <f t="shared" si="88"/>
        <v>-143</v>
      </c>
      <c r="Q975" s="33">
        <f>AI975+AV975+CK975+Table1[[#This Row],[FY 25-26]]</f>
        <v>1476</v>
      </c>
      <c r="R975" s="36">
        <v>20000</v>
      </c>
      <c r="S975" s="37" t="s">
        <v>2205</v>
      </c>
      <c r="T975" s="38">
        <v>45047</v>
      </c>
      <c r="U975" s="39"/>
      <c r="V975" s="39"/>
      <c r="W975" s="40">
        <v>0</v>
      </c>
      <c r="X975" s="40">
        <v>0</v>
      </c>
      <c r="Y975" s="40">
        <v>0</v>
      </c>
      <c r="Z975" s="40">
        <v>0</v>
      </c>
      <c r="AA975" s="40">
        <v>0</v>
      </c>
      <c r="AB975" s="40">
        <v>0</v>
      </c>
      <c r="AC975" s="40">
        <v>0</v>
      </c>
      <c r="AD975" s="40">
        <v>0</v>
      </c>
      <c r="AE975" s="40">
        <v>0</v>
      </c>
      <c r="AF975" s="40">
        <v>0</v>
      </c>
      <c r="AG975" s="40">
        <v>0</v>
      </c>
      <c r="AH975" s="40">
        <v>0</v>
      </c>
      <c r="AI975" s="41">
        <f t="shared" si="89"/>
        <v>0</v>
      </c>
      <c r="AJ975" s="42">
        <v>0</v>
      </c>
      <c r="AK975" s="42">
        <v>0</v>
      </c>
      <c r="AL975" s="42">
        <v>0</v>
      </c>
      <c r="AM975" s="42">
        <v>1333</v>
      </c>
      <c r="AN975" s="42">
        <v>143</v>
      </c>
      <c r="AO975" s="42">
        <v>0</v>
      </c>
      <c r="AP975" s="42">
        <v>0</v>
      </c>
      <c r="AQ975" s="42">
        <v>0</v>
      </c>
      <c r="AR975" s="42">
        <v>0</v>
      </c>
      <c r="AS975" s="42">
        <v>0</v>
      </c>
      <c r="AT975" s="42">
        <v>0</v>
      </c>
      <c r="AU975" s="42">
        <v>0</v>
      </c>
      <c r="AV975" s="42">
        <f t="shared" si="90"/>
        <v>1476</v>
      </c>
      <c r="AW975" s="42">
        <v>0</v>
      </c>
      <c r="AX975" s="42">
        <v>0</v>
      </c>
      <c r="AY975" s="42">
        <v>0</v>
      </c>
      <c r="AZ975" s="42">
        <v>0</v>
      </c>
      <c r="BA975" s="42">
        <v>0</v>
      </c>
      <c r="BB975" s="42">
        <v>0</v>
      </c>
      <c r="BC975" s="42">
        <v>0</v>
      </c>
      <c r="BD975" s="42">
        <v>0</v>
      </c>
      <c r="BE975" s="42">
        <v>0</v>
      </c>
      <c r="BF975" s="42">
        <v>0</v>
      </c>
      <c r="BG975" s="42">
        <v>0</v>
      </c>
      <c r="BH975" s="42">
        <v>0</v>
      </c>
      <c r="BI975" s="42">
        <v>0</v>
      </c>
      <c r="BJ975" s="42">
        <v>0</v>
      </c>
      <c r="BK975" s="42">
        <v>0</v>
      </c>
      <c r="BL975" s="42">
        <v>0</v>
      </c>
      <c r="BM975" s="42">
        <v>0</v>
      </c>
      <c r="BN975" s="42">
        <v>0</v>
      </c>
      <c r="BO975" s="42">
        <v>0</v>
      </c>
      <c r="BP975" s="42">
        <v>0</v>
      </c>
      <c r="BQ975" s="42">
        <v>0</v>
      </c>
      <c r="BR975" s="42">
        <v>0</v>
      </c>
      <c r="BS975" s="42">
        <v>0</v>
      </c>
      <c r="BT975" s="42">
        <v>0</v>
      </c>
      <c r="BU975" s="42">
        <v>0</v>
      </c>
      <c r="BV975" s="42">
        <v>0</v>
      </c>
      <c r="BW975" s="42">
        <v>0</v>
      </c>
      <c r="BX975" s="42">
        <v>0</v>
      </c>
      <c r="BY975" s="42">
        <v>0</v>
      </c>
      <c r="BZ975" s="42">
        <v>0</v>
      </c>
      <c r="CA975" s="42">
        <v>0</v>
      </c>
      <c r="CB975" s="42">
        <v>0</v>
      </c>
      <c r="CC975" s="42">
        <v>0</v>
      </c>
      <c r="CD975" s="42">
        <v>0</v>
      </c>
      <c r="CE975" s="42">
        <v>0</v>
      </c>
      <c r="CF975" s="42">
        <v>0</v>
      </c>
      <c r="CG975" s="42">
        <v>0</v>
      </c>
      <c r="CH975" s="42">
        <v>0</v>
      </c>
      <c r="CI975" s="42">
        <v>0</v>
      </c>
      <c r="CJ975" s="42">
        <v>0</v>
      </c>
      <c r="CK975" s="43">
        <f t="shared" si="87"/>
        <v>0</v>
      </c>
      <c r="CL975" s="66"/>
      <c r="CM975" s="66">
        <v>0</v>
      </c>
      <c r="CN975" s="66">
        <v>0</v>
      </c>
      <c r="CO975" s="66">
        <v>0</v>
      </c>
      <c r="CP975" s="66">
        <v>0</v>
      </c>
      <c r="CQ975" s="66">
        <v>0</v>
      </c>
      <c r="CR975" s="66">
        <v>0</v>
      </c>
      <c r="CS975" s="66">
        <v>0</v>
      </c>
      <c r="CT975" s="66">
        <v>0</v>
      </c>
      <c r="CU975" s="66">
        <v>0</v>
      </c>
      <c r="CV975" s="66">
        <v>0</v>
      </c>
      <c r="CW975" s="66">
        <v>0</v>
      </c>
      <c r="CX975" s="66">
        <v>0</v>
      </c>
      <c r="CY975" s="66">
        <v>0</v>
      </c>
      <c r="CZ975" s="66">
        <v>0</v>
      </c>
      <c r="DA975" s="66"/>
      <c r="DB975" s="66"/>
      <c r="DC975" s="66"/>
      <c r="DD975" s="66"/>
      <c r="DE975" s="66"/>
      <c r="DF975" s="66"/>
      <c r="DG975" s="66"/>
      <c r="DH975" s="66"/>
      <c r="DI975" s="66"/>
      <c r="DJ975" s="66"/>
      <c r="DK975" s="66">
        <f>SUM(Table1[[#This Row],[01-03 Apr]:[Mar-26]])</f>
        <v>0</v>
      </c>
    </row>
    <row r="976" spans="1:115" hidden="1" x14ac:dyDescent="0.2">
      <c r="A976" s="28" t="s">
        <v>371</v>
      </c>
      <c r="B976" s="29" t="s">
        <v>2094</v>
      </c>
      <c r="C976" s="29" t="s">
        <v>3336</v>
      </c>
      <c r="D976" s="30" t="s">
        <v>2095</v>
      </c>
      <c r="E976" s="30" t="s">
        <v>177</v>
      </c>
      <c r="F976" s="30"/>
      <c r="G976" s="31"/>
      <c r="H976" s="30"/>
      <c r="I976" s="30" t="str">
        <f>IF(Table1[[#This Row],[Centre Status]]="Returned","NA",IF(Table1[[#This Row],[SD]]&gt;19000,"Full Payment",IF(Table1[[#This Row],[SD]]&lt;1,"No Payment","Partial Payment")))</f>
        <v>NA</v>
      </c>
      <c r="J976" s="30" t="s">
        <v>1903</v>
      </c>
      <c r="K976" s="32">
        <v>0</v>
      </c>
      <c r="L976" s="33">
        <f>Q976+R976+U976+Table1[[#This Row],[Farmer Payment]]</f>
        <v>14683</v>
      </c>
      <c r="M976" s="30">
        <v>14683</v>
      </c>
      <c r="N976" s="34">
        <v>45218</v>
      </c>
      <c r="O976" s="34"/>
      <c r="P976" s="35">
        <f t="shared" si="88"/>
        <v>0</v>
      </c>
      <c r="Q976" s="33">
        <f>AI976+AV976+CK976+Table1[[#This Row],[FY 25-26]]</f>
        <v>4683</v>
      </c>
      <c r="R976" s="36">
        <v>10000</v>
      </c>
      <c r="S976" s="37" t="s">
        <v>2206</v>
      </c>
      <c r="T976" s="38">
        <v>44677</v>
      </c>
      <c r="U976" s="39"/>
      <c r="V976" s="39"/>
      <c r="W976" s="40">
        <v>0</v>
      </c>
      <c r="X976" s="40">
        <v>753</v>
      </c>
      <c r="Y976" s="40">
        <v>1406</v>
      </c>
      <c r="Z976" s="40">
        <v>0</v>
      </c>
      <c r="AA976" s="40">
        <v>0</v>
      </c>
      <c r="AB976" s="40">
        <v>0</v>
      </c>
      <c r="AC976" s="40">
        <v>0</v>
      </c>
      <c r="AD976" s="40">
        <v>391</v>
      </c>
      <c r="AE976" s="40">
        <v>0</v>
      </c>
      <c r="AF976" s="40">
        <v>649</v>
      </c>
      <c r="AG976" s="40">
        <v>238</v>
      </c>
      <c r="AH976" s="40">
        <v>0</v>
      </c>
      <c r="AI976" s="41">
        <f t="shared" si="89"/>
        <v>3437</v>
      </c>
      <c r="AJ976" s="42">
        <v>1246</v>
      </c>
      <c r="AK976" s="42">
        <v>0</v>
      </c>
      <c r="AL976" s="42">
        <v>0</v>
      </c>
      <c r="AM976" s="42">
        <v>0</v>
      </c>
      <c r="AN976" s="42">
        <v>0</v>
      </c>
      <c r="AO976" s="42">
        <v>0</v>
      </c>
      <c r="AP976" s="42">
        <v>0</v>
      </c>
      <c r="AQ976" s="42">
        <v>0</v>
      </c>
      <c r="AR976" s="42">
        <v>0</v>
      </c>
      <c r="AS976" s="42">
        <v>0</v>
      </c>
      <c r="AT976" s="42">
        <v>0</v>
      </c>
      <c r="AU976" s="42">
        <v>0</v>
      </c>
      <c r="AV976" s="42">
        <f t="shared" si="90"/>
        <v>1246</v>
      </c>
      <c r="AW976" s="42">
        <v>0</v>
      </c>
      <c r="AX976" s="42">
        <v>0</v>
      </c>
      <c r="AY976" s="42">
        <v>0</v>
      </c>
      <c r="AZ976" s="42">
        <v>0</v>
      </c>
      <c r="BA976" s="42">
        <v>0</v>
      </c>
      <c r="BB976" s="42">
        <v>0</v>
      </c>
      <c r="BC976" s="42">
        <v>0</v>
      </c>
      <c r="BD976" s="42">
        <v>0</v>
      </c>
      <c r="BE976" s="42">
        <v>0</v>
      </c>
      <c r="BF976" s="42">
        <v>0</v>
      </c>
      <c r="BG976" s="42">
        <v>0</v>
      </c>
      <c r="BH976" s="42">
        <v>0</v>
      </c>
      <c r="BI976" s="42">
        <v>0</v>
      </c>
      <c r="BJ976" s="42">
        <v>0</v>
      </c>
      <c r="BK976" s="42">
        <v>0</v>
      </c>
      <c r="BL976" s="42">
        <v>0</v>
      </c>
      <c r="BM976" s="42">
        <v>0</v>
      </c>
      <c r="BN976" s="42">
        <v>0</v>
      </c>
      <c r="BO976" s="42">
        <v>0</v>
      </c>
      <c r="BP976" s="42">
        <v>0</v>
      </c>
      <c r="BQ976" s="42">
        <v>0</v>
      </c>
      <c r="BR976" s="42">
        <v>0</v>
      </c>
      <c r="BS976" s="42">
        <v>0</v>
      </c>
      <c r="BT976" s="42">
        <v>0</v>
      </c>
      <c r="BU976" s="42">
        <v>0</v>
      </c>
      <c r="BV976" s="42">
        <v>0</v>
      </c>
      <c r="BW976" s="42">
        <v>0</v>
      </c>
      <c r="BX976" s="42">
        <v>0</v>
      </c>
      <c r="BY976" s="42">
        <v>0</v>
      </c>
      <c r="BZ976" s="42">
        <v>0</v>
      </c>
      <c r="CA976" s="42">
        <v>0</v>
      </c>
      <c r="CB976" s="42">
        <v>0</v>
      </c>
      <c r="CC976" s="42">
        <v>0</v>
      </c>
      <c r="CD976" s="42">
        <v>0</v>
      </c>
      <c r="CE976" s="42">
        <v>0</v>
      </c>
      <c r="CF976" s="42">
        <v>0</v>
      </c>
      <c r="CG976" s="42">
        <v>0</v>
      </c>
      <c r="CH976" s="42">
        <v>0</v>
      </c>
      <c r="CI976" s="42">
        <v>0</v>
      </c>
      <c r="CJ976" s="42">
        <v>0</v>
      </c>
      <c r="CK976" s="43">
        <f t="shared" si="87"/>
        <v>0</v>
      </c>
      <c r="CL976" s="66"/>
      <c r="CM976" s="66">
        <v>0</v>
      </c>
      <c r="CN976" s="66">
        <v>0</v>
      </c>
      <c r="CO976" s="66">
        <v>0</v>
      </c>
      <c r="CP976" s="66">
        <v>0</v>
      </c>
      <c r="CQ976" s="66">
        <v>0</v>
      </c>
      <c r="CR976" s="66">
        <v>0</v>
      </c>
      <c r="CS976" s="66">
        <v>0</v>
      </c>
      <c r="CT976" s="66">
        <v>0</v>
      </c>
      <c r="CU976" s="66">
        <v>0</v>
      </c>
      <c r="CV976" s="66">
        <v>0</v>
      </c>
      <c r="CW976" s="66">
        <v>0</v>
      </c>
      <c r="CX976" s="66">
        <v>0</v>
      </c>
      <c r="CY976" s="66">
        <v>0</v>
      </c>
      <c r="CZ976" s="66">
        <v>0</v>
      </c>
      <c r="DA976" s="66"/>
      <c r="DB976" s="66"/>
      <c r="DC976" s="66"/>
      <c r="DD976" s="66"/>
      <c r="DE976" s="66"/>
      <c r="DF976" s="66"/>
      <c r="DG976" s="66"/>
      <c r="DH976" s="66"/>
      <c r="DI976" s="66"/>
      <c r="DJ976" s="66"/>
      <c r="DK976" s="66">
        <f>SUM(Table1[[#This Row],[01-03 Apr]:[Mar-26]])</f>
        <v>0</v>
      </c>
    </row>
    <row r="977" spans="1:115" hidden="1" x14ac:dyDescent="0.2">
      <c r="A977" s="28" t="s">
        <v>371</v>
      </c>
      <c r="B977" s="29" t="s">
        <v>2096</v>
      </c>
      <c r="C977" s="29" t="s">
        <v>3336</v>
      </c>
      <c r="D977" s="30" t="s">
        <v>2097</v>
      </c>
      <c r="E977" s="30" t="s">
        <v>297</v>
      </c>
      <c r="F977" s="30"/>
      <c r="G977" s="31"/>
      <c r="H977" s="30"/>
      <c r="I977" s="30" t="str">
        <f>IF(Table1[[#This Row],[Centre Status]]="Returned","NA",IF(Table1[[#This Row],[SD]]&gt;19000,"Full Payment",IF(Table1[[#This Row],[SD]]&lt;1,"No Payment","Partial Payment")))</f>
        <v>NA</v>
      </c>
      <c r="J977" s="30" t="s">
        <v>1903</v>
      </c>
      <c r="K977" s="32">
        <v>0</v>
      </c>
      <c r="L977" s="33">
        <f>Q977+R977+U977+Table1[[#This Row],[Farmer Payment]]</f>
        <v>20000</v>
      </c>
      <c r="M977" s="30">
        <v>20000</v>
      </c>
      <c r="N977" s="34">
        <v>45183</v>
      </c>
      <c r="O977" s="34"/>
      <c r="P977" s="35">
        <f t="shared" si="88"/>
        <v>0</v>
      </c>
      <c r="Q977" s="33">
        <f>AI977+AV977+CK977+Table1[[#This Row],[FY 25-26]]</f>
        <v>0</v>
      </c>
      <c r="R977" s="36">
        <v>20000</v>
      </c>
      <c r="S977" s="37" t="s">
        <v>2207</v>
      </c>
      <c r="T977" s="38">
        <v>44799</v>
      </c>
      <c r="U977" s="39"/>
      <c r="V977" s="39"/>
      <c r="W977" s="40">
        <v>0</v>
      </c>
      <c r="X977" s="40">
        <v>0</v>
      </c>
      <c r="Y977" s="40">
        <v>0</v>
      </c>
      <c r="Z977" s="40">
        <v>0</v>
      </c>
      <c r="AA977" s="40">
        <v>0</v>
      </c>
      <c r="AB977" s="40">
        <v>0</v>
      </c>
      <c r="AC977" s="40">
        <v>0</v>
      </c>
      <c r="AD977" s="40">
        <v>0</v>
      </c>
      <c r="AE977" s="40">
        <v>0</v>
      </c>
      <c r="AF977" s="40">
        <v>0</v>
      </c>
      <c r="AG977" s="40">
        <v>0</v>
      </c>
      <c r="AH977" s="40">
        <v>0</v>
      </c>
      <c r="AI977" s="41">
        <f t="shared" si="89"/>
        <v>0</v>
      </c>
      <c r="AJ977" s="42">
        <v>0</v>
      </c>
      <c r="AK977" s="42">
        <v>0</v>
      </c>
      <c r="AL977" s="42">
        <v>0</v>
      </c>
      <c r="AM977" s="42">
        <v>0</v>
      </c>
      <c r="AN977" s="42">
        <v>0</v>
      </c>
      <c r="AO977" s="42">
        <v>0</v>
      </c>
      <c r="AP977" s="42">
        <v>0</v>
      </c>
      <c r="AQ977" s="42">
        <v>0</v>
      </c>
      <c r="AR977" s="42">
        <v>0</v>
      </c>
      <c r="AS977" s="42">
        <v>0</v>
      </c>
      <c r="AT977" s="42">
        <v>0</v>
      </c>
      <c r="AU977" s="42">
        <v>0</v>
      </c>
      <c r="AV977" s="42">
        <f t="shared" si="90"/>
        <v>0</v>
      </c>
      <c r="AW977" s="42">
        <v>0</v>
      </c>
      <c r="AX977" s="42">
        <v>0</v>
      </c>
      <c r="AY977" s="42">
        <v>0</v>
      </c>
      <c r="AZ977" s="42">
        <v>0</v>
      </c>
      <c r="BA977" s="42">
        <v>0</v>
      </c>
      <c r="BB977" s="42">
        <v>0</v>
      </c>
      <c r="BC977" s="42">
        <v>0</v>
      </c>
      <c r="BD977" s="42">
        <v>0</v>
      </c>
      <c r="BE977" s="42">
        <v>0</v>
      </c>
      <c r="BF977" s="42">
        <v>0</v>
      </c>
      <c r="BG977" s="42">
        <v>0</v>
      </c>
      <c r="BH977" s="42">
        <v>0</v>
      </c>
      <c r="BI977" s="42">
        <v>0</v>
      </c>
      <c r="BJ977" s="42">
        <v>0</v>
      </c>
      <c r="BK977" s="42">
        <v>0</v>
      </c>
      <c r="BL977" s="42">
        <v>0</v>
      </c>
      <c r="BM977" s="42">
        <v>0</v>
      </c>
      <c r="BN977" s="42">
        <v>0</v>
      </c>
      <c r="BO977" s="42">
        <v>0</v>
      </c>
      <c r="BP977" s="42">
        <v>0</v>
      </c>
      <c r="BQ977" s="42">
        <v>0</v>
      </c>
      <c r="BR977" s="42">
        <v>0</v>
      </c>
      <c r="BS977" s="42">
        <v>0</v>
      </c>
      <c r="BT977" s="42">
        <v>0</v>
      </c>
      <c r="BU977" s="42">
        <v>0</v>
      </c>
      <c r="BV977" s="42">
        <v>0</v>
      </c>
      <c r="BW977" s="42">
        <v>0</v>
      </c>
      <c r="BX977" s="42">
        <v>0</v>
      </c>
      <c r="BY977" s="42">
        <v>0</v>
      </c>
      <c r="BZ977" s="42">
        <v>0</v>
      </c>
      <c r="CA977" s="42">
        <v>0</v>
      </c>
      <c r="CB977" s="42">
        <v>0</v>
      </c>
      <c r="CC977" s="42">
        <v>0</v>
      </c>
      <c r="CD977" s="42">
        <v>0</v>
      </c>
      <c r="CE977" s="42">
        <v>0</v>
      </c>
      <c r="CF977" s="42">
        <v>0</v>
      </c>
      <c r="CG977" s="42">
        <v>0</v>
      </c>
      <c r="CH977" s="42">
        <v>0</v>
      </c>
      <c r="CI977" s="42">
        <v>0</v>
      </c>
      <c r="CJ977" s="42">
        <v>0</v>
      </c>
      <c r="CK977" s="43">
        <f t="shared" si="87"/>
        <v>0</v>
      </c>
      <c r="CL977" s="66"/>
      <c r="CM977" s="66">
        <v>0</v>
      </c>
      <c r="CN977" s="66">
        <v>0</v>
      </c>
      <c r="CO977" s="66">
        <v>0</v>
      </c>
      <c r="CP977" s="66">
        <v>0</v>
      </c>
      <c r="CQ977" s="66">
        <v>0</v>
      </c>
      <c r="CR977" s="66">
        <v>0</v>
      </c>
      <c r="CS977" s="66">
        <v>0</v>
      </c>
      <c r="CT977" s="66">
        <v>0</v>
      </c>
      <c r="CU977" s="66">
        <v>0</v>
      </c>
      <c r="CV977" s="66">
        <v>0</v>
      </c>
      <c r="CW977" s="66">
        <v>0</v>
      </c>
      <c r="CX977" s="66">
        <v>0</v>
      </c>
      <c r="CY977" s="66">
        <v>0</v>
      </c>
      <c r="CZ977" s="66">
        <v>0</v>
      </c>
      <c r="DA977" s="66"/>
      <c r="DB977" s="66"/>
      <c r="DC977" s="66"/>
      <c r="DD977" s="66"/>
      <c r="DE977" s="66"/>
      <c r="DF977" s="66"/>
      <c r="DG977" s="66"/>
      <c r="DH977" s="66"/>
      <c r="DI977" s="66"/>
      <c r="DJ977" s="66"/>
      <c r="DK977" s="66">
        <f>SUM(Table1[[#This Row],[01-03 Apr]:[Mar-26]])</f>
        <v>0</v>
      </c>
    </row>
    <row r="978" spans="1:115" hidden="1" x14ac:dyDescent="0.2">
      <c r="A978" s="28" t="s">
        <v>2256</v>
      </c>
      <c r="B978" s="29" t="s">
        <v>2098</v>
      </c>
      <c r="C978" s="29" t="s">
        <v>3336</v>
      </c>
      <c r="D978" s="30" t="s">
        <v>2099</v>
      </c>
      <c r="E978" s="30" t="s">
        <v>57</v>
      </c>
      <c r="F978" s="30"/>
      <c r="G978" s="31"/>
      <c r="H978" s="30">
        <v>274133</v>
      </c>
      <c r="I978" s="30" t="str">
        <f>IF(Table1[[#This Row],[Centre Status]]="Returned","NA",IF(Table1[[#This Row],[SD]]&gt;19000,"Full Payment",IF(Table1[[#This Row],[SD]]&lt;1,"No Payment","Partial Payment")))</f>
        <v>NA</v>
      </c>
      <c r="J978" s="30" t="s">
        <v>1903</v>
      </c>
      <c r="K978" s="32">
        <v>0</v>
      </c>
      <c r="L978" s="33">
        <f>Q978+R978+U978+Table1[[#This Row],[Farmer Payment]]</f>
        <v>41752.003599999996</v>
      </c>
      <c r="M978" s="30">
        <v>28772</v>
      </c>
      <c r="N978" s="34">
        <v>45142</v>
      </c>
      <c r="O978" s="34"/>
      <c r="P978" s="35">
        <f t="shared" si="88"/>
        <v>-12980.003599999996</v>
      </c>
      <c r="Q978" s="33">
        <f>AI978+AV978+CK978+Table1[[#This Row],[FY 25-26]]</f>
        <v>21752.0036</v>
      </c>
      <c r="R978" s="36">
        <v>20000</v>
      </c>
      <c r="S978" s="37" t="s">
        <v>2208</v>
      </c>
      <c r="T978" s="38">
        <v>44644</v>
      </c>
      <c r="U978" s="39"/>
      <c r="V978" s="39"/>
      <c r="W978" s="40">
        <v>284</v>
      </c>
      <c r="X978" s="40">
        <v>1151.9594000000002</v>
      </c>
      <c r="Y978" s="40">
        <v>2633.3548000000001</v>
      </c>
      <c r="Z978" s="40">
        <v>1963.0102000000002</v>
      </c>
      <c r="AA978" s="40">
        <v>2374.3284000000003</v>
      </c>
      <c r="AB978" s="40">
        <v>1931.7841999999998</v>
      </c>
      <c r="AC978" s="40">
        <v>1861</v>
      </c>
      <c r="AD978" s="40">
        <v>2108.5665999999997</v>
      </c>
      <c r="AE978" s="40">
        <v>1861</v>
      </c>
      <c r="AF978" s="40">
        <v>1861</v>
      </c>
      <c r="AG978" s="40">
        <v>1861</v>
      </c>
      <c r="AH978" s="40">
        <v>1861</v>
      </c>
      <c r="AI978" s="41">
        <f t="shared" si="89"/>
        <v>21752.0036</v>
      </c>
      <c r="AJ978" s="42">
        <v>0</v>
      </c>
      <c r="AK978" s="42">
        <v>0</v>
      </c>
      <c r="AL978" s="42">
        <v>0</v>
      </c>
      <c r="AM978" s="42">
        <v>0</v>
      </c>
      <c r="AN978" s="42">
        <v>0</v>
      </c>
      <c r="AO978" s="42">
        <v>0</v>
      </c>
      <c r="AP978" s="42">
        <v>0</v>
      </c>
      <c r="AQ978" s="42">
        <v>0</v>
      </c>
      <c r="AR978" s="42">
        <v>0</v>
      </c>
      <c r="AS978" s="42">
        <v>0</v>
      </c>
      <c r="AT978" s="42">
        <v>0</v>
      </c>
      <c r="AU978" s="42">
        <v>0</v>
      </c>
      <c r="AV978" s="42">
        <f t="shared" si="90"/>
        <v>0</v>
      </c>
      <c r="AW978" s="42">
        <v>0</v>
      </c>
      <c r="AX978" s="42">
        <v>0</v>
      </c>
      <c r="AY978" s="42">
        <v>0</v>
      </c>
      <c r="AZ978" s="42">
        <v>0</v>
      </c>
      <c r="BA978" s="42">
        <v>0</v>
      </c>
      <c r="BB978" s="42">
        <v>0</v>
      </c>
      <c r="BC978" s="42">
        <v>0</v>
      </c>
      <c r="BD978" s="42">
        <v>0</v>
      </c>
      <c r="BE978" s="42">
        <v>0</v>
      </c>
      <c r="BF978" s="42">
        <v>0</v>
      </c>
      <c r="BG978" s="42">
        <v>0</v>
      </c>
      <c r="BH978" s="42">
        <v>0</v>
      </c>
      <c r="BI978" s="42">
        <v>0</v>
      </c>
      <c r="BJ978" s="42">
        <v>0</v>
      </c>
      <c r="BK978" s="42">
        <v>0</v>
      </c>
      <c r="BL978" s="42">
        <v>0</v>
      </c>
      <c r="BM978" s="42">
        <v>0</v>
      </c>
      <c r="BN978" s="42">
        <v>0</v>
      </c>
      <c r="BO978" s="42">
        <v>0</v>
      </c>
      <c r="BP978" s="42">
        <v>0</v>
      </c>
      <c r="BQ978" s="42">
        <v>0</v>
      </c>
      <c r="BR978" s="42">
        <v>0</v>
      </c>
      <c r="BS978" s="42">
        <v>0</v>
      </c>
      <c r="BT978" s="42">
        <v>0</v>
      </c>
      <c r="BU978" s="42">
        <v>0</v>
      </c>
      <c r="BV978" s="42">
        <v>0</v>
      </c>
      <c r="BW978" s="42">
        <v>0</v>
      </c>
      <c r="BX978" s="42">
        <v>0</v>
      </c>
      <c r="BY978" s="42">
        <v>0</v>
      </c>
      <c r="BZ978" s="42">
        <v>0</v>
      </c>
      <c r="CA978" s="42">
        <v>0</v>
      </c>
      <c r="CB978" s="42">
        <v>0</v>
      </c>
      <c r="CC978" s="42">
        <v>0</v>
      </c>
      <c r="CD978" s="42">
        <v>0</v>
      </c>
      <c r="CE978" s="42">
        <v>0</v>
      </c>
      <c r="CF978" s="42">
        <v>0</v>
      </c>
      <c r="CG978" s="42">
        <v>0</v>
      </c>
      <c r="CH978" s="42">
        <v>0</v>
      </c>
      <c r="CI978" s="42">
        <v>0</v>
      </c>
      <c r="CJ978" s="42">
        <v>0</v>
      </c>
      <c r="CK978" s="43">
        <f t="shared" si="87"/>
        <v>0</v>
      </c>
      <c r="CL978" s="66"/>
      <c r="CM978" s="66">
        <v>0</v>
      </c>
      <c r="CN978" s="66">
        <v>0</v>
      </c>
      <c r="CO978" s="66">
        <v>0</v>
      </c>
      <c r="CP978" s="66">
        <v>0</v>
      </c>
      <c r="CQ978" s="66">
        <v>0</v>
      </c>
      <c r="CR978" s="66">
        <v>0</v>
      </c>
      <c r="CS978" s="66">
        <v>0</v>
      </c>
      <c r="CT978" s="66">
        <v>0</v>
      </c>
      <c r="CU978" s="66">
        <v>0</v>
      </c>
      <c r="CV978" s="66">
        <v>0</v>
      </c>
      <c r="CW978" s="66">
        <v>0</v>
      </c>
      <c r="CX978" s="66">
        <v>0</v>
      </c>
      <c r="CY978" s="66">
        <v>0</v>
      </c>
      <c r="CZ978" s="66">
        <v>0</v>
      </c>
      <c r="DA978" s="66"/>
      <c r="DB978" s="66"/>
      <c r="DC978" s="66"/>
      <c r="DD978" s="66"/>
      <c r="DE978" s="66"/>
      <c r="DF978" s="66"/>
      <c r="DG978" s="66"/>
      <c r="DH978" s="66"/>
      <c r="DI978" s="66"/>
      <c r="DJ978" s="66"/>
      <c r="DK978" s="66">
        <f>SUM(Table1[[#This Row],[01-03 Apr]:[Mar-26]])</f>
        <v>0</v>
      </c>
    </row>
    <row r="979" spans="1:115" hidden="1" x14ac:dyDescent="0.2">
      <c r="A979" s="28" t="s">
        <v>371</v>
      </c>
      <c r="B979" s="29" t="s">
        <v>2100</v>
      </c>
      <c r="C979" s="29" t="s">
        <v>3336</v>
      </c>
      <c r="D979" s="30" t="s">
        <v>2101</v>
      </c>
      <c r="E979" s="30" t="s">
        <v>57</v>
      </c>
      <c r="F979" s="30"/>
      <c r="G979" s="31"/>
      <c r="H979" s="30"/>
      <c r="I979" s="30" t="str">
        <f>IF(Table1[[#This Row],[Centre Status]]="Returned","NA",IF(Table1[[#This Row],[SD]]&gt;19000,"Full Payment",IF(Table1[[#This Row],[SD]]&lt;1,"No Payment","Partial Payment")))</f>
        <v>NA</v>
      </c>
      <c r="J979" s="30" t="s">
        <v>1903</v>
      </c>
      <c r="K979" s="32">
        <v>0</v>
      </c>
      <c r="L979" s="33">
        <f>Q979+R979+U979+Table1[[#This Row],[Farmer Payment]]</f>
        <v>26597</v>
      </c>
      <c r="M979" s="30">
        <f>26597-6597</f>
        <v>20000</v>
      </c>
      <c r="N979" s="34">
        <v>45380</v>
      </c>
      <c r="O979" s="34"/>
      <c r="P979" s="35">
        <f t="shared" si="88"/>
        <v>-6597</v>
      </c>
      <c r="Q979" s="33">
        <f>AI979+AV979+CK979+Table1[[#This Row],[FY 25-26]]</f>
        <v>6597</v>
      </c>
      <c r="R979" s="36">
        <v>20000</v>
      </c>
      <c r="S979" s="37" t="s">
        <v>2209</v>
      </c>
      <c r="T979" s="38">
        <v>44713</v>
      </c>
      <c r="U979" s="39"/>
      <c r="V979" s="39"/>
      <c r="W979" s="40">
        <v>0</v>
      </c>
      <c r="X979" s="40">
        <v>0</v>
      </c>
      <c r="Y979" s="40">
        <v>260</v>
      </c>
      <c r="Z979" s="40">
        <v>0</v>
      </c>
      <c r="AA979" s="40">
        <v>1861</v>
      </c>
      <c r="AB979" s="40">
        <v>1861</v>
      </c>
      <c r="AC979" s="40">
        <v>1861</v>
      </c>
      <c r="AD979" s="40">
        <v>222</v>
      </c>
      <c r="AE979" s="40">
        <v>0</v>
      </c>
      <c r="AF979" s="40">
        <v>532</v>
      </c>
      <c r="AG979" s="40">
        <v>0</v>
      </c>
      <c r="AH979" s="40">
        <v>0</v>
      </c>
      <c r="AI979" s="41">
        <f t="shared" si="89"/>
        <v>6597</v>
      </c>
      <c r="AJ979" s="42">
        <v>0</v>
      </c>
      <c r="AK979" s="42">
        <v>0</v>
      </c>
      <c r="AL979" s="42">
        <v>0</v>
      </c>
      <c r="AM979" s="42">
        <v>0</v>
      </c>
      <c r="AN979" s="42">
        <v>0</v>
      </c>
      <c r="AO979" s="42">
        <v>0</v>
      </c>
      <c r="AP979" s="42">
        <v>0</v>
      </c>
      <c r="AQ979" s="42">
        <v>0</v>
      </c>
      <c r="AR979" s="42">
        <v>0</v>
      </c>
      <c r="AS979" s="42">
        <v>0</v>
      </c>
      <c r="AT979" s="42">
        <v>0</v>
      </c>
      <c r="AU979" s="42">
        <v>0</v>
      </c>
      <c r="AV979" s="42">
        <f t="shared" si="90"/>
        <v>0</v>
      </c>
      <c r="AW979" s="42">
        <v>0</v>
      </c>
      <c r="AX979" s="42">
        <v>0</v>
      </c>
      <c r="AY979" s="42">
        <v>0</v>
      </c>
      <c r="AZ979" s="42">
        <v>0</v>
      </c>
      <c r="BA979" s="42">
        <v>0</v>
      </c>
      <c r="BB979" s="42">
        <v>0</v>
      </c>
      <c r="BC979" s="42">
        <v>0</v>
      </c>
      <c r="BD979" s="42">
        <v>0</v>
      </c>
      <c r="BE979" s="42">
        <v>0</v>
      </c>
      <c r="BF979" s="42">
        <v>0</v>
      </c>
      <c r="BG979" s="42">
        <v>0</v>
      </c>
      <c r="BH979" s="42">
        <v>0</v>
      </c>
      <c r="BI979" s="42">
        <v>0</v>
      </c>
      <c r="BJ979" s="42">
        <v>0</v>
      </c>
      <c r="BK979" s="42">
        <v>0</v>
      </c>
      <c r="BL979" s="42">
        <v>0</v>
      </c>
      <c r="BM979" s="42">
        <v>0</v>
      </c>
      <c r="BN979" s="42">
        <v>0</v>
      </c>
      <c r="BO979" s="42">
        <v>0</v>
      </c>
      <c r="BP979" s="42">
        <v>0</v>
      </c>
      <c r="BQ979" s="42">
        <v>0</v>
      </c>
      <c r="BR979" s="42">
        <v>0</v>
      </c>
      <c r="BS979" s="42">
        <v>0</v>
      </c>
      <c r="BT979" s="42">
        <v>0</v>
      </c>
      <c r="BU979" s="42">
        <v>0</v>
      </c>
      <c r="BV979" s="42">
        <v>0</v>
      </c>
      <c r="BW979" s="42">
        <v>0</v>
      </c>
      <c r="BX979" s="42">
        <v>0</v>
      </c>
      <c r="BY979" s="42">
        <v>0</v>
      </c>
      <c r="BZ979" s="42">
        <v>0</v>
      </c>
      <c r="CA979" s="42">
        <v>0</v>
      </c>
      <c r="CB979" s="42">
        <v>0</v>
      </c>
      <c r="CC979" s="42">
        <v>0</v>
      </c>
      <c r="CD979" s="42">
        <v>0</v>
      </c>
      <c r="CE979" s="42">
        <v>0</v>
      </c>
      <c r="CF979" s="42">
        <v>0</v>
      </c>
      <c r="CG979" s="42">
        <v>0</v>
      </c>
      <c r="CH979" s="42">
        <v>0</v>
      </c>
      <c r="CI979" s="42">
        <v>0</v>
      </c>
      <c r="CJ979" s="42">
        <v>0</v>
      </c>
      <c r="CK979" s="43">
        <f t="shared" si="87"/>
        <v>0</v>
      </c>
      <c r="CL979" s="66"/>
      <c r="CM979" s="66">
        <v>0</v>
      </c>
      <c r="CN979" s="66">
        <v>0</v>
      </c>
      <c r="CO979" s="66">
        <v>0</v>
      </c>
      <c r="CP979" s="66">
        <v>0</v>
      </c>
      <c r="CQ979" s="66">
        <v>0</v>
      </c>
      <c r="CR979" s="66">
        <v>0</v>
      </c>
      <c r="CS979" s="66">
        <v>0</v>
      </c>
      <c r="CT979" s="66">
        <v>0</v>
      </c>
      <c r="CU979" s="66">
        <v>0</v>
      </c>
      <c r="CV979" s="66">
        <v>0</v>
      </c>
      <c r="CW979" s="66">
        <v>0</v>
      </c>
      <c r="CX979" s="66">
        <v>0</v>
      </c>
      <c r="CY979" s="66">
        <v>0</v>
      </c>
      <c r="CZ979" s="66">
        <v>0</v>
      </c>
      <c r="DA979" s="66"/>
      <c r="DB979" s="66"/>
      <c r="DC979" s="66"/>
      <c r="DD979" s="66"/>
      <c r="DE979" s="66"/>
      <c r="DF979" s="66"/>
      <c r="DG979" s="66"/>
      <c r="DH979" s="66"/>
      <c r="DI979" s="66"/>
      <c r="DJ979" s="66"/>
      <c r="DK979" s="66">
        <f>SUM(Table1[[#This Row],[01-03 Apr]:[Mar-26]])</f>
        <v>0</v>
      </c>
    </row>
    <row r="980" spans="1:115" hidden="1" x14ac:dyDescent="0.2">
      <c r="A980" s="28" t="s">
        <v>371</v>
      </c>
      <c r="B980" s="29" t="s">
        <v>2102</v>
      </c>
      <c r="C980" s="29" t="s">
        <v>3336</v>
      </c>
      <c r="D980" s="30" t="s">
        <v>2103</v>
      </c>
      <c r="E980" s="30" t="s">
        <v>63</v>
      </c>
      <c r="F980" s="30"/>
      <c r="G980" s="31"/>
      <c r="H980" s="30"/>
      <c r="I980" s="30" t="str">
        <f>IF(Table1[[#This Row],[Centre Status]]="Returned","NA",IF(Table1[[#This Row],[SD]]&gt;19000,"Full Payment",IF(Table1[[#This Row],[SD]]&lt;1,"No Payment","Partial Payment")))</f>
        <v>NA</v>
      </c>
      <c r="J980" s="30" t="s">
        <v>1903</v>
      </c>
      <c r="K980" s="32">
        <v>0</v>
      </c>
      <c r="L980" s="33">
        <f>Q980+R980+U980+Table1[[#This Row],[Farmer Payment]]</f>
        <v>24442</v>
      </c>
      <c r="M980" s="30">
        <v>24442</v>
      </c>
      <c r="N980" s="34">
        <v>45142</v>
      </c>
      <c r="O980" s="34"/>
      <c r="P980" s="35">
        <f t="shared" si="88"/>
        <v>0</v>
      </c>
      <c r="Q980" s="33">
        <f>AI980+AV980+CK980+Table1[[#This Row],[FY 25-26]]</f>
        <v>4442</v>
      </c>
      <c r="R980" s="36">
        <v>20000</v>
      </c>
      <c r="S980" s="37" t="s">
        <v>2229</v>
      </c>
      <c r="T980" s="38">
        <v>44832</v>
      </c>
      <c r="U980" s="39"/>
      <c r="V980" s="39"/>
      <c r="W980" s="40">
        <v>0</v>
      </c>
      <c r="X980" s="40">
        <v>0</v>
      </c>
      <c r="Y980" s="40">
        <v>0</v>
      </c>
      <c r="Z980" s="40">
        <v>0</v>
      </c>
      <c r="AA980" s="40">
        <v>0</v>
      </c>
      <c r="AB980" s="40">
        <v>0</v>
      </c>
      <c r="AC980" s="40">
        <v>0</v>
      </c>
      <c r="AD980" s="40">
        <v>0</v>
      </c>
      <c r="AE980" s="40">
        <v>1631</v>
      </c>
      <c r="AF980" s="40">
        <v>0</v>
      </c>
      <c r="AG980" s="40">
        <v>1834</v>
      </c>
      <c r="AH980" s="40">
        <v>186</v>
      </c>
      <c r="AI980" s="41">
        <f t="shared" si="89"/>
        <v>3651</v>
      </c>
      <c r="AJ980" s="42">
        <v>0</v>
      </c>
      <c r="AK980" s="42">
        <v>0</v>
      </c>
      <c r="AL980" s="42">
        <v>791</v>
      </c>
      <c r="AM980" s="42">
        <v>0</v>
      </c>
      <c r="AN980" s="42">
        <v>0</v>
      </c>
      <c r="AO980" s="42">
        <v>0</v>
      </c>
      <c r="AP980" s="42">
        <v>0</v>
      </c>
      <c r="AQ980" s="42">
        <v>0</v>
      </c>
      <c r="AR980" s="42">
        <v>0</v>
      </c>
      <c r="AS980" s="42">
        <v>0</v>
      </c>
      <c r="AT980" s="42">
        <v>0</v>
      </c>
      <c r="AU980" s="42">
        <v>0</v>
      </c>
      <c r="AV980" s="42">
        <f t="shared" si="90"/>
        <v>791</v>
      </c>
      <c r="AW980" s="42">
        <v>0</v>
      </c>
      <c r="AX980" s="42">
        <v>0</v>
      </c>
      <c r="AY980" s="42">
        <v>0</v>
      </c>
      <c r="AZ980" s="42">
        <v>0</v>
      </c>
      <c r="BA980" s="42">
        <v>0</v>
      </c>
      <c r="BB980" s="42">
        <v>0</v>
      </c>
      <c r="BC980" s="42">
        <v>0</v>
      </c>
      <c r="BD980" s="42">
        <v>0</v>
      </c>
      <c r="BE980" s="42">
        <v>0</v>
      </c>
      <c r="BF980" s="42">
        <v>0</v>
      </c>
      <c r="BG980" s="42">
        <v>0</v>
      </c>
      <c r="BH980" s="42">
        <v>0</v>
      </c>
      <c r="BI980" s="42">
        <v>0</v>
      </c>
      <c r="BJ980" s="42">
        <v>0</v>
      </c>
      <c r="BK980" s="42">
        <v>0</v>
      </c>
      <c r="BL980" s="42">
        <v>0</v>
      </c>
      <c r="BM980" s="42">
        <v>0</v>
      </c>
      <c r="BN980" s="42">
        <v>0</v>
      </c>
      <c r="BO980" s="42">
        <v>0</v>
      </c>
      <c r="BP980" s="42">
        <v>0</v>
      </c>
      <c r="BQ980" s="42">
        <v>0</v>
      </c>
      <c r="BR980" s="42">
        <v>0</v>
      </c>
      <c r="BS980" s="42">
        <v>0</v>
      </c>
      <c r="BT980" s="42">
        <v>0</v>
      </c>
      <c r="BU980" s="42">
        <v>0</v>
      </c>
      <c r="BV980" s="42">
        <v>0</v>
      </c>
      <c r="BW980" s="42">
        <v>0</v>
      </c>
      <c r="BX980" s="42">
        <v>0</v>
      </c>
      <c r="BY980" s="42">
        <v>0</v>
      </c>
      <c r="BZ980" s="42">
        <v>0</v>
      </c>
      <c r="CA980" s="42">
        <v>0</v>
      </c>
      <c r="CB980" s="42">
        <v>0</v>
      </c>
      <c r="CC980" s="42">
        <v>0</v>
      </c>
      <c r="CD980" s="42">
        <v>0</v>
      </c>
      <c r="CE980" s="42">
        <v>0</v>
      </c>
      <c r="CF980" s="42">
        <v>0</v>
      </c>
      <c r="CG980" s="42">
        <v>0</v>
      </c>
      <c r="CH980" s="42">
        <v>0</v>
      </c>
      <c r="CI980" s="42">
        <v>0</v>
      </c>
      <c r="CJ980" s="42">
        <v>0</v>
      </c>
      <c r="CK980" s="43">
        <f t="shared" si="87"/>
        <v>0</v>
      </c>
      <c r="CL980" s="66"/>
      <c r="CM980" s="66">
        <v>0</v>
      </c>
      <c r="CN980" s="66">
        <v>0</v>
      </c>
      <c r="CO980" s="66">
        <v>0</v>
      </c>
      <c r="CP980" s="66">
        <v>0</v>
      </c>
      <c r="CQ980" s="66">
        <v>0</v>
      </c>
      <c r="CR980" s="66">
        <v>0</v>
      </c>
      <c r="CS980" s="66">
        <v>0</v>
      </c>
      <c r="CT980" s="66">
        <v>0</v>
      </c>
      <c r="CU980" s="66">
        <v>0</v>
      </c>
      <c r="CV980" s="66">
        <v>0</v>
      </c>
      <c r="CW980" s="66">
        <v>0</v>
      </c>
      <c r="CX980" s="66">
        <v>0</v>
      </c>
      <c r="CY980" s="66">
        <v>0</v>
      </c>
      <c r="CZ980" s="66">
        <v>0</v>
      </c>
      <c r="DA980" s="66"/>
      <c r="DB980" s="66"/>
      <c r="DC980" s="66"/>
      <c r="DD980" s="66"/>
      <c r="DE980" s="66"/>
      <c r="DF980" s="66"/>
      <c r="DG980" s="66"/>
      <c r="DH980" s="66"/>
      <c r="DI980" s="66"/>
      <c r="DJ980" s="66"/>
      <c r="DK980" s="66">
        <f>SUM(Table1[[#This Row],[01-03 Apr]:[Mar-26]])</f>
        <v>0</v>
      </c>
    </row>
    <row r="981" spans="1:115" hidden="1" x14ac:dyDescent="0.2">
      <c r="A981" s="28" t="s">
        <v>371</v>
      </c>
      <c r="B981" s="29" t="s">
        <v>2104</v>
      </c>
      <c r="C981" s="29" t="s">
        <v>3336</v>
      </c>
      <c r="D981" s="30" t="s">
        <v>2105</v>
      </c>
      <c r="E981" s="30" t="s">
        <v>63</v>
      </c>
      <c r="F981" s="30"/>
      <c r="G981" s="31"/>
      <c r="H981" s="30"/>
      <c r="I981" s="30" t="str">
        <f>IF(Table1[[#This Row],[Centre Status]]="Returned","NA",IF(Table1[[#This Row],[SD]]&gt;19000,"Full Payment",IF(Table1[[#This Row],[SD]]&lt;1,"No Payment","Partial Payment")))</f>
        <v>NA</v>
      </c>
      <c r="J981" s="30" t="s">
        <v>1903</v>
      </c>
      <c r="K981" s="32">
        <v>0</v>
      </c>
      <c r="L981" s="33">
        <f>Q981+R981+U981+Table1[[#This Row],[Farmer Payment]]</f>
        <v>15000</v>
      </c>
      <c r="M981" s="30">
        <v>15000</v>
      </c>
      <c r="N981" s="34">
        <v>45142</v>
      </c>
      <c r="O981" s="34"/>
      <c r="P981" s="35">
        <f t="shared" si="88"/>
        <v>0</v>
      </c>
      <c r="Q981" s="33">
        <f>AI981+AV981+CK981+Table1[[#This Row],[FY 25-26]]</f>
        <v>0</v>
      </c>
      <c r="R981" s="36">
        <v>15000</v>
      </c>
      <c r="S981" s="37" t="s">
        <v>2210</v>
      </c>
      <c r="T981" s="38">
        <v>45058</v>
      </c>
      <c r="U981" s="39"/>
      <c r="V981" s="39"/>
      <c r="W981" s="40">
        <v>0</v>
      </c>
      <c r="X981" s="40">
        <v>0</v>
      </c>
      <c r="Y981" s="40">
        <v>0</v>
      </c>
      <c r="Z981" s="40">
        <v>0</v>
      </c>
      <c r="AA981" s="40">
        <v>0</v>
      </c>
      <c r="AB981" s="40">
        <v>0</v>
      </c>
      <c r="AC981" s="40">
        <v>0</v>
      </c>
      <c r="AD981" s="40">
        <v>0</v>
      </c>
      <c r="AE981" s="40">
        <v>0</v>
      </c>
      <c r="AF981" s="40">
        <v>0</v>
      </c>
      <c r="AG981" s="40">
        <v>0</v>
      </c>
      <c r="AH981" s="40">
        <v>0</v>
      </c>
      <c r="AI981" s="41">
        <f t="shared" si="89"/>
        <v>0</v>
      </c>
      <c r="AJ981" s="42">
        <v>0</v>
      </c>
      <c r="AK981" s="42">
        <v>0</v>
      </c>
      <c r="AL981" s="42">
        <v>0</v>
      </c>
      <c r="AM981" s="42">
        <v>0</v>
      </c>
      <c r="AN981" s="42">
        <v>0</v>
      </c>
      <c r="AO981" s="42">
        <v>0</v>
      </c>
      <c r="AP981" s="42">
        <v>0</v>
      </c>
      <c r="AQ981" s="42">
        <v>0</v>
      </c>
      <c r="AR981" s="42">
        <v>0</v>
      </c>
      <c r="AS981" s="42">
        <v>0</v>
      </c>
      <c r="AT981" s="42">
        <v>0</v>
      </c>
      <c r="AU981" s="42">
        <v>0</v>
      </c>
      <c r="AV981" s="42">
        <f t="shared" si="90"/>
        <v>0</v>
      </c>
      <c r="AW981" s="42">
        <v>0</v>
      </c>
      <c r="AX981" s="42">
        <v>0</v>
      </c>
      <c r="AY981" s="42">
        <v>0</v>
      </c>
      <c r="AZ981" s="42">
        <v>0</v>
      </c>
      <c r="BA981" s="42">
        <v>0</v>
      </c>
      <c r="BB981" s="42">
        <v>0</v>
      </c>
      <c r="BC981" s="42">
        <v>0</v>
      </c>
      <c r="BD981" s="42">
        <v>0</v>
      </c>
      <c r="BE981" s="42">
        <v>0</v>
      </c>
      <c r="BF981" s="42">
        <v>0</v>
      </c>
      <c r="BG981" s="42">
        <v>0</v>
      </c>
      <c r="BH981" s="42">
        <v>0</v>
      </c>
      <c r="BI981" s="42">
        <v>0</v>
      </c>
      <c r="BJ981" s="42">
        <v>0</v>
      </c>
      <c r="BK981" s="42">
        <v>0</v>
      </c>
      <c r="BL981" s="42">
        <v>0</v>
      </c>
      <c r="BM981" s="42">
        <v>0</v>
      </c>
      <c r="BN981" s="42">
        <v>0</v>
      </c>
      <c r="BO981" s="42">
        <v>0</v>
      </c>
      <c r="BP981" s="42">
        <v>0</v>
      </c>
      <c r="BQ981" s="42">
        <v>0</v>
      </c>
      <c r="BR981" s="42">
        <v>0</v>
      </c>
      <c r="BS981" s="42">
        <v>0</v>
      </c>
      <c r="BT981" s="42">
        <v>0</v>
      </c>
      <c r="BU981" s="42">
        <v>0</v>
      </c>
      <c r="BV981" s="42">
        <v>0</v>
      </c>
      <c r="BW981" s="42">
        <v>0</v>
      </c>
      <c r="BX981" s="42">
        <v>0</v>
      </c>
      <c r="BY981" s="42">
        <v>0</v>
      </c>
      <c r="BZ981" s="42">
        <v>0</v>
      </c>
      <c r="CA981" s="42">
        <v>0</v>
      </c>
      <c r="CB981" s="42">
        <v>0</v>
      </c>
      <c r="CC981" s="42">
        <v>0</v>
      </c>
      <c r="CD981" s="42">
        <v>0</v>
      </c>
      <c r="CE981" s="42">
        <v>0</v>
      </c>
      <c r="CF981" s="42">
        <v>0</v>
      </c>
      <c r="CG981" s="42">
        <v>0</v>
      </c>
      <c r="CH981" s="42">
        <v>0</v>
      </c>
      <c r="CI981" s="42">
        <v>0</v>
      </c>
      <c r="CJ981" s="42">
        <v>0</v>
      </c>
      <c r="CK981" s="43">
        <f t="shared" si="87"/>
        <v>0</v>
      </c>
      <c r="CL981" s="66"/>
      <c r="CM981" s="66">
        <v>0</v>
      </c>
      <c r="CN981" s="66">
        <v>0</v>
      </c>
      <c r="CO981" s="66">
        <v>0</v>
      </c>
      <c r="CP981" s="66">
        <v>0</v>
      </c>
      <c r="CQ981" s="66">
        <v>0</v>
      </c>
      <c r="CR981" s="66">
        <v>0</v>
      </c>
      <c r="CS981" s="66">
        <v>0</v>
      </c>
      <c r="CT981" s="66">
        <v>0</v>
      </c>
      <c r="CU981" s="66">
        <v>0</v>
      </c>
      <c r="CV981" s="66">
        <v>0</v>
      </c>
      <c r="CW981" s="66">
        <v>0</v>
      </c>
      <c r="CX981" s="66">
        <v>0</v>
      </c>
      <c r="CY981" s="66">
        <v>0</v>
      </c>
      <c r="CZ981" s="66">
        <v>0</v>
      </c>
      <c r="DA981" s="66"/>
      <c r="DB981" s="66"/>
      <c r="DC981" s="66"/>
      <c r="DD981" s="66"/>
      <c r="DE981" s="66"/>
      <c r="DF981" s="66"/>
      <c r="DG981" s="66"/>
      <c r="DH981" s="66"/>
      <c r="DI981" s="66"/>
      <c r="DJ981" s="66"/>
      <c r="DK981" s="66">
        <f>SUM(Table1[[#This Row],[01-03 Apr]:[Mar-26]])</f>
        <v>0</v>
      </c>
    </row>
    <row r="982" spans="1:115" hidden="1" x14ac:dyDescent="0.2">
      <c r="A982" s="28" t="s">
        <v>371</v>
      </c>
      <c r="B982" s="29" t="s">
        <v>2106</v>
      </c>
      <c r="C982" s="29" t="s">
        <v>3336</v>
      </c>
      <c r="D982" s="30" t="s">
        <v>2107</v>
      </c>
      <c r="E982" s="30" t="s">
        <v>584</v>
      </c>
      <c r="F982" s="30"/>
      <c r="G982" s="31"/>
      <c r="H982" s="30"/>
      <c r="I982" s="30" t="str">
        <f>IF(Table1[[#This Row],[Centre Status]]="Returned","NA",IF(Table1[[#This Row],[SD]]&gt;19000,"Full Payment",IF(Table1[[#This Row],[SD]]&lt;1,"No Payment","Partial Payment")))</f>
        <v>NA</v>
      </c>
      <c r="J982" s="30" t="s">
        <v>1903</v>
      </c>
      <c r="K982" s="32">
        <v>0</v>
      </c>
      <c r="L982" s="33">
        <f>Q982+R982+U982+Table1[[#This Row],[Farmer Payment]]</f>
        <v>23511</v>
      </c>
      <c r="M982" s="30">
        <f>22490+22490</f>
        <v>44980</v>
      </c>
      <c r="N982" s="34">
        <v>45143</v>
      </c>
      <c r="O982" s="34"/>
      <c r="P982" s="35">
        <f t="shared" si="88"/>
        <v>21469</v>
      </c>
      <c r="Q982" s="33">
        <f>AI982+AV982+CK982+Table1[[#This Row],[FY 25-26]]</f>
        <v>3511</v>
      </c>
      <c r="R982" s="36">
        <v>20000</v>
      </c>
      <c r="S982" s="37" t="s">
        <v>2230</v>
      </c>
      <c r="T982" s="38">
        <v>44963</v>
      </c>
      <c r="U982" s="39"/>
      <c r="V982" s="39"/>
      <c r="W982" s="40">
        <v>0</v>
      </c>
      <c r="X982" s="40">
        <v>0</v>
      </c>
      <c r="Y982" s="40">
        <v>0</v>
      </c>
      <c r="Z982" s="40">
        <v>0</v>
      </c>
      <c r="AA982" s="40">
        <v>0</v>
      </c>
      <c r="AB982" s="40">
        <v>0</v>
      </c>
      <c r="AC982" s="40">
        <v>0</v>
      </c>
      <c r="AD982" s="40">
        <v>0</v>
      </c>
      <c r="AE982" s="40">
        <v>0</v>
      </c>
      <c r="AF982" s="40">
        <v>0</v>
      </c>
      <c r="AG982" s="40">
        <v>0</v>
      </c>
      <c r="AH982" s="40">
        <v>528</v>
      </c>
      <c r="AI982" s="41">
        <f t="shared" si="89"/>
        <v>528</v>
      </c>
      <c r="AJ982" s="42">
        <v>1122</v>
      </c>
      <c r="AK982" s="42">
        <v>1861</v>
      </c>
      <c r="AL982" s="42">
        <v>0</v>
      </c>
      <c r="AM982" s="42">
        <v>0</v>
      </c>
      <c r="AN982" s="42">
        <v>0</v>
      </c>
      <c r="AO982" s="42">
        <v>0</v>
      </c>
      <c r="AP982" s="42">
        <v>0</v>
      </c>
      <c r="AQ982" s="42">
        <v>0</v>
      </c>
      <c r="AR982" s="42">
        <v>0</v>
      </c>
      <c r="AS982" s="42">
        <v>0</v>
      </c>
      <c r="AT982" s="42">
        <v>0</v>
      </c>
      <c r="AU982" s="42">
        <v>0</v>
      </c>
      <c r="AV982" s="42">
        <f t="shared" si="90"/>
        <v>2983</v>
      </c>
      <c r="AW982" s="42">
        <v>0</v>
      </c>
      <c r="AX982" s="42">
        <v>0</v>
      </c>
      <c r="AY982" s="42">
        <v>0</v>
      </c>
      <c r="AZ982" s="42">
        <v>0</v>
      </c>
      <c r="BA982" s="42">
        <v>0</v>
      </c>
      <c r="BB982" s="42">
        <v>0</v>
      </c>
      <c r="BC982" s="42">
        <v>0</v>
      </c>
      <c r="BD982" s="42">
        <v>0</v>
      </c>
      <c r="BE982" s="42">
        <v>0</v>
      </c>
      <c r="BF982" s="42">
        <v>0</v>
      </c>
      <c r="BG982" s="42">
        <v>0</v>
      </c>
      <c r="BH982" s="42">
        <v>0</v>
      </c>
      <c r="BI982" s="42">
        <v>0</v>
      </c>
      <c r="BJ982" s="42">
        <v>0</v>
      </c>
      <c r="BK982" s="42">
        <v>0</v>
      </c>
      <c r="BL982" s="42">
        <v>0</v>
      </c>
      <c r="BM982" s="42">
        <v>0</v>
      </c>
      <c r="BN982" s="42">
        <v>0</v>
      </c>
      <c r="BO982" s="42">
        <v>0</v>
      </c>
      <c r="BP982" s="42">
        <v>0</v>
      </c>
      <c r="BQ982" s="42">
        <v>0</v>
      </c>
      <c r="BR982" s="42">
        <v>0</v>
      </c>
      <c r="BS982" s="42">
        <v>0</v>
      </c>
      <c r="BT982" s="42">
        <v>0</v>
      </c>
      <c r="BU982" s="42">
        <v>0</v>
      </c>
      <c r="BV982" s="42">
        <v>0</v>
      </c>
      <c r="BW982" s="42">
        <v>0</v>
      </c>
      <c r="BX982" s="42">
        <v>0</v>
      </c>
      <c r="BY982" s="42">
        <v>0</v>
      </c>
      <c r="BZ982" s="42">
        <v>0</v>
      </c>
      <c r="CA982" s="42">
        <v>0</v>
      </c>
      <c r="CB982" s="42">
        <v>0</v>
      </c>
      <c r="CC982" s="42">
        <v>0</v>
      </c>
      <c r="CD982" s="42">
        <v>0</v>
      </c>
      <c r="CE982" s="42">
        <v>0</v>
      </c>
      <c r="CF982" s="42">
        <v>0</v>
      </c>
      <c r="CG982" s="42">
        <v>0</v>
      </c>
      <c r="CH982" s="42">
        <v>0</v>
      </c>
      <c r="CI982" s="42">
        <v>0</v>
      </c>
      <c r="CJ982" s="42">
        <v>0</v>
      </c>
      <c r="CK982" s="43">
        <f t="shared" si="87"/>
        <v>0</v>
      </c>
      <c r="CL982" s="66"/>
      <c r="CM982" s="66">
        <v>0</v>
      </c>
      <c r="CN982" s="66">
        <v>0</v>
      </c>
      <c r="CO982" s="66">
        <v>0</v>
      </c>
      <c r="CP982" s="66">
        <v>0</v>
      </c>
      <c r="CQ982" s="66">
        <v>0</v>
      </c>
      <c r="CR982" s="66">
        <v>0</v>
      </c>
      <c r="CS982" s="66">
        <v>0</v>
      </c>
      <c r="CT982" s="66">
        <v>0</v>
      </c>
      <c r="CU982" s="66">
        <v>0</v>
      </c>
      <c r="CV982" s="66">
        <v>0</v>
      </c>
      <c r="CW982" s="66">
        <v>0</v>
      </c>
      <c r="CX982" s="66">
        <v>0</v>
      </c>
      <c r="CY982" s="66">
        <v>0</v>
      </c>
      <c r="CZ982" s="66">
        <v>0</v>
      </c>
      <c r="DA982" s="66"/>
      <c r="DB982" s="66"/>
      <c r="DC982" s="66"/>
      <c r="DD982" s="66"/>
      <c r="DE982" s="66"/>
      <c r="DF982" s="66"/>
      <c r="DG982" s="66"/>
      <c r="DH982" s="66"/>
      <c r="DI982" s="66"/>
      <c r="DJ982" s="66"/>
      <c r="DK982" s="66">
        <f>SUM(Table1[[#This Row],[01-03 Apr]:[Mar-26]])</f>
        <v>0</v>
      </c>
    </row>
    <row r="983" spans="1:115" hidden="1" x14ac:dyDescent="0.2">
      <c r="A983" s="28" t="s">
        <v>371</v>
      </c>
      <c r="B983" s="29" t="s">
        <v>2108</v>
      </c>
      <c r="C983" s="29" t="s">
        <v>3336</v>
      </c>
      <c r="D983" s="30" t="s">
        <v>2109</v>
      </c>
      <c r="E983" s="30" t="s">
        <v>1321</v>
      </c>
      <c r="F983" s="30"/>
      <c r="G983" s="31"/>
      <c r="H983" s="30"/>
      <c r="I983" s="30" t="str">
        <f>IF(Table1[[#This Row],[Centre Status]]="Returned","NA",IF(Table1[[#This Row],[SD]]&gt;19000,"Full Payment",IF(Table1[[#This Row],[SD]]&lt;1,"No Payment","Partial Payment")))</f>
        <v>NA</v>
      </c>
      <c r="J983" s="30" t="s">
        <v>1903</v>
      </c>
      <c r="K983" s="32">
        <v>0</v>
      </c>
      <c r="L983" s="33">
        <f>Q983+R983+U983+Table1[[#This Row],[Farmer Payment]]</f>
        <v>21064</v>
      </c>
      <c r="M983" s="30">
        <v>20157</v>
      </c>
      <c r="N983" s="34">
        <v>45139</v>
      </c>
      <c r="O983" s="34"/>
      <c r="P983" s="35">
        <f t="shared" si="88"/>
        <v>-907</v>
      </c>
      <c r="Q983" s="33">
        <f>AI983+AV983+CK983+Table1[[#This Row],[FY 25-26]]</f>
        <v>1064</v>
      </c>
      <c r="R983" s="36">
        <v>20000</v>
      </c>
      <c r="S983" s="37" t="s">
        <v>2211</v>
      </c>
      <c r="T983" s="38">
        <v>45016</v>
      </c>
      <c r="U983" s="39"/>
      <c r="V983" s="39"/>
      <c r="W983" s="40">
        <v>0</v>
      </c>
      <c r="X983" s="40">
        <v>0</v>
      </c>
      <c r="Y983" s="40">
        <v>0</v>
      </c>
      <c r="Z983" s="40">
        <v>0</v>
      </c>
      <c r="AA983" s="40">
        <v>0</v>
      </c>
      <c r="AB983" s="40">
        <v>0</v>
      </c>
      <c r="AC983" s="40">
        <v>0</v>
      </c>
      <c r="AD983" s="40">
        <v>0</v>
      </c>
      <c r="AE983" s="40">
        <v>0</v>
      </c>
      <c r="AF983" s="40">
        <v>0</v>
      </c>
      <c r="AG983" s="40">
        <v>0</v>
      </c>
      <c r="AH983" s="40">
        <v>0</v>
      </c>
      <c r="AI983" s="41">
        <f t="shared" si="89"/>
        <v>0</v>
      </c>
      <c r="AJ983" s="42">
        <v>907</v>
      </c>
      <c r="AK983" s="42">
        <v>157</v>
      </c>
      <c r="AL983" s="42">
        <v>0</v>
      </c>
      <c r="AM983" s="42">
        <v>0</v>
      </c>
      <c r="AN983" s="42">
        <v>0</v>
      </c>
      <c r="AO983" s="42">
        <v>0</v>
      </c>
      <c r="AP983" s="42">
        <v>0</v>
      </c>
      <c r="AQ983" s="42">
        <v>0</v>
      </c>
      <c r="AR983" s="42">
        <v>0</v>
      </c>
      <c r="AS983" s="42">
        <v>0</v>
      </c>
      <c r="AT983" s="42">
        <v>0</v>
      </c>
      <c r="AU983" s="42">
        <v>0</v>
      </c>
      <c r="AV983" s="42">
        <f t="shared" si="90"/>
        <v>1064</v>
      </c>
      <c r="AW983" s="42">
        <v>0</v>
      </c>
      <c r="AX983" s="42">
        <v>0</v>
      </c>
      <c r="AY983" s="42">
        <v>0</v>
      </c>
      <c r="AZ983" s="42">
        <v>0</v>
      </c>
      <c r="BA983" s="42">
        <v>0</v>
      </c>
      <c r="BB983" s="42">
        <v>0</v>
      </c>
      <c r="BC983" s="42">
        <v>0</v>
      </c>
      <c r="BD983" s="42">
        <v>0</v>
      </c>
      <c r="BE983" s="42">
        <v>0</v>
      </c>
      <c r="BF983" s="42">
        <v>0</v>
      </c>
      <c r="BG983" s="42">
        <v>0</v>
      </c>
      <c r="BH983" s="42">
        <v>0</v>
      </c>
      <c r="BI983" s="42">
        <v>0</v>
      </c>
      <c r="BJ983" s="42">
        <v>0</v>
      </c>
      <c r="BK983" s="42">
        <v>0</v>
      </c>
      <c r="BL983" s="42">
        <v>0</v>
      </c>
      <c r="BM983" s="42">
        <v>0</v>
      </c>
      <c r="BN983" s="42">
        <v>0</v>
      </c>
      <c r="BO983" s="42">
        <v>0</v>
      </c>
      <c r="BP983" s="42">
        <v>0</v>
      </c>
      <c r="BQ983" s="42">
        <v>0</v>
      </c>
      <c r="BR983" s="42">
        <v>0</v>
      </c>
      <c r="BS983" s="42">
        <v>0</v>
      </c>
      <c r="BT983" s="42">
        <v>0</v>
      </c>
      <c r="BU983" s="42">
        <v>0</v>
      </c>
      <c r="BV983" s="42">
        <v>0</v>
      </c>
      <c r="BW983" s="42">
        <v>0</v>
      </c>
      <c r="BX983" s="42">
        <v>0</v>
      </c>
      <c r="BY983" s="42">
        <v>0</v>
      </c>
      <c r="BZ983" s="42">
        <v>0</v>
      </c>
      <c r="CA983" s="42">
        <v>0</v>
      </c>
      <c r="CB983" s="42">
        <v>0</v>
      </c>
      <c r="CC983" s="42">
        <v>0</v>
      </c>
      <c r="CD983" s="42">
        <v>0</v>
      </c>
      <c r="CE983" s="42">
        <v>0</v>
      </c>
      <c r="CF983" s="42">
        <v>0</v>
      </c>
      <c r="CG983" s="42">
        <v>0</v>
      </c>
      <c r="CH983" s="42">
        <v>0</v>
      </c>
      <c r="CI983" s="42">
        <v>0</v>
      </c>
      <c r="CJ983" s="42">
        <v>0</v>
      </c>
      <c r="CK983" s="43">
        <f t="shared" si="87"/>
        <v>0</v>
      </c>
      <c r="CL983" s="66"/>
      <c r="CM983" s="66">
        <v>0</v>
      </c>
      <c r="CN983" s="66">
        <v>0</v>
      </c>
      <c r="CO983" s="66">
        <v>0</v>
      </c>
      <c r="CP983" s="66">
        <v>0</v>
      </c>
      <c r="CQ983" s="66">
        <v>0</v>
      </c>
      <c r="CR983" s="66">
        <v>0</v>
      </c>
      <c r="CS983" s="66">
        <v>0</v>
      </c>
      <c r="CT983" s="66">
        <v>0</v>
      </c>
      <c r="CU983" s="66">
        <v>0</v>
      </c>
      <c r="CV983" s="66">
        <v>0</v>
      </c>
      <c r="CW983" s="66">
        <v>0</v>
      </c>
      <c r="CX983" s="66">
        <v>0</v>
      </c>
      <c r="CY983" s="66">
        <v>0</v>
      </c>
      <c r="CZ983" s="66">
        <v>0</v>
      </c>
      <c r="DA983" s="66"/>
      <c r="DB983" s="66"/>
      <c r="DC983" s="66"/>
      <c r="DD983" s="66"/>
      <c r="DE983" s="66"/>
      <c r="DF983" s="66"/>
      <c r="DG983" s="66"/>
      <c r="DH983" s="66"/>
      <c r="DI983" s="66"/>
      <c r="DJ983" s="66"/>
      <c r="DK983" s="66">
        <f>SUM(Table1[[#This Row],[01-03 Apr]:[Mar-26]])</f>
        <v>0</v>
      </c>
    </row>
    <row r="984" spans="1:115" hidden="1" x14ac:dyDescent="0.2">
      <c r="A984" s="28" t="s">
        <v>371</v>
      </c>
      <c r="B984" s="29" t="s">
        <v>2110</v>
      </c>
      <c r="C984" s="29" t="s">
        <v>3336</v>
      </c>
      <c r="D984" s="30" t="s">
        <v>2111</v>
      </c>
      <c r="E984" s="30" t="s">
        <v>85</v>
      </c>
      <c r="F984" s="30"/>
      <c r="G984" s="31"/>
      <c r="H984" s="30"/>
      <c r="I984" s="30" t="str">
        <f>IF(Table1[[#This Row],[Centre Status]]="Returned","NA",IF(Table1[[#This Row],[SD]]&gt;19000,"Full Payment",IF(Table1[[#This Row],[SD]]&lt;1,"No Payment","Partial Payment")))</f>
        <v>NA</v>
      </c>
      <c r="J984" s="30" t="s">
        <v>1903</v>
      </c>
      <c r="K984" s="32">
        <v>0</v>
      </c>
      <c r="L984" s="33">
        <f>Q984+R984+U984+Table1[[#This Row],[Farmer Payment]]</f>
        <v>18356.340799999998</v>
      </c>
      <c r="M984" s="30">
        <v>7530</v>
      </c>
      <c r="N984" s="34">
        <v>45121</v>
      </c>
      <c r="O984" s="34"/>
      <c r="P984" s="35">
        <f t="shared" si="88"/>
        <v>-10826.340799999998</v>
      </c>
      <c r="Q984" s="33">
        <f>AI984+AV984+CK984+Table1[[#This Row],[FY 25-26]]</f>
        <v>8356.3407999999999</v>
      </c>
      <c r="R984" s="36">
        <v>10000</v>
      </c>
      <c r="S984" s="37" t="s">
        <v>2212</v>
      </c>
      <c r="T984" s="38">
        <v>44798</v>
      </c>
      <c r="U984" s="39"/>
      <c r="V984" s="39"/>
      <c r="W984" s="40">
        <v>0</v>
      </c>
      <c r="X984" s="40">
        <v>0</v>
      </c>
      <c r="Y984" s="40">
        <v>0</v>
      </c>
      <c r="Z984" s="40">
        <v>0</v>
      </c>
      <c r="AA984" s="40">
        <v>0</v>
      </c>
      <c r="AB984" s="40">
        <v>0</v>
      </c>
      <c r="AC984" s="40">
        <v>0</v>
      </c>
      <c r="AD984" s="40">
        <v>2840.0241999999998</v>
      </c>
      <c r="AE984" s="40">
        <v>2029.3165999999999</v>
      </c>
      <c r="AF984" s="40">
        <v>1861</v>
      </c>
      <c r="AG984" s="40">
        <v>0</v>
      </c>
      <c r="AH984" s="40">
        <v>0</v>
      </c>
      <c r="AI984" s="41">
        <f t="shared" si="89"/>
        <v>6730.3407999999999</v>
      </c>
      <c r="AJ984" s="42">
        <v>0</v>
      </c>
      <c r="AK984" s="42">
        <v>0</v>
      </c>
      <c r="AL984" s="42">
        <v>1626</v>
      </c>
      <c r="AM984" s="42">
        <v>0</v>
      </c>
      <c r="AN984" s="42">
        <v>0</v>
      </c>
      <c r="AO984" s="42">
        <v>0</v>
      </c>
      <c r="AP984" s="42">
        <v>0</v>
      </c>
      <c r="AQ984" s="42">
        <v>0</v>
      </c>
      <c r="AR984" s="42">
        <v>0</v>
      </c>
      <c r="AS984" s="42">
        <v>0</v>
      </c>
      <c r="AT984" s="42">
        <v>0</v>
      </c>
      <c r="AU984" s="42">
        <v>0</v>
      </c>
      <c r="AV984" s="42">
        <f t="shared" si="90"/>
        <v>1626</v>
      </c>
      <c r="AW984" s="42">
        <v>0</v>
      </c>
      <c r="AX984" s="42">
        <v>0</v>
      </c>
      <c r="AY984" s="42">
        <v>0</v>
      </c>
      <c r="AZ984" s="42">
        <v>0</v>
      </c>
      <c r="BA984" s="42">
        <v>0</v>
      </c>
      <c r="BB984" s="42">
        <v>0</v>
      </c>
      <c r="BC984" s="42">
        <v>0</v>
      </c>
      <c r="BD984" s="42">
        <v>0</v>
      </c>
      <c r="BE984" s="42">
        <v>0</v>
      </c>
      <c r="BF984" s="42">
        <v>0</v>
      </c>
      <c r="BG984" s="42">
        <v>0</v>
      </c>
      <c r="BH984" s="42">
        <v>0</v>
      </c>
      <c r="BI984" s="42">
        <v>0</v>
      </c>
      <c r="BJ984" s="42">
        <v>0</v>
      </c>
      <c r="BK984" s="42">
        <v>0</v>
      </c>
      <c r="BL984" s="42">
        <v>0</v>
      </c>
      <c r="BM984" s="42">
        <v>0</v>
      </c>
      <c r="BN984" s="42">
        <v>0</v>
      </c>
      <c r="BO984" s="42">
        <v>0</v>
      </c>
      <c r="BP984" s="42">
        <v>0</v>
      </c>
      <c r="BQ984" s="42">
        <v>0</v>
      </c>
      <c r="BR984" s="42">
        <v>0</v>
      </c>
      <c r="BS984" s="42">
        <v>0</v>
      </c>
      <c r="BT984" s="42">
        <v>0</v>
      </c>
      <c r="BU984" s="42">
        <v>0</v>
      </c>
      <c r="BV984" s="42">
        <v>0</v>
      </c>
      <c r="BW984" s="42">
        <v>0</v>
      </c>
      <c r="BX984" s="42">
        <v>0</v>
      </c>
      <c r="BY984" s="42">
        <v>0</v>
      </c>
      <c r="BZ984" s="42">
        <v>0</v>
      </c>
      <c r="CA984" s="42">
        <v>0</v>
      </c>
      <c r="CB984" s="42">
        <v>0</v>
      </c>
      <c r="CC984" s="42">
        <v>0</v>
      </c>
      <c r="CD984" s="42">
        <v>0</v>
      </c>
      <c r="CE984" s="42">
        <v>0</v>
      </c>
      <c r="CF984" s="42">
        <v>0</v>
      </c>
      <c r="CG984" s="42">
        <v>0</v>
      </c>
      <c r="CH984" s="42">
        <v>0</v>
      </c>
      <c r="CI984" s="42">
        <v>0</v>
      </c>
      <c r="CJ984" s="42">
        <v>0</v>
      </c>
      <c r="CK984" s="43">
        <f t="shared" si="87"/>
        <v>0</v>
      </c>
      <c r="CL984" s="66"/>
      <c r="CM984" s="66">
        <v>0</v>
      </c>
      <c r="CN984" s="66">
        <v>0</v>
      </c>
      <c r="CO984" s="66">
        <v>0</v>
      </c>
      <c r="CP984" s="66">
        <v>0</v>
      </c>
      <c r="CQ984" s="66">
        <v>0</v>
      </c>
      <c r="CR984" s="66">
        <v>0</v>
      </c>
      <c r="CS984" s="66">
        <v>0</v>
      </c>
      <c r="CT984" s="66">
        <v>0</v>
      </c>
      <c r="CU984" s="66">
        <v>0</v>
      </c>
      <c r="CV984" s="66">
        <v>0</v>
      </c>
      <c r="CW984" s="66">
        <v>0</v>
      </c>
      <c r="CX984" s="66">
        <v>0</v>
      </c>
      <c r="CY984" s="66">
        <v>0</v>
      </c>
      <c r="CZ984" s="66">
        <v>0</v>
      </c>
      <c r="DA984" s="66"/>
      <c r="DB984" s="66"/>
      <c r="DC984" s="66"/>
      <c r="DD984" s="66"/>
      <c r="DE984" s="66"/>
      <c r="DF984" s="66"/>
      <c r="DG984" s="66"/>
      <c r="DH984" s="66"/>
      <c r="DI984" s="66"/>
      <c r="DJ984" s="66"/>
      <c r="DK984" s="66">
        <f>SUM(Table1[[#This Row],[01-03 Apr]:[Mar-26]])</f>
        <v>0</v>
      </c>
    </row>
    <row r="985" spans="1:115" hidden="1" x14ac:dyDescent="0.2">
      <c r="A985" s="28" t="s">
        <v>371</v>
      </c>
      <c r="B985" s="29" t="s">
        <v>2112</v>
      </c>
      <c r="C985" s="29" t="s">
        <v>3336</v>
      </c>
      <c r="D985" s="30" t="s">
        <v>2113</v>
      </c>
      <c r="E985" s="30" t="s">
        <v>203</v>
      </c>
      <c r="F985" s="30"/>
      <c r="G985" s="31"/>
      <c r="H985" s="30"/>
      <c r="I985" s="30" t="str">
        <f>IF(Table1[[#This Row],[Centre Status]]="Returned","NA",IF(Table1[[#This Row],[SD]]&gt;19000,"Full Payment",IF(Table1[[#This Row],[SD]]&lt;1,"No Payment","Partial Payment")))</f>
        <v>NA</v>
      </c>
      <c r="J985" s="30" t="s">
        <v>1903</v>
      </c>
      <c r="K985" s="32">
        <v>0</v>
      </c>
      <c r="L985" s="33">
        <f>Q985+R985+U985+Table1[[#This Row],[Farmer Payment]]</f>
        <v>5648</v>
      </c>
      <c r="M985" s="30">
        <v>5000</v>
      </c>
      <c r="N985" s="34">
        <v>45121</v>
      </c>
      <c r="O985" s="34"/>
      <c r="P985" s="35">
        <f t="shared" si="88"/>
        <v>-648</v>
      </c>
      <c r="Q985" s="33">
        <f>AI985+AV985+CK985+Table1[[#This Row],[FY 25-26]]</f>
        <v>648</v>
      </c>
      <c r="R985" s="36">
        <v>5000</v>
      </c>
      <c r="S985" s="37" t="s">
        <v>2213</v>
      </c>
      <c r="T985" s="38">
        <v>45070</v>
      </c>
      <c r="U985" s="39"/>
      <c r="V985" s="39"/>
      <c r="W985" s="40">
        <v>0</v>
      </c>
      <c r="X985" s="40">
        <v>0</v>
      </c>
      <c r="Y985" s="40">
        <v>0</v>
      </c>
      <c r="Z985" s="40">
        <v>0</v>
      </c>
      <c r="AA985" s="40">
        <v>0</v>
      </c>
      <c r="AB985" s="40">
        <v>0</v>
      </c>
      <c r="AC985" s="40">
        <v>0</v>
      </c>
      <c r="AD985" s="40">
        <v>0</v>
      </c>
      <c r="AE985" s="40">
        <v>0</v>
      </c>
      <c r="AF985" s="40">
        <v>0</v>
      </c>
      <c r="AG985" s="40">
        <v>0</v>
      </c>
      <c r="AH985" s="40">
        <v>0</v>
      </c>
      <c r="AI985" s="41">
        <f t="shared" si="89"/>
        <v>0</v>
      </c>
      <c r="AJ985" s="42">
        <v>0</v>
      </c>
      <c r="AK985" s="42">
        <v>261</v>
      </c>
      <c r="AL985" s="42">
        <v>387</v>
      </c>
      <c r="AM985" s="42">
        <v>0</v>
      </c>
      <c r="AN985" s="42">
        <v>0</v>
      </c>
      <c r="AO985" s="42">
        <v>0</v>
      </c>
      <c r="AP985" s="42">
        <v>0</v>
      </c>
      <c r="AQ985" s="42">
        <v>0</v>
      </c>
      <c r="AR985" s="42">
        <v>0</v>
      </c>
      <c r="AS985" s="42">
        <v>0</v>
      </c>
      <c r="AT985" s="42">
        <v>0</v>
      </c>
      <c r="AU985" s="42">
        <v>0</v>
      </c>
      <c r="AV985" s="42">
        <f t="shared" si="90"/>
        <v>648</v>
      </c>
      <c r="AW985" s="42">
        <v>0</v>
      </c>
      <c r="AX985" s="42">
        <v>0</v>
      </c>
      <c r="AY985" s="42">
        <v>0</v>
      </c>
      <c r="AZ985" s="42">
        <v>0</v>
      </c>
      <c r="BA985" s="42">
        <v>0</v>
      </c>
      <c r="BB985" s="42">
        <v>0</v>
      </c>
      <c r="BC985" s="42">
        <v>0</v>
      </c>
      <c r="BD985" s="42">
        <v>0</v>
      </c>
      <c r="BE985" s="42">
        <v>0</v>
      </c>
      <c r="BF985" s="42">
        <v>0</v>
      </c>
      <c r="BG985" s="42">
        <v>0</v>
      </c>
      <c r="BH985" s="42">
        <v>0</v>
      </c>
      <c r="BI985" s="42">
        <v>0</v>
      </c>
      <c r="BJ985" s="42">
        <v>0</v>
      </c>
      <c r="BK985" s="42">
        <v>0</v>
      </c>
      <c r="BL985" s="42">
        <v>0</v>
      </c>
      <c r="BM985" s="42">
        <v>0</v>
      </c>
      <c r="BN985" s="42">
        <v>0</v>
      </c>
      <c r="BO985" s="42">
        <v>0</v>
      </c>
      <c r="BP985" s="42">
        <v>0</v>
      </c>
      <c r="BQ985" s="42">
        <v>0</v>
      </c>
      <c r="BR985" s="42">
        <v>0</v>
      </c>
      <c r="BS985" s="42">
        <v>0</v>
      </c>
      <c r="BT985" s="42">
        <v>0</v>
      </c>
      <c r="BU985" s="42">
        <v>0</v>
      </c>
      <c r="BV985" s="42">
        <v>0</v>
      </c>
      <c r="BW985" s="42">
        <v>0</v>
      </c>
      <c r="BX985" s="42">
        <v>0</v>
      </c>
      <c r="BY985" s="42">
        <v>0</v>
      </c>
      <c r="BZ985" s="42">
        <v>0</v>
      </c>
      <c r="CA985" s="42">
        <v>0</v>
      </c>
      <c r="CB985" s="42">
        <v>0</v>
      </c>
      <c r="CC985" s="42">
        <v>0</v>
      </c>
      <c r="CD985" s="42">
        <v>0</v>
      </c>
      <c r="CE985" s="42">
        <v>0</v>
      </c>
      <c r="CF985" s="42">
        <v>0</v>
      </c>
      <c r="CG985" s="42">
        <v>0</v>
      </c>
      <c r="CH985" s="42">
        <v>0</v>
      </c>
      <c r="CI985" s="42">
        <v>0</v>
      </c>
      <c r="CJ985" s="42">
        <v>0</v>
      </c>
      <c r="CK985" s="43">
        <f t="shared" si="87"/>
        <v>0</v>
      </c>
      <c r="CL985" s="66"/>
      <c r="CM985" s="66">
        <v>0</v>
      </c>
      <c r="CN985" s="66">
        <v>0</v>
      </c>
      <c r="CO985" s="66">
        <v>0</v>
      </c>
      <c r="CP985" s="66">
        <v>0</v>
      </c>
      <c r="CQ985" s="66">
        <v>0</v>
      </c>
      <c r="CR985" s="66">
        <v>0</v>
      </c>
      <c r="CS985" s="66">
        <v>0</v>
      </c>
      <c r="CT985" s="66">
        <v>0</v>
      </c>
      <c r="CU985" s="66">
        <v>0</v>
      </c>
      <c r="CV985" s="66">
        <v>0</v>
      </c>
      <c r="CW985" s="66">
        <v>0</v>
      </c>
      <c r="CX985" s="66">
        <v>0</v>
      </c>
      <c r="CY985" s="66">
        <v>0</v>
      </c>
      <c r="CZ985" s="66">
        <v>0</v>
      </c>
      <c r="DA985" s="66"/>
      <c r="DB985" s="66"/>
      <c r="DC985" s="66"/>
      <c r="DD985" s="66"/>
      <c r="DE985" s="66"/>
      <c r="DF985" s="66"/>
      <c r="DG985" s="66"/>
      <c r="DH985" s="66"/>
      <c r="DI985" s="66"/>
      <c r="DJ985" s="66"/>
      <c r="DK985" s="66">
        <f>SUM(Table1[[#This Row],[01-03 Apr]:[Mar-26]])</f>
        <v>0</v>
      </c>
    </row>
    <row r="986" spans="1:115" hidden="1" x14ac:dyDescent="0.2">
      <c r="A986" s="28" t="s">
        <v>371</v>
      </c>
      <c r="B986" s="29" t="s">
        <v>2114</v>
      </c>
      <c r="C986" s="29" t="s">
        <v>3336</v>
      </c>
      <c r="D986" s="30" t="s">
        <v>2115</v>
      </c>
      <c r="E986" s="30" t="s">
        <v>203</v>
      </c>
      <c r="F986" s="30"/>
      <c r="G986" s="31"/>
      <c r="H986" s="30"/>
      <c r="I986" s="30" t="str">
        <f>IF(Table1[[#This Row],[Centre Status]]="Returned","NA",IF(Table1[[#This Row],[SD]]&gt;19000,"Full Payment",IF(Table1[[#This Row],[SD]]&lt;1,"No Payment","Partial Payment")))</f>
        <v>NA</v>
      </c>
      <c r="J986" s="30" t="s">
        <v>1903</v>
      </c>
      <c r="K986" s="32">
        <v>0</v>
      </c>
      <c r="L986" s="33">
        <f>Q986+R986+U986+Table1[[#This Row],[Farmer Payment]]</f>
        <v>10098</v>
      </c>
      <c r="M986" s="30">
        <v>5000</v>
      </c>
      <c r="N986" s="34">
        <v>45121</v>
      </c>
      <c r="O986" s="34"/>
      <c r="P986" s="35">
        <f t="shared" si="88"/>
        <v>-5098</v>
      </c>
      <c r="Q986" s="33">
        <f>AI986+AV986+CK986+Table1[[#This Row],[FY 25-26]]</f>
        <v>5098</v>
      </c>
      <c r="R986" s="36">
        <v>5000</v>
      </c>
      <c r="S986" s="37" t="s">
        <v>2231</v>
      </c>
      <c r="T986" s="38">
        <v>44956</v>
      </c>
      <c r="U986" s="39"/>
      <c r="V986" s="39"/>
      <c r="W986" s="40">
        <v>0</v>
      </c>
      <c r="X986" s="40">
        <v>0</v>
      </c>
      <c r="Y986" s="40">
        <v>0</v>
      </c>
      <c r="Z986" s="40">
        <v>0</v>
      </c>
      <c r="AA986" s="40">
        <v>0</v>
      </c>
      <c r="AB986" s="40">
        <v>0</v>
      </c>
      <c r="AC986" s="40">
        <v>0</v>
      </c>
      <c r="AD986" s="40">
        <v>0</v>
      </c>
      <c r="AE986" s="40">
        <v>0</v>
      </c>
      <c r="AF986" s="40">
        <v>0</v>
      </c>
      <c r="AG986" s="40">
        <v>0</v>
      </c>
      <c r="AH986" s="40">
        <v>1376</v>
      </c>
      <c r="AI986" s="41">
        <f t="shared" si="89"/>
        <v>1376</v>
      </c>
      <c r="AJ986" s="42">
        <v>1861</v>
      </c>
      <c r="AK986" s="42">
        <v>1861</v>
      </c>
      <c r="AL986" s="42">
        <v>0</v>
      </c>
      <c r="AM986" s="42">
        <v>0</v>
      </c>
      <c r="AN986" s="42">
        <v>0</v>
      </c>
      <c r="AO986" s="42">
        <v>0</v>
      </c>
      <c r="AP986" s="42">
        <v>0</v>
      </c>
      <c r="AQ986" s="42">
        <v>0</v>
      </c>
      <c r="AR986" s="42">
        <v>0</v>
      </c>
      <c r="AS986" s="42">
        <v>0</v>
      </c>
      <c r="AT986" s="42">
        <v>0</v>
      </c>
      <c r="AU986" s="42">
        <v>0</v>
      </c>
      <c r="AV986" s="42">
        <f t="shared" si="90"/>
        <v>3722</v>
      </c>
      <c r="AW986" s="42">
        <v>0</v>
      </c>
      <c r="AX986" s="42">
        <v>0</v>
      </c>
      <c r="AY986" s="42">
        <v>0</v>
      </c>
      <c r="AZ986" s="42">
        <v>0</v>
      </c>
      <c r="BA986" s="42">
        <v>0</v>
      </c>
      <c r="BB986" s="42">
        <v>0</v>
      </c>
      <c r="BC986" s="42">
        <v>0</v>
      </c>
      <c r="BD986" s="42">
        <v>0</v>
      </c>
      <c r="BE986" s="42">
        <v>0</v>
      </c>
      <c r="BF986" s="42">
        <v>0</v>
      </c>
      <c r="BG986" s="42">
        <v>0</v>
      </c>
      <c r="BH986" s="42">
        <v>0</v>
      </c>
      <c r="BI986" s="42">
        <v>0</v>
      </c>
      <c r="BJ986" s="42">
        <v>0</v>
      </c>
      <c r="BK986" s="42">
        <v>0</v>
      </c>
      <c r="BL986" s="42">
        <v>0</v>
      </c>
      <c r="BM986" s="42">
        <v>0</v>
      </c>
      <c r="BN986" s="42">
        <v>0</v>
      </c>
      <c r="BO986" s="42">
        <v>0</v>
      </c>
      <c r="BP986" s="42">
        <v>0</v>
      </c>
      <c r="BQ986" s="42">
        <v>0</v>
      </c>
      <c r="BR986" s="42">
        <v>0</v>
      </c>
      <c r="BS986" s="42">
        <v>0</v>
      </c>
      <c r="BT986" s="42">
        <v>0</v>
      </c>
      <c r="BU986" s="42">
        <v>0</v>
      </c>
      <c r="BV986" s="42">
        <v>0</v>
      </c>
      <c r="BW986" s="42">
        <v>0</v>
      </c>
      <c r="BX986" s="42">
        <v>0</v>
      </c>
      <c r="BY986" s="42">
        <v>0</v>
      </c>
      <c r="BZ986" s="42">
        <v>0</v>
      </c>
      <c r="CA986" s="42">
        <v>0</v>
      </c>
      <c r="CB986" s="42">
        <v>0</v>
      </c>
      <c r="CC986" s="42">
        <v>0</v>
      </c>
      <c r="CD986" s="42">
        <v>0</v>
      </c>
      <c r="CE986" s="42">
        <v>0</v>
      </c>
      <c r="CF986" s="42">
        <v>0</v>
      </c>
      <c r="CG986" s="42">
        <v>0</v>
      </c>
      <c r="CH986" s="42">
        <v>0</v>
      </c>
      <c r="CI986" s="42">
        <v>0</v>
      </c>
      <c r="CJ986" s="42">
        <v>0</v>
      </c>
      <c r="CK986" s="43">
        <f t="shared" si="87"/>
        <v>0</v>
      </c>
      <c r="CL986" s="66"/>
      <c r="CM986" s="66">
        <v>0</v>
      </c>
      <c r="CN986" s="66">
        <v>0</v>
      </c>
      <c r="CO986" s="66">
        <v>0</v>
      </c>
      <c r="CP986" s="66">
        <v>0</v>
      </c>
      <c r="CQ986" s="66">
        <v>0</v>
      </c>
      <c r="CR986" s="66">
        <v>0</v>
      </c>
      <c r="CS986" s="66">
        <v>0</v>
      </c>
      <c r="CT986" s="66">
        <v>0</v>
      </c>
      <c r="CU986" s="66">
        <v>0</v>
      </c>
      <c r="CV986" s="66">
        <v>0</v>
      </c>
      <c r="CW986" s="66">
        <v>0</v>
      </c>
      <c r="CX986" s="66">
        <v>0</v>
      </c>
      <c r="CY986" s="66">
        <v>0</v>
      </c>
      <c r="CZ986" s="66">
        <v>0</v>
      </c>
      <c r="DA986" s="66"/>
      <c r="DB986" s="66"/>
      <c r="DC986" s="66"/>
      <c r="DD986" s="66"/>
      <c r="DE986" s="66"/>
      <c r="DF986" s="66"/>
      <c r="DG986" s="66"/>
      <c r="DH986" s="66"/>
      <c r="DI986" s="66"/>
      <c r="DJ986" s="66"/>
      <c r="DK986" s="66">
        <f>SUM(Table1[[#This Row],[01-03 Apr]:[Mar-26]])</f>
        <v>0</v>
      </c>
    </row>
    <row r="987" spans="1:115" hidden="1" x14ac:dyDescent="0.2">
      <c r="A987" s="28" t="s">
        <v>371</v>
      </c>
      <c r="B987" s="29" t="s">
        <v>2116</v>
      </c>
      <c r="C987" s="29" t="s">
        <v>3336</v>
      </c>
      <c r="D987" s="30" t="s">
        <v>2117</v>
      </c>
      <c r="E987" s="30" t="s">
        <v>177</v>
      </c>
      <c r="F987" s="30"/>
      <c r="G987" s="31"/>
      <c r="H987" s="30"/>
      <c r="I987" s="30" t="str">
        <f>IF(Table1[[#This Row],[Centre Status]]="Returned","NA",IF(Table1[[#This Row],[SD]]&gt;19000,"Full Payment",IF(Table1[[#This Row],[SD]]&lt;1,"No Payment","Partial Payment")))</f>
        <v>NA</v>
      </c>
      <c r="J987" s="30" t="s">
        <v>1903</v>
      </c>
      <c r="K987" s="32">
        <v>0</v>
      </c>
      <c r="L987" s="33">
        <f>Q987+R987+U987+Table1[[#This Row],[Farmer Payment]]</f>
        <v>8002</v>
      </c>
      <c r="M987" s="30">
        <v>7038</v>
      </c>
      <c r="N987" s="34">
        <v>45111</v>
      </c>
      <c r="O987" s="34"/>
      <c r="P987" s="35">
        <f t="shared" si="88"/>
        <v>-964</v>
      </c>
      <c r="Q987" s="33">
        <f>AI987+AV987+CK987+Table1[[#This Row],[FY 25-26]]</f>
        <v>3002</v>
      </c>
      <c r="R987" s="36">
        <v>5000</v>
      </c>
      <c r="S987" s="37" t="s">
        <v>2232</v>
      </c>
      <c r="T987" s="38">
        <v>44971</v>
      </c>
      <c r="U987" s="39"/>
      <c r="V987" s="39"/>
      <c r="W987" s="40">
        <v>0</v>
      </c>
      <c r="X987" s="40">
        <v>0</v>
      </c>
      <c r="Y987" s="40">
        <v>0</v>
      </c>
      <c r="Z987" s="40">
        <v>0</v>
      </c>
      <c r="AA987" s="40">
        <v>0</v>
      </c>
      <c r="AB987" s="40">
        <v>0</v>
      </c>
      <c r="AC987" s="40">
        <v>0</v>
      </c>
      <c r="AD987" s="40">
        <v>0</v>
      </c>
      <c r="AE987" s="40">
        <v>0</v>
      </c>
      <c r="AF987" s="40">
        <v>0</v>
      </c>
      <c r="AG987" s="40">
        <v>0</v>
      </c>
      <c r="AH987" s="40">
        <v>1861</v>
      </c>
      <c r="AI987" s="41">
        <f t="shared" si="89"/>
        <v>1861</v>
      </c>
      <c r="AJ987" s="42">
        <v>1119</v>
      </c>
      <c r="AK987" s="42">
        <v>22</v>
      </c>
      <c r="AL987" s="42">
        <v>0</v>
      </c>
      <c r="AM987" s="42">
        <v>0</v>
      </c>
      <c r="AN987" s="42">
        <v>0</v>
      </c>
      <c r="AO987" s="42">
        <v>0</v>
      </c>
      <c r="AP987" s="42">
        <v>0</v>
      </c>
      <c r="AQ987" s="42">
        <v>0</v>
      </c>
      <c r="AR987" s="42">
        <v>0</v>
      </c>
      <c r="AS987" s="42">
        <v>0</v>
      </c>
      <c r="AT987" s="42">
        <v>0</v>
      </c>
      <c r="AU987" s="42">
        <v>0</v>
      </c>
      <c r="AV987" s="42">
        <f t="shared" si="90"/>
        <v>1141</v>
      </c>
      <c r="AW987" s="42">
        <v>0</v>
      </c>
      <c r="AX987" s="42">
        <v>0</v>
      </c>
      <c r="AY987" s="42">
        <v>0</v>
      </c>
      <c r="AZ987" s="42">
        <v>0</v>
      </c>
      <c r="BA987" s="42">
        <v>0</v>
      </c>
      <c r="BB987" s="42">
        <v>0</v>
      </c>
      <c r="BC987" s="42">
        <v>0</v>
      </c>
      <c r="BD987" s="42">
        <v>0</v>
      </c>
      <c r="BE987" s="42">
        <v>0</v>
      </c>
      <c r="BF987" s="42">
        <v>0</v>
      </c>
      <c r="BG987" s="42">
        <v>0</v>
      </c>
      <c r="BH987" s="42">
        <v>0</v>
      </c>
      <c r="BI987" s="42">
        <v>0</v>
      </c>
      <c r="BJ987" s="42">
        <v>0</v>
      </c>
      <c r="BK987" s="42">
        <v>0</v>
      </c>
      <c r="BL987" s="42">
        <v>0</v>
      </c>
      <c r="BM987" s="42">
        <v>0</v>
      </c>
      <c r="BN987" s="42">
        <v>0</v>
      </c>
      <c r="BO987" s="42">
        <v>0</v>
      </c>
      <c r="BP987" s="42">
        <v>0</v>
      </c>
      <c r="BQ987" s="42">
        <v>0</v>
      </c>
      <c r="BR987" s="42">
        <v>0</v>
      </c>
      <c r="BS987" s="42">
        <v>0</v>
      </c>
      <c r="BT987" s="42">
        <v>0</v>
      </c>
      <c r="BU987" s="42">
        <v>0</v>
      </c>
      <c r="BV987" s="42">
        <v>0</v>
      </c>
      <c r="BW987" s="42">
        <v>0</v>
      </c>
      <c r="BX987" s="42">
        <v>0</v>
      </c>
      <c r="BY987" s="42">
        <v>0</v>
      </c>
      <c r="BZ987" s="42">
        <v>0</v>
      </c>
      <c r="CA987" s="42">
        <v>0</v>
      </c>
      <c r="CB987" s="42">
        <v>0</v>
      </c>
      <c r="CC987" s="42">
        <v>0</v>
      </c>
      <c r="CD987" s="42">
        <v>0</v>
      </c>
      <c r="CE987" s="42">
        <v>0</v>
      </c>
      <c r="CF987" s="42">
        <v>0</v>
      </c>
      <c r="CG987" s="42">
        <v>0</v>
      </c>
      <c r="CH987" s="42">
        <v>0</v>
      </c>
      <c r="CI987" s="42">
        <v>0</v>
      </c>
      <c r="CJ987" s="42">
        <v>0</v>
      </c>
      <c r="CK987" s="43">
        <f t="shared" si="87"/>
        <v>0</v>
      </c>
      <c r="CL987" s="66"/>
      <c r="CM987" s="66">
        <v>0</v>
      </c>
      <c r="CN987" s="66">
        <v>0</v>
      </c>
      <c r="CO987" s="66">
        <v>0</v>
      </c>
      <c r="CP987" s="66">
        <v>0</v>
      </c>
      <c r="CQ987" s="66">
        <v>0</v>
      </c>
      <c r="CR987" s="66">
        <v>0</v>
      </c>
      <c r="CS987" s="66">
        <v>0</v>
      </c>
      <c r="CT987" s="66">
        <v>0</v>
      </c>
      <c r="CU987" s="66">
        <v>0</v>
      </c>
      <c r="CV987" s="66">
        <v>0</v>
      </c>
      <c r="CW987" s="66">
        <v>0</v>
      </c>
      <c r="CX987" s="66">
        <v>0</v>
      </c>
      <c r="CY987" s="66">
        <v>0</v>
      </c>
      <c r="CZ987" s="66">
        <v>0</v>
      </c>
      <c r="DA987" s="66"/>
      <c r="DB987" s="66"/>
      <c r="DC987" s="66"/>
      <c r="DD987" s="66"/>
      <c r="DE987" s="66"/>
      <c r="DF987" s="66"/>
      <c r="DG987" s="66"/>
      <c r="DH987" s="66"/>
      <c r="DI987" s="66"/>
      <c r="DJ987" s="66"/>
      <c r="DK987" s="66">
        <f>SUM(Table1[[#This Row],[01-03 Apr]:[Mar-26]])</f>
        <v>0</v>
      </c>
    </row>
    <row r="988" spans="1:115" hidden="1" x14ac:dyDescent="0.2">
      <c r="A988" s="28" t="s">
        <v>371</v>
      </c>
      <c r="B988" s="29" t="s">
        <v>2118</v>
      </c>
      <c r="C988" s="29" t="s">
        <v>3336</v>
      </c>
      <c r="D988" s="30" t="s">
        <v>2119</v>
      </c>
      <c r="E988" s="30" t="s">
        <v>177</v>
      </c>
      <c r="F988" s="30"/>
      <c r="G988" s="31"/>
      <c r="H988" s="30"/>
      <c r="I988" s="30" t="str">
        <f>IF(Table1[[#This Row],[Centre Status]]="Returned","NA",IF(Table1[[#This Row],[SD]]&gt;19000,"Full Payment",IF(Table1[[#This Row],[SD]]&lt;1,"No Payment","Partial Payment")))</f>
        <v>NA</v>
      </c>
      <c r="J988" s="30" t="s">
        <v>1903</v>
      </c>
      <c r="K988" s="32">
        <v>0</v>
      </c>
      <c r="L988" s="33">
        <f>Q988+R988+U988+Table1[[#This Row],[Farmer Payment]]</f>
        <v>5000</v>
      </c>
      <c r="M988" s="30">
        <v>5000</v>
      </c>
      <c r="N988" s="34">
        <v>45111</v>
      </c>
      <c r="O988" s="34"/>
      <c r="P988" s="35">
        <f t="shared" si="88"/>
        <v>0</v>
      </c>
      <c r="Q988" s="33">
        <f>AI988+AV988+CK988+Table1[[#This Row],[FY 25-26]]</f>
        <v>0</v>
      </c>
      <c r="R988" s="36">
        <v>5000</v>
      </c>
      <c r="S988" s="37" t="s">
        <v>2233</v>
      </c>
      <c r="T988" s="38">
        <v>44967</v>
      </c>
      <c r="U988" s="39"/>
      <c r="V988" s="39"/>
      <c r="W988" s="40">
        <v>0</v>
      </c>
      <c r="X988" s="40">
        <v>0</v>
      </c>
      <c r="Y988" s="40">
        <v>0</v>
      </c>
      <c r="Z988" s="40">
        <v>0</v>
      </c>
      <c r="AA988" s="40">
        <v>0</v>
      </c>
      <c r="AB988" s="40">
        <v>0</v>
      </c>
      <c r="AC988" s="40">
        <v>0</v>
      </c>
      <c r="AD988" s="40">
        <v>0</v>
      </c>
      <c r="AE988" s="40">
        <v>0</v>
      </c>
      <c r="AF988" s="40">
        <v>0</v>
      </c>
      <c r="AG988" s="40">
        <v>0</v>
      </c>
      <c r="AH988" s="40">
        <v>0</v>
      </c>
      <c r="AI988" s="41">
        <f t="shared" si="89"/>
        <v>0</v>
      </c>
      <c r="AJ988" s="42">
        <v>0</v>
      </c>
      <c r="AK988" s="42">
        <v>0</v>
      </c>
      <c r="AL988" s="42">
        <v>0</v>
      </c>
      <c r="AM988" s="42">
        <v>0</v>
      </c>
      <c r="AN988" s="42">
        <v>0</v>
      </c>
      <c r="AO988" s="42">
        <v>0</v>
      </c>
      <c r="AP988" s="42">
        <v>0</v>
      </c>
      <c r="AQ988" s="42">
        <v>0</v>
      </c>
      <c r="AR988" s="42">
        <v>0</v>
      </c>
      <c r="AS988" s="42">
        <v>0</v>
      </c>
      <c r="AT988" s="42">
        <v>0</v>
      </c>
      <c r="AU988" s="42">
        <v>0</v>
      </c>
      <c r="AV988" s="42">
        <f t="shared" si="90"/>
        <v>0</v>
      </c>
      <c r="AW988" s="42">
        <v>0</v>
      </c>
      <c r="AX988" s="42">
        <v>0</v>
      </c>
      <c r="AY988" s="42">
        <v>0</v>
      </c>
      <c r="AZ988" s="42">
        <v>0</v>
      </c>
      <c r="BA988" s="42">
        <v>0</v>
      </c>
      <c r="BB988" s="42">
        <v>0</v>
      </c>
      <c r="BC988" s="42">
        <v>0</v>
      </c>
      <c r="BD988" s="42">
        <v>0</v>
      </c>
      <c r="BE988" s="42">
        <v>0</v>
      </c>
      <c r="BF988" s="42">
        <v>0</v>
      </c>
      <c r="BG988" s="42">
        <v>0</v>
      </c>
      <c r="BH988" s="42">
        <v>0</v>
      </c>
      <c r="BI988" s="42">
        <v>0</v>
      </c>
      <c r="BJ988" s="42">
        <v>0</v>
      </c>
      <c r="BK988" s="42">
        <v>0</v>
      </c>
      <c r="BL988" s="42">
        <v>0</v>
      </c>
      <c r="BM988" s="42">
        <v>0</v>
      </c>
      <c r="BN988" s="42">
        <v>0</v>
      </c>
      <c r="BO988" s="42">
        <v>0</v>
      </c>
      <c r="BP988" s="42">
        <v>0</v>
      </c>
      <c r="BQ988" s="42">
        <v>0</v>
      </c>
      <c r="BR988" s="42">
        <v>0</v>
      </c>
      <c r="BS988" s="42">
        <v>0</v>
      </c>
      <c r="BT988" s="42">
        <v>0</v>
      </c>
      <c r="BU988" s="42">
        <v>0</v>
      </c>
      <c r="BV988" s="42">
        <v>0</v>
      </c>
      <c r="BW988" s="42">
        <v>0</v>
      </c>
      <c r="BX988" s="42">
        <v>0</v>
      </c>
      <c r="BY988" s="42">
        <v>0</v>
      </c>
      <c r="BZ988" s="42">
        <v>0</v>
      </c>
      <c r="CA988" s="42">
        <v>0</v>
      </c>
      <c r="CB988" s="42">
        <v>0</v>
      </c>
      <c r="CC988" s="42">
        <v>0</v>
      </c>
      <c r="CD988" s="42">
        <v>0</v>
      </c>
      <c r="CE988" s="42">
        <v>0</v>
      </c>
      <c r="CF988" s="42">
        <v>0</v>
      </c>
      <c r="CG988" s="42">
        <v>0</v>
      </c>
      <c r="CH988" s="42">
        <v>0</v>
      </c>
      <c r="CI988" s="42">
        <v>0</v>
      </c>
      <c r="CJ988" s="42">
        <v>0</v>
      </c>
      <c r="CK988" s="43">
        <f t="shared" si="87"/>
        <v>0</v>
      </c>
      <c r="CL988" s="66"/>
      <c r="CM988" s="66">
        <v>0</v>
      </c>
      <c r="CN988" s="66">
        <v>0</v>
      </c>
      <c r="CO988" s="66">
        <v>0</v>
      </c>
      <c r="CP988" s="66">
        <v>0</v>
      </c>
      <c r="CQ988" s="66">
        <v>0</v>
      </c>
      <c r="CR988" s="66">
        <v>0</v>
      </c>
      <c r="CS988" s="66">
        <v>0</v>
      </c>
      <c r="CT988" s="66">
        <v>0</v>
      </c>
      <c r="CU988" s="66">
        <v>0</v>
      </c>
      <c r="CV988" s="66">
        <v>0</v>
      </c>
      <c r="CW988" s="66">
        <v>0</v>
      </c>
      <c r="CX988" s="66">
        <v>0</v>
      </c>
      <c r="CY988" s="66">
        <v>0</v>
      </c>
      <c r="CZ988" s="66">
        <v>0</v>
      </c>
      <c r="DA988" s="66"/>
      <c r="DB988" s="66"/>
      <c r="DC988" s="66"/>
      <c r="DD988" s="66"/>
      <c r="DE988" s="66"/>
      <c r="DF988" s="66"/>
      <c r="DG988" s="66"/>
      <c r="DH988" s="66"/>
      <c r="DI988" s="66"/>
      <c r="DJ988" s="66"/>
      <c r="DK988" s="66">
        <f>SUM(Table1[[#This Row],[01-03 Apr]:[Mar-26]])</f>
        <v>0</v>
      </c>
    </row>
    <row r="989" spans="1:115" hidden="1" x14ac:dyDescent="0.2">
      <c r="A989" s="28" t="s">
        <v>371</v>
      </c>
      <c r="B989" s="29" t="s">
        <v>2120</v>
      </c>
      <c r="C989" s="29" t="s">
        <v>3336</v>
      </c>
      <c r="D989" s="30" t="s">
        <v>2121</v>
      </c>
      <c r="E989" s="30" t="s">
        <v>177</v>
      </c>
      <c r="F989" s="30"/>
      <c r="G989" s="31"/>
      <c r="H989" s="30"/>
      <c r="I989" s="30" t="str">
        <f>IF(Table1[[#This Row],[Centre Status]]="Returned","NA",IF(Table1[[#This Row],[SD]]&gt;19000,"Full Payment",IF(Table1[[#This Row],[SD]]&lt;1,"No Payment","Partial Payment")))</f>
        <v>NA</v>
      </c>
      <c r="J989" s="30" t="s">
        <v>1903</v>
      </c>
      <c r="K989" s="32">
        <v>0</v>
      </c>
      <c r="L989" s="33">
        <f>Q989+R989+U989+Table1[[#This Row],[Farmer Payment]]</f>
        <v>21561</v>
      </c>
      <c r="M989" s="30">
        <v>21561</v>
      </c>
      <c r="N989" s="34">
        <v>45111</v>
      </c>
      <c r="O989" s="34"/>
      <c r="P989" s="35">
        <f t="shared" si="88"/>
        <v>0</v>
      </c>
      <c r="Q989" s="33">
        <f>AI989+AV989+CK989+Table1[[#This Row],[FY 25-26]]</f>
        <v>11561</v>
      </c>
      <c r="R989" s="36">
        <v>10000</v>
      </c>
      <c r="S989" s="37" t="s">
        <v>2214</v>
      </c>
      <c r="T989" s="38">
        <v>44758</v>
      </c>
      <c r="U989" s="39"/>
      <c r="V989" s="39"/>
      <c r="W989" s="40">
        <v>0</v>
      </c>
      <c r="X989" s="40">
        <v>0</v>
      </c>
      <c r="Y989" s="40">
        <v>0</v>
      </c>
      <c r="Z989" s="40">
        <v>0</v>
      </c>
      <c r="AA989" s="40">
        <v>1861</v>
      </c>
      <c r="AB989" s="40">
        <v>1861</v>
      </c>
      <c r="AC989" s="40">
        <v>1861</v>
      </c>
      <c r="AD989" s="40">
        <v>1861</v>
      </c>
      <c r="AE989" s="40">
        <v>45</v>
      </c>
      <c r="AF989" s="40">
        <v>1861</v>
      </c>
      <c r="AG989" s="40">
        <v>1861</v>
      </c>
      <c r="AH989" s="40">
        <v>236</v>
      </c>
      <c r="AI989" s="41">
        <f t="shared" si="89"/>
        <v>11447</v>
      </c>
      <c r="AJ989" s="42">
        <v>114</v>
      </c>
      <c r="AK989" s="42">
        <v>0</v>
      </c>
      <c r="AL989" s="42">
        <v>0</v>
      </c>
      <c r="AM989" s="42">
        <v>0</v>
      </c>
      <c r="AN989" s="42">
        <v>0</v>
      </c>
      <c r="AO989" s="42">
        <v>0</v>
      </c>
      <c r="AP989" s="42">
        <v>0</v>
      </c>
      <c r="AQ989" s="42">
        <v>0</v>
      </c>
      <c r="AR989" s="42">
        <v>0</v>
      </c>
      <c r="AS989" s="42">
        <v>0</v>
      </c>
      <c r="AT989" s="42">
        <v>0</v>
      </c>
      <c r="AU989" s="42">
        <v>0</v>
      </c>
      <c r="AV989" s="42">
        <f t="shared" si="90"/>
        <v>114</v>
      </c>
      <c r="AW989" s="42">
        <v>0</v>
      </c>
      <c r="AX989" s="42">
        <v>0</v>
      </c>
      <c r="AY989" s="42">
        <v>0</v>
      </c>
      <c r="AZ989" s="42">
        <v>0</v>
      </c>
      <c r="BA989" s="42">
        <v>0</v>
      </c>
      <c r="BB989" s="42">
        <v>0</v>
      </c>
      <c r="BC989" s="42">
        <v>0</v>
      </c>
      <c r="BD989" s="42">
        <v>0</v>
      </c>
      <c r="BE989" s="42">
        <v>0</v>
      </c>
      <c r="BF989" s="42">
        <v>0</v>
      </c>
      <c r="BG989" s="42">
        <v>0</v>
      </c>
      <c r="BH989" s="42">
        <v>0</v>
      </c>
      <c r="BI989" s="42">
        <v>0</v>
      </c>
      <c r="BJ989" s="42">
        <v>0</v>
      </c>
      <c r="BK989" s="42">
        <v>0</v>
      </c>
      <c r="BL989" s="42">
        <v>0</v>
      </c>
      <c r="BM989" s="42">
        <v>0</v>
      </c>
      <c r="BN989" s="42">
        <v>0</v>
      </c>
      <c r="BO989" s="42">
        <v>0</v>
      </c>
      <c r="BP989" s="42">
        <v>0</v>
      </c>
      <c r="BQ989" s="42">
        <v>0</v>
      </c>
      <c r="BR989" s="42">
        <v>0</v>
      </c>
      <c r="BS989" s="42">
        <v>0</v>
      </c>
      <c r="BT989" s="42">
        <v>0</v>
      </c>
      <c r="BU989" s="42">
        <v>0</v>
      </c>
      <c r="BV989" s="42">
        <v>0</v>
      </c>
      <c r="BW989" s="42">
        <v>0</v>
      </c>
      <c r="BX989" s="42">
        <v>0</v>
      </c>
      <c r="BY989" s="42">
        <v>0</v>
      </c>
      <c r="BZ989" s="42">
        <v>0</v>
      </c>
      <c r="CA989" s="42">
        <v>0</v>
      </c>
      <c r="CB989" s="42">
        <v>0</v>
      </c>
      <c r="CC989" s="42">
        <v>0</v>
      </c>
      <c r="CD989" s="42">
        <v>0</v>
      </c>
      <c r="CE989" s="42">
        <v>0</v>
      </c>
      <c r="CF989" s="42">
        <v>0</v>
      </c>
      <c r="CG989" s="42">
        <v>0</v>
      </c>
      <c r="CH989" s="42">
        <v>0</v>
      </c>
      <c r="CI989" s="42">
        <v>0</v>
      </c>
      <c r="CJ989" s="42">
        <v>0</v>
      </c>
      <c r="CK989" s="43">
        <f t="shared" si="87"/>
        <v>0</v>
      </c>
      <c r="CL989" s="66"/>
      <c r="CM989" s="66">
        <v>0</v>
      </c>
      <c r="CN989" s="66">
        <v>0</v>
      </c>
      <c r="CO989" s="66">
        <v>0</v>
      </c>
      <c r="CP989" s="66">
        <v>0</v>
      </c>
      <c r="CQ989" s="66">
        <v>0</v>
      </c>
      <c r="CR989" s="66">
        <v>0</v>
      </c>
      <c r="CS989" s="66">
        <v>0</v>
      </c>
      <c r="CT989" s="66">
        <v>0</v>
      </c>
      <c r="CU989" s="66">
        <v>0</v>
      </c>
      <c r="CV989" s="66">
        <v>0</v>
      </c>
      <c r="CW989" s="66">
        <v>0</v>
      </c>
      <c r="CX989" s="66">
        <v>0</v>
      </c>
      <c r="CY989" s="66">
        <v>0</v>
      </c>
      <c r="CZ989" s="66">
        <v>0</v>
      </c>
      <c r="DA989" s="66"/>
      <c r="DB989" s="66"/>
      <c r="DC989" s="66"/>
      <c r="DD989" s="66"/>
      <c r="DE989" s="66"/>
      <c r="DF989" s="66"/>
      <c r="DG989" s="66"/>
      <c r="DH989" s="66"/>
      <c r="DI989" s="66"/>
      <c r="DJ989" s="66"/>
      <c r="DK989" s="66">
        <f>SUM(Table1[[#This Row],[01-03 Apr]:[Mar-26]])</f>
        <v>0</v>
      </c>
    </row>
    <row r="990" spans="1:115" hidden="1" x14ac:dyDescent="0.2">
      <c r="A990" s="28" t="s">
        <v>371</v>
      </c>
      <c r="B990" s="29" t="s">
        <v>2122</v>
      </c>
      <c r="C990" s="29" t="s">
        <v>3336</v>
      </c>
      <c r="D990" s="30" t="s">
        <v>2123</v>
      </c>
      <c r="E990" s="30" t="s">
        <v>85</v>
      </c>
      <c r="F990" s="30"/>
      <c r="G990" s="31"/>
      <c r="H990" s="30"/>
      <c r="I990" s="30" t="str">
        <f>IF(Table1[[#This Row],[Centre Status]]="Returned","NA",IF(Table1[[#This Row],[SD]]&gt;19000,"Full Payment",IF(Table1[[#This Row],[SD]]&lt;1,"No Payment","Partial Payment")))</f>
        <v>NA</v>
      </c>
      <c r="J990" s="30" t="s">
        <v>1903</v>
      </c>
      <c r="K990" s="32">
        <v>0</v>
      </c>
      <c r="L990" s="33">
        <f>Q990+R990+U990+Table1[[#This Row],[Farmer Payment]]</f>
        <v>20000</v>
      </c>
      <c r="M990" s="30">
        <v>18230</v>
      </c>
      <c r="N990" s="34">
        <v>45062</v>
      </c>
      <c r="O990" s="34"/>
      <c r="P990" s="35">
        <f t="shared" si="88"/>
        <v>-1770</v>
      </c>
      <c r="Q990" s="33">
        <f>AI990+AV990+CK990+Table1[[#This Row],[FY 25-26]]</f>
        <v>0</v>
      </c>
      <c r="R990" s="36">
        <v>20000</v>
      </c>
      <c r="S990" s="37" t="s">
        <v>2215</v>
      </c>
      <c r="T990" s="38">
        <v>45005</v>
      </c>
      <c r="U990" s="39"/>
      <c r="V990" s="39"/>
      <c r="W990" s="40">
        <v>0</v>
      </c>
      <c r="X990" s="40">
        <v>0</v>
      </c>
      <c r="Y990" s="40">
        <v>0</v>
      </c>
      <c r="Z990" s="40">
        <v>0</v>
      </c>
      <c r="AA990" s="40">
        <v>0</v>
      </c>
      <c r="AB990" s="40">
        <v>0</v>
      </c>
      <c r="AC990" s="40">
        <v>0</v>
      </c>
      <c r="AD990" s="40">
        <v>0</v>
      </c>
      <c r="AE990" s="40">
        <v>0</v>
      </c>
      <c r="AF990" s="40">
        <v>0</v>
      </c>
      <c r="AG990" s="40">
        <v>0</v>
      </c>
      <c r="AH990" s="40">
        <v>0</v>
      </c>
      <c r="AI990" s="41">
        <f t="shared" si="89"/>
        <v>0</v>
      </c>
      <c r="AJ990" s="42">
        <v>0</v>
      </c>
      <c r="AK990" s="42">
        <v>0</v>
      </c>
      <c r="AL990" s="42">
        <v>0</v>
      </c>
      <c r="AM990" s="42">
        <v>0</v>
      </c>
      <c r="AN990" s="42">
        <v>0</v>
      </c>
      <c r="AO990" s="42">
        <v>0</v>
      </c>
      <c r="AP990" s="42">
        <v>0</v>
      </c>
      <c r="AQ990" s="42">
        <v>0</v>
      </c>
      <c r="AR990" s="42">
        <v>0</v>
      </c>
      <c r="AS990" s="42">
        <v>0</v>
      </c>
      <c r="AT990" s="42">
        <v>0</v>
      </c>
      <c r="AU990" s="42">
        <v>0</v>
      </c>
      <c r="AV990" s="42">
        <f t="shared" si="90"/>
        <v>0</v>
      </c>
      <c r="AW990" s="42">
        <v>0</v>
      </c>
      <c r="AX990" s="42">
        <v>0</v>
      </c>
      <c r="AY990" s="42">
        <v>0</v>
      </c>
      <c r="AZ990" s="42">
        <v>0</v>
      </c>
      <c r="BA990" s="42">
        <v>0</v>
      </c>
      <c r="BB990" s="42">
        <v>0</v>
      </c>
      <c r="BC990" s="42">
        <v>0</v>
      </c>
      <c r="BD990" s="42">
        <v>0</v>
      </c>
      <c r="BE990" s="42">
        <v>0</v>
      </c>
      <c r="BF990" s="42">
        <v>0</v>
      </c>
      <c r="BG990" s="42">
        <v>0</v>
      </c>
      <c r="BH990" s="42">
        <v>0</v>
      </c>
      <c r="BI990" s="42">
        <v>0</v>
      </c>
      <c r="BJ990" s="42">
        <v>0</v>
      </c>
      <c r="BK990" s="42">
        <v>0</v>
      </c>
      <c r="BL990" s="42">
        <v>0</v>
      </c>
      <c r="BM990" s="42">
        <v>0</v>
      </c>
      <c r="BN990" s="42">
        <v>0</v>
      </c>
      <c r="BO990" s="42">
        <v>0</v>
      </c>
      <c r="BP990" s="42">
        <v>0</v>
      </c>
      <c r="BQ990" s="42">
        <v>0</v>
      </c>
      <c r="BR990" s="42">
        <v>0</v>
      </c>
      <c r="BS990" s="42">
        <v>0</v>
      </c>
      <c r="BT990" s="42">
        <v>0</v>
      </c>
      <c r="BU990" s="42">
        <v>0</v>
      </c>
      <c r="BV990" s="42">
        <v>0</v>
      </c>
      <c r="BW990" s="42">
        <v>0</v>
      </c>
      <c r="BX990" s="42">
        <v>0</v>
      </c>
      <c r="BY990" s="42">
        <v>0</v>
      </c>
      <c r="BZ990" s="42">
        <v>0</v>
      </c>
      <c r="CA990" s="42">
        <v>0</v>
      </c>
      <c r="CB990" s="42">
        <v>0</v>
      </c>
      <c r="CC990" s="42">
        <v>0</v>
      </c>
      <c r="CD990" s="42">
        <v>0</v>
      </c>
      <c r="CE990" s="42">
        <v>0</v>
      </c>
      <c r="CF990" s="42">
        <v>0</v>
      </c>
      <c r="CG990" s="42">
        <v>0</v>
      </c>
      <c r="CH990" s="42">
        <v>0</v>
      </c>
      <c r="CI990" s="42">
        <v>0</v>
      </c>
      <c r="CJ990" s="42">
        <v>0</v>
      </c>
      <c r="CK990" s="43">
        <f t="shared" si="87"/>
        <v>0</v>
      </c>
      <c r="CL990" s="66"/>
      <c r="CM990" s="66">
        <v>0</v>
      </c>
      <c r="CN990" s="66">
        <v>0</v>
      </c>
      <c r="CO990" s="66">
        <v>0</v>
      </c>
      <c r="CP990" s="66">
        <v>0</v>
      </c>
      <c r="CQ990" s="66">
        <v>0</v>
      </c>
      <c r="CR990" s="66">
        <v>0</v>
      </c>
      <c r="CS990" s="66">
        <v>0</v>
      </c>
      <c r="CT990" s="66">
        <v>0</v>
      </c>
      <c r="CU990" s="66">
        <v>0</v>
      </c>
      <c r="CV990" s="66">
        <v>0</v>
      </c>
      <c r="CW990" s="66">
        <v>0</v>
      </c>
      <c r="CX990" s="66">
        <v>0</v>
      </c>
      <c r="CY990" s="66">
        <v>0</v>
      </c>
      <c r="CZ990" s="66">
        <v>0</v>
      </c>
      <c r="DA990" s="66"/>
      <c r="DB990" s="66"/>
      <c r="DC990" s="66"/>
      <c r="DD990" s="66"/>
      <c r="DE990" s="66"/>
      <c r="DF990" s="66"/>
      <c r="DG990" s="66"/>
      <c r="DH990" s="66"/>
      <c r="DI990" s="66"/>
      <c r="DJ990" s="66"/>
      <c r="DK990" s="66">
        <f>SUM(Table1[[#This Row],[01-03 Apr]:[Mar-26]])</f>
        <v>0</v>
      </c>
    </row>
    <row r="991" spans="1:115" hidden="1" x14ac:dyDescent="0.2">
      <c r="A991" s="28" t="s">
        <v>371</v>
      </c>
      <c r="B991" s="29" t="s">
        <v>2124</v>
      </c>
      <c r="C991" s="29" t="s">
        <v>3336</v>
      </c>
      <c r="D991" s="30" t="s">
        <v>2125</v>
      </c>
      <c r="E991" s="30" t="s">
        <v>85</v>
      </c>
      <c r="F991" s="30"/>
      <c r="G991" s="31"/>
      <c r="H991" s="30"/>
      <c r="I991" s="30" t="str">
        <f>IF(Table1[[#This Row],[Centre Status]]="Returned","NA",IF(Table1[[#This Row],[SD]]&gt;19000,"Full Payment",IF(Table1[[#This Row],[SD]]&lt;1,"No Payment","Partial Payment")))</f>
        <v>NA</v>
      </c>
      <c r="J991" s="30" t="s">
        <v>1903</v>
      </c>
      <c r="K991" s="32">
        <v>0</v>
      </c>
      <c r="L991" s="33">
        <f>Q991+R991+U991+Table1[[#This Row],[Farmer Payment]]</f>
        <v>23387</v>
      </c>
      <c r="M991" s="30">
        <v>23387</v>
      </c>
      <c r="N991" s="34">
        <v>44935</v>
      </c>
      <c r="O991" s="34"/>
      <c r="P991" s="35">
        <f t="shared" si="88"/>
        <v>0</v>
      </c>
      <c r="Q991" s="33">
        <f>AI991+AV991+CK991+Table1[[#This Row],[FY 25-26]]</f>
        <v>3387</v>
      </c>
      <c r="R991" s="36">
        <v>20000</v>
      </c>
      <c r="S991" s="37">
        <v>5448543005</v>
      </c>
      <c r="T991" s="38">
        <v>44681</v>
      </c>
      <c r="U991" s="39"/>
      <c r="V991" s="39"/>
      <c r="W991" s="40">
        <v>0</v>
      </c>
      <c r="X991" s="40">
        <v>1861</v>
      </c>
      <c r="Y991" s="40">
        <v>1526</v>
      </c>
      <c r="Z991" s="40">
        <v>0</v>
      </c>
      <c r="AA991" s="40">
        <v>0</v>
      </c>
      <c r="AB991" s="40">
        <v>0</v>
      </c>
      <c r="AC991" s="40">
        <v>0</v>
      </c>
      <c r="AD991" s="40">
        <v>0</v>
      </c>
      <c r="AE991" s="40">
        <v>0</v>
      </c>
      <c r="AF991" s="40">
        <v>0</v>
      </c>
      <c r="AG991" s="40">
        <v>0</v>
      </c>
      <c r="AH991" s="40">
        <v>0</v>
      </c>
      <c r="AI991" s="41">
        <f t="shared" si="89"/>
        <v>3387</v>
      </c>
      <c r="AJ991" s="42">
        <v>0</v>
      </c>
      <c r="AK991" s="42">
        <v>0</v>
      </c>
      <c r="AL991" s="42">
        <v>0</v>
      </c>
      <c r="AM991" s="42">
        <v>0</v>
      </c>
      <c r="AN991" s="42">
        <v>0</v>
      </c>
      <c r="AO991" s="42">
        <v>0</v>
      </c>
      <c r="AP991" s="42">
        <v>0</v>
      </c>
      <c r="AQ991" s="42">
        <v>0</v>
      </c>
      <c r="AR991" s="42">
        <v>0</v>
      </c>
      <c r="AS991" s="42">
        <v>0</v>
      </c>
      <c r="AT991" s="42">
        <v>0</v>
      </c>
      <c r="AU991" s="42">
        <v>0</v>
      </c>
      <c r="AV991" s="42">
        <f t="shared" si="90"/>
        <v>0</v>
      </c>
      <c r="AW991" s="42">
        <v>0</v>
      </c>
      <c r="AX991" s="42">
        <v>0</v>
      </c>
      <c r="AY991" s="42">
        <v>0</v>
      </c>
      <c r="AZ991" s="42">
        <v>0</v>
      </c>
      <c r="BA991" s="42">
        <v>0</v>
      </c>
      <c r="BB991" s="42">
        <v>0</v>
      </c>
      <c r="BC991" s="42">
        <v>0</v>
      </c>
      <c r="BD991" s="42">
        <v>0</v>
      </c>
      <c r="BE991" s="42">
        <v>0</v>
      </c>
      <c r="BF991" s="42">
        <v>0</v>
      </c>
      <c r="BG991" s="42">
        <v>0</v>
      </c>
      <c r="BH991" s="42">
        <v>0</v>
      </c>
      <c r="BI991" s="42">
        <v>0</v>
      </c>
      <c r="BJ991" s="42">
        <v>0</v>
      </c>
      <c r="BK991" s="42">
        <v>0</v>
      </c>
      <c r="BL991" s="42">
        <v>0</v>
      </c>
      <c r="BM991" s="42">
        <v>0</v>
      </c>
      <c r="BN991" s="42">
        <v>0</v>
      </c>
      <c r="BO991" s="42">
        <v>0</v>
      </c>
      <c r="BP991" s="42">
        <v>0</v>
      </c>
      <c r="BQ991" s="42">
        <v>0</v>
      </c>
      <c r="BR991" s="42">
        <v>0</v>
      </c>
      <c r="BS991" s="42">
        <v>0</v>
      </c>
      <c r="BT991" s="42">
        <v>0</v>
      </c>
      <c r="BU991" s="42">
        <v>0</v>
      </c>
      <c r="BV991" s="42">
        <v>0</v>
      </c>
      <c r="BW991" s="42">
        <v>0</v>
      </c>
      <c r="BX991" s="42">
        <v>0</v>
      </c>
      <c r="BY991" s="42">
        <v>0</v>
      </c>
      <c r="BZ991" s="42">
        <v>0</v>
      </c>
      <c r="CA991" s="42">
        <v>0</v>
      </c>
      <c r="CB991" s="42">
        <v>0</v>
      </c>
      <c r="CC991" s="42">
        <v>0</v>
      </c>
      <c r="CD991" s="42">
        <v>0</v>
      </c>
      <c r="CE991" s="42">
        <v>0</v>
      </c>
      <c r="CF991" s="42">
        <v>0</v>
      </c>
      <c r="CG991" s="42">
        <v>0</v>
      </c>
      <c r="CH991" s="42">
        <v>0</v>
      </c>
      <c r="CI991" s="42">
        <v>0</v>
      </c>
      <c r="CJ991" s="42">
        <v>0</v>
      </c>
      <c r="CK991" s="43">
        <f t="shared" si="87"/>
        <v>0</v>
      </c>
      <c r="CL991" s="66"/>
      <c r="CM991" s="66">
        <v>0</v>
      </c>
      <c r="CN991" s="66">
        <v>0</v>
      </c>
      <c r="CO991" s="66">
        <v>0</v>
      </c>
      <c r="CP991" s="66">
        <v>0</v>
      </c>
      <c r="CQ991" s="66">
        <v>0</v>
      </c>
      <c r="CR991" s="66">
        <v>0</v>
      </c>
      <c r="CS991" s="66">
        <v>0</v>
      </c>
      <c r="CT991" s="66">
        <v>0</v>
      </c>
      <c r="CU991" s="66">
        <v>0</v>
      </c>
      <c r="CV991" s="66">
        <v>0</v>
      </c>
      <c r="CW991" s="66">
        <v>0</v>
      </c>
      <c r="CX991" s="66">
        <v>0</v>
      </c>
      <c r="CY991" s="66">
        <v>0</v>
      </c>
      <c r="CZ991" s="66">
        <v>0</v>
      </c>
      <c r="DA991" s="66"/>
      <c r="DB991" s="66"/>
      <c r="DC991" s="66"/>
      <c r="DD991" s="66"/>
      <c r="DE991" s="66"/>
      <c r="DF991" s="66"/>
      <c r="DG991" s="66"/>
      <c r="DH991" s="66"/>
      <c r="DI991" s="66"/>
      <c r="DJ991" s="66"/>
      <c r="DK991" s="66">
        <f>SUM(Table1[[#This Row],[01-03 Apr]:[Mar-26]])</f>
        <v>0</v>
      </c>
    </row>
    <row r="992" spans="1:115" hidden="1" x14ac:dyDescent="0.2">
      <c r="A992" s="28" t="s">
        <v>371</v>
      </c>
      <c r="B992" s="29" t="s">
        <v>2126</v>
      </c>
      <c r="C992" s="29" t="s">
        <v>3336</v>
      </c>
      <c r="D992" s="30" t="s">
        <v>2127</v>
      </c>
      <c r="E992" s="30" t="s">
        <v>85</v>
      </c>
      <c r="F992" s="30"/>
      <c r="G992" s="31"/>
      <c r="H992" s="30"/>
      <c r="I992" s="30" t="str">
        <f>IF(Table1[[#This Row],[Centre Status]]="Returned","NA",IF(Table1[[#This Row],[SD]]&gt;19000,"Full Payment",IF(Table1[[#This Row],[SD]]&lt;1,"No Payment","Partial Payment")))</f>
        <v>NA</v>
      </c>
      <c r="J992" s="30" t="s">
        <v>1903</v>
      </c>
      <c r="K992" s="32">
        <v>0</v>
      </c>
      <c r="L992" s="33">
        <f>Q992+R992+U992+Table1[[#This Row],[Farmer Payment]]</f>
        <v>10068</v>
      </c>
      <c r="M992" s="30">
        <v>10000</v>
      </c>
      <c r="N992" s="34">
        <v>44796</v>
      </c>
      <c r="O992" s="34"/>
      <c r="P992" s="35">
        <f t="shared" si="88"/>
        <v>-68</v>
      </c>
      <c r="Q992" s="33">
        <f>AI992+AV992+CK992+Table1[[#This Row],[FY 25-26]]</f>
        <v>68</v>
      </c>
      <c r="R992" s="36">
        <v>10000</v>
      </c>
      <c r="S992" s="37" t="s">
        <v>2216</v>
      </c>
      <c r="T992" s="38">
        <v>44721</v>
      </c>
      <c r="U992" s="39"/>
      <c r="V992" s="39"/>
      <c r="W992" s="40">
        <v>0</v>
      </c>
      <c r="X992" s="40">
        <v>0</v>
      </c>
      <c r="Y992" s="40">
        <v>68</v>
      </c>
      <c r="Z992" s="40">
        <v>0</v>
      </c>
      <c r="AA992" s="40">
        <v>0</v>
      </c>
      <c r="AB992" s="40">
        <v>0</v>
      </c>
      <c r="AC992" s="40">
        <v>0</v>
      </c>
      <c r="AD992" s="40">
        <v>0</v>
      </c>
      <c r="AE992" s="40">
        <v>0</v>
      </c>
      <c r="AF992" s="40">
        <v>0</v>
      </c>
      <c r="AG992" s="40">
        <v>0</v>
      </c>
      <c r="AH992" s="40">
        <v>0</v>
      </c>
      <c r="AI992" s="41">
        <f t="shared" si="89"/>
        <v>68</v>
      </c>
      <c r="AJ992" s="42">
        <v>0</v>
      </c>
      <c r="AK992" s="42">
        <v>0</v>
      </c>
      <c r="AL992" s="42">
        <v>0</v>
      </c>
      <c r="AM992" s="42">
        <v>0</v>
      </c>
      <c r="AN992" s="42">
        <v>0</v>
      </c>
      <c r="AO992" s="42">
        <v>0</v>
      </c>
      <c r="AP992" s="42">
        <v>0</v>
      </c>
      <c r="AQ992" s="42">
        <v>0</v>
      </c>
      <c r="AR992" s="42">
        <v>0</v>
      </c>
      <c r="AS992" s="42">
        <v>0</v>
      </c>
      <c r="AT992" s="42">
        <v>0</v>
      </c>
      <c r="AU992" s="42">
        <v>0</v>
      </c>
      <c r="AV992" s="42">
        <f t="shared" si="90"/>
        <v>0</v>
      </c>
      <c r="AW992" s="42">
        <v>0</v>
      </c>
      <c r="AX992" s="42">
        <v>0</v>
      </c>
      <c r="AY992" s="42">
        <v>0</v>
      </c>
      <c r="AZ992" s="42">
        <v>0</v>
      </c>
      <c r="BA992" s="42">
        <v>0</v>
      </c>
      <c r="BB992" s="42">
        <v>0</v>
      </c>
      <c r="BC992" s="42">
        <v>0</v>
      </c>
      <c r="BD992" s="42">
        <v>0</v>
      </c>
      <c r="BE992" s="42">
        <v>0</v>
      </c>
      <c r="BF992" s="42">
        <v>0</v>
      </c>
      <c r="BG992" s="42">
        <v>0</v>
      </c>
      <c r="BH992" s="42">
        <v>0</v>
      </c>
      <c r="BI992" s="42">
        <v>0</v>
      </c>
      <c r="BJ992" s="42">
        <v>0</v>
      </c>
      <c r="BK992" s="42">
        <v>0</v>
      </c>
      <c r="BL992" s="42">
        <v>0</v>
      </c>
      <c r="BM992" s="42">
        <v>0</v>
      </c>
      <c r="BN992" s="42">
        <v>0</v>
      </c>
      <c r="BO992" s="42">
        <v>0</v>
      </c>
      <c r="BP992" s="42">
        <v>0</v>
      </c>
      <c r="BQ992" s="42">
        <v>0</v>
      </c>
      <c r="BR992" s="42">
        <v>0</v>
      </c>
      <c r="BS992" s="42">
        <v>0</v>
      </c>
      <c r="BT992" s="42">
        <v>0</v>
      </c>
      <c r="BU992" s="42">
        <v>0</v>
      </c>
      <c r="BV992" s="42">
        <v>0</v>
      </c>
      <c r="BW992" s="42">
        <v>0</v>
      </c>
      <c r="BX992" s="42">
        <v>0</v>
      </c>
      <c r="BY992" s="42">
        <v>0</v>
      </c>
      <c r="BZ992" s="42">
        <v>0</v>
      </c>
      <c r="CA992" s="42">
        <v>0</v>
      </c>
      <c r="CB992" s="42">
        <v>0</v>
      </c>
      <c r="CC992" s="42">
        <v>0</v>
      </c>
      <c r="CD992" s="42">
        <v>0</v>
      </c>
      <c r="CE992" s="42">
        <v>0</v>
      </c>
      <c r="CF992" s="42">
        <v>0</v>
      </c>
      <c r="CG992" s="42">
        <v>0</v>
      </c>
      <c r="CH992" s="42">
        <v>0</v>
      </c>
      <c r="CI992" s="42">
        <v>0</v>
      </c>
      <c r="CJ992" s="42">
        <v>0</v>
      </c>
      <c r="CK992" s="43">
        <f t="shared" si="87"/>
        <v>0</v>
      </c>
      <c r="CL992" s="66"/>
      <c r="CM992" s="66">
        <v>0</v>
      </c>
      <c r="CN992" s="66">
        <v>0</v>
      </c>
      <c r="CO992" s="66">
        <v>0</v>
      </c>
      <c r="CP992" s="66">
        <v>0</v>
      </c>
      <c r="CQ992" s="66">
        <v>0</v>
      </c>
      <c r="CR992" s="66">
        <v>0</v>
      </c>
      <c r="CS992" s="66">
        <v>0</v>
      </c>
      <c r="CT992" s="66">
        <v>0</v>
      </c>
      <c r="CU992" s="66">
        <v>0</v>
      </c>
      <c r="CV992" s="66">
        <v>0</v>
      </c>
      <c r="CW992" s="66">
        <v>0</v>
      </c>
      <c r="CX992" s="66">
        <v>0</v>
      </c>
      <c r="CY992" s="66">
        <v>0</v>
      </c>
      <c r="CZ992" s="66">
        <v>0</v>
      </c>
      <c r="DA992" s="66"/>
      <c r="DB992" s="66"/>
      <c r="DC992" s="66"/>
      <c r="DD992" s="66"/>
      <c r="DE992" s="66"/>
      <c r="DF992" s="66"/>
      <c r="DG992" s="66"/>
      <c r="DH992" s="66"/>
      <c r="DI992" s="66"/>
      <c r="DJ992" s="66"/>
      <c r="DK992" s="66">
        <f>SUM(Table1[[#This Row],[01-03 Apr]:[Mar-26]])</f>
        <v>0</v>
      </c>
    </row>
    <row r="993" spans="1:115" hidden="1" x14ac:dyDescent="0.2">
      <c r="A993" s="28" t="s">
        <v>371</v>
      </c>
      <c r="B993" s="29" t="s">
        <v>2128</v>
      </c>
      <c r="C993" s="29" t="s">
        <v>3336</v>
      </c>
      <c r="D993" s="30" t="s">
        <v>2129</v>
      </c>
      <c r="E993" s="30" t="s">
        <v>85</v>
      </c>
      <c r="F993" s="30"/>
      <c r="G993" s="31"/>
      <c r="H993" s="30"/>
      <c r="I993" s="30" t="str">
        <f>IF(Table1[[#This Row],[Centre Status]]="Returned","NA",IF(Table1[[#This Row],[SD]]&gt;19000,"Full Payment",IF(Table1[[#This Row],[SD]]&lt;1,"No Payment","Partial Payment")))</f>
        <v>NA</v>
      </c>
      <c r="J993" s="30" t="s">
        <v>1903</v>
      </c>
      <c r="K993" s="32">
        <v>0</v>
      </c>
      <c r="L993" s="33">
        <f>Q993+R993+U993+Table1[[#This Row],[Farmer Payment]]</f>
        <v>20384</v>
      </c>
      <c r="M993" s="30">
        <v>20000</v>
      </c>
      <c r="N993" s="34">
        <v>44716</v>
      </c>
      <c r="O993" s="34"/>
      <c r="P993" s="35">
        <f t="shared" si="88"/>
        <v>-384</v>
      </c>
      <c r="Q993" s="33">
        <f>AI993+AV993+CK993+Table1[[#This Row],[FY 25-26]]</f>
        <v>384</v>
      </c>
      <c r="R993" s="36">
        <v>20000</v>
      </c>
      <c r="S993" s="37" t="s">
        <v>2217</v>
      </c>
      <c r="T993" s="38">
        <v>44648</v>
      </c>
      <c r="U993" s="39"/>
      <c r="V993" s="39"/>
      <c r="W993" s="40">
        <v>122</v>
      </c>
      <c r="X993" s="40">
        <v>262</v>
      </c>
      <c r="Y993" s="40">
        <v>0</v>
      </c>
      <c r="Z993" s="40">
        <v>0</v>
      </c>
      <c r="AA993" s="40">
        <v>0</v>
      </c>
      <c r="AB993" s="40">
        <v>0</v>
      </c>
      <c r="AC993" s="40">
        <v>0</v>
      </c>
      <c r="AD993" s="40">
        <v>0</v>
      </c>
      <c r="AE993" s="40">
        <v>0</v>
      </c>
      <c r="AF993" s="40">
        <v>0</v>
      </c>
      <c r="AG993" s="40">
        <v>0</v>
      </c>
      <c r="AH993" s="40">
        <v>0</v>
      </c>
      <c r="AI993" s="41">
        <f t="shared" si="89"/>
        <v>384</v>
      </c>
      <c r="AJ993" s="42">
        <v>0</v>
      </c>
      <c r="AK993" s="42">
        <v>0</v>
      </c>
      <c r="AL993" s="42">
        <v>0</v>
      </c>
      <c r="AM993" s="42">
        <v>0</v>
      </c>
      <c r="AN993" s="42">
        <v>0</v>
      </c>
      <c r="AO993" s="42">
        <v>0</v>
      </c>
      <c r="AP993" s="42">
        <v>0</v>
      </c>
      <c r="AQ993" s="42">
        <v>0</v>
      </c>
      <c r="AR993" s="42">
        <v>0</v>
      </c>
      <c r="AS993" s="42">
        <v>0</v>
      </c>
      <c r="AT993" s="42">
        <v>0</v>
      </c>
      <c r="AU993" s="42">
        <v>0</v>
      </c>
      <c r="AV993" s="42">
        <f t="shared" si="90"/>
        <v>0</v>
      </c>
      <c r="AW993" s="42">
        <v>0</v>
      </c>
      <c r="AX993" s="42">
        <v>0</v>
      </c>
      <c r="AY993" s="42">
        <v>0</v>
      </c>
      <c r="AZ993" s="42">
        <v>0</v>
      </c>
      <c r="BA993" s="42">
        <v>0</v>
      </c>
      <c r="BB993" s="42">
        <v>0</v>
      </c>
      <c r="BC993" s="42">
        <v>0</v>
      </c>
      <c r="BD993" s="42">
        <v>0</v>
      </c>
      <c r="BE993" s="42">
        <v>0</v>
      </c>
      <c r="BF993" s="42">
        <v>0</v>
      </c>
      <c r="BG993" s="42">
        <v>0</v>
      </c>
      <c r="BH993" s="42">
        <v>0</v>
      </c>
      <c r="BI993" s="42">
        <v>0</v>
      </c>
      <c r="BJ993" s="42">
        <v>0</v>
      </c>
      <c r="BK993" s="42">
        <v>0</v>
      </c>
      <c r="BL993" s="42">
        <v>0</v>
      </c>
      <c r="BM993" s="42">
        <v>0</v>
      </c>
      <c r="BN993" s="42">
        <v>0</v>
      </c>
      <c r="BO993" s="42">
        <v>0</v>
      </c>
      <c r="BP993" s="42">
        <v>0</v>
      </c>
      <c r="BQ993" s="42">
        <v>0</v>
      </c>
      <c r="BR993" s="42">
        <v>0</v>
      </c>
      <c r="BS993" s="42">
        <v>0</v>
      </c>
      <c r="BT993" s="42">
        <v>0</v>
      </c>
      <c r="BU993" s="42">
        <v>0</v>
      </c>
      <c r="BV993" s="42">
        <v>0</v>
      </c>
      <c r="BW993" s="42">
        <v>0</v>
      </c>
      <c r="BX993" s="42">
        <v>0</v>
      </c>
      <c r="BY993" s="42">
        <v>0</v>
      </c>
      <c r="BZ993" s="42">
        <v>0</v>
      </c>
      <c r="CA993" s="42">
        <v>0</v>
      </c>
      <c r="CB993" s="42">
        <v>0</v>
      </c>
      <c r="CC993" s="42">
        <v>0</v>
      </c>
      <c r="CD993" s="42">
        <v>0</v>
      </c>
      <c r="CE993" s="42">
        <v>0</v>
      </c>
      <c r="CF993" s="42">
        <v>0</v>
      </c>
      <c r="CG993" s="42">
        <v>0</v>
      </c>
      <c r="CH993" s="42">
        <v>0</v>
      </c>
      <c r="CI993" s="42">
        <v>0</v>
      </c>
      <c r="CJ993" s="42">
        <v>0</v>
      </c>
      <c r="CK993" s="43">
        <f t="shared" si="87"/>
        <v>0</v>
      </c>
      <c r="CL993" s="66"/>
      <c r="CM993" s="66">
        <v>0</v>
      </c>
      <c r="CN993" s="66">
        <v>0</v>
      </c>
      <c r="CO993" s="66">
        <v>0</v>
      </c>
      <c r="CP993" s="66">
        <v>0</v>
      </c>
      <c r="CQ993" s="66">
        <v>0</v>
      </c>
      <c r="CR993" s="66">
        <v>0</v>
      </c>
      <c r="CS993" s="66">
        <v>0</v>
      </c>
      <c r="CT993" s="66">
        <v>0</v>
      </c>
      <c r="CU993" s="66">
        <v>0</v>
      </c>
      <c r="CV993" s="66">
        <v>0</v>
      </c>
      <c r="CW993" s="66">
        <v>0</v>
      </c>
      <c r="CX993" s="66">
        <v>0</v>
      </c>
      <c r="CY993" s="66">
        <v>0</v>
      </c>
      <c r="CZ993" s="66">
        <v>0</v>
      </c>
      <c r="DA993" s="66"/>
      <c r="DB993" s="66"/>
      <c r="DC993" s="66"/>
      <c r="DD993" s="66"/>
      <c r="DE993" s="66"/>
      <c r="DF993" s="66"/>
      <c r="DG993" s="66"/>
      <c r="DH993" s="66"/>
      <c r="DI993" s="66"/>
      <c r="DJ993" s="66"/>
      <c r="DK993" s="66">
        <f>SUM(Table1[[#This Row],[01-03 Apr]:[Mar-26]])</f>
        <v>0</v>
      </c>
    </row>
    <row r="994" spans="1:115" hidden="1" x14ac:dyDescent="0.2">
      <c r="A994" s="28" t="s">
        <v>371</v>
      </c>
      <c r="B994" s="29" t="s">
        <v>2130</v>
      </c>
      <c r="C994" s="29" t="s">
        <v>3336</v>
      </c>
      <c r="D994" s="30" t="s">
        <v>2131</v>
      </c>
      <c r="E994" s="30" t="s">
        <v>217</v>
      </c>
      <c r="F994" s="30"/>
      <c r="G994" s="31"/>
      <c r="H994" s="30"/>
      <c r="I994" s="30" t="str">
        <f>IF(Table1[[#This Row],[Centre Status]]="Returned","NA",IF(Table1[[#This Row],[SD]]&gt;19000,"Full Payment",IF(Table1[[#This Row],[SD]]&lt;1,"No Payment","Partial Payment")))</f>
        <v>NA</v>
      </c>
      <c r="J994" s="30" t="s">
        <v>1903</v>
      </c>
      <c r="K994" s="32">
        <v>0</v>
      </c>
      <c r="L994" s="33">
        <f>Q994+R994+U994+Table1[[#This Row],[Farmer Payment]]</f>
        <v>20493</v>
      </c>
      <c r="M994" s="30">
        <v>20000</v>
      </c>
      <c r="N994" s="34">
        <v>44763</v>
      </c>
      <c r="O994" s="34"/>
      <c r="P994" s="35">
        <f t="shared" si="88"/>
        <v>-493</v>
      </c>
      <c r="Q994" s="33">
        <f>AI994+AV994+CK994+Table1[[#This Row],[FY 25-26]]</f>
        <v>493</v>
      </c>
      <c r="R994" s="36">
        <v>20000</v>
      </c>
      <c r="S994" s="37" t="s">
        <v>2218</v>
      </c>
      <c r="T994" s="38">
        <v>44664</v>
      </c>
      <c r="U994" s="39"/>
      <c r="V994" s="39"/>
      <c r="W994" s="40">
        <v>0</v>
      </c>
      <c r="X994" s="40">
        <v>493</v>
      </c>
      <c r="Y994" s="40">
        <v>0</v>
      </c>
      <c r="Z994" s="40">
        <v>0</v>
      </c>
      <c r="AA994" s="40">
        <v>0</v>
      </c>
      <c r="AB994" s="40">
        <v>0</v>
      </c>
      <c r="AC994" s="40">
        <v>0</v>
      </c>
      <c r="AD994" s="40">
        <v>0</v>
      </c>
      <c r="AE994" s="40">
        <v>0</v>
      </c>
      <c r="AF994" s="40">
        <v>0</v>
      </c>
      <c r="AG994" s="40">
        <v>0</v>
      </c>
      <c r="AH994" s="40">
        <v>0</v>
      </c>
      <c r="AI994" s="41">
        <f t="shared" si="89"/>
        <v>493</v>
      </c>
      <c r="AJ994" s="42">
        <v>0</v>
      </c>
      <c r="AK994" s="42">
        <v>0</v>
      </c>
      <c r="AL994" s="42">
        <v>0</v>
      </c>
      <c r="AM994" s="42">
        <v>0</v>
      </c>
      <c r="AN994" s="42">
        <v>0</v>
      </c>
      <c r="AO994" s="42">
        <v>0</v>
      </c>
      <c r="AP994" s="42">
        <v>0</v>
      </c>
      <c r="AQ994" s="42">
        <v>0</v>
      </c>
      <c r="AR994" s="42">
        <v>0</v>
      </c>
      <c r="AS994" s="42">
        <v>0</v>
      </c>
      <c r="AT994" s="42">
        <v>0</v>
      </c>
      <c r="AU994" s="42">
        <v>0</v>
      </c>
      <c r="AV994" s="42">
        <f t="shared" si="90"/>
        <v>0</v>
      </c>
      <c r="AW994" s="42">
        <v>0</v>
      </c>
      <c r="AX994" s="42">
        <v>0</v>
      </c>
      <c r="AY994" s="42">
        <v>0</v>
      </c>
      <c r="AZ994" s="42">
        <v>0</v>
      </c>
      <c r="BA994" s="42">
        <v>0</v>
      </c>
      <c r="BB994" s="42">
        <v>0</v>
      </c>
      <c r="BC994" s="42">
        <v>0</v>
      </c>
      <c r="BD994" s="42">
        <v>0</v>
      </c>
      <c r="BE994" s="42">
        <v>0</v>
      </c>
      <c r="BF994" s="42">
        <v>0</v>
      </c>
      <c r="BG994" s="42">
        <v>0</v>
      </c>
      <c r="BH994" s="42">
        <v>0</v>
      </c>
      <c r="BI994" s="42">
        <v>0</v>
      </c>
      <c r="BJ994" s="42">
        <v>0</v>
      </c>
      <c r="BK994" s="42">
        <v>0</v>
      </c>
      <c r="BL994" s="42">
        <v>0</v>
      </c>
      <c r="BM994" s="42">
        <v>0</v>
      </c>
      <c r="BN994" s="42">
        <v>0</v>
      </c>
      <c r="BO994" s="42">
        <v>0</v>
      </c>
      <c r="BP994" s="42">
        <v>0</v>
      </c>
      <c r="BQ994" s="42">
        <v>0</v>
      </c>
      <c r="BR994" s="42">
        <v>0</v>
      </c>
      <c r="BS994" s="42">
        <v>0</v>
      </c>
      <c r="BT994" s="42">
        <v>0</v>
      </c>
      <c r="BU994" s="42">
        <v>0</v>
      </c>
      <c r="BV994" s="42">
        <v>0</v>
      </c>
      <c r="BW994" s="42">
        <v>0</v>
      </c>
      <c r="BX994" s="42">
        <v>0</v>
      </c>
      <c r="BY994" s="42">
        <v>0</v>
      </c>
      <c r="BZ994" s="42">
        <v>0</v>
      </c>
      <c r="CA994" s="42">
        <v>0</v>
      </c>
      <c r="CB994" s="42">
        <v>0</v>
      </c>
      <c r="CC994" s="42">
        <v>0</v>
      </c>
      <c r="CD994" s="42">
        <v>0</v>
      </c>
      <c r="CE994" s="42">
        <v>0</v>
      </c>
      <c r="CF994" s="42">
        <v>0</v>
      </c>
      <c r="CG994" s="42">
        <v>0</v>
      </c>
      <c r="CH994" s="42">
        <v>0</v>
      </c>
      <c r="CI994" s="42">
        <v>0</v>
      </c>
      <c r="CJ994" s="42">
        <v>0</v>
      </c>
      <c r="CK994" s="43">
        <f t="shared" si="87"/>
        <v>0</v>
      </c>
      <c r="CL994" s="66"/>
      <c r="CM994" s="66">
        <v>0</v>
      </c>
      <c r="CN994" s="66">
        <v>0</v>
      </c>
      <c r="CO994" s="66">
        <v>0</v>
      </c>
      <c r="CP994" s="66">
        <v>0</v>
      </c>
      <c r="CQ994" s="66">
        <v>0</v>
      </c>
      <c r="CR994" s="66">
        <v>0</v>
      </c>
      <c r="CS994" s="66">
        <v>0</v>
      </c>
      <c r="CT994" s="66">
        <v>0</v>
      </c>
      <c r="CU994" s="66">
        <v>0</v>
      </c>
      <c r="CV994" s="66">
        <v>0</v>
      </c>
      <c r="CW994" s="66">
        <v>0</v>
      </c>
      <c r="CX994" s="66">
        <v>0</v>
      </c>
      <c r="CY994" s="66">
        <v>0</v>
      </c>
      <c r="CZ994" s="66">
        <v>0</v>
      </c>
      <c r="DA994" s="66"/>
      <c r="DB994" s="66"/>
      <c r="DC994" s="66"/>
      <c r="DD994" s="66"/>
      <c r="DE994" s="66"/>
      <c r="DF994" s="66"/>
      <c r="DG994" s="66"/>
      <c r="DH994" s="66"/>
      <c r="DI994" s="66"/>
      <c r="DJ994" s="66"/>
      <c r="DK994" s="66">
        <f>SUM(Table1[[#This Row],[01-03 Apr]:[Mar-26]])</f>
        <v>0</v>
      </c>
    </row>
    <row r="995" spans="1:115" hidden="1" x14ac:dyDescent="0.2">
      <c r="A995" s="28" t="s">
        <v>371</v>
      </c>
      <c r="B995" s="29" t="s">
        <v>2132</v>
      </c>
      <c r="C995" s="29" t="s">
        <v>3336</v>
      </c>
      <c r="D995" s="30" t="s">
        <v>2132</v>
      </c>
      <c r="E995" s="30" t="s">
        <v>217</v>
      </c>
      <c r="F995" s="30"/>
      <c r="G995" s="31"/>
      <c r="H995" s="30"/>
      <c r="I995" s="30" t="str">
        <f>IF(Table1[[#This Row],[Centre Status]]="Returned","NA",IF(Table1[[#This Row],[SD]]&gt;19000,"Full Payment",IF(Table1[[#This Row],[SD]]&lt;1,"No Payment","Partial Payment")))</f>
        <v>NA</v>
      </c>
      <c r="J995" s="30" t="s">
        <v>1903</v>
      </c>
      <c r="K995" s="32">
        <v>0</v>
      </c>
      <c r="L995" s="33">
        <f>Q995+R995+U995+Table1[[#This Row],[Farmer Payment]]</f>
        <v>20000</v>
      </c>
      <c r="M995" s="30">
        <v>20000</v>
      </c>
      <c r="N995" s="34">
        <v>44833</v>
      </c>
      <c r="O995" s="34"/>
      <c r="P995" s="35">
        <f t="shared" si="88"/>
        <v>0</v>
      </c>
      <c r="Q995" s="33">
        <f>AI995+AV995+CK995+Table1[[#This Row],[FY 25-26]]</f>
        <v>0</v>
      </c>
      <c r="R995" s="36">
        <v>20000</v>
      </c>
      <c r="S995" s="37" t="s">
        <v>2219</v>
      </c>
      <c r="T995" s="38">
        <v>44769</v>
      </c>
      <c r="U995" s="39"/>
      <c r="V995" s="39"/>
      <c r="W995" s="40">
        <v>0</v>
      </c>
      <c r="X995" s="40">
        <v>0</v>
      </c>
      <c r="Y995" s="40">
        <v>0</v>
      </c>
      <c r="Z995" s="40">
        <v>0</v>
      </c>
      <c r="AA995" s="40">
        <v>0</v>
      </c>
      <c r="AB995" s="40">
        <v>0</v>
      </c>
      <c r="AC995" s="40">
        <v>0</v>
      </c>
      <c r="AD995" s="40">
        <v>0</v>
      </c>
      <c r="AE995" s="40">
        <v>0</v>
      </c>
      <c r="AF995" s="40">
        <v>0</v>
      </c>
      <c r="AG995" s="40">
        <v>0</v>
      </c>
      <c r="AH995" s="40">
        <v>0</v>
      </c>
      <c r="AI995" s="41">
        <f t="shared" si="89"/>
        <v>0</v>
      </c>
      <c r="AJ995" s="42">
        <v>0</v>
      </c>
      <c r="AK995" s="42">
        <v>0</v>
      </c>
      <c r="AL995" s="42">
        <v>0</v>
      </c>
      <c r="AM995" s="42">
        <v>0</v>
      </c>
      <c r="AN995" s="42">
        <v>0</v>
      </c>
      <c r="AO995" s="42">
        <v>0</v>
      </c>
      <c r="AP995" s="42">
        <v>0</v>
      </c>
      <c r="AQ995" s="42">
        <v>0</v>
      </c>
      <c r="AR995" s="42">
        <v>0</v>
      </c>
      <c r="AS995" s="42">
        <v>0</v>
      </c>
      <c r="AT995" s="42">
        <v>0</v>
      </c>
      <c r="AU995" s="42">
        <v>0</v>
      </c>
      <c r="AV995" s="42">
        <f t="shared" si="90"/>
        <v>0</v>
      </c>
      <c r="AW995" s="42">
        <v>0</v>
      </c>
      <c r="AX995" s="42">
        <v>0</v>
      </c>
      <c r="AY995" s="42">
        <v>0</v>
      </c>
      <c r="AZ995" s="42">
        <v>0</v>
      </c>
      <c r="BA995" s="42">
        <v>0</v>
      </c>
      <c r="BB995" s="42">
        <v>0</v>
      </c>
      <c r="BC995" s="42">
        <v>0</v>
      </c>
      <c r="BD995" s="42">
        <v>0</v>
      </c>
      <c r="BE995" s="42">
        <v>0</v>
      </c>
      <c r="BF995" s="42">
        <v>0</v>
      </c>
      <c r="BG995" s="42">
        <v>0</v>
      </c>
      <c r="BH995" s="42">
        <v>0</v>
      </c>
      <c r="BI995" s="42">
        <v>0</v>
      </c>
      <c r="BJ995" s="42">
        <v>0</v>
      </c>
      <c r="BK995" s="42">
        <v>0</v>
      </c>
      <c r="BL995" s="42">
        <v>0</v>
      </c>
      <c r="BM995" s="42">
        <v>0</v>
      </c>
      <c r="BN995" s="42">
        <v>0</v>
      </c>
      <c r="BO995" s="42">
        <v>0</v>
      </c>
      <c r="BP995" s="42">
        <v>0</v>
      </c>
      <c r="BQ995" s="42">
        <v>0</v>
      </c>
      <c r="BR995" s="42">
        <v>0</v>
      </c>
      <c r="BS995" s="42">
        <v>0</v>
      </c>
      <c r="BT995" s="42">
        <v>0</v>
      </c>
      <c r="BU995" s="42">
        <v>0</v>
      </c>
      <c r="BV995" s="42">
        <v>0</v>
      </c>
      <c r="BW995" s="42">
        <v>0</v>
      </c>
      <c r="BX995" s="42">
        <v>0</v>
      </c>
      <c r="BY995" s="42">
        <v>0</v>
      </c>
      <c r="BZ995" s="42">
        <v>0</v>
      </c>
      <c r="CA995" s="42">
        <v>0</v>
      </c>
      <c r="CB995" s="42">
        <v>0</v>
      </c>
      <c r="CC995" s="42">
        <v>0</v>
      </c>
      <c r="CD995" s="42">
        <v>0</v>
      </c>
      <c r="CE995" s="42">
        <v>0</v>
      </c>
      <c r="CF995" s="42">
        <v>0</v>
      </c>
      <c r="CG995" s="42">
        <v>0</v>
      </c>
      <c r="CH995" s="42">
        <v>0</v>
      </c>
      <c r="CI995" s="42">
        <v>0</v>
      </c>
      <c r="CJ995" s="42">
        <v>0</v>
      </c>
      <c r="CK995" s="43">
        <f t="shared" si="87"/>
        <v>0</v>
      </c>
      <c r="CL995" s="66"/>
      <c r="CM995" s="66">
        <v>0</v>
      </c>
      <c r="CN995" s="66">
        <v>0</v>
      </c>
      <c r="CO995" s="66">
        <v>0</v>
      </c>
      <c r="CP995" s="66">
        <v>0</v>
      </c>
      <c r="CQ995" s="66">
        <v>0</v>
      </c>
      <c r="CR995" s="66">
        <v>0</v>
      </c>
      <c r="CS995" s="66">
        <v>0</v>
      </c>
      <c r="CT995" s="66">
        <v>0</v>
      </c>
      <c r="CU995" s="66">
        <v>0</v>
      </c>
      <c r="CV995" s="66">
        <v>0</v>
      </c>
      <c r="CW995" s="66">
        <v>0</v>
      </c>
      <c r="CX995" s="66">
        <v>0</v>
      </c>
      <c r="CY995" s="66">
        <v>0</v>
      </c>
      <c r="CZ995" s="66">
        <v>0</v>
      </c>
      <c r="DA995" s="66"/>
      <c r="DB995" s="66"/>
      <c r="DC995" s="66"/>
      <c r="DD995" s="66"/>
      <c r="DE995" s="66"/>
      <c r="DF995" s="66"/>
      <c r="DG995" s="66"/>
      <c r="DH995" s="66"/>
      <c r="DI995" s="66"/>
      <c r="DJ995" s="66"/>
      <c r="DK995" s="66">
        <f>SUM(Table1[[#This Row],[01-03 Apr]:[Mar-26]])</f>
        <v>0</v>
      </c>
    </row>
    <row r="996" spans="1:115" hidden="1" x14ac:dyDescent="0.2">
      <c r="A996" s="28"/>
      <c r="B996" s="29"/>
      <c r="C996" s="29" t="s">
        <v>3336</v>
      </c>
      <c r="D996" s="30" t="s">
        <v>2010</v>
      </c>
      <c r="E996" s="30" t="s">
        <v>217</v>
      </c>
      <c r="F996" s="30"/>
      <c r="G996" s="31"/>
      <c r="H996" s="30"/>
      <c r="I996" s="30" t="str">
        <f>IF(Table1[[#This Row],[Centre Status]]="Returned","NA",IF(Table1[[#This Row],[SD]]&gt;19000,"Full Payment",IF(Table1[[#This Row],[SD]]&lt;1,"No Payment","Partial Payment")))</f>
        <v>NA</v>
      </c>
      <c r="J996" s="30" t="s">
        <v>1903</v>
      </c>
      <c r="K996" s="32">
        <v>0</v>
      </c>
      <c r="L996" s="33">
        <f>Q996+R996+U996+Table1[[#This Row],[Farmer Payment]]</f>
        <v>127392</v>
      </c>
      <c r="M996" s="30">
        <v>39426</v>
      </c>
      <c r="N996" s="34"/>
      <c r="O996" s="34"/>
      <c r="P996" s="35">
        <f>K996-L996+M996</f>
        <v>-87966</v>
      </c>
      <c r="Q996" s="33">
        <f>AI996+AV996+CK996+Table1[[#This Row],[FY 25-26]]</f>
        <v>0</v>
      </c>
      <c r="R996" s="36"/>
      <c r="S996" s="37"/>
      <c r="T996" s="38"/>
      <c r="U996" s="39">
        <f>62590+64802</f>
        <v>127392</v>
      </c>
      <c r="V996" s="39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1">
        <f>SUM(W996:AH996)</f>
        <v>0</v>
      </c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  <c r="AT996" s="42"/>
      <c r="AU996" s="42"/>
      <c r="AV996" s="42">
        <f>SUM(AJ996:AU996)</f>
        <v>0</v>
      </c>
      <c r="AW996" s="42"/>
      <c r="AX996" s="42"/>
      <c r="AY996" s="42"/>
      <c r="AZ996" s="42"/>
      <c r="BA996" s="42"/>
      <c r="BB996" s="42"/>
      <c r="BC996" s="42"/>
      <c r="BD996" s="42"/>
      <c r="BE996" s="42"/>
      <c r="BF996" s="42"/>
      <c r="BG996" s="42"/>
      <c r="BH996" s="42"/>
      <c r="BI996" s="42"/>
      <c r="BJ996" s="42"/>
      <c r="BK996" s="42"/>
      <c r="BL996" s="42"/>
      <c r="BM996" s="42"/>
      <c r="BN996" s="42"/>
      <c r="BO996" s="42"/>
      <c r="BP996" s="42"/>
      <c r="BQ996" s="42"/>
      <c r="BR996" s="42"/>
      <c r="BS996" s="42"/>
      <c r="BT996" s="42"/>
      <c r="BU996" s="42"/>
      <c r="BV996" s="42"/>
      <c r="BW996" s="42"/>
      <c r="BX996" s="42"/>
      <c r="BY996" s="42"/>
      <c r="BZ996" s="42"/>
      <c r="CA996" s="42"/>
      <c r="CB996" s="42"/>
      <c r="CC996" s="42"/>
      <c r="CD996" s="42"/>
      <c r="CE996" s="42"/>
      <c r="CF996" s="42">
        <v>0</v>
      </c>
      <c r="CG996" s="42">
        <v>0</v>
      </c>
      <c r="CH996" s="42">
        <v>0</v>
      </c>
      <c r="CI996" s="42">
        <v>0</v>
      </c>
      <c r="CJ996" s="42">
        <v>0</v>
      </c>
      <c r="CK996" s="43">
        <f>SUM(AW996:CJ996)</f>
        <v>0</v>
      </c>
      <c r="CL996" s="66"/>
      <c r="CM996" s="66">
        <v>0</v>
      </c>
      <c r="CN996" s="66">
        <v>0</v>
      </c>
      <c r="CO996" s="66">
        <v>0</v>
      </c>
      <c r="CP996" s="66">
        <v>0</v>
      </c>
      <c r="CQ996" s="66">
        <v>0</v>
      </c>
      <c r="CR996" s="66">
        <v>0</v>
      </c>
      <c r="CS996" s="66">
        <v>0</v>
      </c>
      <c r="CT996" s="66">
        <v>0</v>
      </c>
      <c r="CU996" s="66">
        <v>0</v>
      </c>
      <c r="CV996" s="66">
        <v>0</v>
      </c>
      <c r="CW996" s="66">
        <v>0</v>
      </c>
      <c r="CX996" s="66">
        <v>0</v>
      </c>
      <c r="CY996" s="66">
        <v>0</v>
      </c>
      <c r="CZ996" s="66">
        <v>0</v>
      </c>
      <c r="DA996" s="66"/>
      <c r="DB996" s="66"/>
      <c r="DC996" s="66"/>
      <c r="DD996" s="66"/>
      <c r="DE996" s="66"/>
      <c r="DF996" s="66"/>
      <c r="DG996" s="66"/>
      <c r="DH996" s="66"/>
      <c r="DI996" s="66"/>
      <c r="DJ996" s="66"/>
      <c r="DK996" s="66">
        <f>SUM(Table1[[#This Row],[01-03 Apr]:[Mar-26]])</f>
        <v>0</v>
      </c>
    </row>
    <row r="997" spans="1:115" hidden="1" x14ac:dyDescent="0.2">
      <c r="A997" s="28" t="s">
        <v>371</v>
      </c>
      <c r="B997" s="29"/>
      <c r="C997" s="29" t="s">
        <v>3336</v>
      </c>
      <c r="D997" s="30" t="s">
        <v>2133</v>
      </c>
      <c r="E997" s="30" t="s">
        <v>85</v>
      </c>
      <c r="F997" s="30"/>
      <c r="G997" s="31"/>
      <c r="H997" s="30"/>
      <c r="I997" s="30" t="str">
        <f>IF(Table1[[#This Row],[Centre Status]]="Returned","NA",IF(Table1[[#This Row],[SD]]&gt;19000,"Full Payment",IF(Table1[[#This Row],[SD]]&lt;1,"No Payment","Partial Payment")))</f>
        <v>NA</v>
      </c>
      <c r="J997" s="30" t="s">
        <v>1903</v>
      </c>
      <c r="K997" s="32">
        <v>0</v>
      </c>
      <c r="L997" s="33">
        <f>Q997+R997+U997+Table1[[#This Row],[Farmer Payment]]</f>
        <v>10000</v>
      </c>
      <c r="M997" s="30">
        <v>10000</v>
      </c>
      <c r="N997" s="34">
        <v>44834</v>
      </c>
      <c r="O997" s="34"/>
      <c r="P997" s="35">
        <f t="shared" si="88"/>
        <v>0</v>
      </c>
      <c r="Q997" s="33">
        <f>AI997+AV997+CK997+Table1[[#This Row],[FY 25-26]]</f>
        <v>0</v>
      </c>
      <c r="R997" s="36">
        <v>10000</v>
      </c>
      <c r="S997" s="37">
        <v>4896693057</v>
      </c>
      <c r="T997" s="38">
        <v>44672</v>
      </c>
      <c r="U997" s="39"/>
      <c r="V997" s="39"/>
      <c r="W997" s="40">
        <v>0</v>
      </c>
      <c r="X997" s="40">
        <v>0</v>
      </c>
      <c r="Y997" s="40">
        <v>0</v>
      </c>
      <c r="Z997" s="40">
        <v>0</v>
      </c>
      <c r="AA997" s="40">
        <v>0</v>
      </c>
      <c r="AB997" s="40">
        <v>0</v>
      </c>
      <c r="AC997" s="40">
        <v>0</v>
      </c>
      <c r="AD997" s="40">
        <v>0</v>
      </c>
      <c r="AE997" s="40">
        <v>0</v>
      </c>
      <c r="AF997" s="40">
        <v>0</v>
      </c>
      <c r="AG997" s="40">
        <v>0</v>
      </c>
      <c r="AH997" s="40">
        <v>0</v>
      </c>
      <c r="AI997" s="41">
        <f t="shared" si="89"/>
        <v>0</v>
      </c>
      <c r="AJ997" s="42">
        <v>0</v>
      </c>
      <c r="AK997" s="42">
        <v>0</v>
      </c>
      <c r="AL997" s="42">
        <v>0</v>
      </c>
      <c r="AM997" s="42">
        <v>0</v>
      </c>
      <c r="AN997" s="42">
        <v>0</v>
      </c>
      <c r="AO997" s="42">
        <v>0</v>
      </c>
      <c r="AP997" s="42">
        <v>0</v>
      </c>
      <c r="AQ997" s="42">
        <v>0</v>
      </c>
      <c r="AR997" s="42">
        <v>0</v>
      </c>
      <c r="AS997" s="42">
        <v>0</v>
      </c>
      <c r="AT997" s="42">
        <v>0</v>
      </c>
      <c r="AU997" s="42">
        <v>0</v>
      </c>
      <c r="AV997" s="42">
        <f t="shared" si="90"/>
        <v>0</v>
      </c>
      <c r="AW997" s="42">
        <v>0</v>
      </c>
      <c r="AX997" s="42">
        <v>0</v>
      </c>
      <c r="AY997" s="42">
        <v>0</v>
      </c>
      <c r="AZ997" s="42">
        <v>0</v>
      </c>
      <c r="BA997" s="42">
        <v>0</v>
      </c>
      <c r="BB997" s="42">
        <v>0</v>
      </c>
      <c r="BC997" s="42">
        <v>0</v>
      </c>
      <c r="BD997" s="42">
        <v>0</v>
      </c>
      <c r="BE997" s="42">
        <v>0</v>
      </c>
      <c r="BF997" s="42">
        <v>0</v>
      </c>
      <c r="BG997" s="42">
        <v>0</v>
      </c>
      <c r="BH997" s="42">
        <v>0</v>
      </c>
      <c r="BI997" s="42">
        <v>0</v>
      </c>
      <c r="BJ997" s="42">
        <v>0</v>
      </c>
      <c r="BK997" s="42">
        <v>0</v>
      </c>
      <c r="BL997" s="42">
        <v>0</v>
      </c>
      <c r="BM997" s="42">
        <v>0</v>
      </c>
      <c r="BN997" s="42">
        <v>0</v>
      </c>
      <c r="BO997" s="42">
        <v>0</v>
      </c>
      <c r="BP997" s="42">
        <v>0</v>
      </c>
      <c r="BQ997" s="42">
        <v>0</v>
      </c>
      <c r="BR997" s="42">
        <v>0</v>
      </c>
      <c r="BS997" s="42">
        <v>0</v>
      </c>
      <c r="BT997" s="42">
        <v>0</v>
      </c>
      <c r="BU997" s="42">
        <v>0</v>
      </c>
      <c r="BV997" s="42">
        <v>0</v>
      </c>
      <c r="BW997" s="42">
        <v>0</v>
      </c>
      <c r="BX997" s="42">
        <v>0</v>
      </c>
      <c r="BY997" s="42">
        <v>0</v>
      </c>
      <c r="BZ997" s="42">
        <v>0</v>
      </c>
      <c r="CA997" s="42">
        <v>0</v>
      </c>
      <c r="CB997" s="42">
        <v>0</v>
      </c>
      <c r="CC997" s="42">
        <v>0</v>
      </c>
      <c r="CD997" s="42">
        <v>0</v>
      </c>
      <c r="CE997" s="42">
        <v>0</v>
      </c>
      <c r="CF997" s="42">
        <v>0</v>
      </c>
      <c r="CG997" s="42">
        <v>0</v>
      </c>
      <c r="CH997" s="42">
        <v>0</v>
      </c>
      <c r="CI997" s="42">
        <v>0</v>
      </c>
      <c r="CJ997" s="42">
        <v>0</v>
      </c>
      <c r="CK997" s="43">
        <f t="shared" si="87"/>
        <v>0</v>
      </c>
      <c r="CL997" s="66"/>
      <c r="CM997" s="66">
        <v>0</v>
      </c>
      <c r="CN997" s="66">
        <v>0</v>
      </c>
      <c r="CO997" s="66">
        <v>0</v>
      </c>
      <c r="CP997" s="66">
        <v>0</v>
      </c>
      <c r="CQ997" s="66">
        <v>0</v>
      </c>
      <c r="CR997" s="66">
        <v>0</v>
      </c>
      <c r="CS997" s="66">
        <v>0</v>
      </c>
      <c r="CT997" s="66">
        <v>0</v>
      </c>
      <c r="CU997" s="66">
        <v>0</v>
      </c>
      <c r="CV997" s="66">
        <v>0</v>
      </c>
      <c r="CW997" s="66">
        <v>0</v>
      </c>
      <c r="CX997" s="66">
        <v>0</v>
      </c>
      <c r="CY997" s="66">
        <v>0</v>
      </c>
      <c r="CZ997" s="66">
        <v>0</v>
      </c>
      <c r="DA997" s="66"/>
      <c r="DB997" s="66"/>
      <c r="DC997" s="66"/>
      <c r="DD997" s="66"/>
      <c r="DE997" s="66"/>
      <c r="DF997" s="66"/>
      <c r="DG997" s="66"/>
      <c r="DH997" s="66"/>
      <c r="DI997" s="66"/>
      <c r="DJ997" s="66"/>
      <c r="DK997" s="66">
        <f>SUM(Table1[[#This Row],[01-03 Apr]:[Mar-26]])</f>
        <v>0</v>
      </c>
    </row>
    <row r="998" spans="1:115" hidden="1" x14ac:dyDescent="0.2">
      <c r="A998" s="28" t="s">
        <v>371</v>
      </c>
      <c r="B998" s="29" t="s">
        <v>2134</v>
      </c>
      <c r="C998" s="29" t="s">
        <v>3336</v>
      </c>
      <c r="D998" s="30" t="s">
        <v>2135</v>
      </c>
      <c r="E998" s="30" t="s">
        <v>217</v>
      </c>
      <c r="F998" s="30"/>
      <c r="G998" s="31"/>
      <c r="H998" s="30"/>
      <c r="I998" s="30" t="str">
        <f>IF(Table1[[#This Row],[Centre Status]]="Returned","NA",IF(Table1[[#This Row],[SD]]&gt;19000,"Full Payment",IF(Table1[[#This Row],[SD]]&lt;1,"No Payment","Partial Payment")))</f>
        <v>NA</v>
      </c>
      <c r="J998" s="30" t="s">
        <v>1903</v>
      </c>
      <c r="K998" s="32">
        <v>0</v>
      </c>
      <c r="L998" s="33">
        <f>Q998+R998+U998+Table1[[#This Row],[Farmer Payment]]</f>
        <v>10000</v>
      </c>
      <c r="M998" s="30">
        <v>10000</v>
      </c>
      <c r="N998" s="34">
        <v>44833</v>
      </c>
      <c r="O998" s="34"/>
      <c r="P998" s="35">
        <f t="shared" si="88"/>
        <v>0</v>
      </c>
      <c r="Q998" s="33">
        <f>AI998+AV998+CK998+Table1[[#This Row],[FY 25-26]]</f>
        <v>0</v>
      </c>
      <c r="R998" s="36">
        <v>10000</v>
      </c>
      <c r="S998" s="37" t="s">
        <v>2220</v>
      </c>
      <c r="T998" s="38">
        <v>44793</v>
      </c>
      <c r="U998" s="39"/>
      <c r="V998" s="39"/>
      <c r="W998" s="40">
        <v>0</v>
      </c>
      <c r="X998" s="40">
        <v>0</v>
      </c>
      <c r="Y998" s="40">
        <v>0</v>
      </c>
      <c r="Z998" s="40">
        <v>0</v>
      </c>
      <c r="AA998" s="40">
        <v>0</v>
      </c>
      <c r="AB998" s="40">
        <v>0</v>
      </c>
      <c r="AC998" s="40">
        <v>0</v>
      </c>
      <c r="AD998" s="40">
        <v>0</v>
      </c>
      <c r="AE998" s="40">
        <v>0</v>
      </c>
      <c r="AF998" s="40">
        <v>0</v>
      </c>
      <c r="AG998" s="40">
        <v>0</v>
      </c>
      <c r="AH998" s="40">
        <v>0</v>
      </c>
      <c r="AI998" s="41">
        <f t="shared" si="89"/>
        <v>0</v>
      </c>
      <c r="AJ998" s="42">
        <v>0</v>
      </c>
      <c r="AK998" s="42">
        <v>0</v>
      </c>
      <c r="AL998" s="42">
        <v>0</v>
      </c>
      <c r="AM998" s="42">
        <v>0</v>
      </c>
      <c r="AN998" s="42">
        <v>0</v>
      </c>
      <c r="AO998" s="42">
        <v>0</v>
      </c>
      <c r="AP998" s="42">
        <v>0</v>
      </c>
      <c r="AQ998" s="42">
        <v>0</v>
      </c>
      <c r="AR998" s="42">
        <v>0</v>
      </c>
      <c r="AS998" s="42">
        <v>0</v>
      </c>
      <c r="AT998" s="42">
        <v>0</v>
      </c>
      <c r="AU998" s="42">
        <v>0</v>
      </c>
      <c r="AV998" s="42">
        <f t="shared" si="90"/>
        <v>0</v>
      </c>
      <c r="AW998" s="42">
        <v>0</v>
      </c>
      <c r="AX998" s="42">
        <v>0</v>
      </c>
      <c r="AY998" s="42">
        <v>0</v>
      </c>
      <c r="AZ998" s="42">
        <v>0</v>
      </c>
      <c r="BA998" s="42">
        <v>0</v>
      </c>
      <c r="BB998" s="42">
        <v>0</v>
      </c>
      <c r="BC998" s="42">
        <v>0</v>
      </c>
      <c r="BD998" s="42">
        <v>0</v>
      </c>
      <c r="BE998" s="42">
        <v>0</v>
      </c>
      <c r="BF998" s="42">
        <v>0</v>
      </c>
      <c r="BG998" s="42">
        <v>0</v>
      </c>
      <c r="BH998" s="42">
        <v>0</v>
      </c>
      <c r="BI998" s="42">
        <v>0</v>
      </c>
      <c r="BJ998" s="42">
        <v>0</v>
      </c>
      <c r="BK998" s="42">
        <v>0</v>
      </c>
      <c r="BL998" s="42">
        <v>0</v>
      </c>
      <c r="BM998" s="42">
        <v>0</v>
      </c>
      <c r="BN998" s="42">
        <v>0</v>
      </c>
      <c r="BO998" s="42">
        <v>0</v>
      </c>
      <c r="BP998" s="42">
        <v>0</v>
      </c>
      <c r="BQ998" s="42">
        <v>0</v>
      </c>
      <c r="BR998" s="42">
        <v>0</v>
      </c>
      <c r="BS998" s="42">
        <v>0</v>
      </c>
      <c r="BT998" s="42">
        <v>0</v>
      </c>
      <c r="BU998" s="42">
        <v>0</v>
      </c>
      <c r="BV998" s="42">
        <v>0</v>
      </c>
      <c r="BW998" s="42">
        <v>0</v>
      </c>
      <c r="BX998" s="42">
        <v>0</v>
      </c>
      <c r="BY998" s="42">
        <v>0</v>
      </c>
      <c r="BZ998" s="42">
        <v>0</v>
      </c>
      <c r="CA998" s="42">
        <v>0</v>
      </c>
      <c r="CB998" s="42">
        <v>0</v>
      </c>
      <c r="CC998" s="42">
        <v>0</v>
      </c>
      <c r="CD998" s="42">
        <v>0</v>
      </c>
      <c r="CE998" s="42">
        <v>0</v>
      </c>
      <c r="CF998" s="42">
        <v>0</v>
      </c>
      <c r="CG998" s="42">
        <v>0</v>
      </c>
      <c r="CH998" s="42">
        <v>0</v>
      </c>
      <c r="CI998" s="42">
        <v>0</v>
      </c>
      <c r="CJ998" s="42">
        <v>0</v>
      </c>
      <c r="CK998" s="43">
        <f t="shared" si="87"/>
        <v>0</v>
      </c>
      <c r="CL998" s="66"/>
      <c r="CM998" s="66">
        <v>0</v>
      </c>
      <c r="CN998" s="66">
        <v>0</v>
      </c>
      <c r="CO998" s="66">
        <v>0</v>
      </c>
      <c r="CP998" s="66">
        <v>0</v>
      </c>
      <c r="CQ998" s="66">
        <v>0</v>
      </c>
      <c r="CR998" s="66">
        <v>0</v>
      </c>
      <c r="CS998" s="66">
        <v>0</v>
      </c>
      <c r="CT998" s="66">
        <v>0</v>
      </c>
      <c r="CU998" s="66">
        <v>0</v>
      </c>
      <c r="CV998" s="66">
        <v>0</v>
      </c>
      <c r="CW998" s="66">
        <v>0</v>
      </c>
      <c r="CX998" s="66">
        <v>0</v>
      </c>
      <c r="CY998" s="66">
        <v>0</v>
      </c>
      <c r="CZ998" s="66">
        <v>0</v>
      </c>
      <c r="DA998" s="66"/>
      <c r="DB998" s="66"/>
      <c r="DC998" s="66"/>
      <c r="DD998" s="66"/>
      <c r="DE998" s="66"/>
      <c r="DF998" s="66"/>
      <c r="DG998" s="66"/>
      <c r="DH998" s="66"/>
      <c r="DI998" s="66"/>
      <c r="DJ998" s="66"/>
      <c r="DK998" s="66">
        <f>SUM(Table1[[#This Row],[01-03 Apr]:[Mar-26]])</f>
        <v>0</v>
      </c>
    </row>
    <row r="999" spans="1:115" hidden="1" x14ac:dyDescent="0.2">
      <c r="A999" s="28" t="s">
        <v>371</v>
      </c>
      <c r="B999" s="29" t="s">
        <v>2136</v>
      </c>
      <c r="C999" s="29" t="s">
        <v>3336</v>
      </c>
      <c r="D999" s="30" t="s">
        <v>2137</v>
      </c>
      <c r="E999" s="30" t="s">
        <v>906</v>
      </c>
      <c r="F999" s="30"/>
      <c r="G999" s="31"/>
      <c r="H999" s="30"/>
      <c r="I999" s="30" t="str">
        <f>IF(Table1[[#This Row],[Centre Status]]="Returned","NA",IF(Table1[[#This Row],[SD]]&gt;19000,"Full Payment",IF(Table1[[#This Row],[SD]]&lt;1,"No Payment","Partial Payment")))</f>
        <v>NA</v>
      </c>
      <c r="J999" s="30" t="s">
        <v>1903</v>
      </c>
      <c r="K999" s="32">
        <v>0</v>
      </c>
      <c r="L999" s="33">
        <f>Q999+R999+U999+Table1[[#This Row],[Farmer Payment]]</f>
        <v>10000</v>
      </c>
      <c r="M999" s="30">
        <v>10662</v>
      </c>
      <c r="N999" s="34">
        <v>45324</v>
      </c>
      <c r="O999" s="34"/>
      <c r="P999" s="35">
        <f t="shared" si="88"/>
        <v>662</v>
      </c>
      <c r="Q999" s="33">
        <f>AI999+AV999+CK999+Table1[[#This Row],[FY 25-26]]</f>
        <v>0</v>
      </c>
      <c r="R999" s="36">
        <v>10000</v>
      </c>
      <c r="S999" s="37" t="s">
        <v>2234</v>
      </c>
      <c r="T999" s="38">
        <v>45191</v>
      </c>
      <c r="U999" s="39"/>
      <c r="V999" s="39"/>
      <c r="W999" s="40">
        <v>0</v>
      </c>
      <c r="X999" s="40">
        <v>0</v>
      </c>
      <c r="Y999" s="40">
        <v>0</v>
      </c>
      <c r="Z999" s="40">
        <v>0</v>
      </c>
      <c r="AA999" s="40">
        <v>0</v>
      </c>
      <c r="AB999" s="40">
        <v>0</v>
      </c>
      <c r="AC999" s="40">
        <v>0</v>
      </c>
      <c r="AD999" s="40">
        <v>0</v>
      </c>
      <c r="AE999" s="40">
        <v>0</v>
      </c>
      <c r="AF999" s="40">
        <v>0</v>
      </c>
      <c r="AG999" s="40">
        <v>0</v>
      </c>
      <c r="AH999" s="40">
        <v>0</v>
      </c>
      <c r="AI999" s="41">
        <f t="shared" si="89"/>
        <v>0</v>
      </c>
      <c r="AJ999" s="42">
        <v>0</v>
      </c>
      <c r="AK999" s="42">
        <v>0</v>
      </c>
      <c r="AL999" s="42">
        <v>0</v>
      </c>
      <c r="AM999" s="42">
        <v>0</v>
      </c>
      <c r="AN999" s="42">
        <v>0</v>
      </c>
      <c r="AO999" s="42">
        <v>0</v>
      </c>
      <c r="AP999" s="42">
        <v>0</v>
      </c>
      <c r="AQ999" s="42">
        <v>0</v>
      </c>
      <c r="AR999" s="42">
        <v>0</v>
      </c>
      <c r="AS999" s="42">
        <v>0</v>
      </c>
      <c r="AT999" s="42">
        <v>0</v>
      </c>
      <c r="AU999" s="42">
        <v>0</v>
      </c>
      <c r="AV999" s="42">
        <f t="shared" si="90"/>
        <v>0</v>
      </c>
      <c r="AW999" s="42">
        <v>0</v>
      </c>
      <c r="AX999" s="42">
        <v>0</v>
      </c>
      <c r="AY999" s="42">
        <v>0</v>
      </c>
      <c r="AZ999" s="42">
        <v>0</v>
      </c>
      <c r="BA999" s="42">
        <v>0</v>
      </c>
      <c r="BB999" s="42">
        <v>0</v>
      </c>
      <c r="BC999" s="42">
        <v>0</v>
      </c>
      <c r="BD999" s="42">
        <v>0</v>
      </c>
      <c r="BE999" s="42">
        <v>0</v>
      </c>
      <c r="BF999" s="42">
        <v>0</v>
      </c>
      <c r="BG999" s="42">
        <v>0</v>
      </c>
      <c r="BH999" s="42">
        <v>0</v>
      </c>
      <c r="BI999" s="42">
        <v>0</v>
      </c>
      <c r="BJ999" s="42">
        <v>0</v>
      </c>
      <c r="BK999" s="42">
        <v>0</v>
      </c>
      <c r="BL999" s="42">
        <v>0</v>
      </c>
      <c r="BM999" s="42">
        <v>0</v>
      </c>
      <c r="BN999" s="42">
        <v>0</v>
      </c>
      <c r="BO999" s="42">
        <v>0</v>
      </c>
      <c r="BP999" s="42">
        <v>0</v>
      </c>
      <c r="BQ999" s="42">
        <v>0</v>
      </c>
      <c r="BR999" s="42">
        <v>0</v>
      </c>
      <c r="BS999" s="42">
        <v>0</v>
      </c>
      <c r="BT999" s="42">
        <v>0</v>
      </c>
      <c r="BU999" s="42">
        <v>0</v>
      </c>
      <c r="BV999" s="42">
        <v>0</v>
      </c>
      <c r="BW999" s="42">
        <v>0</v>
      </c>
      <c r="BX999" s="42">
        <v>0</v>
      </c>
      <c r="BY999" s="42">
        <v>0</v>
      </c>
      <c r="BZ999" s="42">
        <v>0</v>
      </c>
      <c r="CA999" s="42">
        <v>0</v>
      </c>
      <c r="CB999" s="42">
        <v>0</v>
      </c>
      <c r="CC999" s="42">
        <v>0</v>
      </c>
      <c r="CD999" s="42">
        <v>0</v>
      </c>
      <c r="CE999" s="42">
        <v>0</v>
      </c>
      <c r="CF999" s="42">
        <v>0</v>
      </c>
      <c r="CG999" s="42">
        <v>0</v>
      </c>
      <c r="CH999" s="42">
        <v>0</v>
      </c>
      <c r="CI999" s="42">
        <v>0</v>
      </c>
      <c r="CJ999" s="42">
        <v>0</v>
      </c>
      <c r="CK999" s="43">
        <f t="shared" si="87"/>
        <v>0</v>
      </c>
      <c r="CL999" s="66"/>
      <c r="CM999" s="66">
        <v>0</v>
      </c>
      <c r="CN999" s="66">
        <v>0</v>
      </c>
      <c r="CO999" s="66">
        <v>0</v>
      </c>
      <c r="CP999" s="66">
        <v>0</v>
      </c>
      <c r="CQ999" s="66">
        <v>0</v>
      </c>
      <c r="CR999" s="66">
        <v>0</v>
      </c>
      <c r="CS999" s="66">
        <v>0</v>
      </c>
      <c r="CT999" s="66">
        <v>0</v>
      </c>
      <c r="CU999" s="66">
        <v>0</v>
      </c>
      <c r="CV999" s="66">
        <v>0</v>
      </c>
      <c r="CW999" s="66">
        <v>0</v>
      </c>
      <c r="CX999" s="66">
        <v>0</v>
      </c>
      <c r="CY999" s="66">
        <v>0</v>
      </c>
      <c r="CZ999" s="66">
        <v>0</v>
      </c>
      <c r="DA999" s="66"/>
      <c r="DB999" s="66"/>
      <c r="DC999" s="66"/>
      <c r="DD999" s="66"/>
      <c r="DE999" s="66"/>
      <c r="DF999" s="66"/>
      <c r="DG999" s="66"/>
      <c r="DH999" s="66"/>
      <c r="DI999" s="66"/>
      <c r="DJ999" s="66"/>
      <c r="DK999" s="66">
        <f>SUM(Table1[[#This Row],[01-03 Apr]:[Mar-26]])</f>
        <v>0</v>
      </c>
    </row>
    <row r="1000" spans="1:115" hidden="1" x14ac:dyDescent="0.2">
      <c r="A1000" s="28" t="s">
        <v>371</v>
      </c>
      <c r="B1000" s="29" t="s">
        <v>2135</v>
      </c>
      <c r="C1000" s="29" t="s">
        <v>3336</v>
      </c>
      <c r="D1000" s="30" t="s">
        <v>2079</v>
      </c>
      <c r="E1000" s="30" t="s">
        <v>217</v>
      </c>
      <c r="F1000" s="30"/>
      <c r="G1000" s="31"/>
      <c r="H1000" s="30"/>
      <c r="I1000" s="30" t="str">
        <f>IF(Table1[[#This Row],[Centre Status]]="Returned","NA",IF(Table1[[#This Row],[SD]]&gt;19000,"Full Payment",IF(Table1[[#This Row],[SD]]&lt;1,"No Payment","Partial Payment")))</f>
        <v>NA</v>
      </c>
      <c r="J1000" s="30" t="s">
        <v>1903</v>
      </c>
      <c r="K1000" s="32">
        <v>0</v>
      </c>
      <c r="L1000" s="33">
        <f>Q1000+R1000+U1000+Table1[[#This Row],[Farmer Payment]]</f>
        <v>20000</v>
      </c>
      <c r="M1000" s="30">
        <v>20000</v>
      </c>
      <c r="N1000" s="34">
        <v>44833</v>
      </c>
      <c r="O1000" s="34"/>
      <c r="P1000" s="35">
        <f t="shared" si="88"/>
        <v>0</v>
      </c>
      <c r="Q1000" s="33">
        <f>AI1000+AV1000+CK1000+Table1[[#This Row],[FY 25-26]]</f>
        <v>0</v>
      </c>
      <c r="R1000" s="36">
        <v>20000</v>
      </c>
      <c r="S1000" s="37" t="s">
        <v>2221</v>
      </c>
      <c r="T1000" s="38">
        <v>44794</v>
      </c>
      <c r="U1000" s="39"/>
      <c r="V1000" s="39"/>
      <c r="W1000" s="40">
        <v>0</v>
      </c>
      <c r="X1000" s="40">
        <v>0</v>
      </c>
      <c r="Y1000" s="40">
        <v>0</v>
      </c>
      <c r="Z1000" s="40">
        <v>0</v>
      </c>
      <c r="AA1000" s="40">
        <v>0</v>
      </c>
      <c r="AB1000" s="40">
        <v>0</v>
      </c>
      <c r="AC1000" s="40">
        <v>0</v>
      </c>
      <c r="AD1000" s="40">
        <v>0</v>
      </c>
      <c r="AE1000" s="40">
        <v>0</v>
      </c>
      <c r="AF1000" s="40">
        <v>0</v>
      </c>
      <c r="AG1000" s="40">
        <v>0</v>
      </c>
      <c r="AH1000" s="40">
        <v>0</v>
      </c>
      <c r="AI1000" s="41">
        <f t="shared" si="89"/>
        <v>0</v>
      </c>
      <c r="AJ1000" s="42">
        <v>0</v>
      </c>
      <c r="AK1000" s="42">
        <v>0</v>
      </c>
      <c r="AL1000" s="42">
        <v>0</v>
      </c>
      <c r="AM1000" s="42">
        <v>0</v>
      </c>
      <c r="AN1000" s="42">
        <v>0</v>
      </c>
      <c r="AO1000" s="42">
        <v>0</v>
      </c>
      <c r="AP1000" s="42">
        <v>0</v>
      </c>
      <c r="AQ1000" s="42">
        <v>0</v>
      </c>
      <c r="AR1000" s="42">
        <v>0</v>
      </c>
      <c r="AS1000" s="42">
        <v>0</v>
      </c>
      <c r="AT1000" s="42">
        <v>0</v>
      </c>
      <c r="AU1000" s="42">
        <v>0</v>
      </c>
      <c r="AV1000" s="42">
        <f t="shared" si="90"/>
        <v>0</v>
      </c>
      <c r="AW1000" s="42">
        <v>0</v>
      </c>
      <c r="AX1000" s="42">
        <v>0</v>
      </c>
      <c r="AY1000" s="42">
        <v>0</v>
      </c>
      <c r="AZ1000" s="42">
        <v>0</v>
      </c>
      <c r="BA1000" s="42">
        <v>0</v>
      </c>
      <c r="BB1000" s="42">
        <v>0</v>
      </c>
      <c r="BC1000" s="42">
        <v>0</v>
      </c>
      <c r="BD1000" s="42">
        <v>0</v>
      </c>
      <c r="BE1000" s="42">
        <v>0</v>
      </c>
      <c r="BF1000" s="42">
        <v>0</v>
      </c>
      <c r="BG1000" s="42">
        <v>0</v>
      </c>
      <c r="BH1000" s="42">
        <v>0</v>
      </c>
      <c r="BI1000" s="42">
        <v>0</v>
      </c>
      <c r="BJ1000" s="42">
        <v>0</v>
      </c>
      <c r="BK1000" s="42">
        <v>0</v>
      </c>
      <c r="BL1000" s="42">
        <v>0</v>
      </c>
      <c r="BM1000" s="42">
        <v>0</v>
      </c>
      <c r="BN1000" s="42">
        <v>0</v>
      </c>
      <c r="BO1000" s="42">
        <v>0</v>
      </c>
      <c r="BP1000" s="42">
        <v>0</v>
      </c>
      <c r="BQ1000" s="42">
        <v>0</v>
      </c>
      <c r="BR1000" s="42">
        <v>0</v>
      </c>
      <c r="BS1000" s="42">
        <v>0</v>
      </c>
      <c r="BT1000" s="42">
        <v>0</v>
      </c>
      <c r="BU1000" s="42">
        <v>0</v>
      </c>
      <c r="BV1000" s="42">
        <v>0</v>
      </c>
      <c r="BW1000" s="42">
        <v>0</v>
      </c>
      <c r="BX1000" s="42">
        <v>0</v>
      </c>
      <c r="BY1000" s="42">
        <v>0</v>
      </c>
      <c r="BZ1000" s="42">
        <v>0</v>
      </c>
      <c r="CA1000" s="42">
        <v>0</v>
      </c>
      <c r="CB1000" s="42">
        <v>0</v>
      </c>
      <c r="CC1000" s="42">
        <v>0</v>
      </c>
      <c r="CD1000" s="42">
        <v>0</v>
      </c>
      <c r="CE1000" s="42">
        <v>0</v>
      </c>
      <c r="CF1000" s="42">
        <v>0</v>
      </c>
      <c r="CG1000" s="42">
        <v>0</v>
      </c>
      <c r="CH1000" s="42">
        <v>0</v>
      </c>
      <c r="CI1000" s="42">
        <v>0</v>
      </c>
      <c r="CJ1000" s="42">
        <v>0</v>
      </c>
      <c r="CK1000" s="43">
        <f t="shared" si="87"/>
        <v>0</v>
      </c>
      <c r="CL1000" s="66"/>
      <c r="CM1000" s="66">
        <v>0</v>
      </c>
      <c r="CN1000" s="66">
        <v>0</v>
      </c>
      <c r="CO1000" s="66">
        <v>0</v>
      </c>
      <c r="CP1000" s="66">
        <v>0</v>
      </c>
      <c r="CQ1000" s="66">
        <v>0</v>
      </c>
      <c r="CR1000" s="66">
        <v>0</v>
      </c>
      <c r="CS1000" s="66">
        <v>0</v>
      </c>
      <c r="CT1000" s="66">
        <v>0</v>
      </c>
      <c r="CU1000" s="66">
        <v>0</v>
      </c>
      <c r="CV1000" s="66">
        <v>0</v>
      </c>
      <c r="CW1000" s="66">
        <v>0</v>
      </c>
      <c r="CX1000" s="66">
        <v>0</v>
      </c>
      <c r="CY1000" s="66">
        <v>0</v>
      </c>
      <c r="CZ1000" s="66">
        <v>0</v>
      </c>
      <c r="DA1000" s="66"/>
      <c r="DB1000" s="66"/>
      <c r="DC1000" s="66"/>
      <c r="DD1000" s="66"/>
      <c r="DE1000" s="66"/>
      <c r="DF1000" s="66"/>
      <c r="DG1000" s="66"/>
      <c r="DH1000" s="66"/>
      <c r="DI1000" s="66"/>
      <c r="DJ1000" s="66"/>
      <c r="DK1000" s="66">
        <f>SUM(Table1[[#This Row],[01-03 Apr]:[Mar-26]])</f>
        <v>0</v>
      </c>
    </row>
    <row r="1001" spans="1:115" hidden="1" x14ac:dyDescent="0.2">
      <c r="A1001" s="28" t="s">
        <v>371</v>
      </c>
      <c r="B1001" s="29" t="s">
        <v>2079</v>
      </c>
      <c r="C1001" s="29" t="s">
        <v>3336</v>
      </c>
      <c r="D1001" s="30" t="s">
        <v>2079</v>
      </c>
      <c r="E1001" s="30" t="s">
        <v>217</v>
      </c>
      <c r="F1001" s="30"/>
      <c r="G1001" s="31"/>
      <c r="H1001" s="30"/>
      <c r="I1001" s="30" t="str">
        <f>IF(Table1[[#This Row],[Centre Status]]="Returned","NA",IF(Table1[[#This Row],[SD]]&gt;19000,"Full Payment",IF(Table1[[#This Row],[SD]]&lt;1,"No Payment","Partial Payment")))</f>
        <v>NA</v>
      </c>
      <c r="J1001" s="30" t="s">
        <v>1903</v>
      </c>
      <c r="K1001" s="32">
        <v>0</v>
      </c>
      <c r="L1001" s="33">
        <f>Q1001+R1001+U1001+Table1[[#This Row],[Farmer Payment]]</f>
        <v>10000</v>
      </c>
      <c r="M1001" s="30">
        <v>10000</v>
      </c>
      <c r="N1001" s="34">
        <v>44812</v>
      </c>
      <c r="O1001" s="34"/>
      <c r="P1001" s="35">
        <f t="shared" si="88"/>
        <v>0</v>
      </c>
      <c r="Q1001" s="33">
        <f>AI1001+AV1001+CK1001+Table1[[#This Row],[FY 25-26]]</f>
        <v>0</v>
      </c>
      <c r="R1001" s="36">
        <v>10000</v>
      </c>
      <c r="S1001" s="37" t="s">
        <v>2222</v>
      </c>
      <c r="T1001" s="38">
        <v>44768</v>
      </c>
      <c r="U1001" s="39"/>
      <c r="V1001" s="39"/>
      <c r="W1001" s="40">
        <v>0</v>
      </c>
      <c r="X1001" s="40">
        <v>0</v>
      </c>
      <c r="Y1001" s="40">
        <v>0</v>
      </c>
      <c r="Z1001" s="40">
        <v>0</v>
      </c>
      <c r="AA1001" s="40">
        <v>0</v>
      </c>
      <c r="AB1001" s="40">
        <v>0</v>
      </c>
      <c r="AC1001" s="40">
        <v>0</v>
      </c>
      <c r="AD1001" s="40">
        <v>0</v>
      </c>
      <c r="AE1001" s="40">
        <v>0</v>
      </c>
      <c r="AF1001" s="40">
        <v>0</v>
      </c>
      <c r="AG1001" s="40">
        <v>0</v>
      </c>
      <c r="AH1001" s="40">
        <v>0</v>
      </c>
      <c r="AI1001" s="41">
        <f t="shared" si="89"/>
        <v>0</v>
      </c>
      <c r="AJ1001" s="42">
        <v>0</v>
      </c>
      <c r="AK1001" s="42">
        <v>0</v>
      </c>
      <c r="AL1001" s="42">
        <v>0</v>
      </c>
      <c r="AM1001" s="42">
        <v>0</v>
      </c>
      <c r="AN1001" s="42">
        <v>0</v>
      </c>
      <c r="AO1001" s="42">
        <v>0</v>
      </c>
      <c r="AP1001" s="42">
        <v>0</v>
      </c>
      <c r="AQ1001" s="42">
        <v>0</v>
      </c>
      <c r="AR1001" s="42">
        <v>0</v>
      </c>
      <c r="AS1001" s="42">
        <v>0</v>
      </c>
      <c r="AT1001" s="42">
        <v>0</v>
      </c>
      <c r="AU1001" s="42">
        <v>0</v>
      </c>
      <c r="AV1001" s="42">
        <f t="shared" si="90"/>
        <v>0</v>
      </c>
      <c r="AW1001" s="42">
        <v>0</v>
      </c>
      <c r="AX1001" s="42">
        <v>0</v>
      </c>
      <c r="AY1001" s="42">
        <v>0</v>
      </c>
      <c r="AZ1001" s="42">
        <v>0</v>
      </c>
      <c r="BA1001" s="42">
        <v>0</v>
      </c>
      <c r="BB1001" s="42">
        <v>0</v>
      </c>
      <c r="BC1001" s="42">
        <v>0</v>
      </c>
      <c r="BD1001" s="42">
        <v>0</v>
      </c>
      <c r="BE1001" s="42">
        <v>0</v>
      </c>
      <c r="BF1001" s="42">
        <v>0</v>
      </c>
      <c r="BG1001" s="42">
        <v>0</v>
      </c>
      <c r="BH1001" s="42">
        <v>0</v>
      </c>
      <c r="BI1001" s="42">
        <v>0</v>
      </c>
      <c r="BJ1001" s="42">
        <v>0</v>
      </c>
      <c r="BK1001" s="42">
        <v>0</v>
      </c>
      <c r="BL1001" s="42">
        <v>0</v>
      </c>
      <c r="BM1001" s="42">
        <v>0</v>
      </c>
      <c r="BN1001" s="42">
        <v>0</v>
      </c>
      <c r="BO1001" s="42">
        <v>0</v>
      </c>
      <c r="BP1001" s="42">
        <v>0</v>
      </c>
      <c r="BQ1001" s="42">
        <v>0</v>
      </c>
      <c r="BR1001" s="42">
        <v>0</v>
      </c>
      <c r="BS1001" s="42">
        <v>0</v>
      </c>
      <c r="BT1001" s="42">
        <v>0</v>
      </c>
      <c r="BU1001" s="42">
        <v>0</v>
      </c>
      <c r="BV1001" s="42">
        <v>0</v>
      </c>
      <c r="BW1001" s="42">
        <v>0</v>
      </c>
      <c r="BX1001" s="42">
        <v>0</v>
      </c>
      <c r="BY1001" s="42">
        <v>0</v>
      </c>
      <c r="BZ1001" s="42">
        <v>0</v>
      </c>
      <c r="CA1001" s="42">
        <v>0</v>
      </c>
      <c r="CB1001" s="42">
        <v>0</v>
      </c>
      <c r="CC1001" s="42">
        <v>0</v>
      </c>
      <c r="CD1001" s="42">
        <v>0</v>
      </c>
      <c r="CE1001" s="42">
        <v>0</v>
      </c>
      <c r="CF1001" s="42">
        <v>0</v>
      </c>
      <c r="CG1001" s="42">
        <v>0</v>
      </c>
      <c r="CH1001" s="42">
        <v>0</v>
      </c>
      <c r="CI1001" s="42">
        <v>0</v>
      </c>
      <c r="CJ1001" s="42">
        <v>0</v>
      </c>
      <c r="CK1001" s="43">
        <f t="shared" si="87"/>
        <v>0</v>
      </c>
      <c r="CL1001" s="66"/>
      <c r="CM1001" s="66">
        <v>0</v>
      </c>
      <c r="CN1001" s="66">
        <v>0</v>
      </c>
      <c r="CO1001" s="66">
        <v>0</v>
      </c>
      <c r="CP1001" s="66">
        <v>0</v>
      </c>
      <c r="CQ1001" s="66">
        <v>0</v>
      </c>
      <c r="CR1001" s="66">
        <v>0</v>
      </c>
      <c r="CS1001" s="66">
        <v>0</v>
      </c>
      <c r="CT1001" s="66">
        <v>0</v>
      </c>
      <c r="CU1001" s="66">
        <v>0</v>
      </c>
      <c r="CV1001" s="66">
        <v>0</v>
      </c>
      <c r="CW1001" s="66">
        <v>0</v>
      </c>
      <c r="CX1001" s="66">
        <v>0</v>
      </c>
      <c r="CY1001" s="66">
        <v>0</v>
      </c>
      <c r="CZ1001" s="66">
        <v>0</v>
      </c>
      <c r="DA1001" s="66"/>
      <c r="DB1001" s="66"/>
      <c r="DC1001" s="66"/>
      <c r="DD1001" s="66"/>
      <c r="DE1001" s="66"/>
      <c r="DF1001" s="66"/>
      <c r="DG1001" s="66"/>
      <c r="DH1001" s="66"/>
      <c r="DI1001" s="66"/>
      <c r="DJ1001" s="66"/>
      <c r="DK1001" s="66">
        <f>SUM(Table1[[#This Row],[01-03 Apr]:[Mar-26]])</f>
        <v>0</v>
      </c>
    </row>
    <row r="1002" spans="1:115" hidden="1" x14ac:dyDescent="0.2">
      <c r="A1002" s="28" t="s">
        <v>371</v>
      </c>
      <c r="B1002" s="29" t="s">
        <v>2138</v>
      </c>
      <c r="C1002" s="29" t="s">
        <v>3336</v>
      </c>
      <c r="D1002" s="30" t="s">
        <v>2139</v>
      </c>
      <c r="E1002" s="30" t="s">
        <v>217</v>
      </c>
      <c r="F1002" s="30"/>
      <c r="G1002" s="31"/>
      <c r="H1002" s="30"/>
      <c r="I1002" s="30" t="str">
        <f>IF(Table1[[#This Row],[Centre Status]]="Returned","NA",IF(Table1[[#This Row],[SD]]&gt;19000,"Full Payment",IF(Table1[[#This Row],[SD]]&lt;1,"No Payment","Partial Payment")))</f>
        <v>NA</v>
      </c>
      <c r="J1002" s="30" t="s">
        <v>1903</v>
      </c>
      <c r="K1002" s="32">
        <v>0</v>
      </c>
      <c r="L1002" s="33">
        <f>Q1002+R1002+U1002+Table1[[#This Row],[Farmer Payment]]</f>
        <v>20000</v>
      </c>
      <c r="M1002" s="30">
        <v>20000</v>
      </c>
      <c r="N1002" s="34">
        <v>44763</v>
      </c>
      <c r="O1002" s="34"/>
      <c r="P1002" s="35">
        <f t="shared" si="88"/>
        <v>0</v>
      </c>
      <c r="Q1002" s="33">
        <f>AI1002+AV1002+CK1002+Table1[[#This Row],[FY 25-26]]</f>
        <v>0</v>
      </c>
      <c r="R1002" s="36">
        <v>20000</v>
      </c>
      <c r="S1002" s="37" t="s">
        <v>2223</v>
      </c>
      <c r="T1002" s="38">
        <v>44656</v>
      </c>
      <c r="U1002" s="39"/>
      <c r="V1002" s="39"/>
      <c r="W1002" s="40">
        <v>0</v>
      </c>
      <c r="X1002" s="40">
        <v>0</v>
      </c>
      <c r="Y1002" s="40">
        <v>0</v>
      </c>
      <c r="Z1002" s="40">
        <v>0</v>
      </c>
      <c r="AA1002" s="40">
        <v>0</v>
      </c>
      <c r="AB1002" s="40">
        <v>0</v>
      </c>
      <c r="AC1002" s="40">
        <v>0</v>
      </c>
      <c r="AD1002" s="40">
        <v>0</v>
      </c>
      <c r="AE1002" s="40">
        <v>0</v>
      </c>
      <c r="AF1002" s="40">
        <v>0</v>
      </c>
      <c r="AG1002" s="40">
        <v>0</v>
      </c>
      <c r="AH1002" s="40">
        <v>0</v>
      </c>
      <c r="AI1002" s="41">
        <f t="shared" si="89"/>
        <v>0</v>
      </c>
      <c r="AJ1002" s="42">
        <v>0</v>
      </c>
      <c r="AK1002" s="42">
        <v>0</v>
      </c>
      <c r="AL1002" s="42">
        <v>0</v>
      </c>
      <c r="AM1002" s="42">
        <v>0</v>
      </c>
      <c r="AN1002" s="42">
        <v>0</v>
      </c>
      <c r="AO1002" s="42">
        <v>0</v>
      </c>
      <c r="AP1002" s="42">
        <v>0</v>
      </c>
      <c r="AQ1002" s="42">
        <v>0</v>
      </c>
      <c r="AR1002" s="42">
        <v>0</v>
      </c>
      <c r="AS1002" s="42">
        <v>0</v>
      </c>
      <c r="AT1002" s="42">
        <v>0</v>
      </c>
      <c r="AU1002" s="42">
        <v>0</v>
      </c>
      <c r="AV1002" s="42">
        <f t="shared" si="90"/>
        <v>0</v>
      </c>
      <c r="AW1002" s="42">
        <v>0</v>
      </c>
      <c r="AX1002" s="42">
        <v>0</v>
      </c>
      <c r="AY1002" s="42">
        <v>0</v>
      </c>
      <c r="AZ1002" s="42">
        <v>0</v>
      </c>
      <c r="BA1002" s="42">
        <v>0</v>
      </c>
      <c r="BB1002" s="42">
        <v>0</v>
      </c>
      <c r="BC1002" s="42">
        <v>0</v>
      </c>
      <c r="BD1002" s="42">
        <v>0</v>
      </c>
      <c r="BE1002" s="42">
        <v>0</v>
      </c>
      <c r="BF1002" s="42">
        <v>0</v>
      </c>
      <c r="BG1002" s="42">
        <v>0</v>
      </c>
      <c r="BH1002" s="42">
        <v>0</v>
      </c>
      <c r="BI1002" s="42">
        <v>0</v>
      </c>
      <c r="BJ1002" s="42">
        <v>0</v>
      </c>
      <c r="BK1002" s="42">
        <v>0</v>
      </c>
      <c r="BL1002" s="42">
        <v>0</v>
      </c>
      <c r="BM1002" s="42">
        <v>0</v>
      </c>
      <c r="BN1002" s="42">
        <v>0</v>
      </c>
      <c r="BO1002" s="42">
        <v>0</v>
      </c>
      <c r="BP1002" s="42">
        <v>0</v>
      </c>
      <c r="BQ1002" s="42">
        <v>0</v>
      </c>
      <c r="BR1002" s="42">
        <v>0</v>
      </c>
      <c r="BS1002" s="42">
        <v>0</v>
      </c>
      <c r="BT1002" s="42">
        <v>0</v>
      </c>
      <c r="BU1002" s="42">
        <v>0</v>
      </c>
      <c r="BV1002" s="42">
        <v>0</v>
      </c>
      <c r="BW1002" s="42">
        <v>0</v>
      </c>
      <c r="BX1002" s="42">
        <v>0</v>
      </c>
      <c r="BY1002" s="42">
        <v>0</v>
      </c>
      <c r="BZ1002" s="42">
        <v>0</v>
      </c>
      <c r="CA1002" s="42">
        <v>0</v>
      </c>
      <c r="CB1002" s="42">
        <v>0</v>
      </c>
      <c r="CC1002" s="42">
        <v>0</v>
      </c>
      <c r="CD1002" s="42">
        <v>0</v>
      </c>
      <c r="CE1002" s="42">
        <v>0</v>
      </c>
      <c r="CF1002" s="42">
        <v>0</v>
      </c>
      <c r="CG1002" s="42">
        <v>0</v>
      </c>
      <c r="CH1002" s="42">
        <v>0</v>
      </c>
      <c r="CI1002" s="42">
        <v>0</v>
      </c>
      <c r="CJ1002" s="42">
        <v>0</v>
      </c>
      <c r="CK1002" s="43">
        <f t="shared" si="87"/>
        <v>0</v>
      </c>
      <c r="CL1002" s="66"/>
      <c r="CM1002" s="66">
        <v>0</v>
      </c>
      <c r="CN1002" s="66">
        <v>0</v>
      </c>
      <c r="CO1002" s="66">
        <v>0</v>
      </c>
      <c r="CP1002" s="66">
        <v>0</v>
      </c>
      <c r="CQ1002" s="66">
        <v>0</v>
      </c>
      <c r="CR1002" s="66">
        <v>0</v>
      </c>
      <c r="CS1002" s="66">
        <v>0</v>
      </c>
      <c r="CT1002" s="66">
        <v>0</v>
      </c>
      <c r="CU1002" s="66">
        <v>0</v>
      </c>
      <c r="CV1002" s="66">
        <v>0</v>
      </c>
      <c r="CW1002" s="66">
        <v>0</v>
      </c>
      <c r="CX1002" s="66">
        <v>0</v>
      </c>
      <c r="CY1002" s="66">
        <v>0</v>
      </c>
      <c r="CZ1002" s="66">
        <v>0</v>
      </c>
      <c r="DA1002" s="66"/>
      <c r="DB1002" s="66"/>
      <c r="DC1002" s="66"/>
      <c r="DD1002" s="66"/>
      <c r="DE1002" s="66"/>
      <c r="DF1002" s="66"/>
      <c r="DG1002" s="66"/>
      <c r="DH1002" s="66"/>
      <c r="DI1002" s="66"/>
      <c r="DJ1002" s="66"/>
      <c r="DK1002" s="66">
        <f>SUM(Table1[[#This Row],[01-03 Apr]:[Mar-26]])</f>
        <v>0</v>
      </c>
    </row>
    <row r="1003" spans="1:115" hidden="1" x14ac:dyDescent="0.2">
      <c r="A1003" s="28" t="s">
        <v>371</v>
      </c>
      <c r="B1003" s="29" t="s">
        <v>2140</v>
      </c>
      <c r="C1003" s="29" t="s">
        <v>3336</v>
      </c>
      <c r="D1003" s="30" t="s">
        <v>2141</v>
      </c>
      <c r="E1003" s="30" t="s">
        <v>217</v>
      </c>
      <c r="F1003" s="30"/>
      <c r="G1003" s="31"/>
      <c r="H1003" s="30"/>
      <c r="I1003" s="30" t="str">
        <f>IF(Table1[[#This Row],[Centre Status]]="Returned","NA",IF(Table1[[#This Row],[SD]]&gt;19000,"Full Payment",IF(Table1[[#This Row],[SD]]&lt;1,"No Payment","Partial Payment")))</f>
        <v>NA</v>
      </c>
      <c r="J1003" s="30" t="s">
        <v>1903</v>
      </c>
      <c r="K1003" s="32">
        <v>0</v>
      </c>
      <c r="L1003" s="33">
        <f>Q1003+R1003+U1003+Table1[[#This Row],[Farmer Payment]]</f>
        <v>20000</v>
      </c>
      <c r="M1003" s="30">
        <v>20000</v>
      </c>
      <c r="N1003" s="34">
        <v>44706</v>
      </c>
      <c r="O1003" s="34"/>
      <c r="P1003" s="35">
        <f t="shared" si="88"/>
        <v>0</v>
      </c>
      <c r="Q1003" s="33">
        <f>AI1003+AV1003+CK1003+Table1[[#This Row],[FY 25-26]]</f>
        <v>0</v>
      </c>
      <c r="R1003" s="36">
        <v>20000</v>
      </c>
      <c r="S1003" s="37" t="s">
        <v>2224</v>
      </c>
      <c r="T1003" s="38">
        <v>44664</v>
      </c>
      <c r="U1003" s="39"/>
      <c r="V1003" s="39"/>
      <c r="W1003" s="40">
        <v>0</v>
      </c>
      <c r="X1003" s="40">
        <v>0</v>
      </c>
      <c r="Y1003" s="40">
        <v>0</v>
      </c>
      <c r="Z1003" s="40">
        <v>0</v>
      </c>
      <c r="AA1003" s="40">
        <v>0</v>
      </c>
      <c r="AB1003" s="40">
        <v>0</v>
      </c>
      <c r="AC1003" s="40">
        <v>0</v>
      </c>
      <c r="AD1003" s="40">
        <v>0</v>
      </c>
      <c r="AE1003" s="40">
        <v>0</v>
      </c>
      <c r="AF1003" s="40">
        <v>0</v>
      </c>
      <c r="AG1003" s="40">
        <v>0</v>
      </c>
      <c r="AH1003" s="40">
        <v>0</v>
      </c>
      <c r="AI1003" s="41">
        <f t="shared" si="89"/>
        <v>0</v>
      </c>
      <c r="AJ1003" s="42">
        <v>0</v>
      </c>
      <c r="AK1003" s="42">
        <v>0</v>
      </c>
      <c r="AL1003" s="42">
        <v>0</v>
      </c>
      <c r="AM1003" s="42">
        <v>0</v>
      </c>
      <c r="AN1003" s="42">
        <v>0</v>
      </c>
      <c r="AO1003" s="42">
        <v>0</v>
      </c>
      <c r="AP1003" s="42">
        <v>0</v>
      </c>
      <c r="AQ1003" s="42">
        <v>0</v>
      </c>
      <c r="AR1003" s="42">
        <v>0</v>
      </c>
      <c r="AS1003" s="42">
        <v>0</v>
      </c>
      <c r="AT1003" s="42">
        <v>0</v>
      </c>
      <c r="AU1003" s="42">
        <v>0</v>
      </c>
      <c r="AV1003" s="42">
        <f t="shared" si="90"/>
        <v>0</v>
      </c>
      <c r="AW1003" s="42">
        <v>0</v>
      </c>
      <c r="AX1003" s="42">
        <v>0</v>
      </c>
      <c r="AY1003" s="42">
        <v>0</v>
      </c>
      <c r="AZ1003" s="42">
        <v>0</v>
      </c>
      <c r="BA1003" s="42">
        <v>0</v>
      </c>
      <c r="BB1003" s="42">
        <v>0</v>
      </c>
      <c r="BC1003" s="42">
        <v>0</v>
      </c>
      <c r="BD1003" s="42">
        <v>0</v>
      </c>
      <c r="BE1003" s="42">
        <v>0</v>
      </c>
      <c r="BF1003" s="42">
        <v>0</v>
      </c>
      <c r="BG1003" s="42">
        <v>0</v>
      </c>
      <c r="BH1003" s="42">
        <v>0</v>
      </c>
      <c r="BI1003" s="42">
        <v>0</v>
      </c>
      <c r="BJ1003" s="42">
        <v>0</v>
      </c>
      <c r="BK1003" s="42">
        <v>0</v>
      </c>
      <c r="BL1003" s="42">
        <v>0</v>
      </c>
      <c r="BM1003" s="42">
        <v>0</v>
      </c>
      <c r="BN1003" s="42">
        <v>0</v>
      </c>
      <c r="BO1003" s="42">
        <v>0</v>
      </c>
      <c r="BP1003" s="42">
        <v>0</v>
      </c>
      <c r="BQ1003" s="42">
        <v>0</v>
      </c>
      <c r="BR1003" s="42">
        <v>0</v>
      </c>
      <c r="BS1003" s="42">
        <v>0</v>
      </c>
      <c r="BT1003" s="42">
        <v>0</v>
      </c>
      <c r="BU1003" s="42">
        <v>0</v>
      </c>
      <c r="BV1003" s="42">
        <v>0</v>
      </c>
      <c r="BW1003" s="42">
        <v>0</v>
      </c>
      <c r="BX1003" s="42">
        <v>0</v>
      </c>
      <c r="BY1003" s="42">
        <v>0</v>
      </c>
      <c r="BZ1003" s="42">
        <v>0</v>
      </c>
      <c r="CA1003" s="42">
        <v>0</v>
      </c>
      <c r="CB1003" s="42">
        <v>0</v>
      </c>
      <c r="CC1003" s="42">
        <v>0</v>
      </c>
      <c r="CD1003" s="42">
        <v>0</v>
      </c>
      <c r="CE1003" s="42">
        <v>0</v>
      </c>
      <c r="CF1003" s="42">
        <v>0</v>
      </c>
      <c r="CG1003" s="42">
        <v>0</v>
      </c>
      <c r="CH1003" s="42">
        <v>0</v>
      </c>
      <c r="CI1003" s="42">
        <v>0</v>
      </c>
      <c r="CJ1003" s="42">
        <v>0</v>
      </c>
      <c r="CK1003" s="43">
        <f>SUM(AW1003:CJ1003)</f>
        <v>0</v>
      </c>
      <c r="CL1003" s="66"/>
      <c r="CM1003" s="66">
        <v>0</v>
      </c>
      <c r="CN1003" s="66">
        <v>0</v>
      </c>
      <c r="CO1003" s="66">
        <v>0</v>
      </c>
      <c r="CP1003" s="66">
        <v>0</v>
      </c>
      <c r="CQ1003" s="66">
        <v>0</v>
      </c>
      <c r="CR1003" s="66">
        <v>0</v>
      </c>
      <c r="CS1003" s="66">
        <v>0</v>
      </c>
      <c r="CT1003" s="66">
        <v>0</v>
      </c>
      <c r="CU1003" s="66">
        <v>0</v>
      </c>
      <c r="CV1003" s="66">
        <v>0</v>
      </c>
      <c r="CW1003" s="66">
        <v>0</v>
      </c>
      <c r="CX1003" s="66">
        <v>0</v>
      </c>
      <c r="CY1003" s="66">
        <v>0</v>
      </c>
      <c r="CZ1003" s="66">
        <v>0</v>
      </c>
      <c r="DA1003" s="66"/>
      <c r="DB1003" s="66"/>
      <c r="DC1003" s="66"/>
      <c r="DD1003" s="66"/>
      <c r="DE1003" s="66"/>
      <c r="DF1003" s="66"/>
      <c r="DG1003" s="66"/>
      <c r="DH1003" s="66"/>
      <c r="DI1003" s="66"/>
      <c r="DJ1003" s="66"/>
      <c r="DK1003" s="66">
        <f>SUM(Table1[[#This Row],[01-03 Apr]:[Mar-26]])</f>
        <v>0</v>
      </c>
    </row>
    <row r="1004" spans="1:115" hidden="1" x14ac:dyDescent="0.2">
      <c r="A1004" s="28" t="s">
        <v>371</v>
      </c>
      <c r="B1004" s="29"/>
      <c r="C1004" s="29" t="s">
        <v>3336</v>
      </c>
      <c r="D1004" s="30" t="s">
        <v>2142</v>
      </c>
      <c r="E1004" s="30" t="s">
        <v>297</v>
      </c>
      <c r="F1004" s="30"/>
      <c r="G1004" s="31"/>
      <c r="H1004" s="30"/>
      <c r="I1004" s="30" t="str">
        <f>IF(Table1[[#This Row],[Centre Status]]="Returned","NA",IF(Table1[[#This Row],[SD]]&gt;19000,"Full Payment",IF(Table1[[#This Row],[SD]]&lt;1,"No Payment","Partial Payment")))</f>
        <v>NA</v>
      </c>
      <c r="J1004" s="30" t="s">
        <v>1903</v>
      </c>
      <c r="K1004" s="32">
        <v>0</v>
      </c>
      <c r="L1004" s="33">
        <f>Q1004+R1004+U1004+Table1[[#This Row],[Farmer Payment]]</f>
        <v>20565</v>
      </c>
      <c r="M1004" s="30">
        <v>20000</v>
      </c>
      <c r="N1004" s="34">
        <v>44713</v>
      </c>
      <c r="O1004" s="34"/>
      <c r="P1004" s="35">
        <f t="shared" si="88"/>
        <v>-565</v>
      </c>
      <c r="Q1004" s="33">
        <f>AI1004+AV1004+CK1004+Table1[[#This Row],[FY 25-26]]</f>
        <v>565</v>
      </c>
      <c r="R1004" s="36">
        <v>20000</v>
      </c>
      <c r="S1004" s="37" t="s">
        <v>2225</v>
      </c>
      <c r="T1004" s="38">
        <v>44698</v>
      </c>
      <c r="U1004" s="39"/>
      <c r="V1004" s="39"/>
      <c r="W1004" s="40">
        <v>0</v>
      </c>
      <c r="X1004" s="40">
        <v>0</v>
      </c>
      <c r="Y1004" s="40">
        <v>0</v>
      </c>
      <c r="Z1004" s="40">
        <v>0</v>
      </c>
      <c r="AA1004" s="40">
        <v>0</v>
      </c>
      <c r="AB1004" s="40">
        <v>0</v>
      </c>
      <c r="AC1004" s="40">
        <v>0</v>
      </c>
      <c r="AD1004" s="40">
        <v>0</v>
      </c>
      <c r="AE1004" s="40">
        <v>0</v>
      </c>
      <c r="AF1004" s="40">
        <v>0</v>
      </c>
      <c r="AG1004" s="40">
        <v>0</v>
      </c>
      <c r="AH1004" s="40">
        <v>0</v>
      </c>
      <c r="AI1004" s="41">
        <f t="shared" si="89"/>
        <v>0</v>
      </c>
      <c r="AJ1004" s="42">
        <v>0</v>
      </c>
      <c r="AK1004" s="42">
        <v>0</v>
      </c>
      <c r="AL1004" s="42">
        <v>0</v>
      </c>
      <c r="AM1004" s="42">
        <v>0</v>
      </c>
      <c r="AN1004" s="42">
        <v>0</v>
      </c>
      <c r="AO1004" s="42">
        <v>0</v>
      </c>
      <c r="AP1004" s="42">
        <v>0</v>
      </c>
      <c r="AQ1004" s="42">
        <v>0</v>
      </c>
      <c r="AR1004" s="42">
        <v>0</v>
      </c>
      <c r="AS1004" s="42">
        <v>0</v>
      </c>
      <c r="AT1004" s="42">
        <v>565</v>
      </c>
      <c r="AU1004" s="42">
        <v>0</v>
      </c>
      <c r="AV1004" s="42">
        <f t="shared" si="90"/>
        <v>565</v>
      </c>
      <c r="AW1004" s="42">
        <v>0</v>
      </c>
      <c r="AX1004" s="42">
        <v>0</v>
      </c>
      <c r="AY1004" s="42">
        <v>0</v>
      </c>
      <c r="AZ1004" s="42">
        <v>0</v>
      </c>
      <c r="BA1004" s="42">
        <v>0</v>
      </c>
      <c r="BB1004" s="42">
        <v>0</v>
      </c>
      <c r="BC1004" s="42">
        <v>0</v>
      </c>
      <c r="BD1004" s="42">
        <v>0</v>
      </c>
      <c r="BE1004" s="42">
        <v>0</v>
      </c>
      <c r="BF1004" s="42">
        <v>0</v>
      </c>
      <c r="BG1004" s="42">
        <v>0</v>
      </c>
      <c r="BH1004" s="42">
        <v>0</v>
      </c>
      <c r="BI1004" s="42">
        <v>0</v>
      </c>
      <c r="BJ1004" s="42">
        <v>0</v>
      </c>
      <c r="BK1004" s="42">
        <v>0</v>
      </c>
      <c r="BL1004" s="42">
        <v>0</v>
      </c>
      <c r="BM1004" s="42">
        <v>0</v>
      </c>
      <c r="BN1004" s="42">
        <v>0</v>
      </c>
      <c r="BO1004" s="42">
        <v>0</v>
      </c>
      <c r="BP1004" s="42">
        <v>0</v>
      </c>
      <c r="BQ1004" s="42">
        <v>0</v>
      </c>
      <c r="BR1004" s="42">
        <v>0</v>
      </c>
      <c r="BS1004" s="42">
        <v>0</v>
      </c>
      <c r="BT1004" s="42">
        <v>0</v>
      </c>
      <c r="BU1004" s="42">
        <v>0</v>
      </c>
      <c r="BV1004" s="42">
        <v>0</v>
      </c>
      <c r="BW1004" s="42">
        <v>0</v>
      </c>
      <c r="BX1004" s="42">
        <v>0</v>
      </c>
      <c r="BY1004" s="42">
        <v>0</v>
      </c>
      <c r="BZ1004" s="42">
        <v>0</v>
      </c>
      <c r="CA1004" s="42">
        <v>0</v>
      </c>
      <c r="CB1004" s="42">
        <v>0</v>
      </c>
      <c r="CC1004" s="42">
        <v>0</v>
      </c>
      <c r="CD1004" s="42">
        <v>0</v>
      </c>
      <c r="CE1004" s="42">
        <v>0</v>
      </c>
      <c r="CF1004" s="42">
        <v>0</v>
      </c>
      <c r="CG1004" s="42">
        <v>0</v>
      </c>
      <c r="CH1004" s="42">
        <v>0</v>
      </c>
      <c r="CI1004" s="42">
        <v>0</v>
      </c>
      <c r="CJ1004" s="42">
        <v>0</v>
      </c>
      <c r="CK1004" s="43">
        <f>SUM(AW1004:CJ1004)</f>
        <v>0</v>
      </c>
      <c r="CL1004" s="66"/>
      <c r="CM1004" s="66">
        <v>0</v>
      </c>
      <c r="CN1004" s="66">
        <v>0</v>
      </c>
      <c r="CO1004" s="66">
        <v>0</v>
      </c>
      <c r="CP1004" s="66">
        <v>0</v>
      </c>
      <c r="CQ1004" s="66">
        <v>0</v>
      </c>
      <c r="CR1004" s="66">
        <v>0</v>
      </c>
      <c r="CS1004" s="66">
        <v>0</v>
      </c>
      <c r="CT1004" s="66">
        <v>0</v>
      </c>
      <c r="CU1004" s="66">
        <v>0</v>
      </c>
      <c r="CV1004" s="66">
        <v>0</v>
      </c>
      <c r="CW1004" s="66">
        <v>0</v>
      </c>
      <c r="CX1004" s="66">
        <v>0</v>
      </c>
      <c r="CY1004" s="66">
        <v>0</v>
      </c>
      <c r="CZ1004" s="66">
        <v>0</v>
      </c>
      <c r="DA1004" s="66"/>
      <c r="DB1004" s="66"/>
      <c r="DC1004" s="66"/>
      <c r="DD1004" s="66"/>
      <c r="DE1004" s="66"/>
      <c r="DF1004" s="66"/>
      <c r="DG1004" s="66"/>
      <c r="DH1004" s="66"/>
      <c r="DI1004" s="66"/>
      <c r="DJ1004" s="66"/>
      <c r="DK1004" s="66">
        <f>SUM(Table1[[#This Row],[01-03 Apr]:[Mar-26]])</f>
        <v>0</v>
      </c>
    </row>
    <row r="1007" spans="1:115" x14ac:dyDescent="0.2">
      <c r="AI1007" s="5"/>
    </row>
  </sheetData>
  <phoneticPr fontId="16" type="noConversion"/>
  <conditionalFormatting sqref="B3:B1004">
    <cfRule type="duplicateValues" dxfId="9" priority="833"/>
  </conditionalFormatting>
  <conditionalFormatting sqref="C3:C1004">
    <cfRule type="duplicateValues" dxfId="8" priority="831"/>
  </conditionalFormatting>
  <conditionalFormatting sqref="H3:I14 H1002:I1004 H15:H1001">
    <cfRule type="duplicateValues" dxfId="7" priority="835"/>
  </conditionalFormatting>
  <conditionalFormatting sqref="P3:P1004">
    <cfRule type="cellIs" dxfId="6" priority="18" operator="lessThan">
      <formula>1</formula>
    </cfRule>
  </conditionalFormatting>
  <dataValidations count="3">
    <dataValidation allowBlank="1" showDropDown="1" sqref="S775:S777 S766:S773 S694 S312:S317 S809:S810 S378:S379 C378:C379 S688:S691 S714 S233:S234 C381:C432 S828:S829 S674 S251 S321 S702 S671 S684:S685 S785:S802 C323:C345 S357:S373 S437:S448 S453:S467 S859:S885 S662:S669 S833:S856 S779:S783 S807 S707 C661:C669 S327:S354 S648:S649 S307 C347:C355 S819:S826 S717:S724 S680:S682 S676:S678 S640:S646 S482:S484 S239:S249 C233:C251 S381:S414 S416:S432 C568:C659 C437:C473 C476:C552 S474:S476 S469:S471 S651:S659 S709:S712 C554:C565 S557:S638 S486:S552 C358:C373 S127:S165 S734:S750 C677:C700 S887:S1004 S97:S125 C270:C321 S276:S298 S300:S303 S59:S95 C24:C32 C18:C19 S726:S732 C702:C1004 B381:B1004 C3:C11 B3:B379 S3:S54" xr:uid="{00000000-0002-0000-0000-000003000000}"/>
    <dataValidation type="custom" allowBlank="1" showDropDown="1" sqref="O681:O1004 G3:G1004 N3:N1004 O3:O679" xr:uid="{00000000-0002-0000-0000-000000000000}">
      <formula1>OR(NOT(ISERROR(DATEVALUE(G3))), AND(ISNUMBER(G3), LEFT(CELL("format", G3))="D"))</formula1>
    </dataValidation>
    <dataValidation type="custom" allowBlank="1" showDropDown="1" sqref="U262:U1004 V3:V1004 U3:U260" xr:uid="{00000000-0002-0000-0000-000002000000}">
      <formula1>AND(ISNUMBER(U3),(NOT(OR(NOT(ISERROR(DATEVALUE(U3))), AND(ISNUMBER(U3), LEFT(CELL("format", U3))="D")))))</formula1>
    </dataValidation>
  </dataValidations>
  <pageMargins left="0.70866141732283472" right="0.70866141732283472" top="0.74803149606299213" bottom="0.74803149606299213" header="0.31496062992125984" footer="0.31496062992125984"/>
  <pageSetup paperSize="9" scale="1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4932-997E-4808-8A2F-F209CAC5CE34}">
  <sheetPr filterMode="1"/>
  <dimension ref="B1:AF400"/>
  <sheetViews>
    <sheetView tabSelected="1" topLeftCell="B1" workbookViewId="0">
      <selection activeCell="AA394" sqref="AA394"/>
    </sheetView>
  </sheetViews>
  <sheetFormatPr defaultRowHeight="12.75" x14ac:dyDescent="0.2"/>
  <cols>
    <col min="3" max="3" width="26.28515625" bestFit="1" customWidth="1"/>
    <col min="4" max="4" width="14.28515625" customWidth="1"/>
    <col min="5" max="6" width="9.140625" customWidth="1"/>
    <col min="7" max="9" width="9.140625" hidden="1" customWidth="1"/>
    <col min="10" max="12" width="9.140625" customWidth="1"/>
    <col min="13" max="13" width="9.140625" hidden="1" customWidth="1"/>
    <col min="14" max="14" width="9.28515625" customWidth="1"/>
    <col min="15" max="15" width="9" customWidth="1"/>
    <col min="16" max="26" width="10" customWidth="1"/>
    <col min="31" max="31" width="15.85546875" bestFit="1" customWidth="1"/>
  </cols>
  <sheetData>
    <row r="1" spans="2:31" x14ac:dyDescent="0.2">
      <c r="N1" s="112" t="s">
        <v>3570</v>
      </c>
      <c r="O1" s="113"/>
      <c r="P1" s="113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2:31" ht="25.5" x14ac:dyDescent="0.2">
      <c r="B2" s="72" t="s">
        <v>1</v>
      </c>
      <c r="C2" s="73" t="s">
        <v>2</v>
      </c>
      <c r="D2" s="73" t="s">
        <v>3</v>
      </c>
      <c r="E2" s="74" t="s">
        <v>7</v>
      </c>
      <c r="F2" s="75" t="s">
        <v>8</v>
      </c>
      <c r="G2" s="74" t="s">
        <v>9</v>
      </c>
      <c r="H2" s="74" t="s">
        <v>10</v>
      </c>
      <c r="I2" s="74" t="s">
        <v>2424</v>
      </c>
      <c r="J2" s="75" t="s">
        <v>11</v>
      </c>
      <c r="K2" s="74" t="s">
        <v>12</v>
      </c>
      <c r="L2" s="74" t="s">
        <v>13</v>
      </c>
      <c r="N2" s="90" t="s">
        <v>3567</v>
      </c>
      <c r="O2" s="90" t="s">
        <v>3568</v>
      </c>
      <c r="P2" s="90" t="s">
        <v>3569</v>
      </c>
      <c r="Q2" s="90" t="s">
        <v>3572</v>
      </c>
      <c r="R2" s="90" t="s">
        <v>3573</v>
      </c>
      <c r="S2" s="90" t="s">
        <v>3574</v>
      </c>
      <c r="T2" s="90" t="s">
        <v>3575</v>
      </c>
      <c r="U2" s="90" t="s">
        <v>3597</v>
      </c>
      <c r="V2" s="90" t="s">
        <v>3598</v>
      </c>
      <c r="W2" s="90" t="s">
        <v>3584</v>
      </c>
      <c r="X2" s="90" t="s">
        <v>3599</v>
      </c>
      <c r="Y2" s="90" t="s">
        <v>3602</v>
      </c>
      <c r="Z2" s="90" t="s">
        <v>3567</v>
      </c>
      <c r="AA2" s="90" t="s">
        <v>3571</v>
      </c>
      <c r="AB2" s="90" t="s">
        <v>3571</v>
      </c>
      <c r="AD2" s="110" t="s">
        <v>3601</v>
      </c>
      <c r="AE2" s="109" t="s">
        <v>3600</v>
      </c>
    </row>
    <row r="3" spans="2:31" hidden="1" x14ac:dyDescent="0.2">
      <c r="B3" s="77">
        <v>0</v>
      </c>
      <c r="C3" s="77" t="e">
        <v>#N/A</v>
      </c>
      <c r="D3" s="77" t="s">
        <v>57</v>
      </c>
      <c r="E3" s="78">
        <v>64000</v>
      </c>
      <c r="F3" s="79">
        <v>1567</v>
      </c>
      <c r="G3" s="77"/>
      <c r="H3" s="80"/>
      <c r="I3" s="80"/>
      <c r="J3" s="81">
        <v>62433</v>
      </c>
      <c r="K3" s="79">
        <v>1567</v>
      </c>
      <c r="L3" s="82"/>
      <c r="N3" s="91">
        <v>0</v>
      </c>
      <c r="O3" s="91">
        <v>0</v>
      </c>
      <c r="P3" s="91">
        <v>0</v>
      </c>
      <c r="Q3" s="91"/>
      <c r="R3" s="91"/>
      <c r="S3" s="91"/>
      <c r="T3" s="91"/>
      <c r="U3" s="91"/>
      <c r="V3" s="91">
        <v>0</v>
      </c>
      <c r="W3" s="91">
        <v>0</v>
      </c>
      <c r="X3" s="91"/>
      <c r="Y3" s="91"/>
      <c r="Z3" s="91"/>
      <c r="AA3" s="63">
        <f>SUM(L3:W3)</f>
        <v>0</v>
      </c>
      <c r="AC3">
        <v>20000</v>
      </c>
      <c r="AD3">
        <f t="shared" ref="AD3:AD4" si="0">AC3-AA3</f>
        <v>20000</v>
      </c>
    </row>
    <row r="4" spans="2:31" hidden="1" x14ac:dyDescent="0.2">
      <c r="B4" s="84">
        <v>0</v>
      </c>
      <c r="C4" s="84" t="e">
        <v>#N/A</v>
      </c>
      <c r="D4" s="84" t="s">
        <v>57</v>
      </c>
      <c r="E4" s="85">
        <v>64000</v>
      </c>
      <c r="F4" s="86">
        <v>5896.4322000000002</v>
      </c>
      <c r="G4" s="84"/>
      <c r="H4" s="87"/>
      <c r="I4" s="87"/>
      <c r="J4" s="88">
        <v>58103.567799999997</v>
      </c>
      <c r="K4" s="86">
        <v>5896.4322000000002</v>
      </c>
      <c r="L4" s="89"/>
      <c r="N4" s="91">
        <v>0</v>
      </c>
      <c r="O4" s="91">
        <v>0</v>
      </c>
      <c r="P4" s="91">
        <v>0</v>
      </c>
      <c r="Q4" s="91"/>
      <c r="R4" s="91"/>
      <c r="S4" s="91"/>
      <c r="T4" s="91"/>
      <c r="U4" s="91"/>
      <c r="V4" s="91">
        <v>0</v>
      </c>
      <c r="W4" s="91">
        <v>0</v>
      </c>
      <c r="X4" s="91"/>
      <c r="Y4" s="91"/>
      <c r="Z4" s="91"/>
      <c r="AA4" s="63">
        <f t="shared" ref="AA4:AA67" si="1">SUM(L4:W4)</f>
        <v>0</v>
      </c>
      <c r="AC4">
        <v>20000</v>
      </c>
      <c r="AD4">
        <f t="shared" si="0"/>
        <v>20000</v>
      </c>
    </row>
    <row r="5" spans="2:31" hidden="1" x14ac:dyDescent="0.2">
      <c r="B5" s="94">
        <v>10530070</v>
      </c>
      <c r="C5" s="106" t="s">
        <v>3519</v>
      </c>
      <c r="D5" s="94" t="s">
        <v>2951</v>
      </c>
      <c r="E5" s="95">
        <v>110000</v>
      </c>
      <c r="F5" s="96">
        <v>0</v>
      </c>
      <c r="G5" s="94"/>
      <c r="H5" s="97"/>
      <c r="I5" s="97"/>
      <c r="J5" s="98">
        <v>110000</v>
      </c>
      <c r="K5" s="96">
        <v>0</v>
      </c>
      <c r="L5" s="99">
        <v>14000</v>
      </c>
      <c r="M5" s="100"/>
      <c r="N5" s="101">
        <v>0</v>
      </c>
      <c r="O5" s="101">
        <v>0</v>
      </c>
      <c r="P5" s="101">
        <v>0</v>
      </c>
      <c r="Q5" s="101">
        <v>3291</v>
      </c>
      <c r="R5" s="101">
        <v>2709</v>
      </c>
      <c r="S5" s="101"/>
      <c r="T5" s="101"/>
      <c r="U5" s="101"/>
      <c r="V5" s="91">
        <v>0</v>
      </c>
      <c r="W5" s="91">
        <v>0</v>
      </c>
      <c r="X5" s="91"/>
      <c r="Y5" s="91"/>
      <c r="Z5" s="91"/>
      <c r="AA5" s="63">
        <f t="shared" si="1"/>
        <v>20000</v>
      </c>
      <c r="AC5">
        <v>20000</v>
      </c>
      <c r="AD5">
        <f>AC5-AA5</f>
        <v>0</v>
      </c>
    </row>
    <row r="6" spans="2:31" hidden="1" x14ac:dyDescent="0.2">
      <c r="B6" s="84">
        <v>10530071</v>
      </c>
      <c r="C6" s="107" t="s">
        <v>3520</v>
      </c>
      <c r="D6" s="84" t="s">
        <v>2951</v>
      </c>
      <c r="E6" s="85">
        <v>110000</v>
      </c>
      <c r="F6" s="86">
        <v>0</v>
      </c>
      <c r="G6" s="84"/>
      <c r="H6" s="87"/>
      <c r="I6" s="87"/>
      <c r="J6" s="88">
        <v>110000</v>
      </c>
      <c r="K6" s="86">
        <v>0</v>
      </c>
      <c r="L6" s="89"/>
      <c r="N6" s="91">
        <v>0</v>
      </c>
      <c r="O6" s="91">
        <v>0</v>
      </c>
      <c r="P6" s="91">
        <v>0</v>
      </c>
      <c r="Q6" s="91"/>
      <c r="R6" s="91"/>
      <c r="S6" s="91"/>
      <c r="T6" s="91"/>
      <c r="U6" s="91"/>
      <c r="V6" s="91">
        <v>0</v>
      </c>
      <c r="W6" s="91">
        <v>0</v>
      </c>
      <c r="X6" s="91"/>
      <c r="Y6" s="91"/>
      <c r="Z6" s="91"/>
      <c r="AA6" s="63">
        <f t="shared" si="1"/>
        <v>0</v>
      </c>
      <c r="AC6">
        <v>20000</v>
      </c>
      <c r="AD6">
        <f t="shared" ref="AD6:AD69" si="2">AC6-AA6</f>
        <v>20000</v>
      </c>
    </row>
    <row r="7" spans="2:31" hidden="1" x14ac:dyDescent="0.2">
      <c r="B7" s="77">
        <v>10120108</v>
      </c>
      <c r="C7" s="77" t="s">
        <v>3560</v>
      </c>
      <c r="D7" s="77" t="s">
        <v>3563</v>
      </c>
      <c r="E7" s="78">
        <v>110000</v>
      </c>
      <c r="F7" s="79">
        <v>0</v>
      </c>
      <c r="G7" s="77"/>
      <c r="H7" s="80"/>
      <c r="I7" s="80"/>
      <c r="J7" s="81">
        <v>110000</v>
      </c>
      <c r="K7" s="79">
        <v>0</v>
      </c>
      <c r="L7" s="82">
        <v>10000</v>
      </c>
      <c r="N7" s="91">
        <v>0</v>
      </c>
      <c r="O7" s="91">
        <v>0</v>
      </c>
      <c r="P7" s="91">
        <v>0</v>
      </c>
      <c r="Q7" s="91">
        <v>67</v>
      </c>
      <c r="R7" s="91">
        <v>1798</v>
      </c>
      <c r="S7" s="91"/>
      <c r="T7" s="91"/>
      <c r="U7" s="91"/>
      <c r="V7" s="91">
        <v>0</v>
      </c>
      <c r="W7" s="91">
        <v>72</v>
      </c>
      <c r="X7" s="101">
        <v>2377</v>
      </c>
      <c r="Y7" s="101"/>
      <c r="Z7" s="101"/>
      <c r="AA7" s="63">
        <f>SUM(L7:X7)</f>
        <v>14314</v>
      </c>
      <c r="AC7">
        <v>20000</v>
      </c>
      <c r="AD7">
        <f t="shared" si="2"/>
        <v>5686</v>
      </c>
    </row>
    <row r="8" spans="2:31" hidden="1" x14ac:dyDescent="0.2">
      <c r="B8" s="84">
        <v>10530067</v>
      </c>
      <c r="C8" s="84" t="s">
        <v>3562</v>
      </c>
      <c r="D8" s="84" t="s">
        <v>2951</v>
      </c>
      <c r="E8" s="85">
        <v>110000</v>
      </c>
      <c r="F8" s="86">
        <v>0</v>
      </c>
      <c r="G8" s="84"/>
      <c r="H8" s="87"/>
      <c r="I8" s="87"/>
      <c r="J8" s="88">
        <v>110000</v>
      </c>
      <c r="K8" s="86">
        <v>0</v>
      </c>
      <c r="L8" s="89"/>
      <c r="N8" s="91">
        <v>0</v>
      </c>
      <c r="O8" s="91">
        <v>0</v>
      </c>
      <c r="P8" s="91">
        <v>0</v>
      </c>
      <c r="Q8" s="91"/>
      <c r="R8" s="91"/>
      <c r="S8" s="91"/>
      <c r="T8" s="91"/>
      <c r="U8" s="91"/>
      <c r="V8" s="91">
        <v>0</v>
      </c>
      <c r="W8" s="91">
        <v>0</v>
      </c>
      <c r="X8" s="91"/>
      <c r="Y8" s="91"/>
      <c r="Z8" s="91"/>
      <c r="AA8" s="63">
        <f t="shared" si="1"/>
        <v>0</v>
      </c>
      <c r="AC8">
        <v>20000</v>
      </c>
      <c r="AD8">
        <f t="shared" si="2"/>
        <v>20000</v>
      </c>
    </row>
    <row r="9" spans="2:31" x14ac:dyDescent="0.2">
      <c r="B9" s="77">
        <v>10530074</v>
      </c>
      <c r="C9" s="106" t="s">
        <v>3527</v>
      </c>
      <c r="D9" s="77" t="s">
        <v>2951</v>
      </c>
      <c r="E9" s="78">
        <v>110000</v>
      </c>
      <c r="F9" s="79">
        <v>10000</v>
      </c>
      <c r="G9" s="77"/>
      <c r="H9" s="80"/>
      <c r="I9" s="80"/>
      <c r="J9" s="81">
        <v>100000</v>
      </c>
      <c r="K9" s="79">
        <v>0</v>
      </c>
      <c r="L9" s="82">
        <v>10000</v>
      </c>
      <c r="N9" s="91">
        <v>0</v>
      </c>
      <c r="O9" s="91">
        <v>0</v>
      </c>
      <c r="P9" s="91">
        <v>0</v>
      </c>
      <c r="Q9" s="91">
        <v>1954</v>
      </c>
      <c r="R9" s="91">
        <v>2945</v>
      </c>
      <c r="S9" s="91"/>
      <c r="T9" s="91">
        <v>1685</v>
      </c>
      <c r="U9" s="91"/>
      <c r="V9" s="91">
        <v>0</v>
      </c>
      <c r="W9" s="91">
        <v>3416</v>
      </c>
      <c r="X9" s="91"/>
      <c r="Y9" s="91"/>
      <c r="Z9" s="91"/>
      <c r="AA9" s="63">
        <f t="shared" si="1"/>
        <v>20000</v>
      </c>
      <c r="AC9">
        <v>20000</v>
      </c>
      <c r="AD9">
        <f t="shared" si="2"/>
        <v>0</v>
      </c>
    </row>
    <row r="10" spans="2:31" hidden="1" x14ac:dyDescent="0.2">
      <c r="B10" s="84">
        <v>10140183</v>
      </c>
      <c r="C10" s="107" t="s">
        <v>3524</v>
      </c>
      <c r="D10" s="84" t="s">
        <v>85</v>
      </c>
      <c r="E10" s="85">
        <v>110000</v>
      </c>
      <c r="F10" s="86">
        <v>10000</v>
      </c>
      <c r="G10" s="84"/>
      <c r="H10" s="87"/>
      <c r="I10" s="87"/>
      <c r="J10" s="88">
        <v>100000</v>
      </c>
      <c r="K10" s="86">
        <v>0</v>
      </c>
      <c r="L10" s="89">
        <v>10000</v>
      </c>
      <c r="N10" s="91">
        <v>0</v>
      </c>
      <c r="O10" s="91">
        <v>0</v>
      </c>
      <c r="P10" s="91">
        <v>0</v>
      </c>
      <c r="Q10" s="91">
        <v>4387</v>
      </c>
      <c r="R10" s="91">
        <v>7445</v>
      </c>
      <c r="S10" s="91"/>
      <c r="T10" s="91"/>
      <c r="U10" s="91"/>
      <c r="V10" s="91">
        <v>0</v>
      </c>
      <c r="W10" s="91">
        <v>0</v>
      </c>
      <c r="X10" s="91"/>
      <c r="Y10" s="91"/>
      <c r="Z10" s="91"/>
      <c r="AA10" s="63">
        <f t="shared" si="1"/>
        <v>21832</v>
      </c>
      <c r="AC10">
        <v>20000</v>
      </c>
      <c r="AD10">
        <f t="shared" si="2"/>
        <v>-1832</v>
      </c>
    </row>
    <row r="11" spans="2:31" hidden="1" x14ac:dyDescent="0.2">
      <c r="B11" s="77">
        <v>10140182</v>
      </c>
      <c r="C11" s="77" t="s">
        <v>3557</v>
      </c>
      <c r="D11" s="77" t="s">
        <v>85</v>
      </c>
      <c r="E11" s="78">
        <v>110000</v>
      </c>
      <c r="F11" s="79">
        <v>8000</v>
      </c>
      <c r="G11" s="77"/>
      <c r="H11" s="80"/>
      <c r="I11" s="80"/>
      <c r="J11" s="81">
        <v>102000</v>
      </c>
      <c r="K11" s="79">
        <v>0</v>
      </c>
      <c r="L11" s="82">
        <v>8000</v>
      </c>
      <c r="N11" s="91">
        <v>0</v>
      </c>
      <c r="O11" s="91">
        <v>0</v>
      </c>
      <c r="P11" s="91">
        <v>0</v>
      </c>
      <c r="Q11" s="91">
        <v>2087</v>
      </c>
      <c r="R11" s="91">
        <v>2161</v>
      </c>
      <c r="S11" s="91"/>
      <c r="T11" s="91"/>
      <c r="U11" s="91"/>
      <c r="V11" s="91">
        <v>0</v>
      </c>
      <c r="W11" s="91">
        <v>0</v>
      </c>
      <c r="X11" s="91"/>
      <c r="Y11" s="91"/>
      <c r="Z11" s="91"/>
      <c r="AA11" s="63">
        <f t="shared" si="1"/>
        <v>12248</v>
      </c>
      <c r="AC11">
        <v>20000</v>
      </c>
      <c r="AD11">
        <f t="shared" si="2"/>
        <v>7752</v>
      </c>
    </row>
    <row r="12" spans="2:31" hidden="1" x14ac:dyDescent="0.2">
      <c r="B12" s="84">
        <v>10140178</v>
      </c>
      <c r="C12" s="84" t="s">
        <v>3426</v>
      </c>
      <c r="D12" s="84" t="s">
        <v>85</v>
      </c>
      <c r="E12" s="85">
        <v>110000</v>
      </c>
      <c r="F12" s="86">
        <v>10908</v>
      </c>
      <c r="G12" s="84"/>
      <c r="H12" s="87"/>
      <c r="I12" s="87"/>
      <c r="J12" s="88">
        <v>99092</v>
      </c>
      <c r="K12" s="86">
        <v>908</v>
      </c>
      <c r="L12" s="89">
        <v>10000</v>
      </c>
      <c r="N12" s="91">
        <v>0</v>
      </c>
      <c r="O12" s="91">
        <v>0</v>
      </c>
      <c r="P12" s="91">
        <v>0</v>
      </c>
      <c r="Q12" s="91">
        <v>530</v>
      </c>
      <c r="R12" s="91"/>
      <c r="S12" s="91"/>
      <c r="T12" s="91"/>
      <c r="U12" s="91"/>
      <c r="V12" s="91">
        <v>0</v>
      </c>
      <c r="W12" s="91">
        <v>0</v>
      </c>
      <c r="X12" s="91"/>
      <c r="Y12" s="91"/>
      <c r="Z12" s="91"/>
      <c r="AA12" s="63">
        <f t="shared" si="1"/>
        <v>10530</v>
      </c>
      <c r="AC12">
        <v>20000</v>
      </c>
      <c r="AD12">
        <f t="shared" si="2"/>
        <v>9470</v>
      </c>
    </row>
    <row r="13" spans="2:31" hidden="1" x14ac:dyDescent="0.2">
      <c r="B13" s="77">
        <v>10140179</v>
      </c>
      <c r="C13" s="106" t="s">
        <v>3427</v>
      </c>
      <c r="D13" s="77" t="s">
        <v>85</v>
      </c>
      <c r="E13" s="78">
        <v>110000</v>
      </c>
      <c r="F13" s="79">
        <v>10476</v>
      </c>
      <c r="G13" s="77"/>
      <c r="H13" s="80"/>
      <c r="I13" s="80"/>
      <c r="J13" s="81">
        <v>99524</v>
      </c>
      <c r="K13" s="79">
        <v>476</v>
      </c>
      <c r="L13" s="82">
        <v>10000</v>
      </c>
      <c r="N13" s="91">
        <v>0</v>
      </c>
      <c r="O13" s="91">
        <v>0</v>
      </c>
      <c r="P13" s="91">
        <v>3407</v>
      </c>
      <c r="Q13" s="91">
        <v>3357</v>
      </c>
      <c r="R13" s="91">
        <v>2906</v>
      </c>
      <c r="S13" s="91"/>
      <c r="T13" s="91"/>
      <c r="U13" s="91"/>
      <c r="V13" s="91">
        <v>0</v>
      </c>
      <c r="W13" s="91">
        <v>0</v>
      </c>
      <c r="X13" s="91"/>
      <c r="Y13" s="91"/>
      <c r="Z13" s="91"/>
      <c r="AA13" s="63">
        <f t="shared" si="1"/>
        <v>19670</v>
      </c>
      <c r="AC13">
        <v>20000</v>
      </c>
      <c r="AD13">
        <f t="shared" si="2"/>
        <v>330</v>
      </c>
    </row>
    <row r="14" spans="2:31" hidden="1" x14ac:dyDescent="0.2">
      <c r="B14" s="84">
        <v>10140180</v>
      </c>
      <c r="C14" s="84" t="s">
        <v>3471</v>
      </c>
      <c r="D14" s="84" t="s">
        <v>85</v>
      </c>
      <c r="E14" s="85">
        <v>110000</v>
      </c>
      <c r="F14" s="86">
        <v>10000</v>
      </c>
      <c r="G14" s="84"/>
      <c r="H14" s="87"/>
      <c r="I14" s="87"/>
      <c r="J14" s="88">
        <v>100000</v>
      </c>
      <c r="K14" s="86">
        <v>0</v>
      </c>
      <c r="L14" s="89">
        <v>10000</v>
      </c>
      <c r="N14" s="91">
        <v>0</v>
      </c>
      <c r="O14" s="91">
        <v>0</v>
      </c>
      <c r="P14" s="91">
        <v>0</v>
      </c>
      <c r="Q14" s="91">
        <v>1475</v>
      </c>
      <c r="R14" s="91">
        <v>2100</v>
      </c>
      <c r="S14" s="91"/>
      <c r="T14" s="91">
        <v>539</v>
      </c>
      <c r="U14" s="91"/>
      <c r="V14" s="91">
        <v>1693</v>
      </c>
      <c r="W14" s="91">
        <v>0</v>
      </c>
      <c r="X14" s="91"/>
      <c r="Y14" s="91"/>
      <c r="Z14" s="91"/>
      <c r="AA14" s="63">
        <f>SUM(L14:W14)</f>
        <v>15807</v>
      </c>
      <c r="AC14">
        <v>20000</v>
      </c>
      <c r="AD14">
        <f t="shared" si="2"/>
        <v>4193</v>
      </c>
    </row>
    <row r="15" spans="2:31" hidden="1" x14ac:dyDescent="0.2">
      <c r="B15" s="77">
        <v>10080098</v>
      </c>
      <c r="C15" s="77" t="s">
        <v>3468</v>
      </c>
      <c r="D15" s="77" t="s">
        <v>3213</v>
      </c>
      <c r="E15" s="78">
        <v>110000</v>
      </c>
      <c r="F15" s="79">
        <v>10000</v>
      </c>
      <c r="G15" s="77"/>
      <c r="H15" s="80"/>
      <c r="I15" s="80"/>
      <c r="J15" s="81">
        <v>100000</v>
      </c>
      <c r="K15" s="79">
        <v>0</v>
      </c>
      <c r="L15" s="82">
        <v>10000</v>
      </c>
      <c r="N15" s="91">
        <v>0</v>
      </c>
      <c r="O15" s="91">
        <v>0</v>
      </c>
      <c r="P15" s="91">
        <v>1086</v>
      </c>
      <c r="Q15" s="91">
        <v>4643</v>
      </c>
      <c r="R15" s="91">
        <v>1868</v>
      </c>
      <c r="S15" s="91"/>
      <c r="T15" s="91"/>
      <c r="U15" s="91"/>
      <c r="V15" s="91">
        <v>0</v>
      </c>
      <c r="W15" s="91">
        <v>0</v>
      </c>
      <c r="X15" s="91"/>
      <c r="Y15" s="91"/>
      <c r="Z15" s="91"/>
      <c r="AA15" s="63">
        <f t="shared" si="1"/>
        <v>17597</v>
      </c>
      <c r="AC15">
        <v>20000</v>
      </c>
      <c r="AD15">
        <f t="shared" si="2"/>
        <v>2403</v>
      </c>
    </row>
    <row r="16" spans="2:31" hidden="1" x14ac:dyDescent="0.2">
      <c r="B16" s="84">
        <v>10140177</v>
      </c>
      <c r="C16" s="84" t="s">
        <v>3439</v>
      </c>
      <c r="D16" s="84" t="s">
        <v>85</v>
      </c>
      <c r="E16" s="85">
        <v>110000</v>
      </c>
      <c r="F16" s="86">
        <v>10076</v>
      </c>
      <c r="G16" s="84"/>
      <c r="H16" s="87"/>
      <c r="I16" s="87"/>
      <c r="J16" s="88">
        <v>99924</v>
      </c>
      <c r="K16" s="86">
        <v>76</v>
      </c>
      <c r="L16" s="89">
        <v>10000</v>
      </c>
      <c r="N16" s="91">
        <v>0</v>
      </c>
      <c r="O16" s="91">
        <v>0</v>
      </c>
      <c r="P16" s="91">
        <v>0</v>
      </c>
      <c r="Q16" s="91"/>
      <c r="R16" s="91"/>
      <c r="S16" s="91"/>
      <c r="T16" s="91"/>
      <c r="U16" s="91"/>
      <c r="V16" s="91">
        <v>0</v>
      </c>
      <c r="W16" s="91">
        <v>0</v>
      </c>
      <c r="X16" s="91"/>
      <c r="Y16" s="91"/>
      <c r="Z16" s="91"/>
      <c r="AA16" s="63">
        <f t="shared" si="1"/>
        <v>10000</v>
      </c>
      <c r="AC16">
        <v>20000</v>
      </c>
      <c r="AD16">
        <f t="shared" si="2"/>
        <v>10000</v>
      </c>
    </row>
    <row r="17" spans="2:31" hidden="1" x14ac:dyDescent="0.2">
      <c r="B17" s="77">
        <v>10060109</v>
      </c>
      <c r="C17" s="106" t="s">
        <v>3498</v>
      </c>
      <c r="D17" s="77" t="s">
        <v>3501</v>
      </c>
      <c r="E17" s="78">
        <v>110000</v>
      </c>
      <c r="F17" s="79">
        <v>10000</v>
      </c>
      <c r="G17" s="77"/>
      <c r="H17" s="80"/>
      <c r="I17" s="80"/>
      <c r="J17" s="81">
        <v>100000</v>
      </c>
      <c r="K17" s="79">
        <v>0</v>
      </c>
      <c r="L17" s="82">
        <v>10000</v>
      </c>
      <c r="N17" s="91">
        <v>0</v>
      </c>
      <c r="O17" s="91">
        <v>0</v>
      </c>
      <c r="P17" s="91">
        <v>0</v>
      </c>
      <c r="Q17" s="91">
        <v>2161</v>
      </c>
      <c r="R17" s="91">
        <v>5130</v>
      </c>
      <c r="S17" s="91">
        <v>0</v>
      </c>
      <c r="T17" s="91">
        <v>2707</v>
      </c>
      <c r="U17" s="91"/>
      <c r="V17" s="91">
        <v>0</v>
      </c>
      <c r="W17" s="91">
        <v>0</v>
      </c>
      <c r="X17" s="91"/>
      <c r="Y17" s="91"/>
      <c r="Z17" s="91"/>
      <c r="AA17" s="63">
        <f t="shared" si="1"/>
        <v>19998</v>
      </c>
      <c r="AC17">
        <v>20000</v>
      </c>
      <c r="AD17">
        <f t="shared" si="2"/>
        <v>2</v>
      </c>
    </row>
    <row r="18" spans="2:31" hidden="1" x14ac:dyDescent="0.2">
      <c r="B18" s="84">
        <v>10060110</v>
      </c>
      <c r="C18" s="84" t="s">
        <v>3499</v>
      </c>
      <c r="D18" s="84" t="s">
        <v>3501</v>
      </c>
      <c r="E18" s="85">
        <v>110000</v>
      </c>
      <c r="F18" s="86">
        <v>10000</v>
      </c>
      <c r="G18" s="84"/>
      <c r="H18" s="87"/>
      <c r="I18" s="87"/>
      <c r="J18" s="88">
        <v>100000</v>
      </c>
      <c r="K18" s="86">
        <v>0</v>
      </c>
      <c r="L18" s="89">
        <v>10000</v>
      </c>
      <c r="N18" s="91">
        <v>0</v>
      </c>
      <c r="O18" s="91">
        <v>0</v>
      </c>
      <c r="P18" s="91">
        <v>0</v>
      </c>
      <c r="Q18" s="91">
        <v>5736</v>
      </c>
      <c r="R18" s="91">
        <v>3038</v>
      </c>
      <c r="S18" s="91"/>
      <c r="T18" s="91"/>
      <c r="U18" s="91"/>
      <c r="V18" s="91">
        <v>0</v>
      </c>
      <c r="W18" s="91">
        <v>0</v>
      </c>
      <c r="X18" s="91"/>
      <c r="Y18" s="91"/>
      <c r="Z18" s="91"/>
      <c r="AA18" s="63">
        <f t="shared" si="1"/>
        <v>18774</v>
      </c>
      <c r="AC18">
        <v>20000</v>
      </c>
      <c r="AD18">
        <f t="shared" si="2"/>
        <v>1226</v>
      </c>
    </row>
    <row r="19" spans="2:31" hidden="1" x14ac:dyDescent="0.2">
      <c r="B19" s="77">
        <v>10030072</v>
      </c>
      <c r="C19" s="77" t="s">
        <v>3505</v>
      </c>
      <c r="D19" s="77" t="s">
        <v>584</v>
      </c>
      <c r="E19" s="78">
        <v>110000</v>
      </c>
      <c r="F19" s="79">
        <v>0</v>
      </c>
      <c r="G19" s="77"/>
      <c r="H19" s="80"/>
      <c r="I19" s="80"/>
      <c r="J19" s="81">
        <v>110000</v>
      </c>
      <c r="K19" s="79">
        <v>0</v>
      </c>
      <c r="L19" s="82"/>
      <c r="N19" s="91">
        <v>0</v>
      </c>
      <c r="O19" s="91">
        <v>0</v>
      </c>
      <c r="P19" s="91">
        <v>0</v>
      </c>
      <c r="Q19" s="91">
        <v>2624</v>
      </c>
      <c r="R19" s="91">
        <v>2417</v>
      </c>
      <c r="S19" s="91"/>
      <c r="T19" s="91"/>
      <c r="U19" s="91"/>
      <c r="V19" s="91">
        <v>0</v>
      </c>
      <c r="W19" s="91">
        <v>0</v>
      </c>
      <c r="X19" s="91"/>
      <c r="Y19" s="91"/>
      <c r="Z19" s="91"/>
      <c r="AA19" s="63">
        <f t="shared" si="1"/>
        <v>5041</v>
      </c>
      <c r="AC19">
        <v>20000</v>
      </c>
      <c r="AD19">
        <f t="shared" si="2"/>
        <v>14959</v>
      </c>
    </row>
    <row r="20" spans="2:31" hidden="1" x14ac:dyDescent="0.2">
      <c r="B20" s="84">
        <v>10030073</v>
      </c>
      <c r="C20" s="84" t="s">
        <v>3506</v>
      </c>
      <c r="D20" s="84" t="s">
        <v>584</v>
      </c>
      <c r="E20" s="85">
        <v>110000</v>
      </c>
      <c r="F20" s="86">
        <v>0</v>
      </c>
      <c r="G20" s="84"/>
      <c r="H20" s="87"/>
      <c r="I20" s="87"/>
      <c r="J20" s="88">
        <v>110000</v>
      </c>
      <c r="K20" s="86">
        <v>0</v>
      </c>
      <c r="L20" s="89"/>
      <c r="N20" s="91">
        <v>0</v>
      </c>
      <c r="O20" s="91">
        <v>0</v>
      </c>
      <c r="P20" s="91">
        <v>0</v>
      </c>
      <c r="Q20" s="91">
        <v>599</v>
      </c>
      <c r="R20" s="91">
        <v>2413</v>
      </c>
      <c r="S20" s="91"/>
      <c r="T20" s="91"/>
      <c r="U20" s="91"/>
      <c r="V20" s="91">
        <v>0</v>
      </c>
      <c r="W20" s="91">
        <v>0</v>
      </c>
      <c r="X20" s="91"/>
      <c r="Y20" s="91"/>
      <c r="Z20" s="91"/>
      <c r="AA20" s="63">
        <f t="shared" si="1"/>
        <v>3012</v>
      </c>
      <c r="AC20">
        <v>20000</v>
      </c>
      <c r="AD20">
        <f t="shared" si="2"/>
        <v>16988</v>
      </c>
    </row>
    <row r="21" spans="2:31" hidden="1" x14ac:dyDescent="0.2">
      <c r="B21" s="77">
        <v>10060111</v>
      </c>
      <c r="C21" s="106" t="s">
        <v>3500</v>
      </c>
      <c r="D21" s="77" t="s">
        <v>3501</v>
      </c>
      <c r="E21" s="78">
        <v>110000</v>
      </c>
      <c r="F21" s="79">
        <v>15000</v>
      </c>
      <c r="G21" s="77"/>
      <c r="H21" s="80"/>
      <c r="I21" s="80"/>
      <c r="J21" s="81">
        <v>95000</v>
      </c>
      <c r="K21" s="79">
        <v>0</v>
      </c>
      <c r="L21" s="82">
        <v>15000</v>
      </c>
      <c r="N21" s="91">
        <v>0</v>
      </c>
      <c r="O21" s="91">
        <v>0</v>
      </c>
      <c r="P21" s="91">
        <v>0</v>
      </c>
      <c r="Q21" s="91">
        <v>5142</v>
      </c>
      <c r="R21" s="91"/>
      <c r="S21" s="91"/>
      <c r="T21" s="91"/>
      <c r="U21" s="91"/>
      <c r="V21" s="91">
        <v>0</v>
      </c>
      <c r="W21" s="91">
        <v>0</v>
      </c>
      <c r="X21" s="91"/>
      <c r="Y21" s="91"/>
      <c r="Z21" s="91"/>
      <c r="AA21" s="63">
        <f t="shared" si="1"/>
        <v>20142</v>
      </c>
      <c r="AC21">
        <v>20000</v>
      </c>
      <c r="AD21">
        <f t="shared" si="2"/>
        <v>-142</v>
      </c>
      <c r="AE21" s="93">
        <v>45931</v>
      </c>
    </row>
    <row r="22" spans="2:31" hidden="1" x14ac:dyDescent="0.2">
      <c r="B22" s="84">
        <v>10110103</v>
      </c>
      <c r="C22" s="84" t="s">
        <v>2883</v>
      </c>
      <c r="D22" s="84" t="s">
        <v>217</v>
      </c>
      <c r="E22" s="85">
        <v>110000</v>
      </c>
      <c r="F22" s="86">
        <v>5000</v>
      </c>
      <c r="G22" s="84"/>
      <c r="H22" s="87"/>
      <c r="I22" s="87"/>
      <c r="J22" s="88">
        <v>105000</v>
      </c>
      <c r="K22" s="86">
        <v>0</v>
      </c>
      <c r="L22" s="89">
        <v>5000</v>
      </c>
      <c r="N22" s="91">
        <v>0</v>
      </c>
      <c r="O22" s="91">
        <v>0</v>
      </c>
      <c r="P22" s="91">
        <v>0</v>
      </c>
      <c r="Q22" s="91"/>
      <c r="R22" s="91"/>
      <c r="S22" s="91"/>
      <c r="T22" s="91"/>
      <c r="U22" s="91"/>
      <c r="V22" s="91">
        <v>0</v>
      </c>
      <c r="W22" s="91">
        <v>0</v>
      </c>
      <c r="X22" s="91"/>
      <c r="Y22" s="91"/>
      <c r="Z22" s="91"/>
      <c r="AA22" s="63">
        <f t="shared" si="1"/>
        <v>5000</v>
      </c>
      <c r="AC22">
        <v>20000</v>
      </c>
      <c r="AD22">
        <f t="shared" si="2"/>
        <v>15000</v>
      </c>
    </row>
    <row r="23" spans="2:31" hidden="1" x14ac:dyDescent="0.2">
      <c r="B23" s="77">
        <v>10140153</v>
      </c>
      <c r="C23" s="77" t="s">
        <v>2891</v>
      </c>
      <c r="D23" s="77" t="s">
        <v>85</v>
      </c>
      <c r="E23" s="78">
        <v>110000</v>
      </c>
      <c r="F23" s="79">
        <v>15583</v>
      </c>
      <c r="G23" s="77"/>
      <c r="H23" s="80"/>
      <c r="I23" s="80"/>
      <c r="J23" s="81">
        <v>94417</v>
      </c>
      <c r="K23" s="79">
        <v>5583</v>
      </c>
      <c r="L23" s="82">
        <v>10000</v>
      </c>
      <c r="N23" s="91">
        <v>650</v>
      </c>
      <c r="O23" s="91">
        <v>0</v>
      </c>
      <c r="P23" s="91">
        <v>1536</v>
      </c>
      <c r="Q23" s="91">
        <v>605</v>
      </c>
      <c r="R23" s="91"/>
      <c r="S23" s="91"/>
      <c r="T23" s="91"/>
      <c r="U23" s="91"/>
      <c r="V23" s="91">
        <v>852</v>
      </c>
      <c r="W23" s="91">
        <v>1390</v>
      </c>
      <c r="X23" s="91"/>
      <c r="Y23" s="91"/>
      <c r="Z23" s="91"/>
      <c r="AA23" s="63">
        <f t="shared" si="1"/>
        <v>15033</v>
      </c>
      <c r="AC23">
        <v>20000</v>
      </c>
      <c r="AD23">
        <f t="shared" si="2"/>
        <v>4967</v>
      </c>
    </row>
    <row r="24" spans="2:31" hidden="1" x14ac:dyDescent="0.2">
      <c r="B24" s="84">
        <v>10130098</v>
      </c>
      <c r="C24" s="107" t="s">
        <v>3335</v>
      </c>
      <c r="D24" s="84" t="s">
        <v>3270</v>
      </c>
      <c r="E24" s="85">
        <v>110000</v>
      </c>
      <c r="F24" s="86">
        <v>1861</v>
      </c>
      <c r="G24" s="84"/>
      <c r="H24" s="87"/>
      <c r="I24" s="87"/>
      <c r="J24" s="88">
        <v>108139</v>
      </c>
      <c r="K24" s="86">
        <v>1861</v>
      </c>
      <c r="L24" s="89">
        <v>10000</v>
      </c>
      <c r="N24" s="91">
        <v>1924</v>
      </c>
      <c r="O24" s="91">
        <v>1203</v>
      </c>
      <c r="P24" s="91">
        <v>3519</v>
      </c>
      <c r="Q24" s="91">
        <v>3304</v>
      </c>
      <c r="R24" s="91">
        <v>3258</v>
      </c>
      <c r="S24" s="91"/>
      <c r="T24" s="91"/>
      <c r="U24" s="91"/>
      <c r="V24" s="91">
        <v>0</v>
      </c>
      <c r="W24" s="91">
        <v>0</v>
      </c>
      <c r="X24" s="91"/>
      <c r="Y24" s="91"/>
      <c r="Z24" s="91"/>
      <c r="AA24" s="63">
        <f t="shared" si="1"/>
        <v>23208</v>
      </c>
      <c r="AC24">
        <v>20000</v>
      </c>
      <c r="AD24">
        <f t="shared" si="2"/>
        <v>-3208</v>
      </c>
    </row>
    <row r="25" spans="2:31" s="100" customFormat="1" hidden="1" x14ac:dyDescent="0.2">
      <c r="B25" s="94">
        <v>10120107</v>
      </c>
      <c r="C25" s="106" t="s">
        <v>3415</v>
      </c>
      <c r="D25" s="94" t="s">
        <v>3086</v>
      </c>
      <c r="E25" s="95">
        <v>110000</v>
      </c>
      <c r="F25" s="96">
        <v>282</v>
      </c>
      <c r="G25" s="94"/>
      <c r="H25" s="97"/>
      <c r="I25" s="97"/>
      <c r="J25" s="98">
        <v>109718</v>
      </c>
      <c r="K25" s="96">
        <v>13052</v>
      </c>
      <c r="L25" s="99">
        <v>10000</v>
      </c>
      <c r="N25" s="101">
        <v>0</v>
      </c>
      <c r="O25" s="101">
        <v>0</v>
      </c>
      <c r="P25" s="101">
        <v>1685</v>
      </c>
      <c r="Q25" s="101">
        <v>2146</v>
      </c>
      <c r="R25" s="101">
        <v>2771</v>
      </c>
      <c r="S25" s="101"/>
      <c r="T25" s="101">
        <v>2573</v>
      </c>
      <c r="U25" s="101">
        <v>825</v>
      </c>
      <c r="V25" s="91">
        <v>0</v>
      </c>
      <c r="W25" s="91">
        <v>0</v>
      </c>
      <c r="X25" s="91"/>
      <c r="Y25" s="91"/>
      <c r="Z25" s="91"/>
      <c r="AA25" s="63">
        <f t="shared" si="1"/>
        <v>20000</v>
      </c>
      <c r="AB25"/>
      <c r="AC25">
        <v>20000</v>
      </c>
      <c r="AD25">
        <f t="shared" si="2"/>
        <v>0</v>
      </c>
    </row>
    <row r="26" spans="2:31" hidden="1" x14ac:dyDescent="0.2">
      <c r="B26" s="84">
        <v>10130100</v>
      </c>
      <c r="C26" s="84" t="s">
        <v>3416</v>
      </c>
      <c r="D26" s="84" t="s">
        <v>3270</v>
      </c>
      <c r="E26" s="85">
        <v>110000</v>
      </c>
      <c r="F26" s="86">
        <v>0</v>
      </c>
      <c r="G26" s="84"/>
      <c r="H26" s="87"/>
      <c r="I26" s="87"/>
      <c r="J26" s="88">
        <v>110000</v>
      </c>
      <c r="K26" s="86">
        <v>0</v>
      </c>
      <c r="L26" s="89"/>
      <c r="N26" s="91">
        <v>0</v>
      </c>
      <c r="O26" s="91">
        <v>0</v>
      </c>
      <c r="P26" s="91">
        <v>0</v>
      </c>
      <c r="Q26" s="91">
        <v>543</v>
      </c>
      <c r="R26" s="91">
        <v>1390</v>
      </c>
      <c r="S26" s="91"/>
      <c r="T26" s="91"/>
      <c r="U26" s="91"/>
      <c r="V26" s="91">
        <v>0</v>
      </c>
      <c r="W26" s="91">
        <v>110</v>
      </c>
      <c r="X26" s="91"/>
      <c r="Y26" s="91"/>
      <c r="Z26" s="91"/>
      <c r="AA26" s="63">
        <f t="shared" si="1"/>
        <v>2043</v>
      </c>
      <c r="AC26">
        <v>20000</v>
      </c>
      <c r="AD26">
        <f t="shared" si="2"/>
        <v>17957</v>
      </c>
    </row>
    <row r="27" spans="2:31" hidden="1" x14ac:dyDescent="0.2">
      <c r="B27" s="77">
        <v>10130102</v>
      </c>
      <c r="C27" s="77" t="s">
        <v>3458</v>
      </c>
      <c r="D27" s="77" t="s">
        <v>3270</v>
      </c>
      <c r="E27" s="78">
        <v>110000</v>
      </c>
      <c r="F27" s="79">
        <v>10000</v>
      </c>
      <c r="G27" s="77"/>
      <c r="H27" s="80"/>
      <c r="I27" s="80"/>
      <c r="J27" s="81">
        <v>100000</v>
      </c>
      <c r="K27" s="79">
        <v>0</v>
      </c>
      <c r="L27" s="82">
        <v>10000</v>
      </c>
      <c r="N27" s="91">
        <v>0</v>
      </c>
      <c r="O27" s="91">
        <v>0</v>
      </c>
      <c r="P27" s="91">
        <v>0</v>
      </c>
      <c r="Q27" s="91">
        <v>1064</v>
      </c>
      <c r="R27" s="91">
        <v>2903</v>
      </c>
      <c r="S27" s="91"/>
      <c r="T27" s="91"/>
      <c r="U27" s="91"/>
      <c r="V27" s="91">
        <v>2182</v>
      </c>
      <c r="W27" s="91">
        <v>3407</v>
      </c>
      <c r="X27" s="91"/>
      <c r="Y27" s="91"/>
      <c r="Z27" s="91"/>
      <c r="AA27" s="63">
        <f t="shared" si="1"/>
        <v>19556</v>
      </c>
      <c r="AC27">
        <v>20000</v>
      </c>
      <c r="AD27">
        <f t="shared" si="2"/>
        <v>444</v>
      </c>
    </row>
    <row r="28" spans="2:31" hidden="1" x14ac:dyDescent="0.2">
      <c r="B28" s="84">
        <v>10530062</v>
      </c>
      <c r="C28" s="107" t="s">
        <v>3418</v>
      </c>
      <c r="D28" s="84" t="s">
        <v>2951</v>
      </c>
      <c r="E28" s="85">
        <v>110000</v>
      </c>
      <c r="F28" s="86">
        <v>195</v>
      </c>
      <c r="G28" s="84"/>
      <c r="H28" s="87"/>
      <c r="I28" s="87"/>
      <c r="J28" s="88">
        <v>109805</v>
      </c>
      <c r="K28" s="86">
        <v>0</v>
      </c>
      <c r="L28" s="89"/>
      <c r="N28" s="91">
        <v>0</v>
      </c>
      <c r="O28" s="91">
        <v>0</v>
      </c>
      <c r="P28" s="91">
        <v>0</v>
      </c>
      <c r="Q28" s="91"/>
      <c r="R28" s="91"/>
      <c r="S28" s="91"/>
      <c r="T28" s="91"/>
      <c r="U28" s="91"/>
      <c r="V28" s="91">
        <v>0</v>
      </c>
      <c r="W28" s="91">
        <v>0</v>
      </c>
      <c r="X28" s="91"/>
      <c r="Y28" s="91"/>
      <c r="Z28" s="91"/>
      <c r="AA28" s="63">
        <f t="shared" si="1"/>
        <v>0</v>
      </c>
      <c r="AC28">
        <v>20000</v>
      </c>
      <c r="AD28">
        <f t="shared" si="2"/>
        <v>20000</v>
      </c>
    </row>
    <row r="29" spans="2:31" hidden="1" x14ac:dyDescent="0.2">
      <c r="B29" s="77">
        <v>10120098</v>
      </c>
      <c r="C29" s="77" t="s">
        <v>3328</v>
      </c>
      <c r="D29" s="77" t="s">
        <v>177</v>
      </c>
      <c r="E29" s="78">
        <v>64000</v>
      </c>
      <c r="F29" s="79">
        <v>11861</v>
      </c>
      <c r="G29" s="77"/>
      <c r="H29" s="80"/>
      <c r="I29" s="80"/>
      <c r="J29" s="81">
        <v>52139</v>
      </c>
      <c r="K29" s="79">
        <v>1861</v>
      </c>
      <c r="L29" s="82">
        <v>10000</v>
      </c>
      <c r="N29" s="91">
        <v>2639</v>
      </c>
      <c r="O29" s="91">
        <v>2460</v>
      </c>
      <c r="P29" s="91">
        <v>0</v>
      </c>
      <c r="Q29" s="91">
        <v>79</v>
      </c>
      <c r="R29" s="91"/>
      <c r="S29" s="91"/>
      <c r="T29" s="91"/>
      <c r="U29" s="91"/>
      <c r="V29" s="91">
        <v>0</v>
      </c>
      <c r="W29" s="91">
        <v>0</v>
      </c>
      <c r="X29" s="91"/>
      <c r="Y29" s="91"/>
      <c r="Z29" s="91"/>
      <c r="AA29" s="63">
        <f t="shared" si="1"/>
        <v>15178</v>
      </c>
      <c r="AC29">
        <v>20000</v>
      </c>
      <c r="AD29">
        <f t="shared" si="2"/>
        <v>4822</v>
      </c>
    </row>
    <row r="30" spans="2:31" hidden="1" x14ac:dyDescent="0.2">
      <c r="B30" s="84">
        <v>10130095</v>
      </c>
      <c r="C30" s="84" t="s">
        <v>3329</v>
      </c>
      <c r="D30" s="84" t="s">
        <v>177</v>
      </c>
      <c r="E30" s="85">
        <v>110000</v>
      </c>
      <c r="F30" s="86">
        <v>1861</v>
      </c>
      <c r="G30" s="84"/>
      <c r="H30" s="87"/>
      <c r="I30" s="87"/>
      <c r="J30" s="88">
        <v>108139</v>
      </c>
      <c r="K30" s="86">
        <v>1861</v>
      </c>
      <c r="L30" s="89"/>
      <c r="N30" s="91">
        <v>2380</v>
      </c>
      <c r="O30" s="91">
        <v>581</v>
      </c>
      <c r="P30" s="91">
        <v>0</v>
      </c>
      <c r="Q30" s="91"/>
      <c r="R30" s="91"/>
      <c r="S30" s="91"/>
      <c r="T30" s="91"/>
      <c r="U30" s="91"/>
      <c r="V30" s="91">
        <v>0</v>
      </c>
      <c r="W30" s="91">
        <v>0</v>
      </c>
      <c r="X30" s="91"/>
      <c r="Y30" s="91"/>
      <c r="Z30" s="91"/>
      <c r="AA30" s="63">
        <f t="shared" si="1"/>
        <v>2961</v>
      </c>
      <c r="AC30">
        <v>20000</v>
      </c>
      <c r="AD30">
        <f t="shared" si="2"/>
        <v>17039</v>
      </c>
    </row>
    <row r="31" spans="2:31" hidden="1" x14ac:dyDescent="0.2">
      <c r="B31" s="77">
        <v>10060106</v>
      </c>
      <c r="C31" s="77" t="s">
        <v>3409</v>
      </c>
      <c r="D31" s="77" t="s">
        <v>3093</v>
      </c>
      <c r="E31" s="78">
        <v>110000</v>
      </c>
      <c r="F31" s="79">
        <v>10000</v>
      </c>
      <c r="G31" s="77"/>
      <c r="H31" s="80"/>
      <c r="I31" s="80"/>
      <c r="J31" s="81">
        <v>100000</v>
      </c>
      <c r="K31" s="79">
        <v>0</v>
      </c>
      <c r="L31" s="82">
        <v>10000</v>
      </c>
      <c r="N31" s="91">
        <v>0</v>
      </c>
      <c r="O31" s="91">
        <v>0</v>
      </c>
      <c r="P31" s="91">
        <v>0</v>
      </c>
      <c r="Q31" s="91"/>
      <c r="R31" s="91"/>
      <c r="S31" s="91"/>
      <c r="T31" s="91"/>
      <c r="U31" s="91">
        <v>355</v>
      </c>
      <c r="V31" s="91">
        <v>2941</v>
      </c>
      <c r="W31" s="91">
        <v>929</v>
      </c>
      <c r="X31" s="91"/>
      <c r="Y31" s="91"/>
      <c r="Z31" s="91"/>
      <c r="AA31" s="63">
        <f t="shared" si="1"/>
        <v>14225</v>
      </c>
      <c r="AC31">
        <v>20000</v>
      </c>
      <c r="AD31">
        <f t="shared" si="2"/>
        <v>5775</v>
      </c>
    </row>
    <row r="32" spans="2:31" hidden="1" x14ac:dyDescent="0.2">
      <c r="B32" s="84">
        <v>10130093</v>
      </c>
      <c r="C32" s="84" t="s">
        <v>3333</v>
      </c>
      <c r="D32" s="84" t="s">
        <v>177</v>
      </c>
      <c r="E32" s="85">
        <v>110000</v>
      </c>
      <c r="F32" s="86">
        <v>1861</v>
      </c>
      <c r="G32" s="84"/>
      <c r="H32" s="87"/>
      <c r="I32" s="87"/>
      <c r="J32" s="88">
        <v>108139</v>
      </c>
      <c r="K32" s="86">
        <v>1861</v>
      </c>
      <c r="L32" s="89"/>
      <c r="N32" s="91">
        <v>3678</v>
      </c>
      <c r="O32" s="91">
        <v>805</v>
      </c>
      <c r="P32" s="91">
        <v>170</v>
      </c>
      <c r="Q32" s="91">
        <v>1579</v>
      </c>
      <c r="R32" s="91">
        <v>50</v>
      </c>
      <c r="S32" s="91"/>
      <c r="T32" s="91"/>
      <c r="U32" s="91">
        <v>322</v>
      </c>
      <c r="V32" s="91">
        <v>1187</v>
      </c>
      <c r="W32" s="91">
        <v>854</v>
      </c>
      <c r="X32" s="91"/>
      <c r="Y32" s="91"/>
      <c r="Z32" s="91"/>
      <c r="AA32" s="63">
        <f t="shared" si="1"/>
        <v>8645</v>
      </c>
      <c r="AC32">
        <v>20000</v>
      </c>
      <c r="AD32">
        <f t="shared" si="2"/>
        <v>11355</v>
      </c>
    </row>
    <row r="33" spans="2:32" hidden="1" x14ac:dyDescent="0.2">
      <c r="B33" s="77">
        <v>10110151</v>
      </c>
      <c r="C33" s="77" t="s">
        <v>3297</v>
      </c>
      <c r="D33" s="77" t="s">
        <v>217</v>
      </c>
      <c r="E33" s="78">
        <v>110000</v>
      </c>
      <c r="F33" s="79">
        <v>0</v>
      </c>
      <c r="G33" s="77"/>
      <c r="H33" s="80"/>
      <c r="I33" s="80"/>
      <c r="J33" s="81">
        <v>110000</v>
      </c>
      <c r="K33" s="79">
        <v>0</v>
      </c>
      <c r="L33" s="82"/>
      <c r="N33" s="91">
        <v>0</v>
      </c>
      <c r="O33" s="91">
        <v>0</v>
      </c>
      <c r="P33" s="91">
        <v>0</v>
      </c>
      <c r="Q33" s="91"/>
      <c r="R33" s="91"/>
      <c r="S33" s="91"/>
      <c r="T33" s="91"/>
      <c r="U33" s="91"/>
      <c r="V33" s="91">
        <v>0</v>
      </c>
      <c r="W33" s="91">
        <v>0</v>
      </c>
      <c r="X33" s="91"/>
      <c r="Y33" s="91"/>
      <c r="Z33" s="91"/>
      <c r="AA33" s="63">
        <f t="shared" si="1"/>
        <v>0</v>
      </c>
      <c r="AC33">
        <v>20000</v>
      </c>
      <c r="AD33">
        <f t="shared" si="2"/>
        <v>20000</v>
      </c>
    </row>
    <row r="34" spans="2:32" hidden="1" x14ac:dyDescent="0.2">
      <c r="B34" s="84">
        <v>10140168</v>
      </c>
      <c r="C34" s="84" t="s">
        <v>3388</v>
      </c>
      <c r="D34" s="84" t="s">
        <v>3389</v>
      </c>
      <c r="E34" s="85">
        <v>110000</v>
      </c>
      <c r="F34" s="86">
        <v>627</v>
      </c>
      <c r="G34" s="84"/>
      <c r="H34" s="87"/>
      <c r="I34" s="87"/>
      <c r="J34" s="88">
        <v>109373</v>
      </c>
      <c r="K34" s="86">
        <v>627</v>
      </c>
      <c r="L34" s="89"/>
      <c r="N34" s="91">
        <v>625</v>
      </c>
      <c r="O34" s="91">
        <v>0</v>
      </c>
      <c r="P34" s="91">
        <v>0</v>
      </c>
      <c r="Q34" s="91"/>
      <c r="R34" s="91"/>
      <c r="S34" s="91"/>
      <c r="T34" s="91"/>
      <c r="U34" s="91"/>
      <c r="V34" s="91">
        <v>0</v>
      </c>
      <c r="W34" s="91">
        <v>0</v>
      </c>
      <c r="X34" s="91"/>
      <c r="Y34" s="91"/>
      <c r="Z34" s="91"/>
      <c r="AA34" s="63">
        <f t="shared" si="1"/>
        <v>625</v>
      </c>
      <c r="AC34">
        <v>20000</v>
      </c>
      <c r="AD34">
        <f t="shared" si="2"/>
        <v>19375</v>
      </c>
    </row>
    <row r="35" spans="2:32" hidden="1" x14ac:dyDescent="0.2">
      <c r="B35" s="77">
        <v>10140169</v>
      </c>
      <c r="C35" s="77" t="s">
        <v>3391</v>
      </c>
      <c r="D35" s="77" t="s">
        <v>3392</v>
      </c>
      <c r="E35" s="78">
        <v>110000</v>
      </c>
      <c r="F35" s="79">
        <v>1040</v>
      </c>
      <c r="G35" s="77"/>
      <c r="H35" s="80"/>
      <c r="I35" s="80"/>
      <c r="J35" s="81">
        <v>108960</v>
      </c>
      <c r="K35" s="79">
        <v>1040</v>
      </c>
      <c r="L35" s="82"/>
      <c r="N35" s="91">
        <v>4340</v>
      </c>
      <c r="O35" s="91">
        <v>0</v>
      </c>
      <c r="P35" s="91">
        <v>0</v>
      </c>
      <c r="Q35" s="91"/>
      <c r="R35" s="91">
        <v>1113</v>
      </c>
      <c r="S35" s="91"/>
      <c r="T35" s="91"/>
      <c r="U35" s="91"/>
      <c r="V35" s="91">
        <v>0</v>
      </c>
      <c r="W35" s="91">
        <v>0</v>
      </c>
      <c r="X35" s="91"/>
      <c r="Y35" s="91"/>
      <c r="Z35" s="91"/>
      <c r="AA35" s="63">
        <f t="shared" si="1"/>
        <v>5453</v>
      </c>
      <c r="AC35">
        <v>20000</v>
      </c>
      <c r="AD35">
        <f t="shared" si="2"/>
        <v>14547</v>
      </c>
    </row>
    <row r="36" spans="2:32" hidden="1" x14ac:dyDescent="0.2">
      <c r="B36" s="84">
        <v>10140156</v>
      </c>
      <c r="C36" s="107" t="s">
        <v>3394</v>
      </c>
      <c r="D36" s="84" t="s">
        <v>3392</v>
      </c>
      <c r="E36" s="85">
        <v>110000</v>
      </c>
      <c r="F36" s="86">
        <v>3722</v>
      </c>
      <c r="G36" s="84"/>
      <c r="H36" s="87"/>
      <c r="I36" s="87"/>
      <c r="J36" s="88">
        <v>106278</v>
      </c>
      <c r="K36" s="86">
        <v>3722</v>
      </c>
      <c r="L36" s="89"/>
      <c r="N36" s="91">
        <v>3583</v>
      </c>
      <c r="O36" s="91">
        <v>3409</v>
      </c>
      <c r="P36" s="91">
        <v>8105</v>
      </c>
      <c r="Q36" s="91">
        <v>4903</v>
      </c>
      <c r="R36" s="91">
        <v>0</v>
      </c>
      <c r="S36" s="91"/>
      <c r="T36" s="91"/>
      <c r="U36" s="91"/>
      <c r="V36" s="91">
        <v>0</v>
      </c>
      <c r="W36" s="91">
        <v>0</v>
      </c>
      <c r="X36" s="91"/>
      <c r="Y36" s="91"/>
      <c r="Z36" s="91"/>
      <c r="AA36" s="63">
        <f t="shared" si="1"/>
        <v>20000</v>
      </c>
      <c r="AC36">
        <v>20000</v>
      </c>
      <c r="AD36">
        <f t="shared" si="2"/>
        <v>0</v>
      </c>
    </row>
    <row r="37" spans="2:32" hidden="1" x14ac:dyDescent="0.2">
      <c r="B37" s="77">
        <v>10140120</v>
      </c>
      <c r="C37" s="77" t="s">
        <v>3396</v>
      </c>
      <c r="D37" s="77" t="s">
        <v>3392</v>
      </c>
      <c r="E37" s="78">
        <v>110000</v>
      </c>
      <c r="F37" s="79">
        <v>0</v>
      </c>
      <c r="G37" s="77"/>
      <c r="H37" s="80"/>
      <c r="I37" s="80"/>
      <c r="J37" s="81">
        <v>110000</v>
      </c>
      <c r="K37" s="79">
        <v>0</v>
      </c>
      <c r="L37" s="82"/>
      <c r="N37" s="91">
        <v>0</v>
      </c>
      <c r="O37" s="91">
        <v>0</v>
      </c>
      <c r="P37" s="91">
        <v>0</v>
      </c>
      <c r="Q37" s="91"/>
      <c r="R37" s="91"/>
      <c r="S37" s="91"/>
      <c r="T37" s="91"/>
      <c r="U37" s="91"/>
      <c r="V37" s="91">
        <v>0</v>
      </c>
      <c r="W37" s="91">
        <v>0</v>
      </c>
      <c r="X37" s="91"/>
      <c r="Y37" s="91"/>
      <c r="Z37" s="91"/>
      <c r="AA37" s="63">
        <f t="shared" si="1"/>
        <v>0</v>
      </c>
      <c r="AC37">
        <v>20000</v>
      </c>
      <c r="AD37">
        <f t="shared" si="2"/>
        <v>20000</v>
      </c>
    </row>
    <row r="38" spans="2:32" hidden="1" x14ac:dyDescent="0.2">
      <c r="B38" s="84">
        <v>10140119</v>
      </c>
      <c r="C38" s="84" t="s">
        <v>3398</v>
      </c>
      <c r="D38" s="84" t="s">
        <v>3392</v>
      </c>
      <c r="E38" s="85">
        <v>110000</v>
      </c>
      <c r="F38" s="86">
        <v>4625.5596826688179</v>
      </c>
      <c r="G38" s="84"/>
      <c r="H38" s="87"/>
      <c r="I38" s="87"/>
      <c r="J38" s="88">
        <v>105374.44031733119</v>
      </c>
      <c r="K38" s="86">
        <v>4625.5596826688179</v>
      </c>
      <c r="L38" s="89"/>
      <c r="N38" s="91">
        <v>0</v>
      </c>
      <c r="O38" s="91">
        <v>0</v>
      </c>
      <c r="P38" s="91">
        <v>0</v>
      </c>
      <c r="Q38" s="91"/>
      <c r="R38" s="91"/>
      <c r="S38" s="91"/>
      <c r="T38" s="91"/>
      <c r="U38" s="91"/>
      <c r="V38" s="91">
        <v>0</v>
      </c>
      <c r="W38" s="91">
        <v>0</v>
      </c>
      <c r="X38" s="91"/>
      <c r="Y38" s="91"/>
      <c r="Z38" s="91"/>
      <c r="AA38" s="63">
        <f t="shared" si="1"/>
        <v>0</v>
      </c>
      <c r="AC38">
        <v>20000</v>
      </c>
      <c r="AD38">
        <f t="shared" si="2"/>
        <v>20000</v>
      </c>
    </row>
    <row r="39" spans="2:32" hidden="1" x14ac:dyDescent="0.2">
      <c r="B39" s="77">
        <v>10120105</v>
      </c>
      <c r="C39" s="77" t="s">
        <v>3298</v>
      </c>
      <c r="D39" s="77" t="s">
        <v>3086</v>
      </c>
      <c r="E39" s="78">
        <v>110000</v>
      </c>
      <c r="F39" s="79">
        <v>10506</v>
      </c>
      <c r="G39" s="77"/>
      <c r="H39" s="80"/>
      <c r="I39" s="80"/>
      <c r="J39" s="81">
        <v>99494</v>
      </c>
      <c r="K39" s="79">
        <v>506</v>
      </c>
      <c r="L39" s="82">
        <v>10000</v>
      </c>
      <c r="N39" s="91">
        <v>0</v>
      </c>
      <c r="O39" s="91">
        <v>0</v>
      </c>
      <c r="P39" s="91">
        <v>0</v>
      </c>
      <c r="Q39" s="91"/>
      <c r="R39" s="91"/>
      <c r="S39" s="91"/>
      <c r="T39" s="91"/>
      <c r="U39" s="91"/>
      <c r="V39" s="91">
        <v>0</v>
      </c>
      <c r="W39" s="91">
        <v>0</v>
      </c>
      <c r="X39" s="91"/>
      <c r="Y39" s="91"/>
      <c r="Z39" s="91"/>
      <c r="AA39" s="63">
        <f t="shared" si="1"/>
        <v>10000</v>
      </c>
      <c r="AC39">
        <v>20000</v>
      </c>
      <c r="AD39">
        <f t="shared" si="2"/>
        <v>10000</v>
      </c>
    </row>
    <row r="40" spans="2:32" hidden="1" x14ac:dyDescent="0.2">
      <c r="B40" s="84">
        <v>10080095</v>
      </c>
      <c r="C40" s="84" t="s">
        <v>3309</v>
      </c>
      <c r="D40" s="84" t="s">
        <v>297</v>
      </c>
      <c r="E40" s="85">
        <v>110000</v>
      </c>
      <c r="F40" s="86">
        <v>10000</v>
      </c>
      <c r="G40" s="84"/>
      <c r="H40" s="87"/>
      <c r="I40" s="87"/>
      <c r="J40" s="88">
        <v>100000</v>
      </c>
      <c r="K40" s="86">
        <v>0</v>
      </c>
      <c r="L40" s="89">
        <v>10000</v>
      </c>
      <c r="N40" s="91">
        <v>0</v>
      </c>
      <c r="O40" s="91">
        <v>0</v>
      </c>
      <c r="P40" s="91">
        <v>0</v>
      </c>
      <c r="Q40" s="91">
        <v>869</v>
      </c>
      <c r="R40" s="91">
        <v>1477</v>
      </c>
      <c r="S40" s="91"/>
      <c r="T40" s="91"/>
      <c r="U40" s="91"/>
      <c r="V40" s="91">
        <v>0</v>
      </c>
      <c r="W40" s="91">
        <v>0</v>
      </c>
      <c r="X40" s="91"/>
      <c r="Y40" s="91"/>
      <c r="Z40" s="91"/>
      <c r="AA40" s="63">
        <f t="shared" si="1"/>
        <v>12346</v>
      </c>
      <c r="AC40">
        <v>20000</v>
      </c>
      <c r="AD40">
        <f t="shared" si="2"/>
        <v>7654</v>
      </c>
    </row>
    <row r="41" spans="2:32" hidden="1" x14ac:dyDescent="0.2">
      <c r="B41" s="77">
        <v>10080096</v>
      </c>
      <c r="C41" s="77" t="s">
        <v>3310</v>
      </c>
      <c r="D41" s="77" t="s">
        <v>297</v>
      </c>
      <c r="E41" s="78">
        <v>110000</v>
      </c>
      <c r="F41" s="79">
        <v>0</v>
      </c>
      <c r="G41" s="77"/>
      <c r="H41" s="80"/>
      <c r="I41" s="80"/>
      <c r="J41" s="81">
        <v>110000</v>
      </c>
      <c r="K41" s="79">
        <v>0</v>
      </c>
      <c r="L41" s="82"/>
      <c r="N41" s="91">
        <v>0</v>
      </c>
      <c r="O41" s="91">
        <v>0</v>
      </c>
      <c r="P41" s="91">
        <v>0</v>
      </c>
      <c r="Q41" s="91">
        <v>943</v>
      </c>
      <c r="R41" s="91">
        <v>160</v>
      </c>
      <c r="S41" s="91"/>
      <c r="T41" s="91"/>
      <c r="U41" s="91"/>
      <c r="V41" s="91">
        <v>0</v>
      </c>
      <c r="W41" s="91">
        <v>0</v>
      </c>
      <c r="X41" s="91"/>
      <c r="Y41" s="91"/>
      <c r="Z41" s="91"/>
      <c r="AA41" s="63">
        <f t="shared" si="1"/>
        <v>1103</v>
      </c>
      <c r="AC41">
        <v>20000</v>
      </c>
      <c r="AD41">
        <f t="shared" si="2"/>
        <v>18897</v>
      </c>
    </row>
    <row r="42" spans="2:32" hidden="1" x14ac:dyDescent="0.2">
      <c r="B42" s="84">
        <v>10140171</v>
      </c>
      <c r="C42" s="84" t="s">
        <v>3237</v>
      </c>
      <c r="D42" s="84" t="s">
        <v>85</v>
      </c>
      <c r="E42" s="85">
        <v>110000</v>
      </c>
      <c r="F42" s="86">
        <v>11861</v>
      </c>
      <c r="G42" s="84"/>
      <c r="H42" s="87"/>
      <c r="I42" s="87"/>
      <c r="J42" s="88">
        <v>98139</v>
      </c>
      <c r="K42" s="86">
        <v>1861</v>
      </c>
      <c r="L42" s="89">
        <v>10000</v>
      </c>
      <c r="N42" s="91">
        <v>59</v>
      </c>
      <c r="O42" s="91">
        <v>2191</v>
      </c>
      <c r="P42" s="91">
        <v>5348</v>
      </c>
      <c r="Q42" s="91">
        <v>705</v>
      </c>
      <c r="R42" s="91"/>
      <c r="S42" s="91"/>
      <c r="T42" s="91"/>
      <c r="U42" s="91"/>
      <c r="V42" s="91">
        <v>848</v>
      </c>
      <c r="W42" s="108">
        <v>849</v>
      </c>
      <c r="X42" s="108"/>
      <c r="Y42" s="108"/>
      <c r="Z42" s="108"/>
      <c r="AA42" s="63">
        <f t="shared" si="1"/>
        <v>20000</v>
      </c>
      <c r="AC42">
        <v>20000</v>
      </c>
      <c r="AD42">
        <f t="shared" si="2"/>
        <v>0</v>
      </c>
      <c r="AF42">
        <f>1789-940</f>
        <v>849</v>
      </c>
    </row>
    <row r="43" spans="2:32" hidden="1" x14ac:dyDescent="0.2">
      <c r="B43" s="77">
        <v>10010108</v>
      </c>
      <c r="C43" s="77" t="s">
        <v>3287</v>
      </c>
      <c r="D43" s="77" t="s">
        <v>3213</v>
      </c>
      <c r="E43" s="78">
        <v>110000</v>
      </c>
      <c r="F43" s="79">
        <v>10822</v>
      </c>
      <c r="G43" s="77"/>
      <c r="H43" s="80"/>
      <c r="I43" s="80"/>
      <c r="J43" s="81">
        <v>99178</v>
      </c>
      <c r="K43" s="79">
        <v>822</v>
      </c>
      <c r="L43" s="82">
        <v>10000</v>
      </c>
      <c r="N43" s="91">
        <v>24</v>
      </c>
      <c r="O43" s="91">
        <v>0</v>
      </c>
      <c r="P43" s="91">
        <v>173</v>
      </c>
      <c r="Q43" s="91"/>
      <c r="R43" s="91"/>
      <c r="S43" s="91"/>
      <c r="T43" s="91"/>
      <c r="U43" s="91"/>
      <c r="V43" s="91">
        <v>0</v>
      </c>
      <c r="W43" s="91">
        <v>0</v>
      </c>
      <c r="X43" s="91"/>
      <c r="Y43" s="91"/>
      <c r="Z43" s="91"/>
      <c r="AA43" s="63">
        <f t="shared" si="1"/>
        <v>10197</v>
      </c>
      <c r="AC43">
        <v>20000</v>
      </c>
      <c r="AD43">
        <f t="shared" si="2"/>
        <v>9803</v>
      </c>
    </row>
    <row r="44" spans="2:32" hidden="1" x14ac:dyDescent="0.2">
      <c r="B44" s="84">
        <v>10140174</v>
      </c>
      <c r="C44" s="84" t="s">
        <v>3240</v>
      </c>
      <c r="D44" s="84" t="s">
        <v>85</v>
      </c>
      <c r="E44" s="85">
        <v>110000</v>
      </c>
      <c r="F44" s="86">
        <v>10781</v>
      </c>
      <c r="G44" s="84"/>
      <c r="H44" s="87"/>
      <c r="I44" s="87"/>
      <c r="J44" s="88">
        <v>99219</v>
      </c>
      <c r="K44" s="86">
        <v>781</v>
      </c>
      <c r="L44" s="89">
        <v>10000</v>
      </c>
      <c r="N44" s="91">
        <v>33</v>
      </c>
      <c r="O44" s="91">
        <v>0</v>
      </c>
      <c r="P44" s="91">
        <v>1119</v>
      </c>
      <c r="Q44" s="91">
        <v>2932</v>
      </c>
      <c r="R44" s="91"/>
      <c r="S44" s="91"/>
      <c r="T44" s="91"/>
      <c r="U44" s="91"/>
      <c r="V44" s="91">
        <v>0</v>
      </c>
      <c r="W44" s="91">
        <v>0</v>
      </c>
      <c r="X44" s="91"/>
      <c r="Y44" s="91"/>
      <c r="Z44" s="91"/>
      <c r="AA44" s="63">
        <f t="shared" si="1"/>
        <v>14084</v>
      </c>
      <c r="AC44">
        <v>20000</v>
      </c>
      <c r="AD44">
        <f t="shared" si="2"/>
        <v>5916</v>
      </c>
    </row>
    <row r="45" spans="2:32" hidden="1" x14ac:dyDescent="0.2">
      <c r="B45" s="77">
        <v>10120104</v>
      </c>
      <c r="C45" s="77" t="s">
        <v>3269</v>
      </c>
      <c r="D45" s="77" t="s">
        <v>3086</v>
      </c>
      <c r="E45" s="78">
        <v>110000</v>
      </c>
      <c r="F45" s="79">
        <v>11861</v>
      </c>
      <c r="G45" s="77"/>
      <c r="H45" s="80"/>
      <c r="I45" s="80"/>
      <c r="J45" s="81">
        <v>98139</v>
      </c>
      <c r="K45" s="79">
        <v>1861</v>
      </c>
      <c r="L45" s="82">
        <v>10000</v>
      </c>
      <c r="N45" s="91">
        <v>0</v>
      </c>
      <c r="O45" s="91">
        <v>3780</v>
      </c>
      <c r="P45" s="91">
        <v>19306</v>
      </c>
      <c r="Q45" s="91"/>
      <c r="R45" s="91"/>
      <c r="S45" s="91"/>
      <c r="T45" s="91"/>
      <c r="U45" s="91"/>
      <c r="V45" s="91">
        <v>0</v>
      </c>
      <c r="W45" s="91">
        <v>0</v>
      </c>
      <c r="X45" s="91"/>
      <c r="Y45" s="91"/>
      <c r="Z45" s="91"/>
      <c r="AA45" s="63">
        <f t="shared" si="1"/>
        <v>33086</v>
      </c>
      <c r="AC45">
        <v>20000</v>
      </c>
      <c r="AD45">
        <f t="shared" si="2"/>
        <v>-13086</v>
      </c>
    </row>
    <row r="46" spans="2:32" hidden="1" x14ac:dyDescent="0.2">
      <c r="B46" s="84">
        <v>10130099</v>
      </c>
      <c r="C46" s="84" t="s">
        <v>1284</v>
      </c>
      <c r="D46" s="84" t="s">
        <v>3270</v>
      </c>
      <c r="E46" s="85">
        <v>110000</v>
      </c>
      <c r="F46" s="86">
        <v>10000</v>
      </c>
      <c r="G46" s="84"/>
      <c r="H46" s="87"/>
      <c r="I46" s="87"/>
      <c r="J46" s="88">
        <v>100000</v>
      </c>
      <c r="K46" s="86">
        <v>0</v>
      </c>
      <c r="L46" s="89">
        <v>10000</v>
      </c>
      <c r="N46" s="91">
        <v>0</v>
      </c>
      <c r="O46" s="91">
        <v>0</v>
      </c>
      <c r="P46" s="91">
        <v>0</v>
      </c>
      <c r="Q46" s="91"/>
      <c r="R46" s="91"/>
      <c r="S46" s="91"/>
      <c r="T46" s="91"/>
      <c r="U46" s="91"/>
      <c r="V46" s="91">
        <v>0</v>
      </c>
      <c r="W46" s="91">
        <v>0</v>
      </c>
      <c r="X46" s="91"/>
      <c r="Y46" s="91"/>
      <c r="Z46" s="91"/>
      <c r="AA46" s="63">
        <f t="shared" si="1"/>
        <v>10000</v>
      </c>
      <c r="AC46">
        <v>20000</v>
      </c>
      <c r="AD46">
        <f t="shared" si="2"/>
        <v>10000</v>
      </c>
    </row>
    <row r="47" spans="2:32" hidden="1" x14ac:dyDescent="0.2">
      <c r="B47" s="77">
        <v>10110109</v>
      </c>
      <c r="C47" s="77" t="s">
        <v>3004</v>
      </c>
      <c r="D47" s="77" t="s">
        <v>217</v>
      </c>
      <c r="E47" s="78">
        <v>110000</v>
      </c>
      <c r="F47" s="79">
        <v>13127</v>
      </c>
      <c r="G47" s="77"/>
      <c r="H47" s="80"/>
      <c r="I47" s="80"/>
      <c r="J47" s="81">
        <v>96873</v>
      </c>
      <c r="K47" s="79">
        <v>3127</v>
      </c>
      <c r="L47" s="82">
        <v>10000</v>
      </c>
      <c r="N47" s="91">
        <v>4078</v>
      </c>
      <c r="O47" s="91">
        <v>0</v>
      </c>
      <c r="P47" s="91">
        <v>683</v>
      </c>
      <c r="Q47" s="91"/>
      <c r="R47" s="91"/>
      <c r="S47" s="91"/>
      <c r="T47" s="91"/>
      <c r="U47" s="91"/>
      <c r="V47" s="91">
        <v>0</v>
      </c>
      <c r="W47" s="91">
        <v>0</v>
      </c>
      <c r="X47" s="91"/>
      <c r="Y47" s="91"/>
      <c r="Z47" s="91"/>
      <c r="AA47" s="63">
        <f t="shared" si="1"/>
        <v>14761</v>
      </c>
      <c r="AC47">
        <v>20000</v>
      </c>
      <c r="AD47">
        <f t="shared" si="2"/>
        <v>5239</v>
      </c>
    </row>
    <row r="48" spans="2:32" hidden="1" x14ac:dyDescent="0.2">
      <c r="B48" s="84">
        <v>10110132</v>
      </c>
      <c r="C48" s="84" t="s">
        <v>3198</v>
      </c>
      <c r="D48" s="84" t="s">
        <v>217</v>
      </c>
      <c r="E48" s="85">
        <v>110000</v>
      </c>
      <c r="F48" s="86">
        <v>10736</v>
      </c>
      <c r="G48" s="84"/>
      <c r="H48" s="87"/>
      <c r="I48" s="87"/>
      <c r="J48" s="88">
        <v>99264</v>
      </c>
      <c r="K48" s="86">
        <v>736</v>
      </c>
      <c r="L48" s="89">
        <v>10000</v>
      </c>
      <c r="N48" s="91">
        <v>142</v>
      </c>
      <c r="O48" s="91">
        <v>0</v>
      </c>
      <c r="P48" s="91">
        <v>366</v>
      </c>
      <c r="Q48" s="91"/>
      <c r="R48" s="91"/>
      <c r="S48" s="91"/>
      <c r="T48" s="91"/>
      <c r="U48" s="91"/>
      <c r="V48" s="91">
        <v>0</v>
      </c>
      <c r="W48" s="91">
        <v>0</v>
      </c>
      <c r="X48" s="91"/>
      <c r="Y48" s="91"/>
      <c r="Z48" s="91"/>
      <c r="AA48" s="63">
        <f t="shared" si="1"/>
        <v>10508</v>
      </c>
      <c r="AC48">
        <v>20000</v>
      </c>
      <c r="AD48">
        <f t="shared" si="2"/>
        <v>9492</v>
      </c>
    </row>
    <row r="49" spans="2:30" hidden="1" x14ac:dyDescent="0.2">
      <c r="B49" s="77">
        <v>10070070</v>
      </c>
      <c r="C49" s="77" t="s">
        <v>3477</v>
      </c>
      <c r="D49" s="77" t="s">
        <v>3185</v>
      </c>
      <c r="E49" s="78">
        <v>110000</v>
      </c>
      <c r="F49" s="79">
        <v>10000</v>
      </c>
      <c r="G49" s="77"/>
      <c r="H49" s="80"/>
      <c r="I49" s="80"/>
      <c r="J49" s="81">
        <v>100000</v>
      </c>
      <c r="K49" s="79">
        <v>0</v>
      </c>
      <c r="L49" s="82">
        <v>10000</v>
      </c>
      <c r="N49" s="91">
        <v>0</v>
      </c>
      <c r="O49" s="91">
        <v>0</v>
      </c>
      <c r="P49" s="91">
        <v>0</v>
      </c>
      <c r="Q49" s="91"/>
      <c r="R49" s="91"/>
      <c r="S49" s="91"/>
      <c r="T49" s="91"/>
      <c r="U49" s="91"/>
      <c r="V49" s="91">
        <v>0</v>
      </c>
      <c r="W49" s="91">
        <v>0</v>
      </c>
      <c r="X49" s="91"/>
      <c r="Y49" s="91"/>
      <c r="Z49" s="91"/>
      <c r="AA49" s="63">
        <f t="shared" si="1"/>
        <v>10000</v>
      </c>
      <c r="AC49">
        <v>20000</v>
      </c>
      <c r="AD49">
        <f t="shared" si="2"/>
        <v>10000</v>
      </c>
    </row>
    <row r="50" spans="2:30" hidden="1" x14ac:dyDescent="0.2">
      <c r="B50" s="84">
        <v>10070071</v>
      </c>
      <c r="C50" s="84" t="s">
        <v>3478</v>
      </c>
      <c r="D50" s="84" t="s">
        <v>3185</v>
      </c>
      <c r="E50" s="85">
        <v>110000</v>
      </c>
      <c r="F50" s="86">
        <v>10000</v>
      </c>
      <c r="G50" s="84"/>
      <c r="H50" s="87"/>
      <c r="I50" s="87"/>
      <c r="J50" s="88">
        <v>100000</v>
      </c>
      <c r="K50" s="86">
        <v>0</v>
      </c>
      <c r="L50" s="89">
        <v>10000</v>
      </c>
      <c r="N50" s="91">
        <v>0</v>
      </c>
      <c r="O50" s="91">
        <v>0</v>
      </c>
      <c r="P50" s="91">
        <v>0</v>
      </c>
      <c r="Q50" s="91"/>
      <c r="R50" s="91"/>
      <c r="S50" s="91"/>
      <c r="T50" s="91"/>
      <c r="U50" s="91"/>
      <c r="V50" s="91">
        <v>0</v>
      </c>
      <c r="W50" s="91">
        <v>0</v>
      </c>
      <c r="X50" s="91"/>
      <c r="Y50" s="91"/>
      <c r="Z50" s="91"/>
      <c r="AA50" s="63">
        <f t="shared" si="1"/>
        <v>10000</v>
      </c>
      <c r="AC50">
        <v>20000</v>
      </c>
      <c r="AD50">
        <f t="shared" si="2"/>
        <v>10000</v>
      </c>
    </row>
    <row r="51" spans="2:30" hidden="1" x14ac:dyDescent="0.2">
      <c r="B51" s="77">
        <v>10070072</v>
      </c>
      <c r="C51" s="77" t="s">
        <v>3479</v>
      </c>
      <c r="D51" s="77" t="s">
        <v>3185</v>
      </c>
      <c r="E51" s="78">
        <v>110000</v>
      </c>
      <c r="F51" s="79">
        <v>10000</v>
      </c>
      <c r="G51" s="77"/>
      <c r="H51" s="80"/>
      <c r="I51" s="80"/>
      <c r="J51" s="81">
        <v>100000</v>
      </c>
      <c r="K51" s="79">
        <v>0</v>
      </c>
      <c r="L51" s="82">
        <v>10000</v>
      </c>
      <c r="N51" s="91">
        <v>0</v>
      </c>
      <c r="O51" s="91">
        <v>0</v>
      </c>
      <c r="P51" s="91">
        <v>0</v>
      </c>
      <c r="Q51" s="91">
        <v>248</v>
      </c>
      <c r="R51" s="91">
        <v>1106</v>
      </c>
      <c r="S51" s="91"/>
      <c r="T51" s="91"/>
      <c r="U51" s="91"/>
      <c r="V51" s="91">
        <v>0</v>
      </c>
      <c r="W51" s="91">
        <v>0</v>
      </c>
      <c r="X51" s="91"/>
      <c r="Y51" s="91"/>
      <c r="Z51" s="91"/>
      <c r="AA51" s="63">
        <f t="shared" si="1"/>
        <v>11354</v>
      </c>
      <c r="AC51">
        <v>20000</v>
      </c>
      <c r="AD51">
        <f t="shared" si="2"/>
        <v>8646</v>
      </c>
    </row>
    <row r="52" spans="2:30" hidden="1" x14ac:dyDescent="0.2">
      <c r="B52" s="84">
        <v>10140163</v>
      </c>
      <c r="C52" s="84" t="s">
        <v>3166</v>
      </c>
      <c r="D52" s="84" t="s">
        <v>85</v>
      </c>
      <c r="E52" s="85">
        <v>110000</v>
      </c>
      <c r="F52" s="86">
        <v>10341</v>
      </c>
      <c r="G52" s="84">
        <v>10000</v>
      </c>
      <c r="H52" s="87">
        <v>45824</v>
      </c>
      <c r="I52" s="87" t="s">
        <v>2425</v>
      </c>
      <c r="J52" s="88">
        <v>109659</v>
      </c>
      <c r="K52" s="86">
        <v>341</v>
      </c>
      <c r="L52" s="89">
        <v>10000</v>
      </c>
      <c r="N52" s="91">
        <v>892</v>
      </c>
      <c r="O52" s="91">
        <v>0</v>
      </c>
      <c r="P52" s="91">
        <v>0</v>
      </c>
      <c r="Q52" s="91"/>
      <c r="R52" s="91"/>
      <c r="S52" s="91"/>
      <c r="T52" s="91"/>
      <c r="U52" s="91"/>
      <c r="V52" s="91">
        <v>0</v>
      </c>
      <c r="W52" s="91">
        <v>0</v>
      </c>
      <c r="X52" s="91"/>
      <c r="Y52" s="91"/>
      <c r="Z52" s="91"/>
      <c r="AA52" s="63">
        <f t="shared" si="1"/>
        <v>10892</v>
      </c>
      <c r="AC52">
        <v>20000</v>
      </c>
      <c r="AD52">
        <f t="shared" si="2"/>
        <v>9108</v>
      </c>
    </row>
    <row r="53" spans="2:30" hidden="1" x14ac:dyDescent="0.2">
      <c r="B53" s="77">
        <v>10140164</v>
      </c>
      <c r="C53" s="77" t="s">
        <v>3167</v>
      </c>
      <c r="D53" s="77" t="s">
        <v>85</v>
      </c>
      <c r="E53" s="78">
        <v>110000</v>
      </c>
      <c r="F53" s="79">
        <v>12504</v>
      </c>
      <c r="G53" s="77">
        <v>10000</v>
      </c>
      <c r="H53" s="80">
        <v>45824</v>
      </c>
      <c r="I53" s="80" t="s">
        <v>2425</v>
      </c>
      <c r="J53" s="81">
        <v>107496</v>
      </c>
      <c r="K53" s="79">
        <v>2504</v>
      </c>
      <c r="L53" s="82">
        <v>10000</v>
      </c>
      <c r="N53" s="91">
        <v>7628</v>
      </c>
      <c r="O53" s="91">
        <v>500</v>
      </c>
      <c r="P53" s="91">
        <v>0</v>
      </c>
      <c r="Q53" s="91"/>
      <c r="R53" s="91"/>
      <c r="S53" s="91"/>
      <c r="T53" s="91"/>
      <c r="U53" s="91"/>
      <c r="V53" s="91">
        <v>0</v>
      </c>
      <c r="W53" s="91">
        <v>0</v>
      </c>
      <c r="X53" s="91"/>
      <c r="Y53" s="91"/>
      <c r="Z53" s="91"/>
      <c r="AA53" s="63">
        <f t="shared" si="1"/>
        <v>18128</v>
      </c>
      <c r="AC53">
        <v>20000</v>
      </c>
      <c r="AD53">
        <f t="shared" si="2"/>
        <v>1872</v>
      </c>
    </row>
    <row r="54" spans="2:30" hidden="1" x14ac:dyDescent="0.2">
      <c r="B54" s="84">
        <v>10070062</v>
      </c>
      <c r="C54" s="84" t="s">
        <v>3183</v>
      </c>
      <c r="D54" s="84" t="s">
        <v>3185</v>
      </c>
      <c r="E54" s="85">
        <v>110000</v>
      </c>
      <c r="F54" s="86">
        <v>11869</v>
      </c>
      <c r="G54" s="84"/>
      <c r="H54" s="87"/>
      <c r="I54" s="87"/>
      <c r="J54" s="88">
        <v>98131</v>
      </c>
      <c r="K54" s="86">
        <v>1869</v>
      </c>
      <c r="L54" s="89">
        <v>10000</v>
      </c>
      <c r="N54" s="91">
        <v>2476</v>
      </c>
      <c r="O54" s="91">
        <v>34</v>
      </c>
      <c r="P54" s="91">
        <v>782</v>
      </c>
      <c r="Q54" s="91"/>
      <c r="R54" s="91"/>
      <c r="S54" s="91"/>
      <c r="T54" s="91"/>
      <c r="U54" s="91"/>
      <c r="V54" s="91">
        <v>0</v>
      </c>
      <c r="W54" s="91">
        <v>0</v>
      </c>
      <c r="X54" s="91"/>
      <c r="Y54" s="91"/>
      <c r="Z54" s="91"/>
      <c r="AA54" s="63">
        <f t="shared" si="1"/>
        <v>13292</v>
      </c>
      <c r="AC54">
        <v>20000</v>
      </c>
      <c r="AD54">
        <f t="shared" si="2"/>
        <v>6708</v>
      </c>
    </row>
    <row r="55" spans="2:30" hidden="1" x14ac:dyDescent="0.2">
      <c r="B55" s="77">
        <v>10110129</v>
      </c>
      <c r="C55" s="77" t="s">
        <v>3188</v>
      </c>
      <c r="D55" s="77" t="s">
        <v>217</v>
      </c>
      <c r="E55" s="78">
        <v>110000</v>
      </c>
      <c r="F55" s="79">
        <v>10000</v>
      </c>
      <c r="G55" s="77"/>
      <c r="H55" s="80"/>
      <c r="I55" s="80"/>
      <c r="J55" s="81">
        <v>100000</v>
      </c>
      <c r="K55" s="79">
        <v>0</v>
      </c>
      <c r="L55" s="82">
        <v>10000</v>
      </c>
      <c r="N55" s="91">
        <v>0</v>
      </c>
      <c r="O55" s="91">
        <v>0</v>
      </c>
      <c r="P55" s="91">
        <v>0</v>
      </c>
      <c r="Q55" s="91">
        <v>5459</v>
      </c>
      <c r="R55" s="91">
        <v>6730</v>
      </c>
      <c r="S55" s="91"/>
      <c r="T55" s="91">
        <v>0</v>
      </c>
      <c r="U55" s="91">
        <v>0</v>
      </c>
      <c r="V55" s="91">
        <v>0</v>
      </c>
      <c r="W55" s="91">
        <v>0</v>
      </c>
      <c r="X55" s="91"/>
      <c r="Y55" s="91"/>
      <c r="Z55" s="91"/>
      <c r="AA55" s="63">
        <f>SUM(L55:W55)</f>
        <v>22189</v>
      </c>
      <c r="AC55">
        <v>20000</v>
      </c>
      <c r="AD55">
        <f t="shared" si="2"/>
        <v>-2189</v>
      </c>
    </row>
    <row r="56" spans="2:30" hidden="1" x14ac:dyDescent="0.2">
      <c r="B56" s="84">
        <v>10110130</v>
      </c>
      <c r="C56" s="84" t="s">
        <v>3189</v>
      </c>
      <c r="D56" s="84" t="s">
        <v>217</v>
      </c>
      <c r="E56" s="85">
        <v>110000</v>
      </c>
      <c r="F56" s="86">
        <v>5000</v>
      </c>
      <c r="G56" s="84"/>
      <c r="H56" s="87"/>
      <c r="I56" s="87"/>
      <c r="J56" s="88">
        <v>105000</v>
      </c>
      <c r="K56" s="86">
        <v>0</v>
      </c>
      <c r="L56" s="89">
        <v>5000</v>
      </c>
      <c r="N56" s="91">
        <v>0</v>
      </c>
      <c r="O56" s="91">
        <v>0</v>
      </c>
      <c r="P56" s="91">
        <v>0</v>
      </c>
      <c r="Q56" s="91">
        <v>63</v>
      </c>
      <c r="R56" s="91"/>
      <c r="S56" s="91"/>
      <c r="T56" s="91"/>
      <c r="U56" s="91"/>
      <c r="V56" s="91">
        <v>0</v>
      </c>
      <c r="W56" s="91">
        <v>0</v>
      </c>
      <c r="X56" s="91"/>
      <c r="Y56" s="91"/>
      <c r="Z56" s="91"/>
      <c r="AA56" s="63">
        <f t="shared" si="1"/>
        <v>5063</v>
      </c>
      <c r="AC56">
        <v>20000</v>
      </c>
      <c r="AD56">
        <f t="shared" si="2"/>
        <v>14937</v>
      </c>
    </row>
    <row r="57" spans="2:30" hidden="1" x14ac:dyDescent="0.2">
      <c r="B57" s="77">
        <v>10060103</v>
      </c>
      <c r="C57" s="77" t="s">
        <v>3194</v>
      </c>
      <c r="D57" s="77" t="s">
        <v>3093</v>
      </c>
      <c r="E57" s="78">
        <v>110000</v>
      </c>
      <c r="F57" s="79">
        <v>11482</v>
      </c>
      <c r="G57" s="77"/>
      <c r="H57" s="80"/>
      <c r="I57" s="80"/>
      <c r="J57" s="81">
        <v>98518</v>
      </c>
      <c r="K57" s="79">
        <v>1482</v>
      </c>
      <c r="L57" s="82">
        <v>10000</v>
      </c>
      <c r="N57" s="91">
        <v>944</v>
      </c>
      <c r="O57" s="91">
        <v>0</v>
      </c>
      <c r="P57" s="91">
        <v>0</v>
      </c>
      <c r="Q57" s="91"/>
      <c r="R57" s="91"/>
      <c r="S57" s="91"/>
      <c r="T57" s="91"/>
      <c r="U57" s="91"/>
      <c r="V57" s="91">
        <v>0</v>
      </c>
      <c r="W57" s="91">
        <v>0</v>
      </c>
      <c r="X57" s="91"/>
      <c r="Y57" s="91"/>
      <c r="Z57" s="91"/>
      <c r="AA57" s="63">
        <f t="shared" si="1"/>
        <v>10944</v>
      </c>
      <c r="AC57">
        <v>20000</v>
      </c>
      <c r="AD57">
        <f t="shared" si="2"/>
        <v>9056</v>
      </c>
    </row>
    <row r="58" spans="2:30" hidden="1" x14ac:dyDescent="0.2">
      <c r="B58" s="84">
        <v>10110131</v>
      </c>
      <c r="C58" s="84" t="s">
        <v>3190</v>
      </c>
      <c r="D58" s="84" t="s">
        <v>217</v>
      </c>
      <c r="E58" s="85">
        <v>110000</v>
      </c>
      <c r="F58" s="86">
        <v>11861</v>
      </c>
      <c r="G58" s="84"/>
      <c r="H58" s="87"/>
      <c r="I58" s="87"/>
      <c r="J58" s="88">
        <v>98139</v>
      </c>
      <c r="K58" s="86">
        <v>1861</v>
      </c>
      <c r="L58" s="89">
        <v>10000</v>
      </c>
      <c r="N58" s="91">
        <v>1219</v>
      </c>
      <c r="O58" s="91">
        <v>46</v>
      </c>
      <c r="P58" s="91">
        <v>1297</v>
      </c>
      <c r="Q58" s="91"/>
      <c r="R58" s="91"/>
      <c r="S58" s="91"/>
      <c r="T58" s="91"/>
      <c r="U58" s="91"/>
      <c r="V58" s="91">
        <v>0</v>
      </c>
      <c r="W58" s="91">
        <v>0</v>
      </c>
      <c r="X58" s="91"/>
      <c r="Y58" s="91"/>
      <c r="Z58" s="91"/>
      <c r="AA58" s="63">
        <f t="shared" si="1"/>
        <v>12562</v>
      </c>
      <c r="AC58">
        <v>20000</v>
      </c>
      <c r="AD58">
        <f t="shared" si="2"/>
        <v>7438</v>
      </c>
    </row>
    <row r="59" spans="2:30" hidden="1" x14ac:dyDescent="0.2">
      <c r="B59" s="77">
        <v>10140165</v>
      </c>
      <c r="C59" s="77" t="s">
        <v>1235</v>
      </c>
      <c r="D59" s="77" t="s">
        <v>85</v>
      </c>
      <c r="E59" s="78">
        <v>110000</v>
      </c>
      <c r="F59" s="79">
        <v>10061</v>
      </c>
      <c r="G59" s="77">
        <v>10000</v>
      </c>
      <c r="H59" s="80">
        <v>45824</v>
      </c>
      <c r="I59" s="80" t="s">
        <v>3529</v>
      </c>
      <c r="J59" s="81">
        <v>109939</v>
      </c>
      <c r="K59" s="79">
        <v>61</v>
      </c>
      <c r="L59" s="82">
        <v>10000</v>
      </c>
      <c r="N59" s="91">
        <v>354</v>
      </c>
      <c r="O59" s="91">
        <v>0</v>
      </c>
      <c r="P59" s="91">
        <v>0</v>
      </c>
      <c r="Q59" s="91"/>
      <c r="R59" s="91"/>
      <c r="S59" s="91"/>
      <c r="T59" s="91"/>
      <c r="U59" s="91"/>
      <c r="V59" s="91">
        <v>0</v>
      </c>
      <c r="W59" s="91">
        <v>0</v>
      </c>
      <c r="X59" s="91"/>
      <c r="Y59" s="91"/>
      <c r="Z59" s="91"/>
      <c r="AA59" s="63">
        <f t="shared" si="1"/>
        <v>10354</v>
      </c>
      <c r="AC59">
        <v>20000</v>
      </c>
      <c r="AD59">
        <f t="shared" si="2"/>
        <v>9646</v>
      </c>
    </row>
    <row r="60" spans="2:30" hidden="1" x14ac:dyDescent="0.2">
      <c r="B60" s="84">
        <v>10480031</v>
      </c>
      <c r="C60" s="84" t="s">
        <v>3175</v>
      </c>
      <c r="D60" s="84" t="s">
        <v>3176</v>
      </c>
      <c r="E60" s="85">
        <v>110000</v>
      </c>
      <c r="F60" s="86">
        <v>5035</v>
      </c>
      <c r="G60" s="84"/>
      <c r="H60" s="87"/>
      <c r="I60" s="87"/>
      <c r="J60" s="88">
        <v>104965</v>
      </c>
      <c r="K60" s="86">
        <v>35</v>
      </c>
      <c r="L60" s="89">
        <v>5000</v>
      </c>
      <c r="N60" s="91">
        <v>30</v>
      </c>
      <c r="O60" s="91">
        <v>0</v>
      </c>
      <c r="P60" s="91">
        <v>0</v>
      </c>
      <c r="Q60" s="91"/>
      <c r="R60" s="91"/>
      <c r="S60" s="91"/>
      <c r="T60" s="91"/>
      <c r="U60" s="91"/>
      <c r="V60" s="91">
        <v>0</v>
      </c>
      <c r="W60" s="91">
        <v>0</v>
      </c>
      <c r="X60" s="91"/>
      <c r="Y60" s="91"/>
      <c r="Z60" s="91"/>
      <c r="AA60" s="63">
        <f t="shared" si="1"/>
        <v>5030</v>
      </c>
      <c r="AC60">
        <v>20000</v>
      </c>
      <c r="AD60">
        <f t="shared" si="2"/>
        <v>14970</v>
      </c>
    </row>
    <row r="61" spans="2:30" hidden="1" x14ac:dyDescent="0.2">
      <c r="B61" s="77">
        <v>10140166</v>
      </c>
      <c r="C61" s="77" t="s">
        <v>3171</v>
      </c>
      <c r="D61" s="77"/>
      <c r="E61" s="78">
        <v>110000</v>
      </c>
      <c r="F61" s="79">
        <v>12142</v>
      </c>
      <c r="G61" s="77"/>
      <c r="H61" s="80"/>
      <c r="I61" s="80"/>
      <c r="J61" s="81">
        <v>97858</v>
      </c>
      <c r="K61" s="79">
        <v>2142</v>
      </c>
      <c r="L61" s="82">
        <v>10000</v>
      </c>
      <c r="N61" s="91">
        <v>3059</v>
      </c>
      <c r="O61" s="91">
        <v>626</v>
      </c>
      <c r="P61" s="91">
        <v>0</v>
      </c>
      <c r="Q61" s="91"/>
      <c r="R61" s="91"/>
      <c r="S61" s="91"/>
      <c r="T61" s="91"/>
      <c r="U61" s="91"/>
      <c r="V61" s="91">
        <v>0</v>
      </c>
      <c r="W61" s="91">
        <v>0</v>
      </c>
      <c r="X61" s="91"/>
      <c r="Y61" s="91"/>
      <c r="Z61" s="91"/>
      <c r="AA61" s="63">
        <f t="shared" si="1"/>
        <v>13685</v>
      </c>
      <c r="AC61">
        <v>20000</v>
      </c>
      <c r="AD61">
        <f t="shared" si="2"/>
        <v>6315</v>
      </c>
    </row>
    <row r="62" spans="2:30" hidden="1" x14ac:dyDescent="0.2">
      <c r="B62" s="84">
        <v>10010105</v>
      </c>
      <c r="C62" s="84" t="s">
        <v>3129</v>
      </c>
      <c r="D62" s="84"/>
      <c r="E62" s="85">
        <v>110000</v>
      </c>
      <c r="F62" s="86">
        <v>10010</v>
      </c>
      <c r="G62" s="84"/>
      <c r="H62" s="87"/>
      <c r="I62" s="87"/>
      <c r="J62" s="88">
        <v>99990</v>
      </c>
      <c r="K62" s="86">
        <v>10</v>
      </c>
      <c r="L62" s="89">
        <v>10000</v>
      </c>
      <c r="N62" s="91">
        <v>53</v>
      </c>
      <c r="O62" s="91">
        <v>0</v>
      </c>
      <c r="P62" s="91">
        <v>0</v>
      </c>
      <c r="Q62" s="91"/>
      <c r="R62" s="91"/>
      <c r="S62" s="91"/>
      <c r="T62" s="91"/>
      <c r="U62" s="91"/>
      <c r="V62" s="91">
        <v>0</v>
      </c>
      <c r="W62" s="91">
        <v>0</v>
      </c>
      <c r="X62" s="91"/>
      <c r="Y62" s="91"/>
      <c r="Z62" s="91"/>
      <c r="AA62" s="63">
        <f t="shared" si="1"/>
        <v>10053</v>
      </c>
      <c r="AC62">
        <v>20000</v>
      </c>
      <c r="AD62">
        <f t="shared" si="2"/>
        <v>9947</v>
      </c>
    </row>
    <row r="63" spans="2:30" hidden="1" x14ac:dyDescent="0.2">
      <c r="B63" s="77">
        <v>10010102</v>
      </c>
      <c r="C63" s="77" t="s">
        <v>3072</v>
      </c>
      <c r="D63" s="77" t="s">
        <v>203</v>
      </c>
      <c r="E63" s="78">
        <v>110000</v>
      </c>
      <c r="F63" s="79">
        <v>11905</v>
      </c>
      <c r="G63" s="77"/>
      <c r="H63" s="80"/>
      <c r="I63" s="80"/>
      <c r="J63" s="81">
        <v>98095</v>
      </c>
      <c r="K63" s="79">
        <v>1905</v>
      </c>
      <c r="L63" s="82">
        <v>10000</v>
      </c>
      <c r="N63" s="91">
        <v>1398</v>
      </c>
      <c r="O63" s="91">
        <v>242</v>
      </c>
      <c r="P63" s="91">
        <v>0</v>
      </c>
      <c r="Q63" s="91">
        <v>1038</v>
      </c>
      <c r="R63" s="91">
        <v>1232</v>
      </c>
      <c r="S63" s="91"/>
      <c r="T63" s="91"/>
      <c r="U63" s="91"/>
      <c r="V63" s="91">
        <v>0</v>
      </c>
      <c r="W63" s="91">
        <v>0</v>
      </c>
      <c r="X63" s="91"/>
      <c r="Y63" s="91"/>
      <c r="Z63" s="91"/>
      <c r="AA63" s="63">
        <f t="shared" si="1"/>
        <v>13910</v>
      </c>
      <c r="AC63">
        <v>20000</v>
      </c>
      <c r="AD63">
        <f t="shared" si="2"/>
        <v>6090</v>
      </c>
    </row>
    <row r="64" spans="2:30" hidden="1" x14ac:dyDescent="0.2">
      <c r="B64" s="84">
        <v>10120101</v>
      </c>
      <c r="C64" s="84" t="s">
        <v>3078</v>
      </c>
      <c r="D64" s="84" t="s">
        <v>3086</v>
      </c>
      <c r="E64" s="85">
        <v>110000</v>
      </c>
      <c r="F64" s="86">
        <v>11925</v>
      </c>
      <c r="G64" s="84"/>
      <c r="H64" s="87"/>
      <c r="I64" s="87"/>
      <c r="J64" s="88">
        <v>98075</v>
      </c>
      <c r="K64" s="86">
        <v>1925</v>
      </c>
      <c r="L64" s="89">
        <v>10000</v>
      </c>
      <c r="N64" s="91">
        <v>1041</v>
      </c>
      <c r="O64" s="91">
        <v>0</v>
      </c>
      <c r="P64" s="91">
        <v>0</v>
      </c>
      <c r="Q64" s="91"/>
      <c r="R64" s="91"/>
      <c r="S64" s="91"/>
      <c r="T64" s="91"/>
      <c r="U64" s="91"/>
      <c r="V64" s="91">
        <v>0</v>
      </c>
      <c r="W64" s="91">
        <v>0</v>
      </c>
      <c r="X64" s="91"/>
      <c r="Y64" s="91"/>
      <c r="Z64" s="91"/>
      <c r="AA64" s="63">
        <f t="shared" si="1"/>
        <v>11041</v>
      </c>
      <c r="AC64">
        <v>20000</v>
      </c>
      <c r="AD64">
        <f t="shared" si="2"/>
        <v>8959</v>
      </c>
    </row>
    <row r="65" spans="2:32" hidden="1" x14ac:dyDescent="0.2">
      <c r="B65" s="77">
        <v>10060098</v>
      </c>
      <c r="C65" s="106" t="s">
        <v>3090</v>
      </c>
      <c r="D65" s="77" t="s">
        <v>3093</v>
      </c>
      <c r="E65" s="78">
        <v>110000</v>
      </c>
      <c r="F65" s="79">
        <v>11861</v>
      </c>
      <c r="G65" s="77"/>
      <c r="H65" s="80"/>
      <c r="I65" s="80"/>
      <c r="J65" s="81">
        <v>98139</v>
      </c>
      <c r="K65" s="79">
        <v>1861</v>
      </c>
      <c r="L65" s="82">
        <v>10000</v>
      </c>
      <c r="N65" s="101">
        <v>0</v>
      </c>
      <c r="O65" s="101">
        <v>94</v>
      </c>
      <c r="P65" s="101">
        <v>3598</v>
      </c>
      <c r="Q65" s="101">
        <v>0</v>
      </c>
      <c r="R65" s="91"/>
      <c r="S65" s="91"/>
      <c r="T65" s="91"/>
      <c r="U65" s="91"/>
      <c r="V65" s="91">
        <v>0</v>
      </c>
      <c r="W65" s="91">
        <v>0</v>
      </c>
      <c r="X65" s="91"/>
      <c r="Y65" s="91"/>
      <c r="Z65" s="91"/>
      <c r="AA65" s="63">
        <f t="shared" si="1"/>
        <v>13692</v>
      </c>
      <c r="AC65">
        <v>20000</v>
      </c>
      <c r="AD65">
        <f t="shared" si="2"/>
        <v>6308</v>
      </c>
    </row>
    <row r="66" spans="2:32" hidden="1" x14ac:dyDescent="0.2">
      <c r="B66" s="84">
        <v>10060100</v>
      </c>
      <c r="C66" s="107" t="s">
        <v>713</v>
      </c>
      <c r="D66" s="84" t="s">
        <v>3093</v>
      </c>
      <c r="E66" s="85">
        <v>110000</v>
      </c>
      <c r="F66" s="86">
        <v>17020.461802016704</v>
      </c>
      <c r="G66" s="84"/>
      <c r="H66" s="87"/>
      <c r="I66" s="87"/>
      <c r="J66" s="88">
        <v>92979.538197983289</v>
      </c>
      <c r="K66" s="86">
        <v>2020.4618020167045</v>
      </c>
      <c r="L66" s="89">
        <v>15000</v>
      </c>
      <c r="N66" s="101">
        <v>680</v>
      </c>
      <c r="O66" s="101">
        <v>4201</v>
      </c>
      <c r="P66" s="101">
        <v>119</v>
      </c>
      <c r="Q66" s="91"/>
      <c r="R66" s="91"/>
      <c r="S66" s="91"/>
      <c r="T66" s="91"/>
      <c r="U66" s="91"/>
      <c r="V66" s="91">
        <v>0</v>
      </c>
      <c r="W66" s="91">
        <v>0</v>
      </c>
      <c r="X66" s="91"/>
      <c r="Y66" s="91"/>
      <c r="Z66" s="91"/>
      <c r="AA66" s="63">
        <f t="shared" si="1"/>
        <v>20000</v>
      </c>
      <c r="AC66">
        <v>20000</v>
      </c>
      <c r="AD66">
        <f t="shared" si="2"/>
        <v>0</v>
      </c>
    </row>
    <row r="67" spans="2:32" hidden="1" x14ac:dyDescent="0.2">
      <c r="B67" s="77">
        <v>10060093</v>
      </c>
      <c r="C67" s="77" t="s">
        <v>3011</v>
      </c>
      <c r="D67" s="77" t="s">
        <v>1321</v>
      </c>
      <c r="E67" s="78">
        <v>110000</v>
      </c>
      <c r="F67" s="79">
        <v>11861</v>
      </c>
      <c r="G67" s="77"/>
      <c r="H67" s="80"/>
      <c r="I67" s="80"/>
      <c r="J67" s="81">
        <v>98139</v>
      </c>
      <c r="K67" s="79">
        <v>1861</v>
      </c>
      <c r="L67" s="82">
        <v>10000</v>
      </c>
      <c r="N67" s="91">
        <v>1228</v>
      </c>
      <c r="O67" s="91">
        <v>0</v>
      </c>
      <c r="P67" s="91">
        <v>0</v>
      </c>
      <c r="Q67" s="91"/>
      <c r="R67" s="91"/>
      <c r="S67" s="91"/>
      <c r="T67" s="91"/>
      <c r="U67" s="91"/>
      <c r="V67" s="91">
        <v>0</v>
      </c>
      <c r="W67" s="91">
        <v>0</v>
      </c>
      <c r="X67" s="91"/>
      <c r="Y67" s="91"/>
      <c r="Z67" s="91"/>
      <c r="AA67" s="63">
        <f t="shared" si="1"/>
        <v>11228</v>
      </c>
      <c r="AC67">
        <v>20000</v>
      </c>
      <c r="AD67">
        <f t="shared" si="2"/>
        <v>8772</v>
      </c>
    </row>
    <row r="68" spans="2:32" hidden="1" x14ac:dyDescent="0.2">
      <c r="B68" s="84">
        <v>10110128</v>
      </c>
      <c r="C68" s="84" t="s">
        <v>3139</v>
      </c>
      <c r="D68" s="84" t="s">
        <v>217</v>
      </c>
      <c r="E68" s="85">
        <v>110000</v>
      </c>
      <c r="F68" s="86">
        <v>11896</v>
      </c>
      <c r="G68" s="84"/>
      <c r="H68" s="87"/>
      <c r="I68" s="87"/>
      <c r="J68" s="88">
        <v>98104</v>
      </c>
      <c r="K68" s="86">
        <v>1896</v>
      </c>
      <c r="L68" s="89">
        <v>10000</v>
      </c>
      <c r="N68" s="91">
        <v>1587</v>
      </c>
      <c r="O68" s="91">
        <v>1023</v>
      </c>
      <c r="P68" s="91">
        <v>1040</v>
      </c>
      <c r="Q68" s="91"/>
      <c r="R68" s="91"/>
      <c r="S68" s="91"/>
      <c r="T68" s="91"/>
      <c r="U68" s="91"/>
      <c r="V68" s="91">
        <v>540</v>
      </c>
      <c r="W68" s="91">
        <v>2925</v>
      </c>
      <c r="X68" s="91"/>
      <c r="Y68" s="91"/>
      <c r="Z68" s="91"/>
      <c r="AA68" s="63">
        <f t="shared" ref="AA68:AA131" si="3">SUM(L68:W68)</f>
        <v>17115</v>
      </c>
      <c r="AC68">
        <v>20000</v>
      </c>
      <c r="AD68">
        <f t="shared" si="2"/>
        <v>2885</v>
      </c>
    </row>
    <row r="69" spans="2:32" hidden="1" x14ac:dyDescent="0.2">
      <c r="B69" s="77">
        <v>10110112</v>
      </c>
      <c r="C69" s="77" t="s">
        <v>3034</v>
      </c>
      <c r="D69" s="77" t="s">
        <v>217</v>
      </c>
      <c r="E69" s="78">
        <v>110000</v>
      </c>
      <c r="F69" s="79">
        <v>10000</v>
      </c>
      <c r="G69" s="77"/>
      <c r="H69" s="80"/>
      <c r="I69" s="80"/>
      <c r="J69" s="81">
        <v>100000</v>
      </c>
      <c r="K69" s="79">
        <v>0</v>
      </c>
      <c r="L69" s="82">
        <v>10000</v>
      </c>
      <c r="N69" s="91">
        <v>0</v>
      </c>
      <c r="O69" s="91">
        <v>0</v>
      </c>
      <c r="P69" s="91">
        <v>0</v>
      </c>
      <c r="Q69" s="91">
        <v>754</v>
      </c>
      <c r="R69" s="91">
        <v>1832</v>
      </c>
      <c r="S69" s="91"/>
      <c r="T69" s="91"/>
      <c r="U69" s="91"/>
      <c r="V69" s="91">
        <v>0</v>
      </c>
      <c r="W69" s="91">
        <v>0</v>
      </c>
      <c r="X69" s="91"/>
      <c r="Y69" s="91"/>
      <c r="Z69" s="91"/>
      <c r="AA69" s="63">
        <f t="shared" si="3"/>
        <v>12586</v>
      </c>
      <c r="AC69">
        <v>20000</v>
      </c>
      <c r="AD69">
        <f t="shared" si="2"/>
        <v>7414</v>
      </c>
    </row>
    <row r="70" spans="2:32" hidden="1" x14ac:dyDescent="0.2">
      <c r="B70" s="84">
        <v>10110114</v>
      </c>
      <c r="C70" s="84" t="s">
        <v>3052</v>
      </c>
      <c r="D70" s="84" t="s">
        <v>217</v>
      </c>
      <c r="E70" s="85">
        <v>110000</v>
      </c>
      <c r="F70" s="86">
        <v>11882</v>
      </c>
      <c r="G70" s="84"/>
      <c r="H70" s="87"/>
      <c r="I70" s="87"/>
      <c r="J70" s="88">
        <v>98118</v>
      </c>
      <c r="K70" s="86">
        <v>1882</v>
      </c>
      <c r="L70" s="89">
        <v>10000</v>
      </c>
      <c r="N70" s="91">
        <v>2867</v>
      </c>
      <c r="O70" s="91">
        <v>1763</v>
      </c>
      <c r="P70" s="91">
        <v>2178</v>
      </c>
      <c r="Q70" s="91"/>
      <c r="R70" s="91"/>
      <c r="S70" s="91"/>
      <c r="T70" s="91"/>
      <c r="U70" s="91"/>
      <c r="V70" s="91">
        <v>0</v>
      </c>
      <c r="W70" s="91">
        <v>0</v>
      </c>
      <c r="X70" s="91"/>
      <c r="Y70" s="91"/>
      <c r="Z70" s="91"/>
      <c r="AA70" s="63">
        <f t="shared" si="3"/>
        <v>16808</v>
      </c>
      <c r="AC70">
        <v>20000</v>
      </c>
      <c r="AD70">
        <f t="shared" ref="AD70:AD133" si="4">AC70-AA70</f>
        <v>3192</v>
      </c>
    </row>
    <row r="71" spans="2:32" hidden="1" x14ac:dyDescent="0.2">
      <c r="B71" s="77">
        <v>10110115</v>
      </c>
      <c r="C71" s="77" t="s">
        <v>3053</v>
      </c>
      <c r="D71" s="77" t="s">
        <v>217</v>
      </c>
      <c r="E71" s="78">
        <v>110000</v>
      </c>
      <c r="F71" s="79">
        <v>11696</v>
      </c>
      <c r="G71" s="77"/>
      <c r="H71" s="80"/>
      <c r="I71" s="80"/>
      <c r="J71" s="81">
        <v>98304</v>
      </c>
      <c r="K71" s="79">
        <v>1696</v>
      </c>
      <c r="L71" s="82">
        <v>10000</v>
      </c>
      <c r="N71" s="91">
        <v>1616</v>
      </c>
      <c r="O71" s="91">
        <v>0</v>
      </c>
      <c r="P71" s="91">
        <v>0</v>
      </c>
      <c r="Q71" s="91"/>
      <c r="R71" s="91"/>
      <c r="S71" s="91"/>
      <c r="T71" s="91"/>
      <c r="U71" s="91"/>
      <c r="V71" s="91">
        <v>0</v>
      </c>
      <c r="W71" s="91">
        <v>0</v>
      </c>
      <c r="X71" s="91"/>
      <c r="Y71" s="91"/>
      <c r="Z71" s="91"/>
      <c r="AA71" s="63">
        <f t="shared" si="3"/>
        <v>11616</v>
      </c>
      <c r="AC71">
        <v>20000</v>
      </c>
      <c r="AD71">
        <f t="shared" si="4"/>
        <v>8384</v>
      </c>
    </row>
    <row r="72" spans="2:32" hidden="1" x14ac:dyDescent="0.2">
      <c r="B72" s="84">
        <v>10110116</v>
      </c>
      <c r="C72" s="107" t="s">
        <v>2968</v>
      </c>
      <c r="D72" s="84" t="s">
        <v>217</v>
      </c>
      <c r="E72" s="85">
        <v>110000</v>
      </c>
      <c r="F72" s="86">
        <v>11924</v>
      </c>
      <c r="G72" s="84"/>
      <c r="H72" s="87"/>
      <c r="I72" s="87"/>
      <c r="J72" s="88">
        <v>98076</v>
      </c>
      <c r="K72" s="86">
        <v>1924</v>
      </c>
      <c r="L72" s="89">
        <v>10000</v>
      </c>
      <c r="N72" s="91">
        <v>2748</v>
      </c>
      <c r="O72" s="91">
        <v>357</v>
      </c>
      <c r="P72" s="91">
        <v>283</v>
      </c>
      <c r="Q72" s="91">
        <v>471</v>
      </c>
      <c r="R72" s="91">
        <v>2119</v>
      </c>
      <c r="S72" s="91"/>
      <c r="T72" s="91">
        <v>875</v>
      </c>
      <c r="U72" s="91">
        <v>1242</v>
      </c>
      <c r="V72" s="91">
        <v>160</v>
      </c>
      <c r="W72" s="91">
        <v>1557</v>
      </c>
      <c r="X72" s="91"/>
      <c r="Y72" s="91"/>
      <c r="Z72" s="91"/>
      <c r="AA72" s="63">
        <f>SUM(L72:W72)</f>
        <v>19812</v>
      </c>
      <c r="AC72">
        <v>20000</v>
      </c>
      <c r="AD72">
        <f t="shared" si="4"/>
        <v>188</v>
      </c>
    </row>
    <row r="73" spans="2:32" hidden="1" x14ac:dyDescent="0.2">
      <c r="B73" s="77">
        <v>10010095</v>
      </c>
      <c r="C73" s="77" t="s">
        <v>2990</v>
      </c>
      <c r="D73" s="77" t="s">
        <v>203</v>
      </c>
      <c r="E73" s="78">
        <v>110000</v>
      </c>
      <c r="F73" s="79">
        <v>18524</v>
      </c>
      <c r="G73" s="77"/>
      <c r="H73" s="80"/>
      <c r="I73" s="80"/>
      <c r="J73" s="81">
        <v>91476</v>
      </c>
      <c r="K73" s="79">
        <v>3524</v>
      </c>
      <c r="L73" s="82">
        <v>15000</v>
      </c>
      <c r="N73" s="91">
        <v>3245</v>
      </c>
      <c r="O73" s="91">
        <v>0</v>
      </c>
      <c r="P73" s="91">
        <v>0</v>
      </c>
      <c r="Q73" s="91"/>
      <c r="R73" s="91"/>
      <c r="S73" s="91"/>
      <c r="T73" s="91"/>
      <c r="U73" s="91"/>
      <c r="V73" s="91">
        <v>210</v>
      </c>
      <c r="W73" s="91">
        <v>1545</v>
      </c>
      <c r="X73" s="91"/>
      <c r="Y73" s="91"/>
      <c r="Z73" s="91"/>
      <c r="AA73" s="63">
        <f t="shared" si="3"/>
        <v>20000</v>
      </c>
      <c r="AC73">
        <v>20000</v>
      </c>
      <c r="AD73">
        <f t="shared" si="4"/>
        <v>0</v>
      </c>
      <c r="AF73">
        <f>1751-206</f>
        <v>1545</v>
      </c>
    </row>
    <row r="74" spans="2:32" hidden="1" x14ac:dyDescent="0.2">
      <c r="B74" s="84">
        <v>10060074</v>
      </c>
      <c r="C74" s="84" t="s">
        <v>2732</v>
      </c>
      <c r="D74" s="84" t="s">
        <v>1321</v>
      </c>
      <c r="E74" s="85">
        <v>110000</v>
      </c>
      <c r="F74" s="86">
        <v>22600.345598794636</v>
      </c>
      <c r="G74" s="84"/>
      <c r="H74" s="87"/>
      <c r="I74" s="87"/>
      <c r="J74" s="88">
        <v>87399.654401205364</v>
      </c>
      <c r="K74" s="86">
        <v>7600.3455987946381</v>
      </c>
      <c r="L74" s="89">
        <v>15000</v>
      </c>
      <c r="N74" s="91">
        <v>886</v>
      </c>
      <c r="O74" s="91">
        <v>18</v>
      </c>
      <c r="P74" s="91">
        <v>0</v>
      </c>
      <c r="Q74" s="91"/>
      <c r="R74" s="91"/>
      <c r="S74" s="91"/>
      <c r="T74" s="91"/>
      <c r="U74" s="91"/>
      <c r="V74" s="91">
        <v>0</v>
      </c>
      <c r="W74" s="91">
        <v>0</v>
      </c>
      <c r="X74" s="91"/>
      <c r="Y74" s="91"/>
      <c r="Z74" s="91"/>
      <c r="AA74" s="63">
        <f t="shared" si="3"/>
        <v>15904</v>
      </c>
      <c r="AC74">
        <v>20000</v>
      </c>
      <c r="AD74">
        <f t="shared" si="4"/>
        <v>4096</v>
      </c>
    </row>
    <row r="75" spans="2:32" hidden="1" x14ac:dyDescent="0.2">
      <c r="B75" s="77">
        <v>10120089</v>
      </c>
      <c r="C75" s="106" t="s">
        <v>2786</v>
      </c>
      <c r="D75" s="77" t="s">
        <v>101</v>
      </c>
      <c r="E75" s="78">
        <v>110000</v>
      </c>
      <c r="F75" s="79">
        <v>18637</v>
      </c>
      <c r="G75" s="77"/>
      <c r="H75" s="80"/>
      <c r="I75" s="80"/>
      <c r="J75" s="81">
        <v>91363</v>
      </c>
      <c r="K75" s="79">
        <v>8637</v>
      </c>
      <c r="L75" s="82">
        <v>10000</v>
      </c>
      <c r="N75" s="91">
        <v>2323</v>
      </c>
      <c r="O75" s="91">
        <v>1723</v>
      </c>
      <c r="P75" s="91">
        <v>1477</v>
      </c>
      <c r="Q75" s="91">
        <v>0</v>
      </c>
      <c r="R75" s="91">
        <v>1741</v>
      </c>
      <c r="S75" s="91">
        <v>1831</v>
      </c>
      <c r="T75" s="91"/>
      <c r="U75" s="91"/>
      <c r="V75" s="91">
        <v>0</v>
      </c>
      <c r="W75" s="91">
        <v>0</v>
      </c>
      <c r="X75" s="91"/>
      <c r="Y75" s="91"/>
      <c r="Z75" s="91"/>
      <c r="AA75" s="63">
        <f t="shared" si="3"/>
        <v>19095</v>
      </c>
      <c r="AC75">
        <v>20000</v>
      </c>
      <c r="AD75">
        <f t="shared" si="4"/>
        <v>905</v>
      </c>
    </row>
    <row r="76" spans="2:32" hidden="1" x14ac:dyDescent="0.2">
      <c r="B76" s="84">
        <v>10060076</v>
      </c>
      <c r="C76" s="84" t="s">
        <v>2814</v>
      </c>
      <c r="D76" s="84" t="s">
        <v>1321</v>
      </c>
      <c r="E76" s="85">
        <v>110000</v>
      </c>
      <c r="F76" s="86">
        <v>23684.609307794228</v>
      </c>
      <c r="G76" s="84"/>
      <c r="H76" s="87"/>
      <c r="I76" s="87"/>
      <c r="J76" s="88">
        <v>86315.390692205779</v>
      </c>
      <c r="K76" s="86">
        <v>11684.609307794228</v>
      </c>
      <c r="L76" s="89">
        <v>12000</v>
      </c>
      <c r="N76" s="91">
        <v>4532</v>
      </c>
      <c r="O76" s="91">
        <v>3475</v>
      </c>
      <c r="P76" s="91">
        <v>6371</v>
      </c>
      <c r="Q76" s="91"/>
      <c r="R76" s="91"/>
      <c r="S76" s="91"/>
      <c r="T76" s="91"/>
      <c r="U76" s="91"/>
      <c r="V76" s="91">
        <v>0</v>
      </c>
      <c r="W76" s="91">
        <v>0</v>
      </c>
      <c r="X76" s="91"/>
      <c r="Y76" s="91"/>
      <c r="Z76" s="91"/>
      <c r="AA76" s="63">
        <f t="shared" si="3"/>
        <v>26378</v>
      </c>
      <c r="AC76">
        <v>20000</v>
      </c>
      <c r="AD76">
        <f t="shared" si="4"/>
        <v>-6378</v>
      </c>
    </row>
    <row r="77" spans="2:32" hidden="1" x14ac:dyDescent="0.2">
      <c r="B77" s="77">
        <v>10060077</v>
      </c>
      <c r="C77" s="77" t="s">
        <v>2815</v>
      </c>
      <c r="D77" s="77" t="s">
        <v>1321</v>
      </c>
      <c r="E77" s="78">
        <v>110000</v>
      </c>
      <c r="F77" s="79">
        <v>33166.124297829083</v>
      </c>
      <c r="G77" s="77"/>
      <c r="H77" s="80"/>
      <c r="I77" s="80"/>
      <c r="J77" s="81">
        <v>76833.875702170917</v>
      </c>
      <c r="K77" s="79">
        <v>18166.124297829083</v>
      </c>
      <c r="L77" s="82">
        <v>15000</v>
      </c>
      <c r="N77" s="91">
        <v>0</v>
      </c>
      <c r="O77" s="91">
        <v>0</v>
      </c>
      <c r="P77" s="91">
        <v>9433</v>
      </c>
      <c r="Q77" s="91"/>
      <c r="R77" s="91"/>
      <c r="S77" s="91"/>
      <c r="T77" s="91"/>
      <c r="U77" s="91"/>
      <c r="V77" s="91">
        <v>0</v>
      </c>
      <c r="W77" s="91">
        <v>0</v>
      </c>
      <c r="X77" s="91"/>
      <c r="Y77" s="91"/>
      <c r="Z77" s="91"/>
      <c r="AA77" s="63">
        <f t="shared" si="3"/>
        <v>24433</v>
      </c>
      <c r="AC77">
        <v>20000</v>
      </c>
      <c r="AD77">
        <f t="shared" si="4"/>
        <v>-4433</v>
      </c>
    </row>
    <row r="78" spans="2:32" hidden="1" x14ac:dyDescent="0.2">
      <c r="B78" s="84">
        <v>10120094</v>
      </c>
      <c r="C78" s="107" t="s">
        <v>2868</v>
      </c>
      <c r="D78" s="84" t="s">
        <v>101</v>
      </c>
      <c r="E78" s="85">
        <v>110000</v>
      </c>
      <c r="F78" s="86">
        <v>15583</v>
      </c>
      <c r="G78" s="84"/>
      <c r="H78" s="87"/>
      <c r="I78" s="87"/>
      <c r="J78" s="88">
        <v>94417</v>
      </c>
      <c r="K78" s="86">
        <v>5583</v>
      </c>
      <c r="L78" s="89">
        <v>10000</v>
      </c>
      <c r="N78" s="91">
        <v>2061</v>
      </c>
      <c r="O78" s="91">
        <v>1826</v>
      </c>
      <c r="P78" s="91">
        <v>3327</v>
      </c>
      <c r="Q78" s="91">
        <v>2786</v>
      </c>
      <c r="R78" s="91">
        <v>0</v>
      </c>
      <c r="S78" s="91">
        <v>0</v>
      </c>
      <c r="T78" s="91"/>
      <c r="U78" s="91"/>
      <c r="V78" s="91">
        <v>0</v>
      </c>
      <c r="W78" s="91">
        <v>0</v>
      </c>
      <c r="X78" s="91"/>
      <c r="Y78" s="91"/>
      <c r="Z78" s="91"/>
      <c r="AA78" s="63">
        <f t="shared" si="3"/>
        <v>20000</v>
      </c>
      <c r="AC78">
        <v>20000</v>
      </c>
      <c r="AD78">
        <f t="shared" si="4"/>
        <v>0</v>
      </c>
      <c r="AE78" s="93">
        <v>45870</v>
      </c>
    </row>
    <row r="79" spans="2:32" hidden="1" x14ac:dyDescent="0.2">
      <c r="B79" s="77">
        <v>10130091</v>
      </c>
      <c r="C79" s="106" t="s">
        <v>2984</v>
      </c>
      <c r="D79" s="77" t="s">
        <v>1630</v>
      </c>
      <c r="E79" s="78">
        <v>110000</v>
      </c>
      <c r="F79" s="79">
        <v>13745.008723758132</v>
      </c>
      <c r="G79" s="77"/>
      <c r="H79" s="80"/>
      <c r="I79" s="80"/>
      <c r="J79" s="81">
        <v>96254.991276241868</v>
      </c>
      <c r="K79" s="79">
        <v>3745.008723758132</v>
      </c>
      <c r="L79" s="82">
        <v>20000</v>
      </c>
      <c r="N79" s="91">
        <v>0</v>
      </c>
      <c r="O79" s="91">
        <v>2238</v>
      </c>
      <c r="P79" s="91">
        <v>3889</v>
      </c>
      <c r="Q79" s="91">
        <v>2630</v>
      </c>
      <c r="R79" s="91"/>
      <c r="S79" s="91"/>
      <c r="T79" s="91"/>
      <c r="U79" s="91"/>
      <c r="V79" s="91">
        <v>0</v>
      </c>
      <c r="W79" s="91">
        <v>0</v>
      </c>
      <c r="X79" s="91"/>
      <c r="Y79" s="91"/>
      <c r="Z79" s="91"/>
      <c r="AA79" s="63">
        <f t="shared" si="3"/>
        <v>28757</v>
      </c>
      <c r="AC79">
        <v>20000</v>
      </c>
      <c r="AD79">
        <f t="shared" si="4"/>
        <v>-8757</v>
      </c>
    </row>
    <row r="80" spans="2:32" hidden="1" x14ac:dyDescent="0.2">
      <c r="B80" s="84">
        <v>10070052</v>
      </c>
      <c r="C80" s="84" t="s">
        <v>2981</v>
      </c>
      <c r="D80" s="84" t="s">
        <v>906</v>
      </c>
      <c r="E80" s="85">
        <v>110000</v>
      </c>
      <c r="F80" s="86">
        <v>10769</v>
      </c>
      <c r="G80" s="84"/>
      <c r="H80" s="87"/>
      <c r="I80" s="87"/>
      <c r="J80" s="88">
        <v>99231</v>
      </c>
      <c r="K80" s="86">
        <v>769</v>
      </c>
      <c r="L80" s="89">
        <v>10000</v>
      </c>
      <c r="N80" s="91">
        <v>54</v>
      </c>
      <c r="O80" s="91">
        <v>0</v>
      </c>
      <c r="P80" s="91">
        <v>0</v>
      </c>
      <c r="Q80" s="91"/>
      <c r="R80" s="91"/>
      <c r="S80" s="91"/>
      <c r="T80" s="91"/>
      <c r="U80" s="91"/>
      <c r="V80" s="91">
        <v>0</v>
      </c>
      <c r="W80" s="91">
        <v>0</v>
      </c>
      <c r="X80" s="91"/>
      <c r="Y80" s="91"/>
      <c r="Z80" s="91"/>
      <c r="AA80" s="63">
        <f t="shared" si="3"/>
        <v>10054</v>
      </c>
      <c r="AC80">
        <v>20000</v>
      </c>
      <c r="AD80">
        <f t="shared" si="4"/>
        <v>9946</v>
      </c>
    </row>
    <row r="81" spans="2:32" hidden="1" x14ac:dyDescent="0.2">
      <c r="B81" s="77">
        <v>10120095</v>
      </c>
      <c r="C81" s="77" t="s">
        <v>2869</v>
      </c>
      <c r="D81" s="77" t="s">
        <v>101</v>
      </c>
      <c r="E81" s="78">
        <v>110000</v>
      </c>
      <c r="F81" s="79">
        <v>12334</v>
      </c>
      <c r="G81" s="77"/>
      <c r="H81" s="80"/>
      <c r="I81" s="80"/>
      <c r="J81" s="81">
        <v>97666</v>
      </c>
      <c r="K81" s="79">
        <v>2334</v>
      </c>
      <c r="L81" s="82">
        <v>10000</v>
      </c>
      <c r="N81" s="91">
        <v>2397</v>
      </c>
      <c r="O81" s="91">
        <v>0</v>
      </c>
      <c r="P81" s="91">
        <v>0</v>
      </c>
      <c r="Q81" s="91"/>
      <c r="R81" s="91">
        <v>1455</v>
      </c>
      <c r="S81" s="91"/>
      <c r="T81" s="91"/>
      <c r="U81" s="91"/>
      <c r="V81" s="91">
        <v>0</v>
      </c>
      <c r="W81" s="91">
        <v>0</v>
      </c>
      <c r="X81" s="91"/>
      <c r="Y81" s="91"/>
      <c r="Z81" s="91"/>
      <c r="AA81" s="63">
        <f t="shared" si="3"/>
        <v>13852</v>
      </c>
      <c r="AC81">
        <v>20000</v>
      </c>
      <c r="AD81">
        <f t="shared" si="4"/>
        <v>6148</v>
      </c>
    </row>
    <row r="82" spans="2:32" hidden="1" x14ac:dyDescent="0.2">
      <c r="B82" s="84">
        <v>10130084</v>
      </c>
      <c r="C82" s="84" t="s">
        <v>2832</v>
      </c>
      <c r="D82" s="84" t="s">
        <v>1630</v>
      </c>
      <c r="E82" s="85">
        <v>110000</v>
      </c>
      <c r="F82" s="86">
        <v>13772</v>
      </c>
      <c r="G82" s="84"/>
      <c r="H82" s="87"/>
      <c r="I82" s="87"/>
      <c r="J82" s="88">
        <v>96228</v>
      </c>
      <c r="K82" s="86">
        <v>3772</v>
      </c>
      <c r="L82" s="89">
        <v>10000</v>
      </c>
      <c r="N82" s="91">
        <v>0</v>
      </c>
      <c r="O82" s="91">
        <v>0</v>
      </c>
      <c r="P82" s="91">
        <v>0</v>
      </c>
      <c r="Q82" s="91"/>
      <c r="R82" s="91"/>
      <c r="S82" s="91"/>
      <c r="T82" s="91"/>
      <c r="U82" s="91"/>
      <c r="V82" s="91">
        <v>0</v>
      </c>
      <c r="W82" s="91">
        <v>0</v>
      </c>
      <c r="X82" s="91"/>
      <c r="Y82" s="91"/>
      <c r="Z82" s="91"/>
      <c r="AA82" s="63">
        <f t="shared" si="3"/>
        <v>10000</v>
      </c>
      <c r="AC82">
        <v>20000</v>
      </c>
      <c r="AD82">
        <f t="shared" si="4"/>
        <v>10000</v>
      </c>
    </row>
    <row r="83" spans="2:32" hidden="1" x14ac:dyDescent="0.2">
      <c r="B83" s="77">
        <v>10130085</v>
      </c>
      <c r="C83" s="106" t="s">
        <v>483</v>
      </c>
      <c r="D83" s="77" t="s">
        <v>1630</v>
      </c>
      <c r="E83" s="78">
        <v>110000</v>
      </c>
      <c r="F83" s="79">
        <v>21503.79908135677</v>
      </c>
      <c r="G83" s="77"/>
      <c r="H83" s="80"/>
      <c r="I83" s="80"/>
      <c r="J83" s="81">
        <v>88496.200918643226</v>
      </c>
      <c r="K83" s="79">
        <v>11503.79908135677</v>
      </c>
      <c r="L83" s="82">
        <v>10000</v>
      </c>
      <c r="N83" s="91">
        <v>5456</v>
      </c>
      <c r="O83" s="91">
        <v>496</v>
      </c>
      <c r="P83" s="91">
        <v>1280</v>
      </c>
      <c r="Q83" s="91">
        <v>408</v>
      </c>
      <c r="R83" s="91"/>
      <c r="S83" s="91"/>
      <c r="T83" s="91">
        <v>0</v>
      </c>
      <c r="U83" s="101">
        <v>1825</v>
      </c>
      <c r="V83" s="91">
        <v>535</v>
      </c>
      <c r="W83" s="91">
        <v>0</v>
      </c>
      <c r="X83" s="91"/>
      <c r="Y83" s="91"/>
      <c r="Z83" s="91"/>
      <c r="AA83" s="63">
        <f t="shared" si="3"/>
        <v>20000</v>
      </c>
      <c r="AC83">
        <v>20000</v>
      </c>
      <c r="AD83">
        <f t="shared" si="4"/>
        <v>0</v>
      </c>
    </row>
    <row r="84" spans="2:32" hidden="1" x14ac:dyDescent="0.2">
      <c r="B84" s="84">
        <v>10140148</v>
      </c>
      <c r="C84" s="84" t="s">
        <v>2836</v>
      </c>
      <c r="D84" s="84" t="s">
        <v>85</v>
      </c>
      <c r="E84" s="85">
        <v>110000</v>
      </c>
      <c r="F84" s="86">
        <v>17537</v>
      </c>
      <c r="G84" s="84"/>
      <c r="H84" s="87"/>
      <c r="I84" s="87"/>
      <c r="J84" s="88">
        <v>92463</v>
      </c>
      <c r="K84" s="86">
        <v>7537</v>
      </c>
      <c r="L84" s="89">
        <v>10000</v>
      </c>
      <c r="N84" s="91">
        <v>1092</v>
      </c>
      <c r="O84" s="91">
        <v>0</v>
      </c>
      <c r="P84" s="91">
        <v>0</v>
      </c>
      <c r="Q84" s="91"/>
      <c r="R84" s="91"/>
      <c r="S84" s="91"/>
      <c r="T84" s="91"/>
      <c r="U84" s="91"/>
      <c r="V84" s="91">
        <v>0</v>
      </c>
      <c r="W84" s="91">
        <v>0</v>
      </c>
      <c r="X84" s="91"/>
      <c r="Y84" s="91"/>
      <c r="Z84" s="91"/>
      <c r="AA84" s="63">
        <f t="shared" si="3"/>
        <v>11092</v>
      </c>
      <c r="AC84">
        <v>20000</v>
      </c>
      <c r="AD84">
        <f t="shared" si="4"/>
        <v>8908</v>
      </c>
    </row>
    <row r="85" spans="2:32" hidden="1" x14ac:dyDescent="0.2">
      <c r="B85" s="77">
        <v>10120090</v>
      </c>
      <c r="C85" s="77" t="s">
        <v>2787</v>
      </c>
      <c r="D85" s="77" t="s">
        <v>101</v>
      </c>
      <c r="E85" s="78">
        <v>110000</v>
      </c>
      <c r="F85" s="79">
        <v>18516</v>
      </c>
      <c r="G85" s="77"/>
      <c r="H85" s="80"/>
      <c r="I85" s="80"/>
      <c r="J85" s="81">
        <v>91484</v>
      </c>
      <c r="K85" s="79">
        <v>8516</v>
      </c>
      <c r="L85" s="82">
        <v>10000</v>
      </c>
      <c r="N85" s="91">
        <v>191</v>
      </c>
      <c r="O85" s="91">
        <v>0</v>
      </c>
      <c r="P85" s="91">
        <v>0</v>
      </c>
      <c r="Q85" s="91"/>
      <c r="R85" s="91"/>
      <c r="S85" s="91"/>
      <c r="T85" s="91"/>
      <c r="U85" s="91"/>
      <c r="V85" s="91">
        <v>0</v>
      </c>
      <c r="W85" s="91">
        <v>0</v>
      </c>
      <c r="X85" s="91"/>
      <c r="Y85" s="91"/>
      <c r="Z85" s="91"/>
      <c r="AA85" s="63">
        <f t="shared" si="3"/>
        <v>10191</v>
      </c>
      <c r="AC85">
        <v>20000</v>
      </c>
      <c r="AD85">
        <f t="shared" si="4"/>
        <v>9809</v>
      </c>
    </row>
    <row r="86" spans="2:32" hidden="1" x14ac:dyDescent="0.2">
      <c r="B86" s="84">
        <v>10130077</v>
      </c>
      <c r="C86" s="107" t="s">
        <v>2788</v>
      </c>
      <c r="D86" s="84" t="s">
        <v>1630</v>
      </c>
      <c r="E86" s="85">
        <v>110000</v>
      </c>
      <c r="F86" s="86">
        <v>16032</v>
      </c>
      <c r="G86" s="84"/>
      <c r="H86" s="87"/>
      <c r="I86" s="87"/>
      <c r="J86" s="88">
        <v>93968</v>
      </c>
      <c r="K86" s="86">
        <v>6032</v>
      </c>
      <c r="L86" s="89">
        <v>10000</v>
      </c>
      <c r="N86" s="91">
        <v>0</v>
      </c>
      <c r="O86" s="91">
        <v>0</v>
      </c>
      <c r="P86" s="91">
        <v>0</v>
      </c>
      <c r="Q86" s="91"/>
      <c r="R86" s="91"/>
      <c r="S86" s="91"/>
      <c r="T86" s="91">
        <v>602</v>
      </c>
      <c r="U86" s="91">
        <v>834</v>
      </c>
      <c r="V86" s="91">
        <v>1908</v>
      </c>
      <c r="W86" s="91">
        <v>195</v>
      </c>
      <c r="X86" s="91"/>
      <c r="Y86" s="91"/>
      <c r="Z86" s="91"/>
      <c r="AA86" s="63">
        <f t="shared" si="3"/>
        <v>13539</v>
      </c>
      <c r="AC86">
        <v>20000</v>
      </c>
      <c r="AD86">
        <f t="shared" si="4"/>
        <v>6461</v>
      </c>
    </row>
    <row r="87" spans="2:32" hidden="1" x14ac:dyDescent="0.2">
      <c r="B87" s="77">
        <v>10130079</v>
      </c>
      <c r="C87" s="77" t="s">
        <v>2790</v>
      </c>
      <c r="D87" s="77" t="s">
        <v>1630</v>
      </c>
      <c r="E87" s="78">
        <v>110000</v>
      </c>
      <c r="F87" s="79">
        <v>18484.199767946688</v>
      </c>
      <c r="G87" s="77"/>
      <c r="H87" s="80"/>
      <c r="I87" s="80"/>
      <c r="J87" s="81">
        <v>91515.800232053312</v>
      </c>
      <c r="K87" s="79">
        <v>8484.1997679466876</v>
      </c>
      <c r="L87" s="82">
        <v>10000</v>
      </c>
      <c r="N87" s="91">
        <v>2529</v>
      </c>
      <c r="O87" s="91">
        <v>1546</v>
      </c>
      <c r="P87" s="91">
        <v>0</v>
      </c>
      <c r="Q87" s="91"/>
      <c r="R87" s="91"/>
      <c r="S87" s="91"/>
      <c r="T87" s="91"/>
      <c r="U87" s="91"/>
      <c r="V87" s="91">
        <v>0</v>
      </c>
      <c r="W87" s="91">
        <v>0</v>
      </c>
      <c r="X87" s="91"/>
      <c r="Y87" s="91"/>
      <c r="Z87" s="91"/>
      <c r="AA87" s="63">
        <f t="shared" si="3"/>
        <v>14075</v>
      </c>
      <c r="AC87">
        <v>20000</v>
      </c>
      <c r="AD87">
        <f t="shared" si="4"/>
        <v>5925</v>
      </c>
    </row>
    <row r="88" spans="2:32" hidden="1" x14ac:dyDescent="0.2">
      <c r="B88" s="84">
        <v>10080079</v>
      </c>
      <c r="C88" s="84" t="s">
        <v>2784</v>
      </c>
      <c r="D88" s="84" t="s">
        <v>297</v>
      </c>
      <c r="E88" s="85">
        <v>110000</v>
      </c>
      <c r="F88" s="86">
        <v>18722</v>
      </c>
      <c r="G88" s="84"/>
      <c r="H88" s="87"/>
      <c r="I88" s="87"/>
      <c r="J88" s="88">
        <v>91278</v>
      </c>
      <c r="K88" s="86">
        <v>3722</v>
      </c>
      <c r="L88" s="89">
        <v>15000</v>
      </c>
      <c r="N88" s="91">
        <v>0</v>
      </c>
      <c r="O88" s="91">
        <v>0</v>
      </c>
      <c r="P88" s="91">
        <v>0</v>
      </c>
      <c r="Q88" s="91"/>
      <c r="R88" s="91"/>
      <c r="S88" s="91"/>
      <c r="T88" s="91"/>
      <c r="U88" s="91"/>
      <c r="V88" s="91">
        <v>0</v>
      </c>
      <c r="W88" s="91">
        <v>0</v>
      </c>
      <c r="X88" s="91"/>
      <c r="Y88" s="91"/>
      <c r="Z88" s="91"/>
      <c r="AA88" s="63">
        <f t="shared" si="3"/>
        <v>15000</v>
      </c>
      <c r="AC88">
        <v>20000</v>
      </c>
      <c r="AD88">
        <f t="shared" si="4"/>
        <v>5000</v>
      </c>
    </row>
    <row r="89" spans="2:32" hidden="1" x14ac:dyDescent="0.2">
      <c r="B89" s="77">
        <v>10140146</v>
      </c>
      <c r="C89" s="77" t="s">
        <v>2803</v>
      </c>
      <c r="D89" s="77" t="s">
        <v>85</v>
      </c>
      <c r="E89" s="78">
        <v>110000</v>
      </c>
      <c r="F89" s="79">
        <v>10864</v>
      </c>
      <c r="G89" s="77"/>
      <c r="H89" s="80"/>
      <c r="I89" s="80"/>
      <c r="J89" s="81">
        <v>99136</v>
      </c>
      <c r="K89" s="79">
        <v>864</v>
      </c>
      <c r="L89" s="82">
        <v>10000</v>
      </c>
      <c r="N89" s="91">
        <v>0</v>
      </c>
      <c r="O89" s="91">
        <v>0</v>
      </c>
      <c r="P89" s="91">
        <v>0</v>
      </c>
      <c r="Q89" s="91"/>
      <c r="R89" s="91"/>
      <c r="S89" s="91"/>
      <c r="T89" s="91"/>
      <c r="U89" s="91"/>
      <c r="V89" s="91">
        <v>0</v>
      </c>
      <c r="W89" s="91">
        <v>0</v>
      </c>
      <c r="X89" s="91"/>
      <c r="Y89" s="91"/>
      <c r="Z89" s="91"/>
      <c r="AA89" s="63">
        <f t="shared" si="3"/>
        <v>10000</v>
      </c>
      <c r="AC89">
        <v>20000</v>
      </c>
      <c r="AD89">
        <f t="shared" si="4"/>
        <v>10000</v>
      </c>
    </row>
    <row r="90" spans="2:32" hidden="1" x14ac:dyDescent="0.2">
      <c r="B90" s="84">
        <v>10140152</v>
      </c>
      <c r="C90" s="84" t="s">
        <v>2848</v>
      </c>
      <c r="D90" s="84" t="s">
        <v>85</v>
      </c>
      <c r="E90" s="85">
        <v>110000</v>
      </c>
      <c r="F90" s="86">
        <v>17331</v>
      </c>
      <c r="G90" s="84"/>
      <c r="H90" s="87"/>
      <c r="I90" s="87"/>
      <c r="J90" s="88">
        <v>92669</v>
      </c>
      <c r="K90" s="86">
        <v>7331</v>
      </c>
      <c r="L90" s="89">
        <v>10000</v>
      </c>
      <c r="N90" s="91">
        <v>736</v>
      </c>
      <c r="O90" s="91">
        <v>558</v>
      </c>
      <c r="P90" s="91">
        <v>0</v>
      </c>
      <c r="Q90" s="91"/>
      <c r="R90" s="91"/>
      <c r="S90" s="91"/>
      <c r="T90" s="91"/>
      <c r="U90" s="91"/>
      <c r="V90" s="91">
        <v>0</v>
      </c>
      <c r="W90" s="91">
        <v>769</v>
      </c>
      <c r="X90" s="91"/>
      <c r="Y90" s="91"/>
      <c r="Z90" s="91"/>
      <c r="AA90" s="63">
        <f t="shared" si="3"/>
        <v>12063</v>
      </c>
      <c r="AC90">
        <v>20000</v>
      </c>
      <c r="AD90">
        <f t="shared" si="4"/>
        <v>7937</v>
      </c>
    </row>
    <row r="91" spans="2:32" hidden="1" x14ac:dyDescent="0.2">
      <c r="B91" s="77">
        <v>10110097</v>
      </c>
      <c r="C91" s="77" t="s">
        <v>2774</v>
      </c>
      <c r="D91" s="77" t="s">
        <v>217</v>
      </c>
      <c r="E91" s="78">
        <v>110000</v>
      </c>
      <c r="F91" s="79">
        <v>19417.434969909122</v>
      </c>
      <c r="G91" s="77"/>
      <c r="H91" s="80"/>
      <c r="I91" s="80"/>
      <c r="J91" s="81">
        <v>90582.565030090875</v>
      </c>
      <c r="K91" s="79">
        <v>9417.4349699091217</v>
      </c>
      <c r="L91" s="82">
        <v>10000</v>
      </c>
      <c r="N91" s="91">
        <v>2954</v>
      </c>
      <c r="O91" s="91">
        <v>2369</v>
      </c>
      <c r="P91" s="91">
        <v>3668</v>
      </c>
      <c r="Q91" s="91">
        <v>429</v>
      </c>
      <c r="R91" s="91"/>
      <c r="S91" s="91"/>
      <c r="T91" s="91"/>
      <c r="U91" s="91"/>
      <c r="V91" s="91">
        <v>0</v>
      </c>
      <c r="W91" s="91">
        <v>0</v>
      </c>
      <c r="X91" s="91"/>
      <c r="Y91" s="91"/>
      <c r="Z91" s="91"/>
      <c r="AA91" s="63">
        <f t="shared" si="3"/>
        <v>19420</v>
      </c>
      <c r="AC91">
        <v>20000</v>
      </c>
      <c r="AD91">
        <f t="shared" si="4"/>
        <v>580</v>
      </c>
    </row>
    <row r="92" spans="2:32" hidden="1" x14ac:dyDescent="0.2">
      <c r="B92" s="84">
        <v>10060090</v>
      </c>
      <c r="C92" s="84" t="s">
        <v>2942</v>
      </c>
      <c r="D92" s="84" t="s">
        <v>57</v>
      </c>
      <c r="E92" s="85">
        <v>110000</v>
      </c>
      <c r="F92" s="86">
        <v>18861</v>
      </c>
      <c r="G92" s="84"/>
      <c r="H92" s="87"/>
      <c r="I92" s="87"/>
      <c r="J92" s="88">
        <v>91139</v>
      </c>
      <c r="K92" s="86">
        <v>1861</v>
      </c>
      <c r="L92" s="89">
        <v>17000</v>
      </c>
      <c r="N92" s="91">
        <v>1721</v>
      </c>
      <c r="O92" s="91">
        <v>0</v>
      </c>
      <c r="P92" s="91">
        <v>0</v>
      </c>
      <c r="Q92" s="91"/>
      <c r="R92" s="91"/>
      <c r="S92" s="91"/>
      <c r="T92" s="91">
        <v>400</v>
      </c>
      <c r="U92" s="101">
        <v>370</v>
      </c>
      <c r="V92" s="91">
        <v>509</v>
      </c>
      <c r="W92" s="91">
        <v>0</v>
      </c>
      <c r="X92" s="91"/>
      <c r="Y92" s="91"/>
      <c r="Z92" s="91"/>
      <c r="AA92" s="63">
        <f t="shared" si="3"/>
        <v>20000</v>
      </c>
      <c r="AC92">
        <v>20000</v>
      </c>
      <c r="AD92">
        <f t="shared" si="4"/>
        <v>0</v>
      </c>
      <c r="AF92">
        <f>591-191</f>
        <v>400</v>
      </c>
    </row>
    <row r="93" spans="2:32" hidden="1" x14ac:dyDescent="0.2">
      <c r="B93" s="77">
        <v>10110101</v>
      </c>
      <c r="C93" s="106" t="s">
        <v>2778</v>
      </c>
      <c r="D93" s="77" t="s">
        <v>217</v>
      </c>
      <c r="E93" s="78">
        <v>110000</v>
      </c>
      <c r="F93" s="79">
        <v>15583</v>
      </c>
      <c r="G93" s="77"/>
      <c r="H93" s="80"/>
      <c r="I93" s="80"/>
      <c r="J93" s="81">
        <v>94417</v>
      </c>
      <c r="K93" s="79">
        <v>5583</v>
      </c>
      <c r="L93" s="82">
        <v>10000</v>
      </c>
      <c r="N93" s="91">
        <v>1763</v>
      </c>
      <c r="O93" s="91">
        <v>1067</v>
      </c>
      <c r="P93" s="91">
        <v>2180</v>
      </c>
      <c r="Q93" s="91">
        <v>2085</v>
      </c>
      <c r="R93" s="91">
        <v>2495</v>
      </c>
      <c r="S93" s="91"/>
      <c r="T93" s="91">
        <v>410</v>
      </c>
      <c r="U93" s="91"/>
      <c r="V93" s="91">
        <v>0</v>
      </c>
      <c r="W93" s="91">
        <v>0</v>
      </c>
      <c r="X93" s="91"/>
      <c r="Y93" s="91"/>
      <c r="Z93" s="91"/>
      <c r="AA93" s="63">
        <f t="shared" si="3"/>
        <v>20000</v>
      </c>
      <c r="AC93">
        <v>20000</v>
      </c>
      <c r="AD93">
        <f t="shared" si="4"/>
        <v>0</v>
      </c>
    </row>
    <row r="94" spans="2:32" hidden="1" x14ac:dyDescent="0.2">
      <c r="B94" s="84">
        <v>10080077</v>
      </c>
      <c r="C94" s="84" t="s">
        <v>2719</v>
      </c>
      <c r="D94" s="84" t="s">
        <v>297</v>
      </c>
      <c r="E94" s="85">
        <v>110000</v>
      </c>
      <c r="F94" s="86">
        <v>28023.283283302415</v>
      </c>
      <c r="G94" s="84"/>
      <c r="H94" s="87"/>
      <c r="I94" s="87"/>
      <c r="J94" s="88">
        <v>81976.716716697585</v>
      </c>
      <c r="K94" s="86">
        <v>13023.283283302417</v>
      </c>
      <c r="L94" s="89">
        <v>15000</v>
      </c>
      <c r="N94" s="91">
        <v>0</v>
      </c>
      <c r="O94" s="91">
        <v>1075</v>
      </c>
      <c r="P94" s="91">
        <v>3157</v>
      </c>
      <c r="Q94" s="91"/>
      <c r="R94" s="91"/>
      <c r="S94" s="91"/>
      <c r="T94" s="91"/>
      <c r="U94" s="91"/>
      <c r="V94" s="91">
        <v>0</v>
      </c>
      <c r="W94" s="91">
        <v>0</v>
      </c>
      <c r="X94" s="91"/>
      <c r="Y94" s="91"/>
      <c r="Z94" s="91"/>
      <c r="AA94" s="63">
        <f t="shared" si="3"/>
        <v>19232</v>
      </c>
      <c r="AC94">
        <v>20000</v>
      </c>
      <c r="AD94">
        <f t="shared" si="4"/>
        <v>768</v>
      </c>
    </row>
    <row r="95" spans="2:32" hidden="1" x14ac:dyDescent="0.2">
      <c r="B95" s="77">
        <v>10140135</v>
      </c>
      <c r="C95" s="77" t="s">
        <v>2709</v>
      </c>
      <c r="D95" s="77" t="s">
        <v>85</v>
      </c>
      <c r="E95" s="78">
        <v>110000</v>
      </c>
      <c r="F95" s="79">
        <v>26050.119395528367</v>
      </c>
      <c r="G95" s="77"/>
      <c r="H95" s="80"/>
      <c r="I95" s="80"/>
      <c r="J95" s="81">
        <v>83949.880604471633</v>
      </c>
      <c r="K95" s="79">
        <v>16050.119395528369</v>
      </c>
      <c r="L95" s="82">
        <v>10000</v>
      </c>
      <c r="N95" s="91">
        <v>5320</v>
      </c>
      <c r="O95" s="91">
        <v>3685</v>
      </c>
      <c r="P95" s="91">
        <v>3032</v>
      </c>
      <c r="Q95" s="91"/>
      <c r="R95" s="91"/>
      <c r="S95" s="91"/>
      <c r="T95" s="91"/>
      <c r="U95" s="91"/>
      <c r="V95" s="91">
        <v>0</v>
      </c>
      <c r="W95" s="91">
        <v>0</v>
      </c>
      <c r="X95" s="91"/>
      <c r="Y95" s="91"/>
      <c r="Z95" s="91"/>
      <c r="AA95" s="63">
        <f t="shared" si="3"/>
        <v>22037</v>
      </c>
      <c r="AC95">
        <v>20000</v>
      </c>
      <c r="AD95">
        <f t="shared" si="4"/>
        <v>-2037</v>
      </c>
    </row>
    <row r="96" spans="2:32" hidden="1" x14ac:dyDescent="0.2">
      <c r="B96" s="84">
        <v>10140129</v>
      </c>
      <c r="C96" s="107" t="s">
        <v>1899</v>
      </c>
      <c r="D96" s="84" t="s">
        <v>85</v>
      </c>
      <c r="E96" s="85">
        <v>110000</v>
      </c>
      <c r="F96" s="86">
        <v>28638.459507444531</v>
      </c>
      <c r="G96" s="84"/>
      <c r="H96" s="87"/>
      <c r="I96" s="87"/>
      <c r="J96" s="88">
        <v>81361.540492555476</v>
      </c>
      <c r="K96" s="86">
        <v>18638.459507444531</v>
      </c>
      <c r="L96" s="89">
        <v>10000</v>
      </c>
      <c r="N96" s="91">
        <v>5600</v>
      </c>
      <c r="O96" s="91">
        <v>3278</v>
      </c>
      <c r="P96" s="91">
        <v>0</v>
      </c>
      <c r="Q96" s="91">
        <v>835</v>
      </c>
      <c r="R96" s="91">
        <v>177</v>
      </c>
      <c r="S96" s="91"/>
      <c r="T96" s="91">
        <v>110</v>
      </c>
      <c r="U96" s="91"/>
      <c r="V96" s="91">
        <v>0</v>
      </c>
      <c r="W96" s="91">
        <v>0</v>
      </c>
      <c r="X96" s="91"/>
      <c r="Y96" s="91"/>
      <c r="Z96" s="91"/>
      <c r="AA96" s="63">
        <f t="shared" si="3"/>
        <v>20000</v>
      </c>
      <c r="AC96">
        <v>20000</v>
      </c>
      <c r="AD96">
        <f t="shared" si="4"/>
        <v>0</v>
      </c>
    </row>
    <row r="97" spans="2:30" hidden="1" x14ac:dyDescent="0.2">
      <c r="B97" s="77">
        <v>10110005</v>
      </c>
      <c r="C97" s="77" t="s">
        <v>79</v>
      </c>
      <c r="D97" s="77" t="s">
        <v>217</v>
      </c>
      <c r="E97" s="78">
        <v>110000</v>
      </c>
      <c r="F97" s="79">
        <v>110000</v>
      </c>
      <c r="G97" s="77"/>
      <c r="H97" s="80"/>
      <c r="I97" s="80"/>
      <c r="J97" s="81">
        <v>0</v>
      </c>
      <c r="K97" s="79">
        <v>110000</v>
      </c>
      <c r="L97" s="82">
        <v>0</v>
      </c>
      <c r="N97" s="91">
        <v>0</v>
      </c>
      <c r="O97" s="91">
        <v>0</v>
      </c>
      <c r="P97" s="91">
        <v>0</v>
      </c>
      <c r="Q97" s="91"/>
      <c r="R97" s="91"/>
      <c r="S97" s="91"/>
      <c r="T97" s="91"/>
      <c r="U97" s="91"/>
      <c r="V97" s="91">
        <v>0</v>
      </c>
      <c r="W97" s="91">
        <v>0</v>
      </c>
      <c r="X97" s="91"/>
      <c r="Y97" s="91"/>
      <c r="Z97" s="91"/>
      <c r="AA97" s="63">
        <f t="shared" si="3"/>
        <v>0</v>
      </c>
      <c r="AC97">
        <v>20000</v>
      </c>
      <c r="AD97">
        <f t="shared" si="4"/>
        <v>20000</v>
      </c>
    </row>
    <row r="98" spans="2:30" hidden="1" x14ac:dyDescent="0.2">
      <c r="B98" s="84">
        <v>10110001</v>
      </c>
      <c r="C98" s="84" t="s">
        <v>82</v>
      </c>
      <c r="D98" s="84" t="s">
        <v>217</v>
      </c>
      <c r="E98" s="85">
        <v>64000</v>
      </c>
      <c r="F98" s="86">
        <v>64000</v>
      </c>
      <c r="G98" s="84"/>
      <c r="H98" s="87"/>
      <c r="I98" s="87"/>
      <c r="J98" s="88">
        <v>0</v>
      </c>
      <c r="K98" s="86">
        <v>64000</v>
      </c>
      <c r="L98" s="89">
        <v>0</v>
      </c>
      <c r="N98" s="91">
        <v>0</v>
      </c>
      <c r="O98" s="91">
        <v>0</v>
      </c>
      <c r="P98" s="91">
        <v>0</v>
      </c>
      <c r="Q98" s="91"/>
      <c r="R98" s="91"/>
      <c r="S98" s="91"/>
      <c r="T98" s="91"/>
      <c r="U98" s="91"/>
      <c r="V98" s="91">
        <v>0</v>
      </c>
      <c r="W98" s="91">
        <v>0</v>
      </c>
      <c r="X98" s="91"/>
      <c r="Y98" s="91"/>
      <c r="Z98" s="91"/>
      <c r="AA98" s="63">
        <f t="shared" si="3"/>
        <v>0</v>
      </c>
      <c r="AC98">
        <v>20000</v>
      </c>
      <c r="AD98">
        <f t="shared" si="4"/>
        <v>20000</v>
      </c>
    </row>
    <row r="99" spans="2:30" hidden="1" x14ac:dyDescent="0.2">
      <c r="B99" s="77">
        <v>10020069</v>
      </c>
      <c r="C99" s="77" t="s">
        <v>2353</v>
      </c>
      <c r="D99" s="77" t="s">
        <v>63</v>
      </c>
      <c r="E99" s="78">
        <v>110000</v>
      </c>
      <c r="F99" s="79">
        <v>10368.39721395364</v>
      </c>
      <c r="G99" s="77"/>
      <c r="H99" s="80"/>
      <c r="I99" s="80"/>
      <c r="J99" s="81">
        <v>99631.602786046366</v>
      </c>
      <c r="K99" s="79">
        <v>10368.39721395364</v>
      </c>
      <c r="L99" s="82"/>
      <c r="N99" s="91">
        <v>0</v>
      </c>
      <c r="O99" s="91">
        <v>0</v>
      </c>
      <c r="P99" s="91">
        <v>0</v>
      </c>
      <c r="Q99" s="91"/>
      <c r="R99" s="91"/>
      <c r="S99" s="91"/>
      <c r="T99" s="91"/>
      <c r="U99" s="91"/>
      <c r="V99" s="91">
        <v>0</v>
      </c>
      <c r="W99" s="91">
        <v>0</v>
      </c>
      <c r="X99" s="91"/>
      <c r="Y99" s="91"/>
      <c r="Z99" s="91"/>
      <c r="AA99" s="63">
        <f t="shared" si="3"/>
        <v>0</v>
      </c>
      <c r="AC99">
        <v>20000</v>
      </c>
      <c r="AD99">
        <f t="shared" si="4"/>
        <v>20000</v>
      </c>
    </row>
    <row r="100" spans="2:30" hidden="1" x14ac:dyDescent="0.2">
      <c r="B100" s="84">
        <v>10060068</v>
      </c>
      <c r="C100" s="84" t="s">
        <v>2370</v>
      </c>
      <c r="D100" s="84" t="s">
        <v>1321</v>
      </c>
      <c r="E100" s="85">
        <v>110000</v>
      </c>
      <c r="F100" s="86">
        <v>29013.288206056845</v>
      </c>
      <c r="G100" s="84"/>
      <c r="H100" s="87"/>
      <c r="I100" s="87"/>
      <c r="J100" s="88">
        <v>80986.711793943163</v>
      </c>
      <c r="K100" s="86">
        <v>14013.288206056845</v>
      </c>
      <c r="L100" s="89">
        <v>15000</v>
      </c>
      <c r="N100" s="91">
        <v>0</v>
      </c>
      <c r="O100" s="91">
        <v>0</v>
      </c>
      <c r="P100" s="91">
        <v>0</v>
      </c>
      <c r="Q100" s="91"/>
      <c r="R100" s="91"/>
      <c r="S100" s="91"/>
      <c r="T100" s="91"/>
      <c r="U100" s="91"/>
      <c r="V100" s="91">
        <v>0</v>
      </c>
      <c r="W100" s="91">
        <v>0</v>
      </c>
      <c r="X100" s="91"/>
      <c r="Y100" s="91"/>
      <c r="Z100" s="91"/>
      <c r="AA100" s="63">
        <f t="shared" si="3"/>
        <v>15000</v>
      </c>
      <c r="AC100">
        <v>20000</v>
      </c>
      <c r="AD100">
        <f t="shared" si="4"/>
        <v>5000</v>
      </c>
    </row>
    <row r="101" spans="2:30" hidden="1" x14ac:dyDescent="0.2">
      <c r="B101" s="77">
        <v>10120003</v>
      </c>
      <c r="C101" s="77" t="s">
        <v>145</v>
      </c>
      <c r="D101" s="77" t="s">
        <v>177</v>
      </c>
      <c r="E101" s="78">
        <v>110000</v>
      </c>
      <c r="F101" s="79">
        <v>52196.709600000002</v>
      </c>
      <c r="G101" s="77"/>
      <c r="H101" s="80"/>
      <c r="I101" s="80"/>
      <c r="J101" s="81">
        <v>57803.290399999998</v>
      </c>
      <c r="K101" s="79">
        <v>40565.709600000002</v>
      </c>
      <c r="L101" s="82">
        <v>0</v>
      </c>
      <c r="N101" s="91">
        <v>0</v>
      </c>
      <c r="O101" s="91">
        <v>0</v>
      </c>
      <c r="P101" s="91">
        <v>0</v>
      </c>
      <c r="Q101" s="91"/>
      <c r="R101" s="91"/>
      <c r="S101" s="91"/>
      <c r="T101" s="91"/>
      <c r="U101" s="91"/>
      <c r="V101" s="91">
        <v>0</v>
      </c>
      <c r="W101" s="91">
        <v>0</v>
      </c>
      <c r="X101" s="91"/>
      <c r="Y101" s="91"/>
      <c r="Z101" s="91"/>
      <c r="AA101" s="63">
        <f t="shared" si="3"/>
        <v>0</v>
      </c>
      <c r="AC101">
        <v>20000</v>
      </c>
      <c r="AD101">
        <f t="shared" si="4"/>
        <v>20000</v>
      </c>
    </row>
    <row r="102" spans="2:30" hidden="1" x14ac:dyDescent="0.2">
      <c r="B102" s="84">
        <v>10140011</v>
      </c>
      <c r="C102" s="84" t="s">
        <v>160</v>
      </c>
      <c r="D102" s="84" t="s">
        <v>85</v>
      </c>
      <c r="E102" s="85">
        <v>110000</v>
      </c>
      <c r="F102" s="86">
        <v>55615.820606054403</v>
      </c>
      <c r="G102" s="84"/>
      <c r="H102" s="87"/>
      <c r="I102" s="87"/>
      <c r="J102" s="88">
        <v>54384.179393945597</v>
      </c>
      <c r="K102" s="86">
        <v>45615.820606054403</v>
      </c>
      <c r="L102" s="89">
        <v>10000</v>
      </c>
      <c r="N102" s="91">
        <v>0</v>
      </c>
      <c r="O102" s="91">
        <v>0</v>
      </c>
      <c r="P102" s="91">
        <v>0</v>
      </c>
      <c r="Q102" s="91"/>
      <c r="R102" s="91"/>
      <c r="S102" s="91"/>
      <c r="T102" s="91"/>
      <c r="U102" s="91"/>
      <c r="V102" s="91">
        <v>0</v>
      </c>
      <c r="W102" s="91">
        <v>0</v>
      </c>
      <c r="X102" s="91"/>
      <c r="Y102" s="91"/>
      <c r="Z102" s="91"/>
      <c r="AA102" s="63">
        <f t="shared" si="3"/>
        <v>10000</v>
      </c>
      <c r="AC102">
        <v>20000</v>
      </c>
      <c r="AD102">
        <f t="shared" si="4"/>
        <v>10000</v>
      </c>
    </row>
    <row r="103" spans="2:30" hidden="1" x14ac:dyDescent="0.2">
      <c r="B103" s="77">
        <v>10120046</v>
      </c>
      <c r="C103" s="77" t="s">
        <v>164</v>
      </c>
      <c r="D103" s="77" t="s">
        <v>177</v>
      </c>
      <c r="E103" s="78">
        <v>110000</v>
      </c>
      <c r="F103" s="79">
        <v>90066.015340942977</v>
      </c>
      <c r="G103" s="77"/>
      <c r="H103" s="80"/>
      <c r="I103" s="80"/>
      <c r="J103" s="81">
        <v>19933.984659057023</v>
      </c>
      <c r="K103" s="79">
        <v>80066.015340942977</v>
      </c>
      <c r="L103" s="82">
        <v>10000</v>
      </c>
      <c r="N103" s="91">
        <v>0</v>
      </c>
      <c r="O103" s="91">
        <v>0</v>
      </c>
      <c r="P103" s="91">
        <v>0</v>
      </c>
      <c r="Q103" s="91"/>
      <c r="R103" s="91"/>
      <c r="S103" s="91"/>
      <c r="T103" s="91"/>
      <c r="U103" s="91"/>
      <c r="V103" s="91">
        <v>0</v>
      </c>
      <c r="W103" s="91">
        <v>0</v>
      </c>
      <c r="X103" s="91"/>
      <c r="Y103" s="91"/>
      <c r="Z103" s="91"/>
      <c r="AA103" s="63">
        <f t="shared" si="3"/>
        <v>10000</v>
      </c>
      <c r="AC103">
        <v>20000</v>
      </c>
      <c r="AD103">
        <f t="shared" si="4"/>
        <v>10000</v>
      </c>
    </row>
    <row r="104" spans="2:30" hidden="1" x14ac:dyDescent="0.2">
      <c r="B104" s="84">
        <v>10120016</v>
      </c>
      <c r="C104" s="84" t="s">
        <v>176</v>
      </c>
      <c r="D104" s="84" t="s">
        <v>177</v>
      </c>
      <c r="E104" s="85">
        <v>110000</v>
      </c>
      <c r="F104" s="86">
        <v>68979.548639349756</v>
      </c>
      <c r="G104" s="84"/>
      <c r="H104" s="87"/>
      <c r="I104" s="87"/>
      <c r="J104" s="88">
        <v>41020.451360650244</v>
      </c>
      <c r="K104" s="86">
        <v>43979.548639349763</v>
      </c>
      <c r="L104" s="89"/>
      <c r="N104" s="91">
        <v>0</v>
      </c>
      <c r="O104" s="91">
        <v>0</v>
      </c>
      <c r="P104" s="91">
        <v>0</v>
      </c>
      <c r="Q104" s="91"/>
      <c r="R104" s="91"/>
      <c r="S104" s="91"/>
      <c r="T104" s="91"/>
      <c r="U104" s="91"/>
      <c r="V104" s="91">
        <v>0</v>
      </c>
      <c r="W104" s="91">
        <v>0</v>
      </c>
      <c r="X104" s="91"/>
      <c r="Y104" s="91"/>
      <c r="Z104" s="91"/>
      <c r="AA104" s="63">
        <f t="shared" si="3"/>
        <v>0</v>
      </c>
      <c r="AC104">
        <v>20000</v>
      </c>
      <c r="AD104">
        <f t="shared" si="4"/>
        <v>20000</v>
      </c>
    </row>
    <row r="105" spans="2:30" hidden="1" x14ac:dyDescent="0.2">
      <c r="B105" s="77">
        <v>10120019</v>
      </c>
      <c r="C105" s="77" t="s">
        <v>200</v>
      </c>
      <c r="D105" s="77" t="s">
        <v>177</v>
      </c>
      <c r="E105" s="78">
        <v>110000</v>
      </c>
      <c r="F105" s="79">
        <v>74720</v>
      </c>
      <c r="G105" s="77"/>
      <c r="H105" s="80"/>
      <c r="I105" s="80"/>
      <c r="J105" s="81">
        <v>35280</v>
      </c>
      <c r="K105" s="79">
        <v>49720</v>
      </c>
      <c r="L105" s="82"/>
      <c r="N105" s="91">
        <v>0</v>
      </c>
      <c r="O105" s="91">
        <v>0</v>
      </c>
      <c r="P105" s="91">
        <v>0</v>
      </c>
      <c r="Q105" s="91"/>
      <c r="R105" s="91"/>
      <c r="S105" s="91"/>
      <c r="T105" s="91"/>
      <c r="U105" s="91"/>
      <c r="V105" s="91">
        <v>0</v>
      </c>
      <c r="W105" s="91">
        <v>0</v>
      </c>
      <c r="X105" s="91"/>
      <c r="Y105" s="91"/>
      <c r="Z105" s="91"/>
      <c r="AA105" s="63">
        <f t="shared" si="3"/>
        <v>0</v>
      </c>
      <c r="AC105">
        <v>20000</v>
      </c>
      <c r="AD105">
        <f t="shared" si="4"/>
        <v>20000</v>
      </c>
    </row>
    <row r="106" spans="2:30" hidden="1" x14ac:dyDescent="0.2">
      <c r="B106" s="84">
        <v>10140100</v>
      </c>
      <c r="C106" s="84" t="s">
        <v>219</v>
      </c>
      <c r="D106" s="84" t="s">
        <v>85</v>
      </c>
      <c r="E106" s="85">
        <v>110000</v>
      </c>
      <c r="F106" s="86">
        <v>30259</v>
      </c>
      <c r="G106" s="84"/>
      <c r="H106" s="87"/>
      <c r="I106" s="87"/>
      <c r="J106" s="88">
        <v>79741</v>
      </c>
      <c r="K106" s="86">
        <v>20259</v>
      </c>
      <c r="L106" s="89">
        <v>10000</v>
      </c>
      <c r="N106" s="91">
        <v>0</v>
      </c>
      <c r="O106" s="91">
        <v>0</v>
      </c>
      <c r="P106" s="91">
        <v>0</v>
      </c>
      <c r="Q106" s="91"/>
      <c r="R106" s="91"/>
      <c r="S106" s="91"/>
      <c r="T106" s="91"/>
      <c r="U106" s="91"/>
      <c r="V106" s="91">
        <v>0</v>
      </c>
      <c r="W106" s="91">
        <v>0</v>
      </c>
      <c r="X106" s="91"/>
      <c r="Y106" s="91"/>
      <c r="Z106" s="91"/>
      <c r="AA106" s="63">
        <f t="shared" si="3"/>
        <v>10000</v>
      </c>
      <c r="AC106">
        <v>20000</v>
      </c>
      <c r="AD106">
        <f t="shared" si="4"/>
        <v>10000</v>
      </c>
    </row>
    <row r="107" spans="2:30" hidden="1" x14ac:dyDescent="0.2">
      <c r="B107" s="77">
        <v>10120071</v>
      </c>
      <c r="C107" s="77" t="s">
        <v>225</v>
      </c>
      <c r="D107" s="77" t="s">
        <v>101</v>
      </c>
      <c r="E107" s="78">
        <v>110000</v>
      </c>
      <c r="F107" s="79">
        <v>21019</v>
      </c>
      <c r="G107" s="77"/>
      <c r="H107" s="80"/>
      <c r="I107" s="80"/>
      <c r="J107" s="81">
        <v>88981</v>
      </c>
      <c r="K107" s="79">
        <v>21019</v>
      </c>
      <c r="L107" s="82"/>
      <c r="N107" s="91">
        <v>0</v>
      </c>
      <c r="O107" s="91">
        <v>0</v>
      </c>
      <c r="P107" s="91">
        <v>0</v>
      </c>
      <c r="Q107" s="91"/>
      <c r="R107" s="91"/>
      <c r="S107" s="91"/>
      <c r="T107" s="91"/>
      <c r="U107" s="91"/>
      <c r="V107" s="91">
        <v>0</v>
      </c>
      <c r="W107" s="91">
        <v>0</v>
      </c>
      <c r="X107" s="91"/>
      <c r="Y107" s="91"/>
      <c r="Z107" s="91"/>
      <c r="AA107" s="63">
        <f t="shared" si="3"/>
        <v>0</v>
      </c>
      <c r="AC107">
        <v>20000</v>
      </c>
      <c r="AD107">
        <f t="shared" si="4"/>
        <v>20000</v>
      </c>
    </row>
    <row r="108" spans="2:30" hidden="1" x14ac:dyDescent="0.2">
      <c r="B108" s="84">
        <v>10120072</v>
      </c>
      <c r="C108" s="84" t="s">
        <v>227</v>
      </c>
      <c r="D108" s="84" t="s">
        <v>101</v>
      </c>
      <c r="E108" s="85">
        <v>110000</v>
      </c>
      <c r="F108" s="86">
        <v>25995</v>
      </c>
      <c r="G108" s="84"/>
      <c r="H108" s="87"/>
      <c r="I108" s="87"/>
      <c r="J108" s="88">
        <v>84005</v>
      </c>
      <c r="K108" s="86">
        <v>25995</v>
      </c>
      <c r="L108" s="89"/>
      <c r="N108" s="91">
        <v>0</v>
      </c>
      <c r="O108" s="91">
        <v>0</v>
      </c>
      <c r="P108" s="91">
        <v>0</v>
      </c>
      <c r="Q108" s="91"/>
      <c r="R108" s="91"/>
      <c r="S108" s="91"/>
      <c r="T108" s="91"/>
      <c r="U108" s="91"/>
      <c r="V108" s="91">
        <v>0</v>
      </c>
      <c r="W108" s="91">
        <v>0</v>
      </c>
      <c r="X108" s="91"/>
      <c r="Y108" s="91"/>
      <c r="Z108" s="91"/>
      <c r="AA108" s="63">
        <f t="shared" si="3"/>
        <v>0</v>
      </c>
      <c r="AC108">
        <v>20000</v>
      </c>
      <c r="AD108">
        <f t="shared" si="4"/>
        <v>20000</v>
      </c>
    </row>
    <row r="109" spans="2:30" hidden="1" x14ac:dyDescent="0.2">
      <c r="B109" s="77">
        <v>10110078</v>
      </c>
      <c r="C109" s="77" t="s">
        <v>231</v>
      </c>
      <c r="D109" s="77" t="s">
        <v>217</v>
      </c>
      <c r="E109" s="78">
        <v>110000</v>
      </c>
      <c r="F109" s="79">
        <v>28064.832728798719</v>
      </c>
      <c r="G109" s="77"/>
      <c r="H109" s="80"/>
      <c r="I109" s="80"/>
      <c r="J109" s="81">
        <v>81935.167271201281</v>
      </c>
      <c r="K109" s="79">
        <v>28064.832728798719</v>
      </c>
      <c r="L109" s="82"/>
      <c r="N109" s="91">
        <v>0</v>
      </c>
      <c r="O109" s="91">
        <v>0</v>
      </c>
      <c r="P109" s="91">
        <v>0</v>
      </c>
      <c r="Q109" s="91"/>
      <c r="R109" s="91"/>
      <c r="S109" s="91"/>
      <c r="T109" s="91"/>
      <c r="U109" s="91"/>
      <c r="V109" s="91">
        <v>0</v>
      </c>
      <c r="W109" s="91">
        <v>0</v>
      </c>
      <c r="X109" s="91"/>
      <c r="Y109" s="91"/>
      <c r="Z109" s="91"/>
      <c r="AA109" s="63">
        <f t="shared" si="3"/>
        <v>0</v>
      </c>
      <c r="AC109">
        <v>20000</v>
      </c>
      <c r="AD109">
        <f t="shared" si="4"/>
        <v>20000</v>
      </c>
    </row>
    <row r="110" spans="2:30" hidden="1" x14ac:dyDescent="0.2">
      <c r="B110" s="84">
        <v>10110079</v>
      </c>
      <c r="C110" s="84" t="s">
        <v>233</v>
      </c>
      <c r="D110" s="84" t="s">
        <v>217</v>
      </c>
      <c r="E110" s="85">
        <v>110000</v>
      </c>
      <c r="F110" s="86">
        <v>32707.422129921652</v>
      </c>
      <c r="G110" s="84"/>
      <c r="H110" s="87"/>
      <c r="I110" s="87"/>
      <c r="J110" s="88">
        <v>77292.577870078356</v>
      </c>
      <c r="K110" s="86">
        <v>32707.422129921652</v>
      </c>
      <c r="L110" s="89"/>
      <c r="N110" s="91">
        <v>0</v>
      </c>
      <c r="O110" s="91">
        <v>0</v>
      </c>
      <c r="P110" s="91">
        <v>0</v>
      </c>
      <c r="Q110" s="91"/>
      <c r="R110" s="91"/>
      <c r="S110" s="91"/>
      <c r="T110" s="91"/>
      <c r="U110" s="91"/>
      <c r="V110" s="91">
        <v>0</v>
      </c>
      <c r="W110" s="91">
        <v>0</v>
      </c>
      <c r="X110" s="91"/>
      <c r="Y110" s="91"/>
      <c r="Z110" s="91"/>
      <c r="AA110" s="63">
        <f t="shared" si="3"/>
        <v>0</v>
      </c>
      <c r="AC110">
        <v>20000</v>
      </c>
      <c r="AD110">
        <f t="shared" si="4"/>
        <v>20000</v>
      </c>
    </row>
    <row r="111" spans="2:30" hidden="1" x14ac:dyDescent="0.2">
      <c r="B111" s="77">
        <v>0</v>
      </c>
      <c r="C111" s="77" t="s">
        <v>300</v>
      </c>
      <c r="D111" s="77" t="s">
        <v>177</v>
      </c>
      <c r="E111" s="78">
        <v>64000</v>
      </c>
      <c r="F111" s="79">
        <v>9852</v>
      </c>
      <c r="G111" s="77"/>
      <c r="H111" s="80"/>
      <c r="I111" s="80"/>
      <c r="J111" s="81">
        <v>54148</v>
      </c>
      <c r="K111" s="79">
        <v>4852</v>
      </c>
      <c r="L111" s="82">
        <v>5000</v>
      </c>
      <c r="N111" s="91">
        <v>0</v>
      </c>
      <c r="O111" s="91">
        <v>0</v>
      </c>
      <c r="P111" s="91">
        <v>0</v>
      </c>
      <c r="Q111" s="91"/>
      <c r="R111" s="91"/>
      <c r="S111" s="91"/>
      <c r="T111" s="91"/>
      <c r="U111" s="91"/>
      <c r="V111" s="91">
        <v>0</v>
      </c>
      <c r="W111" s="91">
        <v>0</v>
      </c>
      <c r="X111" s="91"/>
      <c r="Y111" s="91"/>
      <c r="Z111" s="91"/>
      <c r="AA111" s="63">
        <f t="shared" si="3"/>
        <v>5000</v>
      </c>
      <c r="AC111">
        <v>20000</v>
      </c>
      <c r="AD111">
        <f t="shared" si="4"/>
        <v>15000</v>
      </c>
    </row>
    <row r="112" spans="2:30" hidden="1" x14ac:dyDescent="0.2">
      <c r="B112" s="84">
        <v>10110074</v>
      </c>
      <c r="C112" s="84" t="s">
        <v>315</v>
      </c>
      <c r="D112" s="84" t="s">
        <v>217</v>
      </c>
      <c r="E112" s="85">
        <v>64000</v>
      </c>
      <c r="F112" s="86">
        <v>31401.260821327403</v>
      </c>
      <c r="G112" s="84"/>
      <c r="H112" s="87"/>
      <c r="I112" s="87"/>
      <c r="J112" s="88">
        <v>32598.739178672597</v>
      </c>
      <c r="K112" s="86">
        <v>21401.260821327403</v>
      </c>
      <c r="L112" s="89">
        <v>10000</v>
      </c>
      <c r="N112" s="91">
        <v>0</v>
      </c>
      <c r="O112" s="91">
        <v>0</v>
      </c>
      <c r="P112" s="91">
        <v>0</v>
      </c>
      <c r="Q112" s="91"/>
      <c r="R112" s="91"/>
      <c r="S112" s="91"/>
      <c r="T112" s="91"/>
      <c r="U112" s="91"/>
      <c r="V112" s="91">
        <v>0</v>
      </c>
      <c r="W112" s="91">
        <v>0</v>
      </c>
      <c r="X112" s="91"/>
      <c r="Y112" s="91"/>
      <c r="Z112" s="91"/>
      <c r="AA112" s="63">
        <f t="shared" si="3"/>
        <v>10000</v>
      </c>
      <c r="AC112">
        <v>20000</v>
      </c>
      <c r="AD112">
        <f t="shared" si="4"/>
        <v>10000</v>
      </c>
    </row>
    <row r="113" spans="2:30" hidden="1" x14ac:dyDescent="0.2">
      <c r="B113" s="77">
        <v>0</v>
      </c>
      <c r="C113" s="77" t="s">
        <v>318</v>
      </c>
      <c r="D113" s="77" t="s">
        <v>297</v>
      </c>
      <c r="E113" s="78">
        <v>64000</v>
      </c>
      <c r="F113" s="79">
        <v>10000</v>
      </c>
      <c r="G113" s="77"/>
      <c r="H113" s="80"/>
      <c r="I113" s="80"/>
      <c r="J113" s="81">
        <v>54000</v>
      </c>
      <c r="K113" s="79">
        <v>0</v>
      </c>
      <c r="L113" s="82">
        <v>10000</v>
      </c>
      <c r="N113" s="91">
        <v>0</v>
      </c>
      <c r="O113" s="91">
        <v>0</v>
      </c>
      <c r="P113" s="91">
        <v>0</v>
      </c>
      <c r="Q113" s="91"/>
      <c r="R113" s="91"/>
      <c r="S113" s="91"/>
      <c r="T113" s="91"/>
      <c r="U113" s="91"/>
      <c r="V113" s="91">
        <v>0</v>
      </c>
      <c r="W113" s="91">
        <v>0</v>
      </c>
      <c r="X113" s="91"/>
      <c r="Y113" s="91"/>
      <c r="Z113" s="91"/>
      <c r="AA113" s="63">
        <f t="shared" si="3"/>
        <v>10000</v>
      </c>
      <c r="AC113">
        <v>20000</v>
      </c>
      <c r="AD113">
        <f t="shared" si="4"/>
        <v>10000</v>
      </c>
    </row>
    <row r="114" spans="2:30" hidden="1" x14ac:dyDescent="0.2">
      <c r="B114" s="84">
        <v>0</v>
      </c>
      <c r="C114" s="84" t="s">
        <v>333</v>
      </c>
      <c r="D114" s="84" t="s">
        <v>177</v>
      </c>
      <c r="E114" s="85">
        <v>110000</v>
      </c>
      <c r="F114" s="86">
        <v>25000</v>
      </c>
      <c r="G114" s="84"/>
      <c r="H114" s="87"/>
      <c r="I114" s="87"/>
      <c r="J114" s="88">
        <v>85000</v>
      </c>
      <c r="K114" s="86">
        <v>0</v>
      </c>
      <c r="L114" s="89">
        <v>0</v>
      </c>
      <c r="N114" s="91">
        <v>0</v>
      </c>
      <c r="O114" s="91">
        <v>0</v>
      </c>
      <c r="P114" s="91">
        <v>0</v>
      </c>
      <c r="Q114" s="91"/>
      <c r="R114" s="91"/>
      <c r="S114" s="91"/>
      <c r="T114" s="91"/>
      <c r="U114" s="91"/>
      <c r="V114" s="91">
        <v>0</v>
      </c>
      <c r="W114" s="91">
        <v>0</v>
      </c>
      <c r="X114" s="91"/>
      <c r="Y114" s="91"/>
      <c r="Z114" s="91"/>
      <c r="AA114" s="63">
        <f t="shared" si="3"/>
        <v>0</v>
      </c>
      <c r="AC114">
        <v>20000</v>
      </c>
      <c r="AD114">
        <f t="shared" si="4"/>
        <v>20000</v>
      </c>
    </row>
    <row r="115" spans="2:30" hidden="1" x14ac:dyDescent="0.2">
      <c r="B115" s="77">
        <v>10130044</v>
      </c>
      <c r="C115" s="77" t="s">
        <v>1499</v>
      </c>
      <c r="D115" s="77" t="s">
        <v>1630</v>
      </c>
      <c r="E115" s="78">
        <v>110000</v>
      </c>
      <c r="F115" s="79">
        <v>110000</v>
      </c>
      <c r="G115" s="77"/>
      <c r="H115" s="80"/>
      <c r="I115" s="80"/>
      <c r="J115" s="81">
        <v>0</v>
      </c>
      <c r="K115" s="79">
        <v>81303</v>
      </c>
      <c r="L115" s="82">
        <v>0</v>
      </c>
      <c r="N115" s="91">
        <v>0</v>
      </c>
      <c r="O115" s="91">
        <v>0</v>
      </c>
      <c r="P115" s="91">
        <v>0</v>
      </c>
      <c r="Q115" s="91"/>
      <c r="R115" s="91"/>
      <c r="S115" s="91"/>
      <c r="T115" s="91"/>
      <c r="U115" s="91"/>
      <c r="V115" s="91">
        <v>0</v>
      </c>
      <c r="W115" s="91">
        <v>0</v>
      </c>
      <c r="X115" s="91"/>
      <c r="Y115" s="91"/>
      <c r="Z115" s="91"/>
      <c r="AA115" s="63">
        <f t="shared" si="3"/>
        <v>0</v>
      </c>
      <c r="AC115">
        <v>20000</v>
      </c>
      <c r="AD115">
        <f t="shared" si="4"/>
        <v>20000</v>
      </c>
    </row>
    <row r="116" spans="2:30" hidden="1" x14ac:dyDescent="0.2">
      <c r="B116" s="84">
        <v>10010076</v>
      </c>
      <c r="C116" s="84" t="s">
        <v>2640</v>
      </c>
      <c r="D116" s="84" t="s">
        <v>203</v>
      </c>
      <c r="E116" s="85">
        <v>110000</v>
      </c>
      <c r="F116" s="86">
        <v>39938.031323655312</v>
      </c>
      <c r="G116" s="84"/>
      <c r="H116" s="87"/>
      <c r="I116" s="87"/>
      <c r="J116" s="88">
        <v>70061.968676344695</v>
      </c>
      <c r="K116" s="86">
        <v>29938.031323655312</v>
      </c>
      <c r="L116" s="89">
        <v>10000</v>
      </c>
      <c r="N116" s="91">
        <v>0</v>
      </c>
      <c r="O116" s="91">
        <v>0</v>
      </c>
      <c r="P116" s="91">
        <v>0</v>
      </c>
      <c r="Q116" s="91"/>
      <c r="R116" s="91"/>
      <c r="S116" s="91"/>
      <c r="T116" s="91"/>
      <c r="U116" s="91"/>
      <c r="V116" s="91">
        <v>0</v>
      </c>
      <c r="W116" s="91">
        <v>0</v>
      </c>
      <c r="X116" s="91"/>
      <c r="Y116" s="91"/>
      <c r="Z116" s="91"/>
      <c r="AA116" s="63">
        <f t="shared" si="3"/>
        <v>10000</v>
      </c>
      <c r="AC116">
        <v>20000</v>
      </c>
      <c r="AD116">
        <f t="shared" si="4"/>
        <v>10000</v>
      </c>
    </row>
    <row r="117" spans="2:30" hidden="1" x14ac:dyDescent="0.2">
      <c r="B117" s="77">
        <v>10120029</v>
      </c>
      <c r="C117" s="77" t="s">
        <v>357</v>
      </c>
      <c r="D117" s="77" t="s">
        <v>177</v>
      </c>
      <c r="E117" s="78">
        <v>110000</v>
      </c>
      <c r="F117" s="79">
        <v>98039.484533465715</v>
      </c>
      <c r="G117" s="77"/>
      <c r="H117" s="80"/>
      <c r="I117" s="80"/>
      <c r="J117" s="81">
        <v>11960.515466534285</v>
      </c>
      <c r="K117" s="79">
        <v>88039.484533465715</v>
      </c>
      <c r="L117" s="82">
        <v>10000</v>
      </c>
      <c r="N117" s="91">
        <v>0</v>
      </c>
      <c r="O117" s="91">
        <v>0</v>
      </c>
      <c r="P117" s="91">
        <v>0</v>
      </c>
      <c r="Q117" s="91"/>
      <c r="R117" s="91"/>
      <c r="S117" s="91"/>
      <c r="T117" s="91"/>
      <c r="U117" s="91"/>
      <c r="V117" s="91">
        <v>0</v>
      </c>
      <c r="W117" s="91">
        <v>0</v>
      </c>
      <c r="X117" s="91"/>
      <c r="Y117" s="91"/>
      <c r="Z117" s="91"/>
      <c r="AA117" s="63">
        <f t="shared" si="3"/>
        <v>10000</v>
      </c>
      <c r="AC117">
        <v>20000</v>
      </c>
      <c r="AD117">
        <f t="shared" si="4"/>
        <v>10000</v>
      </c>
    </row>
    <row r="118" spans="2:30" hidden="1" x14ac:dyDescent="0.2">
      <c r="B118" s="84">
        <v>10130001</v>
      </c>
      <c r="C118" s="84" t="s">
        <v>362</v>
      </c>
      <c r="D118" s="84" t="s">
        <v>1630</v>
      </c>
      <c r="E118" s="85">
        <v>110000</v>
      </c>
      <c r="F118" s="86">
        <v>83611.86045389717</v>
      </c>
      <c r="G118" s="84"/>
      <c r="H118" s="87"/>
      <c r="I118" s="87"/>
      <c r="J118" s="88">
        <v>26388.13954610283</v>
      </c>
      <c r="K118" s="86">
        <v>58611.86045389717</v>
      </c>
      <c r="L118" s="89">
        <v>0</v>
      </c>
      <c r="N118" s="91">
        <v>0</v>
      </c>
      <c r="O118" s="91">
        <v>0</v>
      </c>
      <c r="P118" s="91">
        <v>0</v>
      </c>
      <c r="Q118" s="91"/>
      <c r="R118" s="91"/>
      <c r="S118" s="91"/>
      <c r="T118" s="91"/>
      <c r="U118" s="91"/>
      <c r="V118" s="91">
        <v>0</v>
      </c>
      <c r="W118" s="91">
        <v>0</v>
      </c>
      <c r="X118" s="91"/>
      <c r="Y118" s="91"/>
      <c r="Z118" s="91"/>
      <c r="AA118" s="63">
        <f t="shared" si="3"/>
        <v>0</v>
      </c>
      <c r="AC118">
        <v>20000</v>
      </c>
      <c r="AD118">
        <f t="shared" si="4"/>
        <v>20000</v>
      </c>
    </row>
    <row r="119" spans="2:30" hidden="1" x14ac:dyDescent="0.2">
      <c r="B119" s="77">
        <v>10120031</v>
      </c>
      <c r="C119" s="77" t="s">
        <v>365</v>
      </c>
      <c r="D119" s="77" t="s">
        <v>177</v>
      </c>
      <c r="E119" s="78">
        <v>64000</v>
      </c>
      <c r="F119" s="79">
        <v>64000</v>
      </c>
      <c r="G119" s="77"/>
      <c r="H119" s="80"/>
      <c r="I119" s="80"/>
      <c r="J119" s="81">
        <v>0</v>
      </c>
      <c r="K119" s="79">
        <v>54000</v>
      </c>
      <c r="L119" s="82">
        <v>10000</v>
      </c>
      <c r="N119" s="91">
        <v>0</v>
      </c>
      <c r="O119" s="91">
        <v>0</v>
      </c>
      <c r="P119" s="91">
        <v>0</v>
      </c>
      <c r="Q119" s="91"/>
      <c r="R119" s="91"/>
      <c r="S119" s="91"/>
      <c r="T119" s="91"/>
      <c r="U119" s="91"/>
      <c r="V119" s="91">
        <v>0</v>
      </c>
      <c r="W119" s="91">
        <v>0</v>
      </c>
      <c r="X119" s="91"/>
      <c r="Y119" s="91"/>
      <c r="Z119" s="91"/>
      <c r="AA119" s="63">
        <f t="shared" si="3"/>
        <v>10000</v>
      </c>
      <c r="AC119">
        <v>20000</v>
      </c>
      <c r="AD119">
        <f t="shared" si="4"/>
        <v>10000</v>
      </c>
    </row>
    <row r="120" spans="2:30" hidden="1" x14ac:dyDescent="0.2">
      <c r="B120" s="84">
        <v>10130022</v>
      </c>
      <c r="C120" s="84" t="s">
        <v>370</v>
      </c>
      <c r="D120" s="84" t="s">
        <v>1630</v>
      </c>
      <c r="E120" s="85">
        <v>110000</v>
      </c>
      <c r="F120" s="86">
        <v>40525</v>
      </c>
      <c r="G120" s="84"/>
      <c r="H120" s="87"/>
      <c r="I120" s="87"/>
      <c r="J120" s="88">
        <v>69475</v>
      </c>
      <c r="K120" s="86">
        <v>30525</v>
      </c>
      <c r="L120" s="89">
        <v>10000</v>
      </c>
      <c r="N120" s="91">
        <v>0</v>
      </c>
      <c r="O120" s="91">
        <v>0</v>
      </c>
      <c r="P120" s="91">
        <v>0</v>
      </c>
      <c r="Q120" s="91"/>
      <c r="R120" s="91"/>
      <c r="S120" s="91"/>
      <c r="T120" s="91"/>
      <c r="U120" s="91"/>
      <c r="V120" s="91">
        <v>0</v>
      </c>
      <c r="W120" s="91">
        <v>0</v>
      </c>
      <c r="X120" s="91"/>
      <c r="Y120" s="91"/>
      <c r="Z120" s="91"/>
      <c r="AA120" s="63">
        <f t="shared" si="3"/>
        <v>10000</v>
      </c>
      <c r="AC120">
        <v>20000</v>
      </c>
      <c r="AD120">
        <f t="shared" si="4"/>
        <v>10000</v>
      </c>
    </row>
    <row r="121" spans="2:30" hidden="1" x14ac:dyDescent="0.2">
      <c r="B121" s="77">
        <v>10130025</v>
      </c>
      <c r="C121" s="77" t="s">
        <v>375</v>
      </c>
      <c r="D121" s="77" t="s">
        <v>1630</v>
      </c>
      <c r="E121" s="78">
        <v>64000</v>
      </c>
      <c r="F121" s="79">
        <v>55010.996688510975</v>
      </c>
      <c r="G121" s="77"/>
      <c r="H121" s="80"/>
      <c r="I121" s="80"/>
      <c r="J121" s="81">
        <v>8989.0033114890248</v>
      </c>
      <c r="K121" s="79">
        <v>45010.996688510975</v>
      </c>
      <c r="L121" s="82">
        <v>10000</v>
      </c>
      <c r="N121" s="91">
        <v>0</v>
      </c>
      <c r="O121" s="91">
        <v>0</v>
      </c>
      <c r="P121" s="91">
        <v>0</v>
      </c>
      <c r="Q121" s="91"/>
      <c r="R121" s="91"/>
      <c r="S121" s="91"/>
      <c r="T121" s="91"/>
      <c r="U121" s="91"/>
      <c r="V121" s="91">
        <v>0</v>
      </c>
      <c r="W121" s="91">
        <v>0</v>
      </c>
      <c r="X121" s="91"/>
      <c r="Y121" s="91"/>
      <c r="Z121" s="91"/>
      <c r="AA121" s="63">
        <f t="shared" si="3"/>
        <v>10000</v>
      </c>
      <c r="AC121">
        <v>20000</v>
      </c>
      <c r="AD121">
        <f t="shared" si="4"/>
        <v>10000</v>
      </c>
    </row>
    <row r="122" spans="2:30" hidden="1" x14ac:dyDescent="0.2">
      <c r="B122" s="84">
        <v>10120030</v>
      </c>
      <c r="C122" s="84" t="s">
        <v>382</v>
      </c>
      <c r="D122" s="84" t="s">
        <v>177</v>
      </c>
      <c r="E122" s="85">
        <v>110000</v>
      </c>
      <c r="F122" s="86">
        <v>61152.467621523334</v>
      </c>
      <c r="G122" s="84"/>
      <c r="H122" s="87"/>
      <c r="I122" s="87"/>
      <c r="J122" s="88">
        <v>48847.532378476666</v>
      </c>
      <c r="K122" s="86">
        <v>51152.467621523334</v>
      </c>
      <c r="L122" s="89">
        <v>10000</v>
      </c>
      <c r="N122" s="91">
        <v>0</v>
      </c>
      <c r="O122" s="91">
        <v>0</v>
      </c>
      <c r="P122" s="91">
        <v>0</v>
      </c>
      <c r="Q122" s="91"/>
      <c r="R122" s="91"/>
      <c r="S122" s="91"/>
      <c r="T122" s="91"/>
      <c r="U122" s="91"/>
      <c r="V122" s="91">
        <v>0</v>
      </c>
      <c r="W122" s="91">
        <v>0</v>
      </c>
      <c r="X122" s="91"/>
      <c r="Y122" s="91"/>
      <c r="Z122" s="91"/>
      <c r="AA122" s="63">
        <f t="shared" si="3"/>
        <v>10000</v>
      </c>
      <c r="AC122">
        <v>20000</v>
      </c>
      <c r="AD122">
        <f t="shared" si="4"/>
        <v>10000</v>
      </c>
    </row>
    <row r="123" spans="2:30" hidden="1" x14ac:dyDescent="0.2">
      <c r="B123" s="77">
        <v>10130024</v>
      </c>
      <c r="C123" s="77" t="s">
        <v>386</v>
      </c>
      <c r="D123" s="77" t="s">
        <v>1630</v>
      </c>
      <c r="E123" s="78">
        <v>64000</v>
      </c>
      <c r="F123" s="79">
        <v>42492.082599999994</v>
      </c>
      <c r="G123" s="77"/>
      <c r="H123" s="80"/>
      <c r="I123" s="80"/>
      <c r="J123" s="81">
        <v>21507.917400000006</v>
      </c>
      <c r="K123" s="79">
        <v>32492.082599999998</v>
      </c>
      <c r="L123" s="82">
        <v>10000</v>
      </c>
      <c r="N123" s="91">
        <v>0</v>
      </c>
      <c r="O123" s="91">
        <v>0</v>
      </c>
      <c r="P123" s="91">
        <v>0</v>
      </c>
      <c r="Q123" s="91"/>
      <c r="R123" s="91"/>
      <c r="S123" s="91"/>
      <c r="T123" s="91"/>
      <c r="U123" s="91"/>
      <c r="V123" s="91">
        <v>0</v>
      </c>
      <c r="W123" s="91">
        <v>0</v>
      </c>
      <c r="X123" s="91"/>
      <c r="Y123" s="91"/>
      <c r="Z123" s="91"/>
      <c r="AA123" s="63">
        <f t="shared" si="3"/>
        <v>10000</v>
      </c>
      <c r="AC123">
        <v>20000</v>
      </c>
      <c r="AD123">
        <f t="shared" si="4"/>
        <v>10000</v>
      </c>
    </row>
    <row r="124" spans="2:30" hidden="1" x14ac:dyDescent="0.2">
      <c r="B124" s="84">
        <v>10130023</v>
      </c>
      <c r="C124" s="84" t="s">
        <v>390</v>
      </c>
      <c r="D124" s="84" t="s">
        <v>1630</v>
      </c>
      <c r="E124" s="85">
        <v>64000</v>
      </c>
      <c r="F124" s="86">
        <v>64000</v>
      </c>
      <c r="G124" s="84"/>
      <c r="H124" s="87"/>
      <c r="I124" s="87"/>
      <c r="J124" s="88">
        <v>0</v>
      </c>
      <c r="K124" s="86">
        <v>59000</v>
      </c>
      <c r="L124" s="89">
        <v>5000</v>
      </c>
      <c r="N124" s="91">
        <v>0</v>
      </c>
      <c r="O124" s="91">
        <v>0</v>
      </c>
      <c r="P124" s="91">
        <v>0</v>
      </c>
      <c r="Q124" s="91"/>
      <c r="R124" s="91"/>
      <c r="S124" s="91"/>
      <c r="T124" s="91"/>
      <c r="U124" s="91"/>
      <c r="V124" s="91">
        <v>0</v>
      </c>
      <c r="W124" s="91">
        <v>0</v>
      </c>
      <c r="X124" s="91"/>
      <c r="Y124" s="91"/>
      <c r="Z124" s="91"/>
      <c r="AA124" s="63">
        <f t="shared" si="3"/>
        <v>5000</v>
      </c>
      <c r="AC124">
        <v>20000</v>
      </c>
      <c r="AD124">
        <f t="shared" si="4"/>
        <v>15000</v>
      </c>
    </row>
    <row r="125" spans="2:30" hidden="1" x14ac:dyDescent="0.2">
      <c r="B125" s="77">
        <v>0</v>
      </c>
      <c r="C125" s="77" t="s">
        <v>404</v>
      </c>
      <c r="D125" s="77" t="s">
        <v>217</v>
      </c>
      <c r="E125" s="78">
        <v>64000</v>
      </c>
      <c r="F125" s="79">
        <v>11118</v>
      </c>
      <c r="G125" s="77"/>
      <c r="H125" s="80"/>
      <c r="I125" s="80"/>
      <c r="J125" s="81">
        <v>52882</v>
      </c>
      <c r="K125" s="79">
        <v>1118</v>
      </c>
      <c r="L125" s="82">
        <v>10000</v>
      </c>
      <c r="N125" s="91">
        <v>0</v>
      </c>
      <c r="O125" s="91">
        <v>0</v>
      </c>
      <c r="P125" s="91">
        <v>0</v>
      </c>
      <c r="Q125" s="91"/>
      <c r="R125" s="91"/>
      <c r="S125" s="91"/>
      <c r="T125" s="91"/>
      <c r="U125" s="91"/>
      <c r="V125" s="91">
        <v>0</v>
      </c>
      <c r="W125" s="91">
        <v>0</v>
      </c>
      <c r="X125" s="91"/>
      <c r="Y125" s="91"/>
      <c r="Z125" s="91"/>
      <c r="AA125" s="63">
        <f t="shared" si="3"/>
        <v>10000</v>
      </c>
      <c r="AC125">
        <v>20000</v>
      </c>
      <c r="AD125">
        <f t="shared" si="4"/>
        <v>10000</v>
      </c>
    </row>
    <row r="126" spans="2:30" hidden="1" x14ac:dyDescent="0.2">
      <c r="B126" s="84">
        <v>10120082</v>
      </c>
      <c r="C126" s="84" t="s">
        <v>2519</v>
      </c>
      <c r="D126" s="84" t="s">
        <v>101</v>
      </c>
      <c r="E126" s="85">
        <v>110000</v>
      </c>
      <c r="F126" s="86">
        <v>32394.793073517827</v>
      </c>
      <c r="G126" s="84"/>
      <c r="H126" s="87"/>
      <c r="I126" s="87"/>
      <c r="J126" s="88">
        <v>77605.206926482177</v>
      </c>
      <c r="K126" s="86">
        <v>22394.793073517827</v>
      </c>
      <c r="L126" s="89">
        <v>10000</v>
      </c>
      <c r="N126" s="91">
        <v>0</v>
      </c>
      <c r="O126" s="91">
        <v>0</v>
      </c>
      <c r="P126" s="91">
        <v>0</v>
      </c>
      <c r="Q126" s="91"/>
      <c r="R126" s="91"/>
      <c r="S126" s="91"/>
      <c r="T126" s="91"/>
      <c r="U126" s="91"/>
      <c r="V126" s="91">
        <v>0</v>
      </c>
      <c r="W126" s="91">
        <v>0</v>
      </c>
      <c r="X126" s="91"/>
      <c r="Y126" s="91"/>
      <c r="Z126" s="91"/>
      <c r="AA126" s="63">
        <f t="shared" si="3"/>
        <v>10000</v>
      </c>
      <c r="AC126">
        <v>20000</v>
      </c>
      <c r="AD126">
        <f t="shared" si="4"/>
        <v>10000</v>
      </c>
    </row>
    <row r="127" spans="2:30" hidden="1" x14ac:dyDescent="0.2">
      <c r="B127" s="77">
        <v>10120084</v>
      </c>
      <c r="C127" s="77" t="s">
        <v>2522</v>
      </c>
      <c r="D127" s="77" t="s">
        <v>1630</v>
      </c>
      <c r="E127" s="78">
        <v>110000</v>
      </c>
      <c r="F127" s="79">
        <v>43955.765454453162</v>
      </c>
      <c r="G127" s="77"/>
      <c r="H127" s="80"/>
      <c r="I127" s="80"/>
      <c r="J127" s="81">
        <v>66044.234545546846</v>
      </c>
      <c r="K127" s="79">
        <v>33955.765454453162</v>
      </c>
      <c r="L127" s="82">
        <v>10000</v>
      </c>
      <c r="N127" s="91">
        <v>0</v>
      </c>
      <c r="O127" s="91">
        <v>0</v>
      </c>
      <c r="P127" s="91">
        <v>0</v>
      </c>
      <c r="Q127" s="91">
        <v>0</v>
      </c>
      <c r="R127" s="91">
        <v>0</v>
      </c>
      <c r="S127" s="91">
        <v>0</v>
      </c>
      <c r="T127" s="91">
        <v>0</v>
      </c>
      <c r="U127" s="91">
        <v>0</v>
      </c>
      <c r="V127" s="91">
        <v>0</v>
      </c>
      <c r="W127" s="91">
        <v>0</v>
      </c>
      <c r="X127" s="91"/>
      <c r="Y127" s="91"/>
      <c r="Z127" s="91"/>
      <c r="AA127" s="63">
        <f t="shared" si="3"/>
        <v>10000</v>
      </c>
      <c r="AC127">
        <v>20000</v>
      </c>
      <c r="AD127">
        <f t="shared" si="4"/>
        <v>10000</v>
      </c>
    </row>
    <row r="128" spans="2:30" hidden="1" x14ac:dyDescent="0.2">
      <c r="B128" s="84">
        <v>0</v>
      </c>
      <c r="C128" s="84" t="s">
        <v>411</v>
      </c>
      <c r="D128" s="84" t="s">
        <v>217</v>
      </c>
      <c r="E128" s="85">
        <v>64000</v>
      </c>
      <c r="F128" s="86">
        <v>13023</v>
      </c>
      <c r="G128" s="84"/>
      <c r="H128" s="87"/>
      <c r="I128" s="87"/>
      <c r="J128" s="88">
        <v>50977</v>
      </c>
      <c r="K128" s="86">
        <v>3023</v>
      </c>
      <c r="L128" s="89">
        <v>10000</v>
      </c>
      <c r="N128" s="91">
        <v>0</v>
      </c>
      <c r="O128" s="91">
        <v>0</v>
      </c>
      <c r="P128" s="91">
        <v>0</v>
      </c>
      <c r="Q128" s="91"/>
      <c r="R128" s="91"/>
      <c r="S128" s="91"/>
      <c r="T128" s="91"/>
      <c r="U128" s="91"/>
      <c r="V128" s="91">
        <v>0</v>
      </c>
      <c r="W128" s="91">
        <v>0</v>
      </c>
      <c r="X128" s="91"/>
      <c r="Y128" s="91"/>
      <c r="Z128" s="91"/>
      <c r="AA128" s="63">
        <f t="shared" si="3"/>
        <v>10000</v>
      </c>
      <c r="AC128">
        <v>20000</v>
      </c>
      <c r="AD128">
        <f t="shared" si="4"/>
        <v>10000</v>
      </c>
    </row>
    <row r="129" spans="2:30" hidden="1" x14ac:dyDescent="0.2">
      <c r="B129" s="77">
        <v>10110004</v>
      </c>
      <c r="C129" s="77" t="s">
        <v>459</v>
      </c>
      <c r="D129" s="77" t="s">
        <v>217</v>
      </c>
      <c r="E129" s="78">
        <v>110000</v>
      </c>
      <c r="F129" s="79">
        <v>87555.572207406731</v>
      </c>
      <c r="G129" s="77"/>
      <c r="H129" s="80"/>
      <c r="I129" s="80"/>
      <c r="J129" s="81">
        <v>22444.427792593269</v>
      </c>
      <c r="K129" s="79">
        <v>77555.572207406731</v>
      </c>
      <c r="L129" s="82">
        <v>10000</v>
      </c>
      <c r="N129" s="91">
        <v>0</v>
      </c>
      <c r="O129" s="91">
        <v>0</v>
      </c>
      <c r="P129" s="91">
        <v>0</v>
      </c>
      <c r="Q129" s="91"/>
      <c r="R129" s="91"/>
      <c r="S129" s="91"/>
      <c r="T129" s="91"/>
      <c r="U129" s="91"/>
      <c r="V129" s="91">
        <v>0</v>
      </c>
      <c r="W129" s="91">
        <v>0</v>
      </c>
      <c r="X129" s="91"/>
      <c r="Y129" s="91"/>
      <c r="Z129" s="91"/>
      <c r="AA129" s="63">
        <f t="shared" si="3"/>
        <v>10000</v>
      </c>
      <c r="AC129">
        <v>20000</v>
      </c>
      <c r="AD129">
        <f t="shared" si="4"/>
        <v>10000</v>
      </c>
    </row>
    <row r="130" spans="2:30" hidden="1" x14ac:dyDescent="0.2">
      <c r="B130" s="84">
        <v>10110035</v>
      </c>
      <c r="C130" s="84" t="s">
        <v>326</v>
      </c>
      <c r="D130" s="84" t="s">
        <v>217</v>
      </c>
      <c r="E130" s="85">
        <v>110000</v>
      </c>
      <c r="F130" s="86">
        <v>48193.087281816799</v>
      </c>
      <c r="G130" s="84"/>
      <c r="H130" s="87"/>
      <c r="I130" s="87"/>
      <c r="J130" s="88">
        <v>61806.912718183201</v>
      </c>
      <c r="K130" s="86">
        <v>38193.087281816799</v>
      </c>
      <c r="L130" s="89">
        <v>10000</v>
      </c>
      <c r="N130" s="91">
        <v>0</v>
      </c>
      <c r="O130" s="91">
        <v>0</v>
      </c>
      <c r="P130" s="91">
        <v>0</v>
      </c>
      <c r="Q130" s="91"/>
      <c r="R130" s="91"/>
      <c r="S130" s="91"/>
      <c r="T130" s="91"/>
      <c r="U130" s="91"/>
      <c r="V130" s="91">
        <v>0</v>
      </c>
      <c r="W130" s="91">
        <v>0</v>
      </c>
      <c r="X130" s="91"/>
      <c r="Y130" s="91"/>
      <c r="Z130" s="91"/>
      <c r="AA130" s="63">
        <f t="shared" si="3"/>
        <v>10000</v>
      </c>
      <c r="AC130">
        <v>20000</v>
      </c>
      <c r="AD130">
        <f t="shared" si="4"/>
        <v>10000</v>
      </c>
    </row>
    <row r="131" spans="2:30" hidden="1" x14ac:dyDescent="0.2">
      <c r="B131" s="77">
        <v>10450001</v>
      </c>
      <c r="C131" s="77" t="s">
        <v>479</v>
      </c>
      <c r="D131" s="77" t="s">
        <v>217</v>
      </c>
      <c r="E131" s="78">
        <v>110000</v>
      </c>
      <c r="F131" s="79">
        <v>48961.935967015685</v>
      </c>
      <c r="G131" s="77"/>
      <c r="H131" s="80"/>
      <c r="I131" s="80"/>
      <c r="J131" s="81">
        <v>61038.064032984315</v>
      </c>
      <c r="K131" s="79">
        <v>38961.935967015685</v>
      </c>
      <c r="L131" s="82">
        <v>10000</v>
      </c>
      <c r="N131" s="91">
        <v>0</v>
      </c>
      <c r="O131" s="91">
        <v>0</v>
      </c>
      <c r="P131" s="91">
        <v>0</v>
      </c>
      <c r="Q131" s="91"/>
      <c r="R131" s="91"/>
      <c r="S131" s="91"/>
      <c r="T131" s="91"/>
      <c r="U131" s="91"/>
      <c r="V131" s="91">
        <v>0</v>
      </c>
      <c r="W131" s="91">
        <v>0</v>
      </c>
      <c r="X131" s="91"/>
      <c r="Y131" s="91"/>
      <c r="Z131" s="91"/>
      <c r="AA131" s="63">
        <f t="shared" si="3"/>
        <v>10000</v>
      </c>
      <c r="AC131">
        <v>20000</v>
      </c>
      <c r="AD131">
        <f t="shared" si="4"/>
        <v>10000</v>
      </c>
    </row>
    <row r="132" spans="2:30" hidden="1" x14ac:dyDescent="0.2">
      <c r="B132" s="84">
        <v>10020027</v>
      </c>
      <c r="C132" s="84" t="s">
        <v>483</v>
      </c>
      <c r="D132" s="84" t="s">
        <v>63</v>
      </c>
      <c r="E132" s="85">
        <v>110000</v>
      </c>
      <c r="F132" s="86">
        <v>58520.673600000002</v>
      </c>
      <c r="G132" s="84"/>
      <c r="H132" s="87"/>
      <c r="I132" s="87"/>
      <c r="J132" s="88">
        <v>51479.326399999998</v>
      </c>
      <c r="K132" s="86">
        <v>48520.673600000002</v>
      </c>
      <c r="L132" s="89">
        <v>10000</v>
      </c>
      <c r="N132" s="91">
        <v>0</v>
      </c>
      <c r="O132" s="91">
        <v>0</v>
      </c>
      <c r="P132" s="91">
        <v>0</v>
      </c>
      <c r="Q132" s="91"/>
      <c r="R132" s="91"/>
      <c r="S132" s="91"/>
      <c r="T132" s="91"/>
      <c r="U132" s="91"/>
      <c r="V132" s="91">
        <v>0</v>
      </c>
      <c r="W132" s="91">
        <v>0</v>
      </c>
      <c r="X132" s="91"/>
      <c r="Y132" s="91"/>
      <c r="Z132" s="91"/>
      <c r="AA132" s="63">
        <f t="shared" ref="AA132:AA195" si="5">SUM(L132:W132)</f>
        <v>10000</v>
      </c>
      <c r="AC132">
        <v>20000</v>
      </c>
      <c r="AD132">
        <f t="shared" si="4"/>
        <v>10000</v>
      </c>
    </row>
    <row r="133" spans="2:30" hidden="1" x14ac:dyDescent="0.2">
      <c r="B133" s="77">
        <v>10020026</v>
      </c>
      <c r="C133" s="77" t="s">
        <v>491</v>
      </c>
      <c r="D133" s="77" t="s">
        <v>63</v>
      </c>
      <c r="E133" s="78">
        <v>64000</v>
      </c>
      <c r="F133" s="79">
        <v>64500</v>
      </c>
      <c r="G133" s="77"/>
      <c r="H133" s="80"/>
      <c r="I133" s="80"/>
      <c r="J133" s="81">
        <v>-500</v>
      </c>
      <c r="K133" s="79">
        <v>54500</v>
      </c>
      <c r="L133" s="82">
        <v>10000</v>
      </c>
      <c r="N133" s="91">
        <v>0</v>
      </c>
      <c r="O133" s="91">
        <v>0</v>
      </c>
      <c r="P133" s="91">
        <v>0</v>
      </c>
      <c r="Q133" s="91"/>
      <c r="R133" s="91"/>
      <c r="S133" s="91"/>
      <c r="T133" s="91"/>
      <c r="U133" s="91"/>
      <c r="V133" s="91">
        <v>0</v>
      </c>
      <c r="W133" s="91">
        <v>0</v>
      </c>
      <c r="X133" s="91"/>
      <c r="Y133" s="91"/>
      <c r="Z133" s="91"/>
      <c r="AA133" s="63">
        <f t="shared" si="5"/>
        <v>10000</v>
      </c>
      <c r="AC133">
        <v>20000</v>
      </c>
      <c r="AD133">
        <f t="shared" si="4"/>
        <v>10000</v>
      </c>
    </row>
    <row r="134" spans="2:30" hidden="1" x14ac:dyDescent="0.2">
      <c r="B134" s="84">
        <v>10020029</v>
      </c>
      <c r="C134" s="84" t="s">
        <v>495</v>
      </c>
      <c r="D134" s="84" t="s">
        <v>63</v>
      </c>
      <c r="E134" s="85">
        <v>64000</v>
      </c>
      <c r="F134" s="86">
        <v>64000</v>
      </c>
      <c r="G134" s="84"/>
      <c r="H134" s="87"/>
      <c r="I134" s="87"/>
      <c r="J134" s="88">
        <v>0</v>
      </c>
      <c r="K134" s="86">
        <v>54000</v>
      </c>
      <c r="L134" s="89">
        <v>10000</v>
      </c>
      <c r="N134" s="91">
        <v>0</v>
      </c>
      <c r="O134" s="91">
        <v>0</v>
      </c>
      <c r="P134" s="91">
        <v>0</v>
      </c>
      <c r="Q134" s="91"/>
      <c r="R134" s="91"/>
      <c r="S134" s="91"/>
      <c r="T134" s="91"/>
      <c r="U134" s="91"/>
      <c r="V134" s="91">
        <v>0</v>
      </c>
      <c r="W134" s="91">
        <v>0</v>
      </c>
      <c r="X134" s="91"/>
      <c r="Y134" s="91"/>
      <c r="Z134" s="91"/>
      <c r="AA134" s="63">
        <f t="shared" si="5"/>
        <v>10000</v>
      </c>
      <c r="AC134">
        <v>20000</v>
      </c>
      <c r="AD134">
        <f t="shared" ref="AD134:AD197" si="6">AC134-AA134</f>
        <v>10000</v>
      </c>
    </row>
    <row r="135" spans="2:30" hidden="1" x14ac:dyDescent="0.2">
      <c r="B135" s="77">
        <v>10060025</v>
      </c>
      <c r="C135" s="77" t="s">
        <v>499</v>
      </c>
      <c r="D135" s="77" t="s">
        <v>1321</v>
      </c>
      <c r="E135" s="78">
        <v>64000</v>
      </c>
      <c r="F135" s="79">
        <v>66568</v>
      </c>
      <c r="G135" s="77"/>
      <c r="H135" s="80"/>
      <c r="I135" s="80"/>
      <c r="J135" s="81">
        <v>-2568</v>
      </c>
      <c r="K135" s="79">
        <v>56568</v>
      </c>
      <c r="L135" s="82">
        <v>10000</v>
      </c>
      <c r="N135" s="91">
        <v>0</v>
      </c>
      <c r="O135" s="91">
        <v>0</v>
      </c>
      <c r="P135" s="91">
        <v>0</v>
      </c>
      <c r="Q135" s="91"/>
      <c r="R135" s="91"/>
      <c r="S135" s="91"/>
      <c r="T135" s="91"/>
      <c r="U135" s="91"/>
      <c r="V135" s="91">
        <v>0</v>
      </c>
      <c r="W135" s="91">
        <v>0</v>
      </c>
      <c r="X135" s="91"/>
      <c r="Y135" s="91"/>
      <c r="Z135" s="91"/>
      <c r="AA135" s="63">
        <f t="shared" si="5"/>
        <v>10000</v>
      </c>
      <c r="AC135">
        <v>20000</v>
      </c>
      <c r="AD135">
        <f t="shared" si="6"/>
        <v>10000</v>
      </c>
    </row>
    <row r="136" spans="2:30" hidden="1" x14ac:dyDescent="0.2">
      <c r="B136" s="84">
        <v>10070008</v>
      </c>
      <c r="C136" s="84" t="s">
        <v>2642</v>
      </c>
      <c r="D136" s="84" t="s">
        <v>57</v>
      </c>
      <c r="E136" s="85">
        <v>110000</v>
      </c>
      <c r="F136" s="86">
        <v>59472.98698197247</v>
      </c>
      <c r="G136" s="84"/>
      <c r="H136" s="87"/>
      <c r="I136" s="87"/>
      <c r="J136" s="88">
        <v>50527.01301802753</v>
      </c>
      <c r="K136" s="86">
        <v>59472.98698197247</v>
      </c>
      <c r="L136" s="89"/>
      <c r="N136" s="91">
        <v>0</v>
      </c>
      <c r="O136" s="91">
        <v>0</v>
      </c>
      <c r="P136" s="91">
        <v>0</v>
      </c>
      <c r="Q136" s="91"/>
      <c r="R136" s="91"/>
      <c r="S136" s="91"/>
      <c r="T136" s="91"/>
      <c r="U136" s="91"/>
      <c r="V136" s="91">
        <v>0</v>
      </c>
      <c r="W136" s="91">
        <v>0</v>
      </c>
      <c r="X136" s="91"/>
      <c r="Y136" s="91"/>
      <c r="Z136" s="91"/>
      <c r="AA136" s="63">
        <f t="shared" si="5"/>
        <v>0</v>
      </c>
      <c r="AC136">
        <v>20000</v>
      </c>
      <c r="AD136">
        <f t="shared" si="6"/>
        <v>20000</v>
      </c>
    </row>
    <row r="137" spans="2:30" hidden="1" x14ac:dyDescent="0.2">
      <c r="B137" s="77">
        <v>10140016</v>
      </c>
      <c r="C137" s="77" t="s">
        <v>549</v>
      </c>
      <c r="D137" s="77" t="s">
        <v>85</v>
      </c>
      <c r="E137" s="78">
        <v>110000</v>
      </c>
      <c r="F137" s="79">
        <v>51298.227800000001</v>
      </c>
      <c r="G137" s="77"/>
      <c r="H137" s="80"/>
      <c r="I137" s="80"/>
      <c r="J137" s="81">
        <v>58701.772199999999</v>
      </c>
      <c r="K137" s="79">
        <v>41298.227800000001</v>
      </c>
      <c r="L137" s="82">
        <v>10000</v>
      </c>
      <c r="N137" s="91">
        <v>0</v>
      </c>
      <c r="O137" s="91">
        <v>0</v>
      </c>
      <c r="P137" s="91">
        <v>0</v>
      </c>
      <c r="Q137" s="91"/>
      <c r="R137" s="91"/>
      <c r="S137" s="91"/>
      <c r="T137" s="91"/>
      <c r="U137" s="91"/>
      <c r="V137" s="91">
        <v>0</v>
      </c>
      <c r="W137" s="91">
        <v>0</v>
      </c>
      <c r="X137" s="91"/>
      <c r="Y137" s="91"/>
      <c r="Z137" s="91"/>
      <c r="AA137" s="63">
        <f t="shared" si="5"/>
        <v>10000</v>
      </c>
      <c r="AC137">
        <v>20000</v>
      </c>
      <c r="AD137">
        <f t="shared" si="6"/>
        <v>10000</v>
      </c>
    </row>
    <row r="138" spans="2:30" hidden="1" x14ac:dyDescent="0.2">
      <c r="B138" s="84">
        <v>10140097</v>
      </c>
      <c r="C138" s="84" t="s">
        <v>568</v>
      </c>
      <c r="D138" s="84" t="s">
        <v>85</v>
      </c>
      <c r="E138" s="85">
        <v>110000</v>
      </c>
      <c r="F138" s="86">
        <v>37917.762199999997</v>
      </c>
      <c r="G138" s="84"/>
      <c r="H138" s="87"/>
      <c r="I138" s="87"/>
      <c r="J138" s="88">
        <v>72082.237800000003</v>
      </c>
      <c r="K138" s="86">
        <v>27917.762199999997</v>
      </c>
      <c r="L138" s="89">
        <v>10000</v>
      </c>
      <c r="N138" s="91">
        <v>0</v>
      </c>
      <c r="O138" s="91">
        <v>0</v>
      </c>
      <c r="P138" s="91">
        <v>0</v>
      </c>
      <c r="Q138" s="91"/>
      <c r="R138" s="91"/>
      <c r="S138" s="91"/>
      <c r="T138" s="91"/>
      <c r="U138" s="91"/>
      <c r="V138" s="91">
        <v>0</v>
      </c>
      <c r="W138" s="91">
        <v>0</v>
      </c>
      <c r="X138" s="91"/>
      <c r="Y138" s="91"/>
      <c r="Z138" s="91"/>
      <c r="AA138" s="63">
        <f t="shared" si="5"/>
        <v>10000</v>
      </c>
      <c r="AC138">
        <v>20000</v>
      </c>
      <c r="AD138">
        <f t="shared" si="6"/>
        <v>10000</v>
      </c>
    </row>
    <row r="139" spans="2:30" hidden="1" x14ac:dyDescent="0.2">
      <c r="B139" s="77">
        <v>10120005</v>
      </c>
      <c r="C139" s="77" t="s">
        <v>593</v>
      </c>
      <c r="D139" s="77" t="s">
        <v>177</v>
      </c>
      <c r="E139" s="78">
        <v>110000</v>
      </c>
      <c r="F139" s="79">
        <v>79460.976497996802</v>
      </c>
      <c r="G139" s="77"/>
      <c r="H139" s="80"/>
      <c r="I139" s="80"/>
      <c r="J139" s="81">
        <v>30539.023502003198</v>
      </c>
      <c r="K139" s="79">
        <v>54460.976497996802</v>
      </c>
      <c r="L139" s="82">
        <v>0</v>
      </c>
      <c r="N139" s="91">
        <v>0</v>
      </c>
      <c r="O139" s="91">
        <v>0</v>
      </c>
      <c r="P139" s="91">
        <v>0</v>
      </c>
      <c r="Q139" s="91"/>
      <c r="R139" s="91"/>
      <c r="S139" s="91"/>
      <c r="T139" s="91"/>
      <c r="U139" s="91"/>
      <c r="V139" s="91">
        <v>0</v>
      </c>
      <c r="W139" s="91">
        <v>0</v>
      </c>
      <c r="X139" s="91"/>
      <c r="Y139" s="91"/>
      <c r="Z139" s="91"/>
      <c r="AA139" s="63">
        <f t="shared" si="5"/>
        <v>0</v>
      </c>
      <c r="AC139">
        <v>20000</v>
      </c>
      <c r="AD139">
        <f t="shared" si="6"/>
        <v>20000</v>
      </c>
    </row>
    <row r="140" spans="2:30" hidden="1" x14ac:dyDescent="0.2">
      <c r="B140" s="84">
        <v>10140034</v>
      </c>
      <c r="C140" s="84" t="s">
        <v>600</v>
      </c>
      <c r="D140" s="84" t="s">
        <v>85</v>
      </c>
      <c r="E140" s="85">
        <v>110000</v>
      </c>
      <c r="F140" s="86">
        <v>75482.336791268739</v>
      </c>
      <c r="G140" s="84"/>
      <c r="H140" s="87"/>
      <c r="I140" s="87"/>
      <c r="J140" s="88">
        <v>34517.663208731261</v>
      </c>
      <c r="K140" s="86">
        <v>65482.336791268739</v>
      </c>
      <c r="L140" s="89">
        <v>10000</v>
      </c>
      <c r="N140" s="91">
        <v>0</v>
      </c>
      <c r="O140" s="91">
        <v>0</v>
      </c>
      <c r="P140" s="91">
        <v>0</v>
      </c>
      <c r="Q140" s="91"/>
      <c r="R140" s="91"/>
      <c r="S140" s="91"/>
      <c r="T140" s="91"/>
      <c r="U140" s="91"/>
      <c r="V140" s="91">
        <v>0</v>
      </c>
      <c r="W140" s="91">
        <v>0</v>
      </c>
      <c r="X140" s="91"/>
      <c r="Y140" s="91"/>
      <c r="Z140" s="91"/>
      <c r="AA140" s="63">
        <f t="shared" si="5"/>
        <v>10000</v>
      </c>
      <c r="AC140">
        <v>20000</v>
      </c>
      <c r="AD140">
        <f t="shared" si="6"/>
        <v>10000</v>
      </c>
    </row>
    <row r="141" spans="2:30" hidden="1" x14ac:dyDescent="0.2">
      <c r="B141" s="77">
        <v>10030015</v>
      </c>
      <c r="C141" s="77" t="s">
        <v>604</v>
      </c>
      <c r="D141" s="77" t="s">
        <v>584</v>
      </c>
      <c r="E141" s="78">
        <v>110000</v>
      </c>
      <c r="F141" s="79">
        <v>48084.845638791303</v>
      </c>
      <c r="G141" s="77"/>
      <c r="H141" s="80"/>
      <c r="I141" s="80"/>
      <c r="J141" s="81">
        <v>61915.154361208697</v>
      </c>
      <c r="K141" s="79">
        <v>38084.845638791303</v>
      </c>
      <c r="L141" s="82">
        <v>10000</v>
      </c>
      <c r="N141" s="91">
        <v>0</v>
      </c>
      <c r="O141" s="91">
        <v>0</v>
      </c>
      <c r="P141" s="91">
        <v>0</v>
      </c>
      <c r="Q141" s="91"/>
      <c r="R141" s="91"/>
      <c r="S141" s="91"/>
      <c r="T141" s="91"/>
      <c r="U141" s="91"/>
      <c r="V141" s="91">
        <v>0</v>
      </c>
      <c r="W141" s="91">
        <v>0</v>
      </c>
      <c r="X141" s="91"/>
      <c r="Y141" s="91"/>
      <c r="Z141" s="91"/>
      <c r="AA141" s="63">
        <f t="shared" si="5"/>
        <v>10000</v>
      </c>
      <c r="AC141">
        <v>20000</v>
      </c>
      <c r="AD141">
        <f t="shared" si="6"/>
        <v>10000</v>
      </c>
    </row>
    <row r="142" spans="2:30" hidden="1" x14ac:dyDescent="0.2">
      <c r="B142" s="84">
        <v>10140107</v>
      </c>
      <c r="C142" s="84" t="s">
        <v>2337</v>
      </c>
      <c r="D142" s="84" t="s">
        <v>85</v>
      </c>
      <c r="E142" s="85">
        <v>110000</v>
      </c>
      <c r="F142" s="86">
        <v>41805.37863421411</v>
      </c>
      <c r="G142" s="84"/>
      <c r="H142" s="87"/>
      <c r="I142" s="87"/>
      <c r="J142" s="88">
        <v>68194.62136578589</v>
      </c>
      <c r="K142" s="86">
        <v>31805.378634214114</v>
      </c>
      <c r="L142" s="89">
        <v>10000</v>
      </c>
      <c r="N142" s="91">
        <v>0</v>
      </c>
      <c r="O142" s="91">
        <v>0</v>
      </c>
      <c r="P142" s="91">
        <v>0</v>
      </c>
      <c r="Q142" s="91"/>
      <c r="R142" s="91"/>
      <c r="S142" s="91"/>
      <c r="T142" s="91"/>
      <c r="U142" s="91"/>
      <c r="V142" s="91">
        <v>0</v>
      </c>
      <c r="W142" s="91">
        <v>0</v>
      </c>
      <c r="X142" s="91"/>
      <c r="Y142" s="91"/>
      <c r="Z142" s="91"/>
      <c r="AA142" s="63">
        <f t="shared" si="5"/>
        <v>10000</v>
      </c>
      <c r="AC142">
        <v>20000</v>
      </c>
      <c r="AD142">
        <f t="shared" si="6"/>
        <v>10000</v>
      </c>
    </row>
    <row r="143" spans="2:30" hidden="1" x14ac:dyDescent="0.2">
      <c r="B143" s="77">
        <v>10120033</v>
      </c>
      <c r="C143" s="77" t="s">
        <v>627</v>
      </c>
      <c r="D143" s="77" t="s">
        <v>177</v>
      </c>
      <c r="E143" s="78">
        <v>64000</v>
      </c>
      <c r="F143" s="79">
        <v>64000</v>
      </c>
      <c r="G143" s="77"/>
      <c r="H143" s="80"/>
      <c r="I143" s="80"/>
      <c r="J143" s="81">
        <v>0</v>
      </c>
      <c r="K143" s="79">
        <v>54000</v>
      </c>
      <c r="L143" s="82">
        <v>10000</v>
      </c>
      <c r="N143" s="91">
        <v>0</v>
      </c>
      <c r="O143" s="91">
        <v>0</v>
      </c>
      <c r="P143" s="91">
        <v>0</v>
      </c>
      <c r="Q143" s="91"/>
      <c r="R143" s="91"/>
      <c r="S143" s="91"/>
      <c r="T143" s="91"/>
      <c r="U143" s="91"/>
      <c r="V143" s="91">
        <v>0</v>
      </c>
      <c r="W143" s="91">
        <v>0</v>
      </c>
      <c r="X143" s="91"/>
      <c r="Y143" s="91"/>
      <c r="Z143" s="91"/>
      <c r="AA143" s="63">
        <f t="shared" si="5"/>
        <v>10000</v>
      </c>
      <c r="AC143">
        <v>20000</v>
      </c>
      <c r="AD143">
        <f t="shared" si="6"/>
        <v>10000</v>
      </c>
    </row>
    <row r="144" spans="2:30" hidden="1" x14ac:dyDescent="0.2">
      <c r="B144" s="84">
        <v>10140032</v>
      </c>
      <c r="C144" s="84" t="s">
        <v>633</v>
      </c>
      <c r="D144" s="84" t="s">
        <v>85</v>
      </c>
      <c r="E144" s="85">
        <v>110000</v>
      </c>
      <c r="F144" s="86">
        <v>79912.978433694254</v>
      </c>
      <c r="G144" s="84"/>
      <c r="H144" s="87"/>
      <c r="I144" s="87"/>
      <c r="J144" s="88">
        <v>30087.021566305746</v>
      </c>
      <c r="K144" s="86">
        <v>69912.978433694254</v>
      </c>
      <c r="L144" s="89">
        <v>10000</v>
      </c>
      <c r="N144" s="91">
        <v>0</v>
      </c>
      <c r="O144" s="91">
        <v>0</v>
      </c>
      <c r="P144" s="91">
        <v>0</v>
      </c>
      <c r="Q144" s="91"/>
      <c r="R144" s="91"/>
      <c r="S144" s="91"/>
      <c r="T144" s="91"/>
      <c r="U144" s="91"/>
      <c r="V144" s="91">
        <v>0</v>
      </c>
      <c r="W144" s="91">
        <v>0</v>
      </c>
      <c r="X144" s="91"/>
      <c r="Y144" s="91"/>
      <c r="Z144" s="91"/>
      <c r="AA144" s="63">
        <f t="shared" si="5"/>
        <v>10000</v>
      </c>
      <c r="AC144">
        <v>20000</v>
      </c>
      <c r="AD144">
        <f t="shared" si="6"/>
        <v>10000</v>
      </c>
    </row>
    <row r="145" spans="2:30" hidden="1" x14ac:dyDescent="0.2">
      <c r="B145" s="77">
        <v>10140033</v>
      </c>
      <c r="C145" s="77" t="s">
        <v>637</v>
      </c>
      <c r="D145" s="77" t="s">
        <v>85</v>
      </c>
      <c r="E145" s="78">
        <v>110000</v>
      </c>
      <c r="F145" s="79">
        <v>75230.785702375942</v>
      </c>
      <c r="G145" s="77"/>
      <c r="H145" s="80"/>
      <c r="I145" s="80"/>
      <c r="J145" s="81">
        <v>34769.214297624058</v>
      </c>
      <c r="K145" s="79">
        <v>65230.785702375942</v>
      </c>
      <c r="L145" s="82">
        <v>10000</v>
      </c>
      <c r="N145" s="91">
        <v>0</v>
      </c>
      <c r="O145" s="91">
        <v>0</v>
      </c>
      <c r="P145" s="91">
        <v>0</v>
      </c>
      <c r="Q145" s="91"/>
      <c r="R145" s="91"/>
      <c r="S145" s="91"/>
      <c r="T145" s="91"/>
      <c r="U145" s="91"/>
      <c r="V145" s="91">
        <v>0</v>
      </c>
      <c r="W145" s="91">
        <v>0</v>
      </c>
      <c r="X145" s="91"/>
      <c r="Y145" s="91"/>
      <c r="Z145" s="91"/>
      <c r="AA145" s="63">
        <f t="shared" si="5"/>
        <v>10000</v>
      </c>
      <c r="AC145">
        <v>20000</v>
      </c>
      <c r="AD145">
        <f t="shared" si="6"/>
        <v>10000</v>
      </c>
    </row>
    <row r="146" spans="2:30" hidden="1" x14ac:dyDescent="0.2">
      <c r="B146" s="84">
        <v>10060030</v>
      </c>
      <c r="C146" s="84" t="s">
        <v>687</v>
      </c>
      <c r="D146" s="84" t="s">
        <v>1321</v>
      </c>
      <c r="E146" s="85">
        <v>110000</v>
      </c>
      <c r="F146" s="86">
        <v>62097</v>
      </c>
      <c r="G146" s="84"/>
      <c r="H146" s="87"/>
      <c r="I146" s="87"/>
      <c r="J146" s="88">
        <v>47903</v>
      </c>
      <c r="K146" s="86">
        <v>47097</v>
      </c>
      <c r="L146" s="89">
        <v>15000</v>
      </c>
      <c r="N146" s="91">
        <v>0</v>
      </c>
      <c r="O146" s="91">
        <v>0</v>
      </c>
      <c r="P146" s="91">
        <v>0</v>
      </c>
      <c r="Q146" s="91"/>
      <c r="R146" s="91"/>
      <c r="S146" s="91"/>
      <c r="T146" s="91"/>
      <c r="U146" s="91"/>
      <c r="V146" s="91">
        <v>0</v>
      </c>
      <c r="W146" s="91">
        <v>0</v>
      </c>
      <c r="X146" s="91"/>
      <c r="Y146" s="91"/>
      <c r="Z146" s="91"/>
      <c r="AA146" s="63">
        <f t="shared" si="5"/>
        <v>15000</v>
      </c>
      <c r="AC146">
        <v>20000</v>
      </c>
      <c r="AD146">
        <f t="shared" si="6"/>
        <v>5000</v>
      </c>
    </row>
    <row r="147" spans="2:30" hidden="1" x14ac:dyDescent="0.2">
      <c r="B147" s="77">
        <v>10020041</v>
      </c>
      <c r="C147" s="77" t="s">
        <v>692</v>
      </c>
      <c r="D147" s="77" t="s">
        <v>63</v>
      </c>
      <c r="E147" s="78">
        <v>110000</v>
      </c>
      <c r="F147" s="79">
        <v>96700.751983312381</v>
      </c>
      <c r="G147" s="77"/>
      <c r="H147" s="80"/>
      <c r="I147" s="80"/>
      <c r="J147" s="81">
        <v>13299.248016687619</v>
      </c>
      <c r="K147" s="79">
        <v>81700.751983312381</v>
      </c>
      <c r="L147" s="82">
        <v>15000</v>
      </c>
      <c r="N147" s="91">
        <v>0</v>
      </c>
      <c r="O147" s="91">
        <v>0</v>
      </c>
      <c r="P147" s="91">
        <v>0</v>
      </c>
      <c r="Q147" s="91"/>
      <c r="R147" s="91"/>
      <c r="S147" s="91"/>
      <c r="T147" s="91"/>
      <c r="U147" s="91"/>
      <c r="V147" s="91">
        <v>0</v>
      </c>
      <c r="W147" s="91">
        <v>0</v>
      </c>
      <c r="X147" s="91"/>
      <c r="Y147" s="91"/>
      <c r="Z147" s="91"/>
      <c r="AA147" s="63">
        <f t="shared" si="5"/>
        <v>15000</v>
      </c>
      <c r="AC147">
        <v>20000</v>
      </c>
      <c r="AD147">
        <f t="shared" si="6"/>
        <v>5000</v>
      </c>
    </row>
    <row r="148" spans="2:30" hidden="1" x14ac:dyDescent="0.2">
      <c r="B148" s="84">
        <v>10020039</v>
      </c>
      <c r="C148" s="84" t="s">
        <v>742</v>
      </c>
      <c r="D148" s="84" t="s">
        <v>63</v>
      </c>
      <c r="E148" s="85">
        <v>110000</v>
      </c>
      <c r="F148" s="86">
        <v>45749.527199999997</v>
      </c>
      <c r="G148" s="84"/>
      <c r="H148" s="87"/>
      <c r="I148" s="87"/>
      <c r="J148" s="88">
        <v>64250.472800000003</v>
      </c>
      <c r="K148" s="86">
        <v>35749.527199999997</v>
      </c>
      <c r="L148" s="89">
        <v>10000</v>
      </c>
      <c r="N148" s="91">
        <v>0</v>
      </c>
      <c r="O148" s="91">
        <v>0</v>
      </c>
      <c r="P148" s="91">
        <v>0</v>
      </c>
      <c r="Q148" s="91"/>
      <c r="R148" s="91"/>
      <c r="S148" s="91"/>
      <c r="T148" s="91"/>
      <c r="U148" s="91"/>
      <c r="V148" s="91">
        <v>0</v>
      </c>
      <c r="W148" s="91">
        <v>0</v>
      </c>
      <c r="X148" s="91"/>
      <c r="Y148" s="91"/>
      <c r="Z148" s="91"/>
      <c r="AA148" s="63">
        <f t="shared" si="5"/>
        <v>10000</v>
      </c>
      <c r="AC148">
        <v>20000</v>
      </c>
      <c r="AD148">
        <f t="shared" si="6"/>
        <v>10000</v>
      </c>
    </row>
    <row r="149" spans="2:30" hidden="1" x14ac:dyDescent="0.2">
      <c r="B149" s="77">
        <v>10110030</v>
      </c>
      <c r="C149" s="77" t="s">
        <v>746</v>
      </c>
      <c r="D149" s="77" t="s">
        <v>217</v>
      </c>
      <c r="E149" s="78">
        <v>110000</v>
      </c>
      <c r="F149" s="79">
        <v>6127</v>
      </c>
      <c r="G149" s="77"/>
      <c r="H149" s="80"/>
      <c r="I149" s="80"/>
      <c r="J149" s="81">
        <v>103873</v>
      </c>
      <c r="K149" s="79">
        <v>1127</v>
      </c>
      <c r="L149" s="82">
        <v>5000</v>
      </c>
      <c r="N149" s="91">
        <v>0</v>
      </c>
      <c r="O149" s="91">
        <v>0</v>
      </c>
      <c r="P149" s="91">
        <v>0</v>
      </c>
      <c r="Q149" s="91"/>
      <c r="R149" s="91"/>
      <c r="S149" s="91"/>
      <c r="T149" s="91"/>
      <c r="U149" s="91"/>
      <c r="V149" s="91">
        <v>0</v>
      </c>
      <c r="W149" s="91">
        <v>0</v>
      </c>
      <c r="X149" s="91"/>
      <c r="Y149" s="91"/>
      <c r="Z149" s="91"/>
      <c r="AA149" s="63">
        <f t="shared" si="5"/>
        <v>5000</v>
      </c>
      <c r="AC149">
        <v>20000</v>
      </c>
      <c r="AD149">
        <f t="shared" si="6"/>
        <v>15000</v>
      </c>
    </row>
    <row r="150" spans="2:30" hidden="1" x14ac:dyDescent="0.2">
      <c r="B150" s="84">
        <v>10110047</v>
      </c>
      <c r="C150" s="84" t="s">
        <v>71</v>
      </c>
      <c r="D150" s="84" t="s">
        <v>217</v>
      </c>
      <c r="E150" s="85">
        <v>110000</v>
      </c>
      <c r="F150" s="86">
        <v>74149.018055871071</v>
      </c>
      <c r="G150" s="84"/>
      <c r="H150" s="87"/>
      <c r="I150" s="87"/>
      <c r="J150" s="88">
        <v>35850.981944128929</v>
      </c>
      <c r="K150" s="86">
        <v>69149.018055871071</v>
      </c>
      <c r="L150" s="89">
        <v>5000</v>
      </c>
      <c r="N150" s="91">
        <v>0</v>
      </c>
      <c r="O150" s="91">
        <v>0</v>
      </c>
      <c r="P150" s="91">
        <v>0</v>
      </c>
      <c r="Q150" s="91"/>
      <c r="R150" s="91"/>
      <c r="S150" s="91"/>
      <c r="T150" s="91"/>
      <c r="U150" s="91"/>
      <c r="V150" s="91">
        <v>0</v>
      </c>
      <c r="W150" s="91">
        <v>0</v>
      </c>
      <c r="X150" s="91"/>
      <c r="Y150" s="91"/>
      <c r="Z150" s="91"/>
      <c r="AA150" s="63">
        <f t="shared" si="5"/>
        <v>5000</v>
      </c>
      <c r="AC150">
        <v>20000</v>
      </c>
      <c r="AD150">
        <f t="shared" si="6"/>
        <v>15000</v>
      </c>
    </row>
    <row r="151" spans="2:30" hidden="1" x14ac:dyDescent="0.2">
      <c r="B151" s="77">
        <v>10100004</v>
      </c>
      <c r="C151" s="77" t="s">
        <v>767</v>
      </c>
      <c r="D151" s="77" t="s">
        <v>906</v>
      </c>
      <c r="E151" s="78">
        <v>110000</v>
      </c>
      <c r="F151" s="79">
        <v>46811</v>
      </c>
      <c r="G151" s="77"/>
      <c r="H151" s="80"/>
      <c r="I151" s="80"/>
      <c r="J151" s="81">
        <v>63189</v>
      </c>
      <c r="K151" s="79">
        <v>41811</v>
      </c>
      <c r="L151" s="82">
        <v>5000</v>
      </c>
      <c r="N151" s="91">
        <v>0</v>
      </c>
      <c r="O151" s="91">
        <v>0</v>
      </c>
      <c r="P151" s="91">
        <v>0</v>
      </c>
      <c r="Q151" s="91"/>
      <c r="R151" s="91"/>
      <c r="S151" s="91"/>
      <c r="T151" s="91"/>
      <c r="U151" s="91"/>
      <c r="V151" s="91">
        <v>0</v>
      </c>
      <c r="W151" s="91">
        <v>0</v>
      </c>
      <c r="X151" s="91"/>
      <c r="Y151" s="91"/>
      <c r="Z151" s="91"/>
      <c r="AA151" s="63">
        <f t="shared" si="5"/>
        <v>5000</v>
      </c>
      <c r="AC151">
        <v>20000</v>
      </c>
      <c r="AD151">
        <f t="shared" si="6"/>
        <v>15000</v>
      </c>
    </row>
    <row r="152" spans="2:30" hidden="1" x14ac:dyDescent="0.2">
      <c r="B152" s="84">
        <v>10130006</v>
      </c>
      <c r="C152" s="84" t="s">
        <v>771</v>
      </c>
      <c r="D152" s="84" t="s">
        <v>1630</v>
      </c>
      <c r="E152" s="85">
        <v>110000</v>
      </c>
      <c r="F152" s="86">
        <v>82511.522462010646</v>
      </c>
      <c r="G152" s="84"/>
      <c r="H152" s="87"/>
      <c r="I152" s="87"/>
      <c r="J152" s="88">
        <v>27488.477537989354</v>
      </c>
      <c r="K152" s="86">
        <v>57511.522462010653</v>
      </c>
      <c r="L152" s="89">
        <v>0</v>
      </c>
      <c r="N152" s="91">
        <v>0</v>
      </c>
      <c r="O152" s="91">
        <v>0</v>
      </c>
      <c r="P152" s="91">
        <v>0</v>
      </c>
      <c r="Q152" s="91"/>
      <c r="R152" s="91"/>
      <c r="S152" s="91"/>
      <c r="T152" s="91"/>
      <c r="U152" s="91"/>
      <c r="V152" s="91">
        <v>0</v>
      </c>
      <c r="W152" s="91">
        <v>0</v>
      </c>
      <c r="X152" s="91"/>
      <c r="Y152" s="91"/>
      <c r="Z152" s="91"/>
      <c r="AA152" s="63">
        <f t="shared" si="5"/>
        <v>0</v>
      </c>
      <c r="AC152">
        <v>20000</v>
      </c>
      <c r="AD152">
        <f t="shared" si="6"/>
        <v>20000</v>
      </c>
    </row>
    <row r="153" spans="2:30" hidden="1" x14ac:dyDescent="0.2">
      <c r="B153" s="77">
        <v>10080019</v>
      </c>
      <c r="C153" s="77" t="s">
        <v>773</v>
      </c>
      <c r="D153" s="77" t="s">
        <v>297</v>
      </c>
      <c r="E153" s="78">
        <v>110000</v>
      </c>
      <c r="F153" s="79">
        <v>29015.642107588348</v>
      </c>
      <c r="G153" s="77"/>
      <c r="H153" s="80"/>
      <c r="I153" s="80"/>
      <c r="J153" s="81">
        <v>80984.357892411645</v>
      </c>
      <c r="K153" s="79">
        <v>24015.642107588348</v>
      </c>
      <c r="L153" s="82">
        <v>5000</v>
      </c>
      <c r="N153" s="91">
        <v>0</v>
      </c>
      <c r="O153" s="91">
        <v>0</v>
      </c>
      <c r="P153" s="91">
        <v>0</v>
      </c>
      <c r="Q153" s="91"/>
      <c r="R153" s="91"/>
      <c r="S153" s="91"/>
      <c r="T153" s="91"/>
      <c r="U153" s="91"/>
      <c r="V153" s="91">
        <v>0</v>
      </c>
      <c r="W153" s="91">
        <v>0</v>
      </c>
      <c r="X153" s="91"/>
      <c r="Y153" s="91"/>
      <c r="Z153" s="91"/>
      <c r="AA153" s="63">
        <f t="shared" si="5"/>
        <v>5000</v>
      </c>
      <c r="AC153">
        <v>20000</v>
      </c>
      <c r="AD153">
        <f t="shared" si="6"/>
        <v>15000</v>
      </c>
    </row>
    <row r="154" spans="2:30" hidden="1" x14ac:dyDescent="0.2">
      <c r="B154" s="84">
        <v>10080020</v>
      </c>
      <c r="C154" s="84" t="s">
        <v>776</v>
      </c>
      <c r="D154" s="84" t="s">
        <v>297</v>
      </c>
      <c r="E154" s="85">
        <v>110000</v>
      </c>
      <c r="F154" s="86">
        <v>40138.919071971104</v>
      </c>
      <c r="G154" s="84"/>
      <c r="H154" s="87"/>
      <c r="I154" s="87"/>
      <c r="J154" s="88">
        <v>69861.080928028896</v>
      </c>
      <c r="K154" s="86">
        <v>30138.919071971104</v>
      </c>
      <c r="L154" s="89">
        <v>10000</v>
      </c>
      <c r="N154" s="91">
        <v>0</v>
      </c>
      <c r="O154" s="91">
        <v>0</v>
      </c>
      <c r="P154" s="91">
        <v>0</v>
      </c>
      <c r="Q154" s="91"/>
      <c r="R154" s="91"/>
      <c r="S154" s="91"/>
      <c r="T154" s="91"/>
      <c r="U154" s="91"/>
      <c r="V154" s="91">
        <v>0</v>
      </c>
      <c r="W154" s="91">
        <v>0</v>
      </c>
      <c r="X154" s="91"/>
      <c r="Y154" s="91"/>
      <c r="Z154" s="91"/>
      <c r="AA154" s="63">
        <f t="shared" si="5"/>
        <v>10000</v>
      </c>
      <c r="AC154">
        <v>20000</v>
      </c>
      <c r="AD154">
        <f t="shared" si="6"/>
        <v>10000</v>
      </c>
    </row>
    <row r="155" spans="2:30" hidden="1" x14ac:dyDescent="0.2">
      <c r="B155" s="77">
        <v>10480001</v>
      </c>
      <c r="C155" s="77" t="s">
        <v>780</v>
      </c>
      <c r="D155" s="77" t="s">
        <v>943</v>
      </c>
      <c r="E155" s="78">
        <v>110000</v>
      </c>
      <c r="F155" s="79">
        <v>50912.5046</v>
      </c>
      <c r="G155" s="77"/>
      <c r="H155" s="80"/>
      <c r="I155" s="80"/>
      <c r="J155" s="81">
        <v>59087.4954</v>
      </c>
      <c r="K155" s="79">
        <v>50912.5046</v>
      </c>
      <c r="L155" s="82"/>
      <c r="N155" s="91">
        <v>0</v>
      </c>
      <c r="O155" s="91">
        <v>0</v>
      </c>
      <c r="P155" s="91">
        <v>0</v>
      </c>
      <c r="Q155" s="91"/>
      <c r="R155" s="91"/>
      <c r="S155" s="91"/>
      <c r="T155" s="91"/>
      <c r="U155" s="91"/>
      <c r="V155" s="91">
        <v>0</v>
      </c>
      <c r="W155" s="91">
        <v>0</v>
      </c>
      <c r="X155" s="91"/>
      <c r="Y155" s="91"/>
      <c r="Z155" s="91"/>
      <c r="AA155" s="63">
        <f t="shared" si="5"/>
        <v>0</v>
      </c>
      <c r="AC155">
        <v>20000</v>
      </c>
      <c r="AD155">
        <f t="shared" si="6"/>
        <v>20000</v>
      </c>
    </row>
    <row r="156" spans="2:30" hidden="1" x14ac:dyDescent="0.2">
      <c r="B156" s="84">
        <v>10020043</v>
      </c>
      <c r="C156" s="84" t="s">
        <v>793</v>
      </c>
      <c r="D156" s="84" t="s">
        <v>63</v>
      </c>
      <c r="E156" s="85">
        <v>110000</v>
      </c>
      <c r="F156" s="86">
        <v>110000</v>
      </c>
      <c r="G156" s="84"/>
      <c r="H156" s="87"/>
      <c r="I156" s="87"/>
      <c r="J156" s="88">
        <v>0</v>
      </c>
      <c r="K156" s="86">
        <v>95000</v>
      </c>
      <c r="L156" s="89">
        <v>15000</v>
      </c>
      <c r="N156" s="91">
        <v>0</v>
      </c>
      <c r="O156" s="91">
        <v>0</v>
      </c>
      <c r="P156" s="91">
        <v>0</v>
      </c>
      <c r="Q156" s="91"/>
      <c r="R156" s="91"/>
      <c r="S156" s="91"/>
      <c r="T156" s="91"/>
      <c r="U156" s="91"/>
      <c r="V156" s="91">
        <v>0</v>
      </c>
      <c r="W156" s="91">
        <v>0</v>
      </c>
      <c r="X156" s="91"/>
      <c r="Y156" s="91"/>
      <c r="Z156" s="91"/>
      <c r="AA156" s="63">
        <f t="shared" si="5"/>
        <v>15000</v>
      </c>
      <c r="AC156">
        <v>20000</v>
      </c>
      <c r="AD156">
        <f t="shared" si="6"/>
        <v>5000</v>
      </c>
    </row>
    <row r="157" spans="2:30" hidden="1" x14ac:dyDescent="0.2">
      <c r="B157" s="77">
        <v>10060034</v>
      </c>
      <c r="C157" s="77" t="s">
        <v>802</v>
      </c>
      <c r="D157" s="77" t="s">
        <v>1321</v>
      </c>
      <c r="E157" s="78">
        <v>110000</v>
      </c>
      <c r="F157" s="79">
        <v>36464.525399999999</v>
      </c>
      <c r="G157" s="77"/>
      <c r="H157" s="80"/>
      <c r="I157" s="80"/>
      <c r="J157" s="81">
        <v>73535.474600000001</v>
      </c>
      <c r="K157" s="79">
        <v>21464.525399999999</v>
      </c>
      <c r="L157" s="82">
        <v>15000</v>
      </c>
      <c r="N157" s="91">
        <v>0</v>
      </c>
      <c r="O157" s="91">
        <v>0</v>
      </c>
      <c r="P157" s="91">
        <v>0</v>
      </c>
      <c r="Q157" s="91"/>
      <c r="R157" s="91"/>
      <c r="S157" s="91"/>
      <c r="T157" s="91"/>
      <c r="U157" s="91"/>
      <c r="V157" s="91">
        <v>0</v>
      </c>
      <c r="W157" s="91">
        <v>0</v>
      </c>
      <c r="X157" s="91"/>
      <c r="Y157" s="91"/>
      <c r="Z157" s="91"/>
      <c r="AA157" s="63">
        <f t="shared" si="5"/>
        <v>15000</v>
      </c>
      <c r="AC157">
        <v>20000</v>
      </c>
      <c r="AD157">
        <f t="shared" si="6"/>
        <v>5000</v>
      </c>
    </row>
    <row r="158" spans="2:30" hidden="1" x14ac:dyDescent="0.2">
      <c r="B158" s="84">
        <v>10060036</v>
      </c>
      <c r="C158" s="84" t="s">
        <v>806</v>
      </c>
      <c r="D158" s="84" t="s">
        <v>1321</v>
      </c>
      <c r="E158" s="85">
        <v>110000</v>
      </c>
      <c r="F158" s="86">
        <v>69867.750294795362</v>
      </c>
      <c r="G158" s="84"/>
      <c r="H158" s="87"/>
      <c r="I158" s="87"/>
      <c r="J158" s="88">
        <v>40132.249705204638</v>
      </c>
      <c r="K158" s="86">
        <v>54867.750294795362</v>
      </c>
      <c r="L158" s="89">
        <v>15000</v>
      </c>
      <c r="N158" s="91">
        <v>0</v>
      </c>
      <c r="O158" s="91">
        <v>0</v>
      </c>
      <c r="P158" s="91">
        <v>0</v>
      </c>
      <c r="Q158" s="91"/>
      <c r="R158" s="91"/>
      <c r="S158" s="91"/>
      <c r="T158" s="91"/>
      <c r="U158" s="91"/>
      <c r="V158" s="91">
        <v>0</v>
      </c>
      <c r="W158" s="91">
        <v>0</v>
      </c>
      <c r="X158" s="91"/>
      <c r="Y158" s="91"/>
      <c r="Z158" s="91"/>
      <c r="AA158" s="63">
        <f t="shared" si="5"/>
        <v>15000</v>
      </c>
      <c r="AC158">
        <v>20000</v>
      </c>
      <c r="AD158">
        <f t="shared" si="6"/>
        <v>5000</v>
      </c>
    </row>
    <row r="159" spans="2:30" hidden="1" x14ac:dyDescent="0.2">
      <c r="B159" s="77">
        <v>10090033</v>
      </c>
      <c r="C159" s="77" t="s">
        <v>810</v>
      </c>
      <c r="D159" s="77" t="s">
        <v>57</v>
      </c>
      <c r="E159" s="78">
        <v>110000</v>
      </c>
      <c r="F159" s="79">
        <v>110000</v>
      </c>
      <c r="G159" s="77"/>
      <c r="H159" s="80"/>
      <c r="I159" s="80"/>
      <c r="J159" s="81">
        <v>0</v>
      </c>
      <c r="K159" s="79">
        <v>95000</v>
      </c>
      <c r="L159" s="82">
        <v>15000</v>
      </c>
      <c r="N159" s="91">
        <v>0</v>
      </c>
      <c r="O159" s="91">
        <v>0</v>
      </c>
      <c r="P159" s="91">
        <v>0</v>
      </c>
      <c r="Q159" s="91"/>
      <c r="R159" s="91"/>
      <c r="S159" s="91"/>
      <c r="T159" s="91"/>
      <c r="U159" s="91"/>
      <c r="V159" s="91">
        <v>0</v>
      </c>
      <c r="W159" s="91">
        <v>0</v>
      </c>
      <c r="X159" s="91"/>
      <c r="Y159" s="91"/>
      <c r="Z159" s="91"/>
      <c r="AA159" s="63">
        <f t="shared" si="5"/>
        <v>15000</v>
      </c>
      <c r="AC159">
        <v>20000</v>
      </c>
      <c r="AD159">
        <f t="shared" si="6"/>
        <v>5000</v>
      </c>
    </row>
    <row r="160" spans="2:30" hidden="1" x14ac:dyDescent="0.2">
      <c r="B160" s="84">
        <v>10080023</v>
      </c>
      <c r="C160" s="84" t="s">
        <v>822</v>
      </c>
      <c r="D160" s="84" t="s">
        <v>297</v>
      </c>
      <c r="E160" s="85">
        <v>110000</v>
      </c>
      <c r="F160" s="86">
        <v>47745.640459641138</v>
      </c>
      <c r="G160" s="84"/>
      <c r="H160" s="87"/>
      <c r="I160" s="87"/>
      <c r="J160" s="88">
        <v>62254.359540358862</v>
      </c>
      <c r="K160" s="86">
        <v>37745.640459641138</v>
      </c>
      <c r="L160" s="89">
        <v>10000</v>
      </c>
      <c r="N160" s="91">
        <v>0</v>
      </c>
      <c r="O160" s="91">
        <v>0</v>
      </c>
      <c r="P160" s="91">
        <v>0</v>
      </c>
      <c r="Q160" s="91"/>
      <c r="R160" s="91"/>
      <c r="S160" s="91"/>
      <c r="T160" s="91"/>
      <c r="U160" s="91"/>
      <c r="V160" s="91">
        <v>0</v>
      </c>
      <c r="W160" s="91">
        <v>0</v>
      </c>
      <c r="X160" s="91"/>
      <c r="Y160" s="91"/>
      <c r="Z160" s="91"/>
      <c r="AA160" s="63">
        <f t="shared" si="5"/>
        <v>10000</v>
      </c>
      <c r="AC160">
        <v>20000</v>
      </c>
      <c r="AD160">
        <f t="shared" si="6"/>
        <v>10000</v>
      </c>
    </row>
    <row r="161" spans="2:30" hidden="1" x14ac:dyDescent="0.2">
      <c r="B161" s="77">
        <v>10030031</v>
      </c>
      <c r="C161" s="77" t="s">
        <v>854</v>
      </c>
      <c r="D161" s="77" t="s">
        <v>584</v>
      </c>
      <c r="E161" s="78">
        <v>64000</v>
      </c>
      <c r="F161" s="79">
        <v>50412.926135313959</v>
      </c>
      <c r="G161" s="77"/>
      <c r="H161" s="80"/>
      <c r="I161" s="80"/>
      <c r="J161" s="81">
        <v>13587.073864686041</v>
      </c>
      <c r="K161" s="79">
        <v>40412.926135313959</v>
      </c>
      <c r="L161" s="82">
        <v>10000</v>
      </c>
      <c r="N161" s="91">
        <v>0</v>
      </c>
      <c r="O161" s="91">
        <v>0</v>
      </c>
      <c r="P161" s="91">
        <v>0</v>
      </c>
      <c r="Q161" s="91"/>
      <c r="R161" s="91"/>
      <c r="S161" s="91"/>
      <c r="T161" s="91"/>
      <c r="U161" s="91"/>
      <c r="V161" s="91">
        <v>0</v>
      </c>
      <c r="W161" s="91">
        <v>0</v>
      </c>
      <c r="X161" s="91"/>
      <c r="Y161" s="91"/>
      <c r="Z161" s="91"/>
      <c r="AA161" s="63">
        <f t="shared" si="5"/>
        <v>10000</v>
      </c>
      <c r="AC161">
        <v>20000</v>
      </c>
      <c r="AD161">
        <f t="shared" si="6"/>
        <v>10000</v>
      </c>
    </row>
    <row r="162" spans="2:30" hidden="1" x14ac:dyDescent="0.2">
      <c r="B162" s="84">
        <v>10080025</v>
      </c>
      <c r="C162" s="84" t="s">
        <v>862</v>
      </c>
      <c r="D162" s="84" t="s">
        <v>297</v>
      </c>
      <c r="E162" s="85">
        <v>110000</v>
      </c>
      <c r="F162" s="86">
        <v>81563.110920423685</v>
      </c>
      <c r="G162" s="84"/>
      <c r="H162" s="87"/>
      <c r="I162" s="87"/>
      <c r="J162" s="88">
        <v>28436.889079576315</v>
      </c>
      <c r="K162" s="86">
        <v>76563.110920423685</v>
      </c>
      <c r="L162" s="89">
        <v>5000</v>
      </c>
      <c r="N162" s="91">
        <v>0</v>
      </c>
      <c r="O162" s="91">
        <v>0</v>
      </c>
      <c r="P162" s="91">
        <v>0</v>
      </c>
      <c r="Q162" s="91"/>
      <c r="R162" s="91"/>
      <c r="S162" s="91"/>
      <c r="T162" s="91"/>
      <c r="U162" s="91"/>
      <c r="V162" s="91">
        <v>0</v>
      </c>
      <c r="W162" s="91">
        <v>0</v>
      </c>
      <c r="X162" s="91"/>
      <c r="Y162" s="91"/>
      <c r="Z162" s="91"/>
      <c r="AA162" s="63">
        <f t="shared" si="5"/>
        <v>5000</v>
      </c>
      <c r="AC162">
        <v>20000</v>
      </c>
      <c r="AD162">
        <f t="shared" si="6"/>
        <v>15000</v>
      </c>
    </row>
    <row r="163" spans="2:30" hidden="1" x14ac:dyDescent="0.2">
      <c r="B163" s="77">
        <v>10010017</v>
      </c>
      <c r="C163" s="77" t="s">
        <v>870</v>
      </c>
      <c r="D163" s="77" t="s">
        <v>203</v>
      </c>
      <c r="E163" s="78">
        <v>110000</v>
      </c>
      <c r="F163" s="79">
        <v>35662</v>
      </c>
      <c r="G163" s="77"/>
      <c r="H163" s="80"/>
      <c r="I163" s="80"/>
      <c r="J163" s="81">
        <v>74338</v>
      </c>
      <c r="K163" s="79">
        <v>35662</v>
      </c>
      <c r="L163" s="82"/>
      <c r="N163" s="91">
        <v>0</v>
      </c>
      <c r="O163" s="91">
        <v>0</v>
      </c>
      <c r="P163" s="91">
        <v>0</v>
      </c>
      <c r="Q163" s="91"/>
      <c r="R163" s="91"/>
      <c r="S163" s="91"/>
      <c r="T163" s="91"/>
      <c r="U163" s="91"/>
      <c r="V163" s="91">
        <v>0</v>
      </c>
      <c r="W163" s="91">
        <v>0</v>
      </c>
      <c r="X163" s="91"/>
      <c r="Y163" s="91"/>
      <c r="Z163" s="91"/>
      <c r="AA163" s="63">
        <f t="shared" si="5"/>
        <v>0</v>
      </c>
      <c r="AC163">
        <v>20000</v>
      </c>
      <c r="AD163">
        <f t="shared" si="6"/>
        <v>20000</v>
      </c>
    </row>
    <row r="164" spans="2:30" hidden="1" x14ac:dyDescent="0.2">
      <c r="B164" s="84">
        <v>10010008</v>
      </c>
      <c r="C164" s="84" t="s">
        <v>877</v>
      </c>
      <c r="D164" s="84" t="s">
        <v>203</v>
      </c>
      <c r="E164" s="85">
        <v>110000</v>
      </c>
      <c r="F164" s="86">
        <v>26450.061999999998</v>
      </c>
      <c r="G164" s="84"/>
      <c r="H164" s="87"/>
      <c r="I164" s="87"/>
      <c r="J164" s="88">
        <v>83549.937999999995</v>
      </c>
      <c r="K164" s="86">
        <v>26450.061999999998</v>
      </c>
      <c r="L164" s="89"/>
      <c r="N164" s="91">
        <v>0</v>
      </c>
      <c r="O164" s="91">
        <v>0</v>
      </c>
      <c r="P164" s="91">
        <v>0</v>
      </c>
      <c r="Q164" s="91"/>
      <c r="R164" s="91"/>
      <c r="S164" s="91"/>
      <c r="T164" s="91"/>
      <c r="U164" s="91"/>
      <c r="V164" s="91">
        <v>0</v>
      </c>
      <c r="W164" s="91">
        <v>0</v>
      </c>
      <c r="X164" s="91"/>
      <c r="Y164" s="91"/>
      <c r="Z164" s="91"/>
      <c r="AA164" s="63">
        <f t="shared" si="5"/>
        <v>0</v>
      </c>
      <c r="AC164">
        <v>20000</v>
      </c>
      <c r="AD164">
        <f t="shared" si="6"/>
        <v>20000</v>
      </c>
    </row>
    <row r="165" spans="2:30" hidden="1" x14ac:dyDescent="0.2">
      <c r="B165" s="77">
        <v>10080027</v>
      </c>
      <c r="C165" s="77" t="s">
        <v>887</v>
      </c>
      <c r="D165" s="77" t="s">
        <v>297</v>
      </c>
      <c r="E165" s="78">
        <v>110000</v>
      </c>
      <c r="F165" s="79">
        <v>37360.057093252697</v>
      </c>
      <c r="G165" s="77"/>
      <c r="H165" s="80"/>
      <c r="I165" s="80"/>
      <c r="J165" s="81">
        <v>72639.94290674731</v>
      </c>
      <c r="K165" s="79">
        <v>32360.057093252697</v>
      </c>
      <c r="L165" s="82">
        <v>5000</v>
      </c>
      <c r="N165" s="91">
        <v>0</v>
      </c>
      <c r="O165" s="91">
        <v>0</v>
      </c>
      <c r="P165" s="91">
        <v>0</v>
      </c>
      <c r="Q165" s="91"/>
      <c r="R165" s="91"/>
      <c r="S165" s="91"/>
      <c r="T165" s="91"/>
      <c r="U165" s="91"/>
      <c r="V165" s="91">
        <v>0</v>
      </c>
      <c r="W165" s="91">
        <v>0</v>
      </c>
      <c r="X165" s="91"/>
      <c r="Y165" s="91"/>
      <c r="Z165" s="91"/>
      <c r="AA165" s="63">
        <f t="shared" si="5"/>
        <v>5000</v>
      </c>
      <c r="AC165">
        <v>20000</v>
      </c>
      <c r="AD165">
        <f t="shared" si="6"/>
        <v>15000</v>
      </c>
    </row>
    <row r="166" spans="2:30" hidden="1" x14ac:dyDescent="0.2">
      <c r="B166" s="84">
        <v>10010013</v>
      </c>
      <c r="C166" s="84" t="s">
        <v>891</v>
      </c>
      <c r="D166" s="84" t="s">
        <v>203</v>
      </c>
      <c r="E166" s="85">
        <v>110000</v>
      </c>
      <c r="F166" s="86">
        <v>63709.942957273335</v>
      </c>
      <c r="G166" s="84"/>
      <c r="H166" s="87"/>
      <c r="I166" s="87"/>
      <c r="J166" s="88">
        <v>46290.057042726665</v>
      </c>
      <c r="K166" s="86">
        <v>63709.942957273335</v>
      </c>
      <c r="L166" s="89"/>
      <c r="N166" s="91">
        <v>0</v>
      </c>
      <c r="O166" s="91">
        <v>0</v>
      </c>
      <c r="P166" s="91">
        <v>0</v>
      </c>
      <c r="Q166" s="91"/>
      <c r="R166" s="91"/>
      <c r="S166" s="91"/>
      <c r="T166" s="91"/>
      <c r="U166" s="91"/>
      <c r="V166" s="91">
        <v>0</v>
      </c>
      <c r="W166" s="91">
        <v>0</v>
      </c>
      <c r="X166" s="91"/>
      <c r="Y166" s="91"/>
      <c r="Z166" s="91"/>
      <c r="AA166" s="63">
        <f t="shared" si="5"/>
        <v>0</v>
      </c>
      <c r="AC166">
        <v>20000</v>
      </c>
      <c r="AD166">
        <f t="shared" si="6"/>
        <v>20000</v>
      </c>
    </row>
    <row r="167" spans="2:30" hidden="1" x14ac:dyDescent="0.2">
      <c r="B167" s="77">
        <v>10010014</v>
      </c>
      <c r="C167" s="77" t="s">
        <v>129</v>
      </c>
      <c r="D167" s="77" t="s">
        <v>203</v>
      </c>
      <c r="E167" s="78">
        <v>110000</v>
      </c>
      <c r="F167" s="79">
        <v>19118</v>
      </c>
      <c r="G167" s="77"/>
      <c r="H167" s="80"/>
      <c r="I167" s="80"/>
      <c r="J167" s="81">
        <v>90882</v>
      </c>
      <c r="K167" s="79">
        <v>19118</v>
      </c>
      <c r="L167" s="82"/>
      <c r="N167" s="91">
        <v>0</v>
      </c>
      <c r="O167" s="91">
        <v>0</v>
      </c>
      <c r="P167" s="91">
        <v>0</v>
      </c>
      <c r="Q167" s="91"/>
      <c r="R167" s="91"/>
      <c r="S167" s="91"/>
      <c r="T167" s="91"/>
      <c r="U167" s="91"/>
      <c r="V167" s="91">
        <v>0</v>
      </c>
      <c r="W167" s="91">
        <v>0</v>
      </c>
      <c r="X167" s="91"/>
      <c r="Y167" s="91"/>
      <c r="Z167" s="91"/>
      <c r="AA167" s="63">
        <f t="shared" si="5"/>
        <v>0</v>
      </c>
      <c r="AC167">
        <v>20000</v>
      </c>
      <c r="AD167">
        <f t="shared" si="6"/>
        <v>20000</v>
      </c>
    </row>
    <row r="168" spans="2:30" hidden="1" x14ac:dyDescent="0.2">
      <c r="B168" s="84">
        <v>10010015</v>
      </c>
      <c r="C168" s="84" t="s">
        <v>902</v>
      </c>
      <c r="D168" s="84" t="s">
        <v>203</v>
      </c>
      <c r="E168" s="85">
        <v>110000</v>
      </c>
      <c r="F168" s="86">
        <v>2689</v>
      </c>
      <c r="G168" s="84"/>
      <c r="H168" s="87"/>
      <c r="I168" s="87"/>
      <c r="J168" s="88">
        <v>107311</v>
      </c>
      <c r="K168" s="86">
        <v>2689</v>
      </c>
      <c r="L168" s="89"/>
      <c r="N168" s="91">
        <v>0</v>
      </c>
      <c r="O168" s="91">
        <v>0</v>
      </c>
      <c r="P168" s="91">
        <v>0</v>
      </c>
      <c r="Q168" s="91"/>
      <c r="R168" s="91"/>
      <c r="S168" s="91"/>
      <c r="T168" s="91"/>
      <c r="U168" s="91"/>
      <c r="V168" s="91">
        <v>0</v>
      </c>
      <c r="W168" s="91">
        <v>0</v>
      </c>
      <c r="X168" s="91"/>
      <c r="Y168" s="91"/>
      <c r="Z168" s="91"/>
      <c r="AA168" s="63">
        <f t="shared" si="5"/>
        <v>0</v>
      </c>
      <c r="AC168">
        <v>20000</v>
      </c>
      <c r="AD168">
        <f t="shared" si="6"/>
        <v>20000</v>
      </c>
    </row>
    <row r="169" spans="2:30" hidden="1" x14ac:dyDescent="0.2">
      <c r="B169" s="77">
        <v>10100007</v>
      </c>
      <c r="C169" s="77" t="s">
        <v>910</v>
      </c>
      <c r="D169" s="77" t="s">
        <v>906</v>
      </c>
      <c r="E169" s="78">
        <v>110000</v>
      </c>
      <c r="F169" s="79">
        <v>27797</v>
      </c>
      <c r="G169" s="77"/>
      <c r="H169" s="80"/>
      <c r="I169" s="80"/>
      <c r="J169" s="81">
        <v>82203</v>
      </c>
      <c r="K169" s="79">
        <v>17797</v>
      </c>
      <c r="L169" s="82">
        <v>10000</v>
      </c>
      <c r="N169" s="91">
        <v>0</v>
      </c>
      <c r="O169" s="91">
        <v>0</v>
      </c>
      <c r="P169" s="91">
        <v>0</v>
      </c>
      <c r="Q169" s="91"/>
      <c r="R169" s="91"/>
      <c r="S169" s="91"/>
      <c r="T169" s="91"/>
      <c r="U169" s="91"/>
      <c r="V169" s="91">
        <v>0</v>
      </c>
      <c r="W169" s="91">
        <v>0</v>
      </c>
      <c r="X169" s="91"/>
      <c r="Y169" s="91"/>
      <c r="Z169" s="91"/>
      <c r="AA169" s="63">
        <f t="shared" si="5"/>
        <v>10000</v>
      </c>
      <c r="AC169">
        <v>20000</v>
      </c>
      <c r="AD169">
        <f t="shared" si="6"/>
        <v>10000</v>
      </c>
    </row>
    <row r="170" spans="2:30" hidden="1" x14ac:dyDescent="0.2">
      <c r="B170" s="84">
        <v>10100008</v>
      </c>
      <c r="C170" s="84" t="s">
        <v>914</v>
      </c>
      <c r="D170" s="84" t="s">
        <v>906</v>
      </c>
      <c r="E170" s="85">
        <v>110000</v>
      </c>
      <c r="F170" s="86">
        <v>35278</v>
      </c>
      <c r="G170" s="84"/>
      <c r="H170" s="87"/>
      <c r="I170" s="87"/>
      <c r="J170" s="88">
        <v>74722</v>
      </c>
      <c r="K170" s="86">
        <v>25278</v>
      </c>
      <c r="L170" s="89">
        <v>10000</v>
      </c>
      <c r="N170" s="91">
        <v>0</v>
      </c>
      <c r="O170" s="91">
        <v>0</v>
      </c>
      <c r="P170" s="91">
        <v>0</v>
      </c>
      <c r="Q170" s="91"/>
      <c r="R170" s="91"/>
      <c r="S170" s="91"/>
      <c r="T170" s="91"/>
      <c r="U170" s="91"/>
      <c r="V170" s="91">
        <v>0</v>
      </c>
      <c r="W170" s="91">
        <v>0</v>
      </c>
      <c r="X170" s="91"/>
      <c r="Y170" s="91"/>
      <c r="Z170" s="91"/>
      <c r="AA170" s="63">
        <f t="shared" si="5"/>
        <v>10000</v>
      </c>
      <c r="AC170">
        <v>20000</v>
      </c>
      <c r="AD170">
        <f t="shared" si="6"/>
        <v>10000</v>
      </c>
    </row>
    <row r="171" spans="2:30" hidden="1" x14ac:dyDescent="0.2">
      <c r="B171" s="77">
        <v>10100009</v>
      </c>
      <c r="C171" s="77" t="s">
        <v>918</v>
      </c>
      <c r="D171" s="77" t="s">
        <v>906</v>
      </c>
      <c r="E171" s="78">
        <v>110000</v>
      </c>
      <c r="F171" s="79">
        <v>90516.664713842983</v>
      </c>
      <c r="G171" s="77"/>
      <c r="H171" s="80"/>
      <c r="I171" s="80"/>
      <c r="J171" s="81">
        <v>19483.335286157017</v>
      </c>
      <c r="K171" s="79">
        <v>80516.664713842983</v>
      </c>
      <c r="L171" s="82">
        <v>10000</v>
      </c>
      <c r="N171" s="91">
        <v>0</v>
      </c>
      <c r="O171" s="91">
        <v>0</v>
      </c>
      <c r="P171" s="91">
        <v>0</v>
      </c>
      <c r="Q171" s="91"/>
      <c r="R171" s="91"/>
      <c r="S171" s="91"/>
      <c r="T171" s="91"/>
      <c r="U171" s="91"/>
      <c r="V171" s="91">
        <v>0</v>
      </c>
      <c r="W171" s="91">
        <v>0</v>
      </c>
      <c r="X171" s="91"/>
      <c r="Y171" s="91"/>
      <c r="Z171" s="91"/>
      <c r="AA171" s="63">
        <f t="shared" si="5"/>
        <v>10000</v>
      </c>
      <c r="AC171">
        <v>20000</v>
      </c>
      <c r="AD171">
        <f t="shared" si="6"/>
        <v>10000</v>
      </c>
    </row>
    <row r="172" spans="2:30" hidden="1" x14ac:dyDescent="0.2">
      <c r="B172" s="84">
        <v>10110032</v>
      </c>
      <c r="C172" s="84" t="s">
        <v>928</v>
      </c>
      <c r="D172" s="84" t="s">
        <v>217</v>
      </c>
      <c r="E172" s="85">
        <v>110000</v>
      </c>
      <c r="F172" s="86">
        <v>82144.245026476507</v>
      </c>
      <c r="G172" s="84"/>
      <c r="H172" s="87"/>
      <c r="I172" s="87"/>
      <c r="J172" s="88">
        <v>27855.754973523493</v>
      </c>
      <c r="K172" s="86">
        <v>75144.245026476507</v>
      </c>
      <c r="L172" s="89">
        <v>7000</v>
      </c>
      <c r="N172" s="91">
        <v>814</v>
      </c>
      <c r="O172" s="91">
        <v>0</v>
      </c>
      <c r="P172" s="91">
        <v>0</v>
      </c>
      <c r="Q172" s="91"/>
      <c r="R172" s="91"/>
      <c r="S172" s="91"/>
      <c r="T172" s="91"/>
      <c r="U172" s="91"/>
      <c r="V172" s="91">
        <v>0</v>
      </c>
      <c r="W172" s="91">
        <v>0</v>
      </c>
      <c r="X172" s="91"/>
      <c r="Y172" s="91"/>
      <c r="Z172" s="91"/>
      <c r="AA172" s="63">
        <f t="shared" si="5"/>
        <v>7814</v>
      </c>
      <c r="AC172">
        <v>20000</v>
      </c>
      <c r="AD172">
        <f t="shared" si="6"/>
        <v>12186</v>
      </c>
    </row>
    <row r="173" spans="2:30" hidden="1" x14ac:dyDescent="0.2">
      <c r="B173" s="77">
        <v>10110033</v>
      </c>
      <c r="C173" s="77" t="s">
        <v>935</v>
      </c>
      <c r="D173" s="77" t="s">
        <v>217</v>
      </c>
      <c r="E173" s="78">
        <v>110000</v>
      </c>
      <c r="F173" s="79">
        <v>45426.413277110143</v>
      </c>
      <c r="G173" s="77"/>
      <c r="H173" s="80"/>
      <c r="I173" s="80"/>
      <c r="J173" s="81">
        <v>64573.586722889857</v>
      </c>
      <c r="K173" s="79">
        <v>35426.413277110143</v>
      </c>
      <c r="L173" s="82">
        <v>10000</v>
      </c>
      <c r="N173" s="91">
        <v>0</v>
      </c>
      <c r="O173" s="91">
        <v>0</v>
      </c>
      <c r="P173" s="91">
        <v>0</v>
      </c>
      <c r="Q173" s="91"/>
      <c r="R173" s="91"/>
      <c r="S173" s="91"/>
      <c r="T173" s="91"/>
      <c r="U173" s="91"/>
      <c r="V173" s="91">
        <v>0</v>
      </c>
      <c r="W173" s="91">
        <v>0</v>
      </c>
      <c r="X173" s="91"/>
      <c r="Y173" s="91"/>
      <c r="Z173" s="91"/>
      <c r="AA173" s="63">
        <f t="shared" si="5"/>
        <v>10000</v>
      </c>
      <c r="AC173">
        <v>20000</v>
      </c>
      <c r="AD173">
        <f t="shared" si="6"/>
        <v>10000</v>
      </c>
    </row>
    <row r="174" spans="2:30" hidden="1" x14ac:dyDescent="0.2">
      <c r="B174" s="84">
        <v>10010016</v>
      </c>
      <c r="C174" s="84" t="s">
        <v>967</v>
      </c>
      <c r="D174" s="84" t="s">
        <v>203</v>
      </c>
      <c r="E174" s="85">
        <v>110000</v>
      </c>
      <c r="F174" s="86">
        <v>23818</v>
      </c>
      <c r="G174" s="84"/>
      <c r="H174" s="87"/>
      <c r="I174" s="87"/>
      <c r="J174" s="88">
        <v>86182</v>
      </c>
      <c r="K174" s="86">
        <v>13818</v>
      </c>
      <c r="L174" s="89">
        <v>10000</v>
      </c>
      <c r="N174" s="91">
        <v>0</v>
      </c>
      <c r="O174" s="91">
        <v>0</v>
      </c>
      <c r="P174" s="91">
        <v>0</v>
      </c>
      <c r="Q174" s="91"/>
      <c r="R174" s="91"/>
      <c r="S174" s="91"/>
      <c r="T174" s="91"/>
      <c r="U174" s="91"/>
      <c r="V174" s="91">
        <v>0</v>
      </c>
      <c r="W174" s="91">
        <v>0</v>
      </c>
      <c r="X174" s="91"/>
      <c r="Y174" s="91"/>
      <c r="Z174" s="91"/>
      <c r="AA174" s="63">
        <f t="shared" si="5"/>
        <v>10000</v>
      </c>
      <c r="AC174">
        <v>20000</v>
      </c>
      <c r="AD174">
        <f t="shared" si="6"/>
        <v>10000</v>
      </c>
    </row>
    <row r="175" spans="2:30" hidden="1" x14ac:dyDescent="0.2">
      <c r="B175" s="77">
        <v>10100013</v>
      </c>
      <c r="C175" s="77" t="s">
        <v>971</v>
      </c>
      <c r="D175" s="77" t="s">
        <v>906</v>
      </c>
      <c r="E175" s="78">
        <v>110000</v>
      </c>
      <c r="F175" s="79">
        <v>14386</v>
      </c>
      <c r="G175" s="77"/>
      <c r="H175" s="80"/>
      <c r="I175" s="80"/>
      <c r="J175" s="81">
        <v>95614</v>
      </c>
      <c r="K175" s="79">
        <v>9386</v>
      </c>
      <c r="L175" s="82">
        <v>5000</v>
      </c>
      <c r="N175" s="91">
        <v>0</v>
      </c>
      <c r="O175" s="91">
        <v>0</v>
      </c>
      <c r="P175" s="91">
        <v>0</v>
      </c>
      <c r="Q175" s="91"/>
      <c r="R175" s="91"/>
      <c r="S175" s="91"/>
      <c r="T175" s="91"/>
      <c r="U175" s="91"/>
      <c r="V175" s="91">
        <v>0</v>
      </c>
      <c r="W175" s="91">
        <v>0</v>
      </c>
      <c r="X175" s="91"/>
      <c r="Y175" s="91"/>
      <c r="Z175" s="91"/>
      <c r="AA175" s="63">
        <f t="shared" si="5"/>
        <v>5000</v>
      </c>
      <c r="AC175">
        <v>20000</v>
      </c>
      <c r="AD175">
        <f t="shared" si="6"/>
        <v>15000</v>
      </c>
    </row>
    <row r="176" spans="2:30" hidden="1" x14ac:dyDescent="0.2">
      <c r="B176" s="84">
        <v>10100014</v>
      </c>
      <c r="C176" s="84" t="s">
        <v>975</v>
      </c>
      <c r="D176" s="84" t="s">
        <v>906</v>
      </c>
      <c r="E176" s="85">
        <v>110000</v>
      </c>
      <c r="F176" s="86">
        <v>65447.81157273108</v>
      </c>
      <c r="G176" s="84"/>
      <c r="H176" s="87"/>
      <c r="I176" s="87"/>
      <c r="J176" s="88">
        <v>44552.18842726892</v>
      </c>
      <c r="K176" s="86">
        <v>55447.81157273108</v>
      </c>
      <c r="L176" s="89">
        <v>10000</v>
      </c>
      <c r="N176" s="91">
        <v>0</v>
      </c>
      <c r="O176" s="91">
        <v>0</v>
      </c>
      <c r="P176" s="91">
        <v>0</v>
      </c>
      <c r="Q176" s="91"/>
      <c r="R176" s="91"/>
      <c r="S176" s="91"/>
      <c r="T176" s="91"/>
      <c r="U176" s="91"/>
      <c r="V176" s="91">
        <v>0</v>
      </c>
      <c r="W176" s="91">
        <v>0</v>
      </c>
      <c r="X176" s="91"/>
      <c r="Y176" s="91"/>
      <c r="Z176" s="91"/>
      <c r="AA176" s="63">
        <f t="shared" si="5"/>
        <v>10000</v>
      </c>
      <c r="AC176">
        <v>20000</v>
      </c>
      <c r="AD176">
        <f t="shared" si="6"/>
        <v>10000</v>
      </c>
    </row>
    <row r="177" spans="2:30" hidden="1" x14ac:dyDescent="0.2">
      <c r="B177" s="77">
        <v>10100015</v>
      </c>
      <c r="C177" s="77" t="s">
        <v>979</v>
      </c>
      <c r="D177" s="77" t="s">
        <v>906</v>
      </c>
      <c r="E177" s="78">
        <v>110000</v>
      </c>
      <c r="F177" s="79">
        <v>75390.385229166714</v>
      </c>
      <c r="G177" s="77"/>
      <c r="H177" s="80"/>
      <c r="I177" s="80"/>
      <c r="J177" s="81">
        <v>34609.614770833286</v>
      </c>
      <c r="K177" s="79">
        <v>65390.385229166714</v>
      </c>
      <c r="L177" s="82">
        <v>10000</v>
      </c>
      <c r="N177" s="91">
        <v>0</v>
      </c>
      <c r="O177" s="91">
        <v>0</v>
      </c>
      <c r="P177" s="91">
        <v>0</v>
      </c>
      <c r="Q177" s="91"/>
      <c r="R177" s="91"/>
      <c r="S177" s="91"/>
      <c r="T177" s="91"/>
      <c r="U177" s="91"/>
      <c r="V177" s="91">
        <v>0</v>
      </c>
      <c r="W177" s="91">
        <v>0</v>
      </c>
      <c r="X177" s="91"/>
      <c r="Y177" s="91"/>
      <c r="Z177" s="91"/>
      <c r="AA177" s="63">
        <f t="shared" si="5"/>
        <v>10000</v>
      </c>
      <c r="AC177">
        <v>20000</v>
      </c>
      <c r="AD177">
        <f t="shared" si="6"/>
        <v>10000</v>
      </c>
    </row>
    <row r="178" spans="2:30" hidden="1" x14ac:dyDescent="0.2">
      <c r="B178" s="84">
        <v>10140055</v>
      </c>
      <c r="C178" s="84" t="s">
        <v>1001</v>
      </c>
      <c r="D178" s="84" t="s">
        <v>85</v>
      </c>
      <c r="E178" s="85">
        <v>110000</v>
      </c>
      <c r="F178" s="86">
        <v>84123.21621400975</v>
      </c>
      <c r="G178" s="84"/>
      <c r="H178" s="87"/>
      <c r="I178" s="87"/>
      <c r="J178" s="88">
        <v>25876.78378599025</v>
      </c>
      <c r="K178" s="86">
        <v>74123.21621400975</v>
      </c>
      <c r="L178" s="89">
        <v>10000</v>
      </c>
      <c r="N178" s="91">
        <v>0</v>
      </c>
      <c r="O178" s="91">
        <v>0</v>
      </c>
      <c r="P178" s="91">
        <v>0</v>
      </c>
      <c r="Q178" s="91"/>
      <c r="R178" s="91"/>
      <c r="S178" s="91"/>
      <c r="T178" s="91"/>
      <c r="U178" s="91"/>
      <c r="V178" s="91">
        <v>0</v>
      </c>
      <c r="W178" s="91">
        <v>0</v>
      </c>
      <c r="X178" s="91"/>
      <c r="Y178" s="91"/>
      <c r="Z178" s="91"/>
      <c r="AA178" s="63">
        <f t="shared" si="5"/>
        <v>10000</v>
      </c>
      <c r="AC178">
        <v>20000</v>
      </c>
      <c r="AD178">
        <f t="shared" si="6"/>
        <v>10000</v>
      </c>
    </row>
    <row r="179" spans="2:30" hidden="1" x14ac:dyDescent="0.2">
      <c r="B179" s="77">
        <v>10130026</v>
      </c>
      <c r="C179" s="77" t="s">
        <v>1007</v>
      </c>
      <c r="D179" s="77" t="s">
        <v>177</v>
      </c>
      <c r="E179" s="78">
        <v>64000</v>
      </c>
      <c r="F179" s="79">
        <v>37390.547999999995</v>
      </c>
      <c r="G179" s="77"/>
      <c r="H179" s="80"/>
      <c r="I179" s="80"/>
      <c r="J179" s="81">
        <v>26609.452000000005</v>
      </c>
      <c r="K179" s="79">
        <v>32390.547999999999</v>
      </c>
      <c r="L179" s="82">
        <v>5000</v>
      </c>
      <c r="N179" s="91">
        <v>0</v>
      </c>
      <c r="O179" s="91">
        <v>0</v>
      </c>
      <c r="P179" s="91">
        <v>0</v>
      </c>
      <c r="Q179" s="91"/>
      <c r="R179" s="91"/>
      <c r="S179" s="91"/>
      <c r="T179" s="91"/>
      <c r="U179" s="91"/>
      <c r="V179" s="91">
        <v>0</v>
      </c>
      <c r="W179" s="91">
        <v>0</v>
      </c>
      <c r="X179" s="91"/>
      <c r="Y179" s="91"/>
      <c r="Z179" s="91"/>
      <c r="AA179" s="63">
        <f t="shared" si="5"/>
        <v>5000</v>
      </c>
      <c r="AC179">
        <v>20000</v>
      </c>
      <c r="AD179">
        <f t="shared" si="6"/>
        <v>15000</v>
      </c>
    </row>
    <row r="180" spans="2:30" hidden="1" x14ac:dyDescent="0.2">
      <c r="B180" s="84">
        <v>10010021</v>
      </c>
      <c r="C180" s="84" t="s">
        <v>1014</v>
      </c>
      <c r="D180" s="84" t="s">
        <v>203</v>
      </c>
      <c r="E180" s="85">
        <v>110000</v>
      </c>
      <c r="F180" s="86">
        <v>36568.858451120381</v>
      </c>
      <c r="G180" s="84"/>
      <c r="H180" s="87"/>
      <c r="I180" s="87"/>
      <c r="J180" s="88">
        <v>73431.141548879619</v>
      </c>
      <c r="K180" s="86">
        <v>31568.858451120381</v>
      </c>
      <c r="L180" s="89">
        <v>5000</v>
      </c>
      <c r="N180" s="91">
        <v>0</v>
      </c>
      <c r="O180" s="91">
        <v>0</v>
      </c>
      <c r="P180" s="91">
        <v>0</v>
      </c>
      <c r="Q180" s="91"/>
      <c r="R180" s="91"/>
      <c r="S180" s="91"/>
      <c r="T180" s="91"/>
      <c r="U180" s="91"/>
      <c r="V180" s="91">
        <v>0</v>
      </c>
      <c r="W180" s="91">
        <v>0</v>
      </c>
      <c r="X180" s="91"/>
      <c r="Y180" s="91"/>
      <c r="Z180" s="91"/>
      <c r="AA180" s="63">
        <f t="shared" si="5"/>
        <v>5000</v>
      </c>
      <c r="AC180">
        <v>20000</v>
      </c>
      <c r="AD180">
        <f t="shared" si="6"/>
        <v>15000</v>
      </c>
    </row>
    <row r="181" spans="2:30" hidden="1" x14ac:dyDescent="0.2">
      <c r="B181" s="77">
        <v>10010019</v>
      </c>
      <c r="C181" s="77" t="s">
        <v>1018</v>
      </c>
      <c r="D181" s="77" t="s">
        <v>203</v>
      </c>
      <c r="E181" s="78">
        <v>110000</v>
      </c>
      <c r="F181" s="79">
        <v>54096.149776674596</v>
      </c>
      <c r="G181" s="77"/>
      <c r="H181" s="80"/>
      <c r="I181" s="80"/>
      <c r="J181" s="81">
        <v>55903.850223325404</v>
      </c>
      <c r="K181" s="79">
        <v>54096.149776674596</v>
      </c>
      <c r="L181" s="82"/>
      <c r="N181" s="91">
        <v>0</v>
      </c>
      <c r="O181" s="91">
        <v>0</v>
      </c>
      <c r="P181" s="91">
        <v>0</v>
      </c>
      <c r="Q181" s="91"/>
      <c r="R181" s="91"/>
      <c r="S181" s="91"/>
      <c r="T181" s="91"/>
      <c r="U181" s="91"/>
      <c r="V181" s="91">
        <v>0</v>
      </c>
      <c r="W181" s="91">
        <v>0</v>
      </c>
      <c r="X181" s="91"/>
      <c r="Y181" s="91"/>
      <c r="Z181" s="91"/>
      <c r="AA181" s="63">
        <f t="shared" si="5"/>
        <v>0</v>
      </c>
      <c r="AC181">
        <v>20000</v>
      </c>
      <c r="AD181">
        <f t="shared" si="6"/>
        <v>20000</v>
      </c>
    </row>
    <row r="182" spans="2:30" hidden="1" x14ac:dyDescent="0.2">
      <c r="B182" s="84">
        <v>10100024</v>
      </c>
      <c r="C182" s="84" t="s">
        <v>1023</v>
      </c>
      <c r="D182" s="84" t="s">
        <v>906</v>
      </c>
      <c r="E182" s="85">
        <v>110000</v>
      </c>
      <c r="F182" s="86">
        <v>43929</v>
      </c>
      <c r="G182" s="84"/>
      <c r="H182" s="87"/>
      <c r="I182" s="87"/>
      <c r="J182" s="88">
        <v>66071</v>
      </c>
      <c r="K182" s="86">
        <v>33929</v>
      </c>
      <c r="L182" s="89">
        <v>10000</v>
      </c>
      <c r="N182" s="91">
        <v>0</v>
      </c>
      <c r="O182" s="91">
        <v>0</v>
      </c>
      <c r="P182" s="91">
        <v>0</v>
      </c>
      <c r="Q182" s="91"/>
      <c r="R182" s="91"/>
      <c r="S182" s="91"/>
      <c r="T182" s="91"/>
      <c r="U182" s="91"/>
      <c r="V182" s="91">
        <v>0</v>
      </c>
      <c r="W182" s="91">
        <v>0</v>
      </c>
      <c r="X182" s="91"/>
      <c r="Y182" s="91"/>
      <c r="Z182" s="91"/>
      <c r="AA182" s="63">
        <f t="shared" si="5"/>
        <v>10000</v>
      </c>
      <c r="AC182">
        <v>20000</v>
      </c>
      <c r="AD182">
        <f t="shared" si="6"/>
        <v>10000</v>
      </c>
    </row>
    <row r="183" spans="2:30" hidden="1" x14ac:dyDescent="0.2">
      <c r="B183" s="77">
        <v>10060031</v>
      </c>
      <c r="C183" s="77" t="s">
        <v>1035</v>
      </c>
      <c r="D183" s="77" t="s">
        <v>1321</v>
      </c>
      <c r="E183" s="78">
        <v>110000</v>
      </c>
      <c r="F183" s="79">
        <v>64737.074200000003</v>
      </c>
      <c r="G183" s="77"/>
      <c r="H183" s="80"/>
      <c r="I183" s="80"/>
      <c r="J183" s="81">
        <v>45262.925799999997</v>
      </c>
      <c r="K183" s="79">
        <v>49737.074200000003</v>
      </c>
      <c r="L183" s="82">
        <v>15000</v>
      </c>
      <c r="N183" s="91">
        <v>0</v>
      </c>
      <c r="O183" s="91">
        <v>0</v>
      </c>
      <c r="P183" s="91">
        <v>0</v>
      </c>
      <c r="Q183" s="91"/>
      <c r="R183" s="91"/>
      <c r="S183" s="91"/>
      <c r="T183" s="91"/>
      <c r="U183" s="91"/>
      <c r="V183" s="91">
        <v>0</v>
      </c>
      <c r="W183" s="91">
        <v>0</v>
      </c>
      <c r="X183" s="91"/>
      <c r="Y183" s="91"/>
      <c r="Z183" s="91"/>
      <c r="AA183" s="63">
        <f t="shared" si="5"/>
        <v>15000</v>
      </c>
      <c r="AC183">
        <v>20000</v>
      </c>
      <c r="AD183">
        <f t="shared" si="6"/>
        <v>5000</v>
      </c>
    </row>
    <row r="184" spans="2:30" hidden="1" x14ac:dyDescent="0.2">
      <c r="B184" s="84">
        <v>10100021</v>
      </c>
      <c r="C184" s="84" t="s">
        <v>1053</v>
      </c>
      <c r="D184" s="84" t="s">
        <v>906</v>
      </c>
      <c r="E184" s="85">
        <v>110000</v>
      </c>
      <c r="F184" s="86">
        <v>85711.552779102378</v>
      </c>
      <c r="G184" s="84"/>
      <c r="H184" s="87"/>
      <c r="I184" s="87"/>
      <c r="J184" s="88">
        <v>24288.447220897622</v>
      </c>
      <c r="K184" s="86">
        <v>75711.552779102378</v>
      </c>
      <c r="L184" s="89">
        <v>10000</v>
      </c>
      <c r="N184" s="91">
        <v>0</v>
      </c>
      <c r="O184" s="91">
        <v>0</v>
      </c>
      <c r="P184" s="91">
        <v>0</v>
      </c>
      <c r="Q184" s="91"/>
      <c r="R184" s="91"/>
      <c r="S184" s="91"/>
      <c r="T184" s="91"/>
      <c r="U184" s="91"/>
      <c r="V184" s="91">
        <v>0</v>
      </c>
      <c r="W184" s="91">
        <v>0</v>
      </c>
      <c r="X184" s="91"/>
      <c r="Y184" s="91"/>
      <c r="Z184" s="91"/>
      <c r="AA184" s="63">
        <f t="shared" si="5"/>
        <v>10000</v>
      </c>
      <c r="AC184">
        <v>20000</v>
      </c>
      <c r="AD184">
        <f t="shared" si="6"/>
        <v>10000</v>
      </c>
    </row>
    <row r="185" spans="2:30" hidden="1" x14ac:dyDescent="0.2">
      <c r="B185" s="77">
        <v>10070013</v>
      </c>
      <c r="C185" s="77" t="s">
        <v>1094</v>
      </c>
      <c r="D185" s="77" t="s">
        <v>2257</v>
      </c>
      <c r="E185" s="78">
        <v>110000</v>
      </c>
      <c r="F185" s="79">
        <v>51835.218568627199</v>
      </c>
      <c r="G185" s="77"/>
      <c r="H185" s="80"/>
      <c r="I185" s="80"/>
      <c r="J185" s="81">
        <v>58164.781431372801</v>
      </c>
      <c r="K185" s="79">
        <v>46835.218568627199</v>
      </c>
      <c r="L185" s="82">
        <v>5000</v>
      </c>
      <c r="N185" s="91">
        <v>0</v>
      </c>
      <c r="O185" s="91">
        <v>0</v>
      </c>
      <c r="P185" s="91">
        <v>0</v>
      </c>
      <c r="Q185" s="91"/>
      <c r="R185" s="91"/>
      <c r="S185" s="91"/>
      <c r="T185" s="91"/>
      <c r="U185" s="91"/>
      <c r="V185" s="91">
        <v>0</v>
      </c>
      <c r="W185" s="91">
        <v>0</v>
      </c>
      <c r="X185" s="91"/>
      <c r="Y185" s="91"/>
      <c r="Z185" s="91"/>
      <c r="AA185" s="63">
        <f t="shared" si="5"/>
        <v>5000</v>
      </c>
      <c r="AC185">
        <v>20000</v>
      </c>
      <c r="AD185">
        <f t="shared" si="6"/>
        <v>15000</v>
      </c>
    </row>
    <row r="186" spans="2:30" hidden="1" x14ac:dyDescent="0.2">
      <c r="B186" s="84">
        <v>10100001</v>
      </c>
      <c r="C186" s="84" t="s">
        <v>1098</v>
      </c>
      <c r="D186" s="84" t="s">
        <v>906</v>
      </c>
      <c r="E186" s="85">
        <v>110000</v>
      </c>
      <c r="F186" s="86">
        <v>74245.240517312704</v>
      </c>
      <c r="G186" s="84"/>
      <c r="H186" s="87"/>
      <c r="I186" s="87"/>
      <c r="J186" s="88">
        <v>35754.759482687296</v>
      </c>
      <c r="K186" s="86">
        <v>69245.240517312704</v>
      </c>
      <c r="L186" s="89">
        <v>5000</v>
      </c>
      <c r="N186" s="91">
        <v>0</v>
      </c>
      <c r="O186" s="91">
        <v>0</v>
      </c>
      <c r="P186" s="91">
        <v>0</v>
      </c>
      <c r="Q186" s="91"/>
      <c r="R186" s="91"/>
      <c r="S186" s="91"/>
      <c r="T186" s="91"/>
      <c r="U186" s="91"/>
      <c r="V186" s="91">
        <v>0</v>
      </c>
      <c r="W186" s="91">
        <v>0</v>
      </c>
      <c r="X186" s="91"/>
      <c r="Y186" s="91"/>
      <c r="Z186" s="91"/>
      <c r="AA186" s="63">
        <f t="shared" si="5"/>
        <v>5000</v>
      </c>
      <c r="AC186">
        <v>20000</v>
      </c>
      <c r="AD186">
        <f t="shared" si="6"/>
        <v>15000</v>
      </c>
    </row>
    <row r="187" spans="2:30" hidden="1" x14ac:dyDescent="0.2">
      <c r="B187" s="77">
        <v>10140054</v>
      </c>
      <c r="C187" s="77" t="s">
        <v>1118</v>
      </c>
      <c r="D187" s="77" t="s">
        <v>85</v>
      </c>
      <c r="E187" s="78">
        <v>110000</v>
      </c>
      <c r="F187" s="79">
        <v>61742.481863760608</v>
      </c>
      <c r="G187" s="77"/>
      <c r="H187" s="80"/>
      <c r="I187" s="80"/>
      <c r="J187" s="81">
        <v>48257.518136239392</v>
      </c>
      <c r="K187" s="79">
        <v>51742.481863760608</v>
      </c>
      <c r="L187" s="82">
        <v>10000</v>
      </c>
      <c r="N187" s="91">
        <v>0</v>
      </c>
      <c r="O187" s="91">
        <v>0</v>
      </c>
      <c r="P187" s="91">
        <v>0</v>
      </c>
      <c r="Q187" s="91"/>
      <c r="R187" s="91"/>
      <c r="S187" s="91"/>
      <c r="T187" s="91"/>
      <c r="U187" s="91"/>
      <c r="V187" s="91">
        <v>0</v>
      </c>
      <c r="W187" s="91">
        <v>0</v>
      </c>
      <c r="X187" s="91"/>
      <c r="Y187" s="91"/>
      <c r="Z187" s="91"/>
      <c r="AA187" s="63">
        <f t="shared" si="5"/>
        <v>10000</v>
      </c>
      <c r="AC187">
        <v>20000</v>
      </c>
      <c r="AD187">
        <f t="shared" si="6"/>
        <v>10000</v>
      </c>
    </row>
    <row r="188" spans="2:30" hidden="1" x14ac:dyDescent="0.2">
      <c r="B188" s="84">
        <v>10130032</v>
      </c>
      <c r="C188" s="84" t="s">
        <v>1126</v>
      </c>
      <c r="D188" s="84" t="s">
        <v>1630</v>
      </c>
      <c r="E188" s="85">
        <v>64000</v>
      </c>
      <c r="F188" s="86">
        <v>34032</v>
      </c>
      <c r="G188" s="84"/>
      <c r="H188" s="87"/>
      <c r="I188" s="87"/>
      <c r="J188" s="88">
        <v>29968</v>
      </c>
      <c r="K188" s="86">
        <v>29032</v>
      </c>
      <c r="L188" s="89">
        <v>5000</v>
      </c>
      <c r="N188" s="91">
        <v>0</v>
      </c>
      <c r="O188" s="91">
        <v>0</v>
      </c>
      <c r="P188" s="91">
        <v>0</v>
      </c>
      <c r="Q188" s="91"/>
      <c r="R188" s="91"/>
      <c r="S188" s="91"/>
      <c r="T188" s="91"/>
      <c r="U188" s="91"/>
      <c r="V188" s="91">
        <v>0</v>
      </c>
      <c r="W188" s="91">
        <v>0</v>
      </c>
      <c r="X188" s="91"/>
      <c r="Y188" s="91"/>
      <c r="Z188" s="91"/>
      <c r="AA188" s="63">
        <f t="shared" si="5"/>
        <v>5000</v>
      </c>
      <c r="AC188">
        <v>20000</v>
      </c>
      <c r="AD188">
        <f t="shared" si="6"/>
        <v>15000</v>
      </c>
    </row>
    <row r="189" spans="2:30" hidden="1" x14ac:dyDescent="0.2">
      <c r="B189" s="77">
        <v>0</v>
      </c>
      <c r="C189" s="77" t="s">
        <v>1129</v>
      </c>
      <c r="D189" s="77" t="s">
        <v>85</v>
      </c>
      <c r="E189" s="78">
        <v>110000</v>
      </c>
      <c r="F189" s="79">
        <v>12414</v>
      </c>
      <c r="G189" s="77"/>
      <c r="H189" s="80"/>
      <c r="I189" s="80"/>
      <c r="J189" s="81">
        <v>97586</v>
      </c>
      <c r="K189" s="79">
        <v>2414</v>
      </c>
      <c r="L189" s="82">
        <v>10000</v>
      </c>
      <c r="N189" s="91">
        <v>0</v>
      </c>
      <c r="O189" s="91">
        <v>0</v>
      </c>
      <c r="P189" s="91">
        <v>0</v>
      </c>
      <c r="Q189" s="91"/>
      <c r="R189" s="91"/>
      <c r="S189" s="91"/>
      <c r="T189" s="91"/>
      <c r="U189" s="91"/>
      <c r="V189" s="91">
        <v>0</v>
      </c>
      <c r="W189" s="91">
        <v>0</v>
      </c>
      <c r="X189" s="91"/>
      <c r="Y189" s="91"/>
      <c r="Z189" s="91"/>
      <c r="AA189" s="63">
        <f t="shared" si="5"/>
        <v>10000</v>
      </c>
      <c r="AC189">
        <v>20000</v>
      </c>
      <c r="AD189">
        <f t="shared" si="6"/>
        <v>10000</v>
      </c>
    </row>
    <row r="190" spans="2:30" hidden="1" x14ac:dyDescent="0.2">
      <c r="B190" s="84">
        <v>10510004</v>
      </c>
      <c r="C190" s="84" t="s">
        <v>1133</v>
      </c>
      <c r="D190" s="84" t="s">
        <v>85</v>
      </c>
      <c r="E190" s="85">
        <v>110000</v>
      </c>
      <c r="F190" s="86">
        <v>110000</v>
      </c>
      <c r="G190" s="84"/>
      <c r="H190" s="87"/>
      <c r="I190" s="87"/>
      <c r="J190" s="88">
        <v>0</v>
      </c>
      <c r="K190" s="86">
        <v>100500</v>
      </c>
      <c r="L190" s="89">
        <v>9500</v>
      </c>
      <c r="N190" s="91">
        <v>0</v>
      </c>
      <c r="O190" s="91">
        <v>0</v>
      </c>
      <c r="P190" s="91">
        <v>0</v>
      </c>
      <c r="Q190" s="91"/>
      <c r="R190" s="91"/>
      <c r="S190" s="91"/>
      <c r="T190" s="91"/>
      <c r="U190" s="91"/>
      <c r="V190" s="91">
        <v>0</v>
      </c>
      <c r="W190" s="91">
        <v>0</v>
      </c>
      <c r="X190" s="91"/>
      <c r="Y190" s="91"/>
      <c r="Z190" s="91"/>
      <c r="AA190" s="63">
        <f t="shared" si="5"/>
        <v>9500</v>
      </c>
      <c r="AC190">
        <v>20000</v>
      </c>
      <c r="AD190">
        <f t="shared" si="6"/>
        <v>10500</v>
      </c>
    </row>
    <row r="191" spans="2:30" hidden="1" x14ac:dyDescent="0.2">
      <c r="B191" s="77">
        <v>10140053</v>
      </c>
      <c r="C191" s="77" t="s">
        <v>1136</v>
      </c>
      <c r="D191" s="77" t="s">
        <v>85</v>
      </c>
      <c r="E191" s="78">
        <v>110000</v>
      </c>
      <c r="F191" s="79">
        <v>29575</v>
      </c>
      <c r="G191" s="77"/>
      <c r="H191" s="80"/>
      <c r="I191" s="80"/>
      <c r="J191" s="81">
        <v>80425</v>
      </c>
      <c r="K191" s="79">
        <v>24575</v>
      </c>
      <c r="L191" s="82">
        <v>5000</v>
      </c>
      <c r="N191" s="91">
        <v>0</v>
      </c>
      <c r="O191" s="91">
        <v>0</v>
      </c>
      <c r="P191" s="91">
        <v>0</v>
      </c>
      <c r="Q191" s="91"/>
      <c r="R191" s="91"/>
      <c r="S191" s="91"/>
      <c r="T191" s="91"/>
      <c r="U191" s="91"/>
      <c r="V191" s="91">
        <v>0</v>
      </c>
      <c r="W191" s="91">
        <v>0</v>
      </c>
      <c r="X191" s="91"/>
      <c r="Y191" s="91"/>
      <c r="Z191" s="91"/>
      <c r="AA191" s="63">
        <f t="shared" si="5"/>
        <v>5000</v>
      </c>
      <c r="AC191">
        <v>20000</v>
      </c>
      <c r="AD191">
        <f t="shared" si="6"/>
        <v>15000</v>
      </c>
    </row>
    <row r="192" spans="2:30" hidden="1" x14ac:dyDescent="0.2">
      <c r="B192" s="84">
        <v>10140047</v>
      </c>
      <c r="C192" s="84" t="s">
        <v>1140</v>
      </c>
      <c r="D192" s="84" t="s">
        <v>85</v>
      </c>
      <c r="E192" s="85">
        <v>110000</v>
      </c>
      <c r="F192" s="86">
        <v>98351.603239554694</v>
      </c>
      <c r="G192" s="84"/>
      <c r="H192" s="87"/>
      <c r="I192" s="87"/>
      <c r="J192" s="88">
        <v>11648.396760445306</v>
      </c>
      <c r="K192" s="86">
        <v>88351.603239554694</v>
      </c>
      <c r="L192" s="89">
        <v>10000</v>
      </c>
      <c r="N192" s="91">
        <v>0</v>
      </c>
      <c r="O192" s="91">
        <v>0</v>
      </c>
      <c r="P192" s="91">
        <v>0</v>
      </c>
      <c r="Q192" s="91"/>
      <c r="R192" s="91"/>
      <c r="S192" s="91"/>
      <c r="T192" s="91"/>
      <c r="U192" s="91"/>
      <c r="V192" s="91">
        <v>0</v>
      </c>
      <c r="W192" s="91">
        <v>0</v>
      </c>
      <c r="X192" s="91"/>
      <c r="Y192" s="91"/>
      <c r="Z192" s="91"/>
      <c r="AA192" s="63">
        <f t="shared" si="5"/>
        <v>10000</v>
      </c>
      <c r="AC192">
        <v>20000</v>
      </c>
      <c r="AD192">
        <f t="shared" si="6"/>
        <v>10000</v>
      </c>
    </row>
    <row r="193" spans="2:30" hidden="1" x14ac:dyDescent="0.2">
      <c r="B193" s="77">
        <v>10140045</v>
      </c>
      <c r="C193" s="77" t="s">
        <v>1148</v>
      </c>
      <c r="D193" s="77" t="s">
        <v>85</v>
      </c>
      <c r="E193" s="78">
        <v>110000</v>
      </c>
      <c r="F193" s="79">
        <v>110000</v>
      </c>
      <c r="G193" s="77"/>
      <c r="H193" s="80"/>
      <c r="I193" s="80"/>
      <c r="J193" s="81">
        <v>0</v>
      </c>
      <c r="K193" s="79">
        <v>100500</v>
      </c>
      <c r="L193" s="82">
        <v>9500</v>
      </c>
      <c r="N193" s="91">
        <v>0</v>
      </c>
      <c r="O193" s="91">
        <v>0</v>
      </c>
      <c r="P193" s="91">
        <v>0</v>
      </c>
      <c r="Q193" s="91"/>
      <c r="R193" s="91"/>
      <c r="S193" s="91"/>
      <c r="T193" s="91"/>
      <c r="U193" s="91"/>
      <c r="V193" s="91">
        <v>0</v>
      </c>
      <c r="W193" s="91">
        <v>0</v>
      </c>
      <c r="X193" s="91"/>
      <c r="Y193" s="91"/>
      <c r="Z193" s="91"/>
      <c r="AA193" s="63">
        <f t="shared" si="5"/>
        <v>9500</v>
      </c>
      <c r="AC193">
        <v>20000</v>
      </c>
      <c r="AD193">
        <f t="shared" si="6"/>
        <v>10500</v>
      </c>
    </row>
    <row r="194" spans="2:30" hidden="1" x14ac:dyDescent="0.2">
      <c r="B194" s="84">
        <v>10140036</v>
      </c>
      <c r="C194" s="84" t="s">
        <v>1162</v>
      </c>
      <c r="D194" s="84" t="s">
        <v>85</v>
      </c>
      <c r="E194" s="85">
        <v>110000</v>
      </c>
      <c r="F194" s="86">
        <v>29964.189000000002</v>
      </c>
      <c r="G194" s="84"/>
      <c r="H194" s="87"/>
      <c r="I194" s="87"/>
      <c r="J194" s="88">
        <v>80035.811000000002</v>
      </c>
      <c r="K194" s="86">
        <v>19964.189000000002</v>
      </c>
      <c r="L194" s="89">
        <v>10000</v>
      </c>
      <c r="N194" s="91">
        <v>0</v>
      </c>
      <c r="O194" s="91">
        <v>0</v>
      </c>
      <c r="P194" s="91">
        <v>0</v>
      </c>
      <c r="Q194" s="91"/>
      <c r="R194" s="91"/>
      <c r="S194" s="91"/>
      <c r="T194" s="91"/>
      <c r="U194" s="91"/>
      <c r="V194" s="91">
        <v>0</v>
      </c>
      <c r="W194" s="91">
        <v>0</v>
      </c>
      <c r="X194" s="91"/>
      <c r="Y194" s="91"/>
      <c r="Z194" s="91"/>
      <c r="AA194" s="63">
        <f t="shared" si="5"/>
        <v>10000</v>
      </c>
      <c r="AC194">
        <v>20000</v>
      </c>
      <c r="AD194">
        <f t="shared" si="6"/>
        <v>10000</v>
      </c>
    </row>
    <row r="195" spans="2:30" hidden="1" x14ac:dyDescent="0.2">
      <c r="B195" s="77">
        <v>10100017</v>
      </c>
      <c r="C195" s="77" t="s">
        <v>1177</v>
      </c>
      <c r="D195" s="77" t="s">
        <v>906</v>
      </c>
      <c r="E195" s="78">
        <v>109992</v>
      </c>
      <c r="F195" s="79">
        <v>109991.57909603723</v>
      </c>
      <c r="G195" s="77"/>
      <c r="H195" s="80"/>
      <c r="I195" s="80"/>
      <c r="J195" s="81">
        <v>0.42090396277490072</v>
      </c>
      <c r="K195" s="79">
        <v>24562.579096037218</v>
      </c>
      <c r="L195" s="82">
        <v>10000</v>
      </c>
      <c r="N195" s="91">
        <v>0</v>
      </c>
      <c r="O195" s="91">
        <v>0</v>
      </c>
      <c r="P195" s="91">
        <v>0</v>
      </c>
      <c r="Q195" s="91"/>
      <c r="R195" s="91"/>
      <c r="S195" s="91"/>
      <c r="T195" s="91"/>
      <c r="U195" s="91"/>
      <c r="V195" s="91">
        <v>0</v>
      </c>
      <c r="W195" s="91">
        <v>0</v>
      </c>
      <c r="X195" s="91"/>
      <c r="Y195" s="91"/>
      <c r="Z195" s="91"/>
      <c r="AA195" s="63">
        <f t="shared" si="5"/>
        <v>10000</v>
      </c>
      <c r="AC195">
        <v>20000</v>
      </c>
      <c r="AD195">
        <f t="shared" si="6"/>
        <v>10000</v>
      </c>
    </row>
    <row r="196" spans="2:30" hidden="1" x14ac:dyDescent="0.2">
      <c r="B196" s="84">
        <v>10130030</v>
      </c>
      <c r="C196" s="84" t="s">
        <v>1181</v>
      </c>
      <c r="D196" s="84" t="s">
        <v>1630</v>
      </c>
      <c r="E196" s="85">
        <v>64000</v>
      </c>
      <c r="F196" s="86">
        <v>64500</v>
      </c>
      <c r="G196" s="84"/>
      <c r="H196" s="87"/>
      <c r="I196" s="87"/>
      <c r="J196" s="88">
        <v>-500</v>
      </c>
      <c r="K196" s="86">
        <v>59500</v>
      </c>
      <c r="L196" s="89">
        <v>5000</v>
      </c>
      <c r="N196" s="91">
        <v>0</v>
      </c>
      <c r="O196" s="91">
        <v>0</v>
      </c>
      <c r="P196" s="91">
        <v>0</v>
      </c>
      <c r="Q196" s="91"/>
      <c r="R196" s="91"/>
      <c r="S196" s="91"/>
      <c r="T196" s="91"/>
      <c r="U196" s="91"/>
      <c r="V196" s="91">
        <v>0</v>
      </c>
      <c r="W196" s="91">
        <v>0</v>
      </c>
      <c r="X196" s="91"/>
      <c r="Y196" s="91"/>
      <c r="Z196" s="91"/>
      <c r="AA196" s="63">
        <f t="shared" ref="AA196:AA259" si="7">SUM(L196:W196)</f>
        <v>5000</v>
      </c>
      <c r="AC196">
        <v>20000</v>
      </c>
      <c r="AD196">
        <f t="shared" si="6"/>
        <v>15000</v>
      </c>
    </row>
    <row r="197" spans="2:30" hidden="1" x14ac:dyDescent="0.2">
      <c r="B197" s="77">
        <v>10120034</v>
      </c>
      <c r="C197" s="77" t="s">
        <v>1193</v>
      </c>
      <c r="D197" s="77" t="s">
        <v>177</v>
      </c>
      <c r="E197" s="78">
        <v>64000</v>
      </c>
      <c r="F197" s="79">
        <v>56408.014548424195</v>
      </c>
      <c r="G197" s="77"/>
      <c r="H197" s="80"/>
      <c r="I197" s="80"/>
      <c r="J197" s="81">
        <v>7591.9854515758052</v>
      </c>
      <c r="K197" s="79">
        <v>46408.014548424195</v>
      </c>
      <c r="L197" s="82">
        <v>10000</v>
      </c>
      <c r="N197" s="91">
        <v>0</v>
      </c>
      <c r="O197" s="91">
        <v>0</v>
      </c>
      <c r="P197" s="91">
        <v>0</v>
      </c>
      <c r="Q197" s="91"/>
      <c r="R197" s="91"/>
      <c r="S197" s="91"/>
      <c r="T197" s="91"/>
      <c r="U197" s="91"/>
      <c r="V197" s="91">
        <v>0</v>
      </c>
      <c r="W197" s="91">
        <v>0</v>
      </c>
      <c r="X197" s="91"/>
      <c r="Y197" s="91"/>
      <c r="Z197" s="91"/>
      <c r="AA197" s="63">
        <f t="shared" si="7"/>
        <v>10000</v>
      </c>
      <c r="AC197">
        <v>20000</v>
      </c>
      <c r="AD197">
        <f t="shared" si="6"/>
        <v>10000</v>
      </c>
    </row>
    <row r="198" spans="2:30" hidden="1" x14ac:dyDescent="0.2">
      <c r="B198" s="84">
        <v>10120035</v>
      </c>
      <c r="C198" s="84" t="s">
        <v>1197</v>
      </c>
      <c r="D198" s="84" t="s">
        <v>177</v>
      </c>
      <c r="E198" s="85">
        <v>64000</v>
      </c>
      <c r="F198" s="86">
        <v>64000</v>
      </c>
      <c r="G198" s="84"/>
      <c r="H198" s="87"/>
      <c r="I198" s="87"/>
      <c r="J198" s="88">
        <v>0</v>
      </c>
      <c r="K198" s="86">
        <v>54000</v>
      </c>
      <c r="L198" s="89">
        <v>10000</v>
      </c>
      <c r="N198" s="91">
        <v>0</v>
      </c>
      <c r="O198" s="91">
        <v>0</v>
      </c>
      <c r="P198" s="91">
        <v>0</v>
      </c>
      <c r="Q198" s="91"/>
      <c r="R198" s="91"/>
      <c r="S198" s="91"/>
      <c r="T198" s="91"/>
      <c r="U198" s="91"/>
      <c r="V198" s="91">
        <v>0</v>
      </c>
      <c r="W198" s="91">
        <v>0</v>
      </c>
      <c r="X198" s="91"/>
      <c r="Y198" s="91"/>
      <c r="Z198" s="91"/>
      <c r="AA198" s="63">
        <f t="shared" si="7"/>
        <v>10000</v>
      </c>
      <c r="AC198">
        <v>20000</v>
      </c>
      <c r="AD198">
        <f t="shared" ref="AD198:AD261" si="8">AC198-AA198</f>
        <v>10000</v>
      </c>
    </row>
    <row r="199" spans="2:30" hidden="1" x14ac:dyDescent="0.2">
      <c r="B199" s="77">
        <v>10070016</v>
      </c>
      <c r="C199" s="77" t="s">
        <v>1201</v>
      </c>
      <c r="D199" s="77" t="s">
        <v>906</v>
      </c>
      <c r="E199" s="78">
        <v>110000</v>
      </c>
      <c r="F199" s="79">
        <v>35081</v>
      </c>
      <c r="G199" s="77"/>
      <c r="H199" s="80"/>
      <c r="I199" s="80"/>
      <c r="J199" s="81">
        <v>74919</v>
      </c>
      <c r="K199" s="79">
        <v>25081</v>
      </c>
      <c r="L199" s="82">
        <v>10000</v>
      </c>
      <c r="N199" s="91">
        <v>0</v>
      </c>
      <c r="O199" s="91">
        <v>0</v>
      </c>
      <c r="P199" s="91">
        <v>0</v>
      </c>
      <c r="Q199" s="91"/>
      <c r="R199" s="91"/>
      <c r="S199" s="91"/>
      <c r="T199" s="91"/>
      <c r="U199" s="91"/>
      <c r="V199" s="91">
        <v>0</v>
      </c>
      <c r="W199" s="91">
        <v>0</v>
      </c>
      <c r="X199" s="91"/>
      <c r="Y199" s="91"/>
      <c r="Z199" s="91"/>
      <c r="AA199" s="63">
        <f t="shared" si="7"/>
        <v>10000</v>
      </c>
      <c r="AC199">
        <v>20000</v>
      </c>
      <c r="AD199">
        <f t="shared" si="8"/>
        <v>10000</v>
      </c>
    </row>
    <row r="200" spans="2:30" hidden="1" x14ac:dyDescent="0.2">
      <c r="B200" s="84">
        <v>10070015</v>
      </c>
      <c r="C200" s="84" t="s">
        <v>1205</v>
      </c>
      <c r="D200" s="84" t="s">
        <v>906</v>
      </c>
      <c r="E200" s="85">
        <v>110000</v>
      </c>
      <c r="F200" s="86">
        <v>28872.158431586562</v>
      </c>
      <c r="G200" s="84"/>
      <c r="H200" s="87"/>
      <c r="I200" s="87"/>
      <c r="J200" s="88">
        <v>81127.841568413438</v>
      </c>
      <c r="K200" s="86">
        <v>28872.158431586562</v>
      </c>
      <c r="L200" s="89"/>
      <c r="N200" s="91">
        <v>0</v>
      </c>
      <c r="O200" s="91">
        <v>0</v>
      </c>
      <c r="P200" s="91">
        <v>0</v>
      </c>
      <c r="Q200" s="91"/>
      <c r="R200" s="91"/>
      <c r="S200" s="91"/>
      <c r="T200" s="91"/>
      <c r="U200" s="91"/>
      <c r="V200" s="91">
        <v>0</v>
      </c>
      <c r="W200" s="91">
        <v>0</v>
      </c>
      <c r="X200" s="91"/>
      <c r="Y200" s="91"/>
      <c r="Z200" s="91"/>
      <c r="AA200" s="63">
        <f t="shared" si="7"/>
        <v>0</v>
      </c>
      <c r="AC200">
        <v>20000</v>
      </c>
      <c r="AD200">
        <f t="shared" si="8"/>
        <v>20000</v>
      </c>
    </row>
    <row r="201" spans="2:30" hidden="1" x14ac:dyDescent="0.2">
      <c r="B201" s="77">
        <v>10060033</v>
      </c>
      <c r="C201" s="77" t="s">
        <v>1226</v>
      </c>
      <c r="D201" s="77" t="s">
        <v>1321</v>
      </c>
      <c r="E201" s="78">
        <v>110000</v>
      </c>
      <c r="F201" s="79">
        <v>64889.86490953133</v>
      </c>
      <c r="G201" s="77"/>
      <c r="H201" s="80"/>
      <c r="I201" s="80"/>
      <c r="J201" s="81">
        <v>45110.13509046867</v>
      </c>
      <c r="K201" s="79">
        <v>54889.86490953133</v>
      </c>
      <c r="L201" s="82">
        <v>10000</v>
      </c>
      <c r="N201" s="91">
        <v>0</v>
      </c>
      <c r="O201" s="91">
        <v>0</v>
      </c>
      <c r="P201" s="91">
        <v>0</v>
      </c>
      <c r="Q201" s="91"/>
      <c r="R201" s="91"/>
      <c r="S201" s="91"/>
      <c r="T201" s="91"/>
      <c r="U201" s="91"/>
      <c r="V201" s="91">
        <v>0</v>
      </c>
      <c r="W201" s="91">
        <v>0</v>
      </c>
      <c r="X201" s="91"/>
      <c r="Y201" s="91"/>
      <c r="Z201" s="91"/>
      <c r="AA201" s="63">
        <f t="shared" si="7"/>
        <v>10000</v>
      </c>
      <c r="AC201">
        <v>20000</v>
      </c>
      <c r="AD201">
        <f t="shared" si="8"/>
        <v>10000</v>
      </c>
    </row>
    <row r="202" spans="2:30" hidden="1" x14ac:dyDescent="0.2">
      <c r="B202" s="84">
        <v>10010031</v>
      </c>
      <c r="C202" s="84" t="s">
        <v>1229</v>
      </c>
      <c r="D202" s="84" t="s">
        <v>203</v>
      </c>
      <c r="E202" s="85">
        <v>110000</v>
      </c>
      <c r="F202" s="86">
        <v>6452</v>
      </c>
      <c r="G202" s="84"/>
      <c r="H202" s="87"/>
      <c r="I202" s="87"/>
      <c r="J202" s="88">
        <v>103548</v>
      </c>
      <c r="K202" s="86">
        <v>6452</v>
      </c>
      <c r="L202" s="89"/>
      <c r="N202" s="91">
        <v>0</v>
      </c>
      <c r="O202" s="91">
        <v>0</v>
      </c>
      <c r="P202" s="91">
        <v>0</v>
      </c>
      <c r="Q202" s="91"/>
      <c r="R202" s="91"/>
      <c r="S202" s="91"/>
      <c r="T202" s="91"/>
      <c r="U202" s="91"/>
      <c r="V202" s="91">
        <v>0</v>
      </c>
      <c r="W202" s="91">
        <v>0</v>
      </c>
      <c r="X202" s="91"/>
      <c r="Y202" s="91"/>
      <c r="Z202" s="91"/>
      <c r="AA202" s="63">
        <f t="shared" si="7"/>
        <v>0</v>
      </c>
      <c r="AC202">
        <v>20000</v>
      </c>
      <c r="AD202">
        <f t="shared" si="8"/>
        <v>20000</v>
      </c>
    </row>
    <row r="203" spans="2:30" hidden="1" x14ac:dyDescent="0.2">
      <c r="B203" s="77">
        <v>10110048</v>
      </c>
      <c r="C203" s="77" t="s">
        <v>1235</v>
      </c>
      <c r="D203" s="77" t="s">
        <v>217</v>
      </c>
      <c r="E203" s="78">
        <v>110000</v>
      </c>
      <c r="F203" s="79">
        <v>20333.050999999999</v>
      </c>
      <c r="G203" s="77"/>
      <c r="H203" s="80"/>
      <c r="I203" s="80"/>
      <c r="J203" s="81">
        <v>89666.948999999993</v>
      </c>
      <c r="K203" s="79">
        <v>20333.050999999999</v>
      </c>
      <c r="L203" s="82"/>
      <c r="N203" s="91">
        <v>0</v>
      </c>
      <c r="O203" s="91">
        <v>0</v>
      </c>
      <c r="P203" s="91">
        <v>0</v>
      </c>
      <c r="Q203" s="91"/>
      <c r="R203" s="91"/>
      <c r="S203" s="91"/>
      <c r="T203" s="91"/>
      <c r="U203" s="91"/>
      <c r="V203" s="91">
        <v>0</v>
      </c>
      <c r="W203" s="91">
        <v>0</v>
      </c>
      <c r="X203" s="91"/>
      <c r="Y203" s="91"/>
      <c r="Z203" s="91"/>
      <c r="AA203" s="63">
        <f t="shared" si="7"/>
        <v>0</v>
      </c>
      <c r="AC203">
        <v>20000</v>
      </c>
      <c r="AD203">
        <f t="shared" si="8"/>
        <v>20000</v>
      </c>
    </row>
    <row r="204" spans="2:30" hidden="1" x14ac:dyDescent="0.2">
      <c r="B204" s="84">
        <v>10080032</v>
      </c>
      <c r="C204" s="84" t="s">
        <v>1244</v>
      </c>
      <c r="D204" s="84" t="s">
        <v>297</v>
      </c>
      <c r="E204" s="85">
        <v>110000</v>
      </c>
      <c r="F204" s="86">
        <v>47734.698567910869</v>
      </c>
      <c r="G204" s="84"/>
      <c r="H204" s="87"/>
      <c r="I204" s="87"/>
      <c r="J204" s="88">
        <v>62265.301432089131</v>
      </c>
      <c r="K204" s="86">
        <v>42734.698567910869</v>
      </c>
      <c r="L204" s="89">
        <v>5000</v>
      </c>
      <c r="N204" s="91">
        <v>0</v>
      </c>
      <c r="O204" s="91">
        <v>0</v>
      </c>
      <c r="P204" s="91">
        <v>0</v>
      </c>
      <c r="Q204" s="91"/>
      <c r="R204" s="91"/>
      <c r="S204" s="91"/>
      <c r="T204" s="91"/>
      <c r="U204" s="91"/>
      <c r="V204" s="91">
        <v>0</v>
      </c>
      <c r="W204" s="91">
        <v>0</v>
      </c>
      <c r="X204" s="91"/>
      <c r="Y204" s="91"/>
      <c r="Z204" s="91"/>
      <c r="AA204" s="63">
        <f t="shared" si="7"/>
        <v>5000</v>
      </c>
      <c r="AC204">
        <v>20000</v>
      </c>
      <c r="AD204">
        <f t="shared" si="8"/>
        <v>15000</v>
      </c>
    </row>
    <row r="205" spans="2:30" hidden="1" x14ac:dyDescent="0.2">
      <c r="B205" s="77">
        <v>0</v>
      </c>
      <c r="C205" s="77" t="s">
        <v>1258</v>
      </c>
      <c r="D205" s="77"/>
      <c r="E205" s="78">
        <v>110000</v>
      </c>
      <c r="F205" s="79">
        <v>10000</v>
      </c>
      <c r="G205" s="77"/>
      <c r="H205" s="80"/>
      <c r="I205" s="80"/>
      <c r="J205" s="81">
        <v>100000</v>
      </c>
      <c r="K205" s="79">
        <v>0</v>
      </c>
      <c r="L205" s="82">
        <v>10000</v>
      </c>
      <c r="N205" s="91">
        <v>0</v>
      </c>
      <c r="O205" s="91">
        <v>0</v>
      </c>
      <c r="P205" s="91">
        <v>0</v>
      </c>
      <c r="Q205" s="91"/>
      <c r="R205" s="91"/>
      <c r="S205" s="91"/>
      <c r="T205" s="91"/>
      <c r="U205" s="91"/>
      <c r="V205" s="91">
        <v>0</v>
      </c>
      <c r="W205" s="91">
        <v>0</v>
      </c>
      <c r="X205" s="91"/>
      <c r="Y205" s="91"/>
      <c r="Z205" s="91"/>
      <c r="AA205" s="63">
        <f t="shared" si="7"/>
        <v>10000</v>
      </c>
      <c r="AC205">
        <v>20000</v>
      </c>
      <c r="AD205">
        <f t="shared" si="8"/>
        <v>10000</v>
      </c>
    </row>
    <row r="206" spans="2:30" hidden="1" x14ac:dyDescent="0.2">
      <c r="B206" s="84">
        <v>10100037</v>
      </c>
      <c r="C206" s="84" t="s">
        <v>1262</v>
      </c>
      <c r="D206" s="84" t="s">
        <v>906</v>
      </c>
      <c r="E206" s="85">
        <v>110000</v>
      </c>
      <c r="F206" s="86">
        <v>34076.150296122622</v>
      </c>
      <c r="G206" s="84"/>
      <c r="H206" s="87"/>
      <c r="I206" s="87"/>
      <c r="J206" s="88">
        <v>75923.849703877378</v>
      </c>
      <c r="K206" s="86">
        <v>24076.150296122622</v>
      </c>
      <c r="L206" s="89">
        <v>10000</v>
      </c>
      <c r="N206" s="91">
        <v>0</v>
      </c>
      <c r="O206" s="91">
        <v>0</v>
      </c>
      <c r="P206" s="91">
        <v>0</v>
      </c>
      <c r="Q206" s="91"/>
      <c r="R206" s="91"/>
      <c r="S206" s="91"/>
      <c r="T206" s="91"/>
      <c r="U206" s="91"/>
      <c r="V206" s="91">
        <v>0</v>
      </c>
      <c r="W206" s="91">
        <v>0</v>
      </c>
      <c r="X206" s="91"/>
      <c r="Y206" s="91"/>
      <c r="Z206" s="91"/>
      <c r="AA206" s="63">
        <f t="shared" si="7"/>
        <v>10000</v>
      </c>
      <c r="AC206">
        <v>20000</v>
      </c>
      <c r="AD206">
        <f t="shared" si="8"/>
        <v>10000</v>
      </c>
    </row>
    <row r="207" spans="2:30" hidden="1" x14ac:dyDescent="0.2">
      <c r="B207" s="77">
        <v>10140057</v>
      </c>
      <c r="C207" s="77" t="s">
        <v>1267</v>
      </c>
      <c r="D207" s="77" t="s">
        <v>85</v>
      </c>
      <c r="E207" s="78">
        <v>110000</v>
      </c>
      <c r="F207" s="79">
        <v>15776.582</v>
      </c>
      <c r="G207" s="77"/>
      <c r="H207" s="80"/>
      <c r="I207" s="80"/>
      <c r="J207" s="81">
        <v>94223.418000000005</v>
      </c>
      <c r="K207" s="79">
        <v>5776.5820000000003</v>
      </c>
      <c r="L207" s="82">
        <v>10000</v>
      </c>
      <c r="N207" s="91">
        <v>0</v>
      </c>
      <c r="O207" s="91">
        <v>0</v>
      </c>
      <c r="P207" s="91">
        <v>0</v>
      </c>
      <c r="Q207" s="91"/>
      <c r="R207" s="91"/>
      <c r="S207" s="91"/>
      <c r="T207" s="91"/>
      <c r="U207" s="91"/>
      <c r="V207" s="91">
        <v>0</v>
      </c>
      <c r="W207" s="91">
        <v>0</v>
      </c>
      <c r="X207" s="91"/>
      <c r="Y207" s="91"/>
      <c r="Z207" s="91"/>
      <c r="AA207" s="63">
        <f t="shared" si="7"/>
        <v>10000</v>
      </c>
      <c r="AC207">
        <v>20000</v>
      </c>
      <c r="AD207">
        <f t="shared" si="8"/>
        <v>10000</v>
      </c>
    </row>
    <row r="208" spans="2:30" hidden="1" x14ac:dyDescent="0.2">
      <c r="B208" s="84">
        <v>0</v>
      </c>
      <c r="C208" s="84" t="s">
        <v>1274</v>
      </c>
      <c r="D208" s="84" t="s">
        <v>85</v>
      </c>
      <c r="E208" s="85">
        <v>110000</v>
      </c>
      <c r="F208" s="86">
        <v>5335</v>
      </c>
      <c r="G208" s="84"/>
      <c r="H208" s="87"/>
      <c r="I208" s="87"/>
      <c r="J208" s="88">
        <v>104665</v>
      </c>
      <c r="K208" s="86">
        <v>335</v>
      </c>
      <c r="L208" s="89">
        <v>5000</v>
      </c>
      <c r="N208" s="91">
        <v>0</v>
      </c>
      <c r="O208" s="91">
        <v>0</v>
      </c>
      <c r="P208" s="91">
        <v>0</v>
      </c>
      <c r="Q208" s="91"/>
      <c r="R208" s="91"/>
      <c r="S208" s="91"/>
      <c r="T208" s="91"/>
      <c r="U208" s="91"/>
      <c r="V208" s="91">
        <v>0</v>
      </c>
      <c r="W208" s="91">
        <v>0</v>
      </c>
      <c r="X208" s="91"/>
      <c r="Y208" s="91"/>
      <c r="Z208" s="91"/>
      <c r="AA208" s="63">
        <f t="shared" si="7"/>
        <v>5000</v>
      </c>
      <c r="AC208">
        <v>20000</v>
      </c>
      <c r="AD208">
        <f t="shared" si="8"/>
        <v>15000</v>
      </c>
    </row>
    <row r="209" spans="2:30" hidden="1" x14ac:dyDescent="0.2">
      <c r="B209" s="77">
        <v>10060053</v>
      </c>
      <c r="C209" s="77" t="s">
        <v>1278</v>
      </c>
      <c r="D209" s="77" t="s">
        <v>1321</v>
      </c>
      <c r="E209" s="78">
        <v>110000</v>
      </c>
      <c r="F209" s="79">
        <v>7335.3904000000002</v>
      </c>
      <c r="G209" s="77"/>
      <c r="H209" s="80"/>
      <c r="I209" s="80"/>
      <c r="J209" s="81">
        <v>102664.6096</v>
      </c>
      <c r="K209" s="79">
        <v>7335.3904000000002</v>
      </c>
      <c r="L209" s="82"/>
      <c r="N209" s="91">
        <v>0</v>
      </c>
      <c r="O209" s="91">
        <v>0</v>
      </c>
      <c r="P209" s="91">
        <v>0</v>
      </c>
      <c r="Q209" s="91"/>
      <c r="R209" s="91"/>
      <c r="S209" s="91"/>
      <c r="T209" s="91"/>
      <c r="U209" s="91"/>
      <c r="V209" s="91">
        <v>0</v>
      </c>
      <c r="W209" s="91">
        <v>0</v>
      </c>
      <c r="X209" s="91"/>
      <c r="Y209" s="91"/>
      <c r="Z209" s="91"/>
      <c r="AA209" s="63">
        <f t="shared" si="7"/>
        <v>0</v>
      </c>
      <c r="AC209">
        <v>20000</v>
      </c>
      <c r="AD209">
        <f t="shared" si="8"/>
        <v>20000</v>
      </c>
    </row>
    <row r="210" spans="2:30" hidden="1" x14ac:dyDescent="0.2">
      <c r="B210" s="84">
        <v>10080053</v>
      </c>
      <c r="C210" s="84" t="s">
        <v>1281</v>
      </c>
      <c r="D210" s="84" t="s">
        <v>297</v>
      </c>
      <c r="E210" s="85">
        <v>110000</v>
      </c>
      <c r="F210" s="86">
        <v>87868.007721496324</v>
      </c>
      <c r="G210" s="84"/>
      <c r="H210" s="87"/>
      <c r="I210" s="87"/>
      <c r="J210" s="88">
        <v>22131.992278503676</v>
      </c>
      <c r="K210" s="86">
        <v>87868.007721496324</v>
      </c>
      <c r="L210" s="89"/>
      <c r="N210" s="91">
        <v>0</v>
      </c>
      <c r="O210" s="91">
        <v>0</v>
      </c>
      <c r="P210" s="91">
        <v>0</v>
      </c>
      <c r="Q210" s="91"/>
      <c r="R210" s="91"/>
      <c r="S210" s="91"/>
      <c r="T210" s="91"/>
      <c r="U210" s="91"/>
      <c r="V210" s="91">
        <v>0</v>
      </c>
      <c r="W210" s="91">
        <v>0</v>
      </c>
      <c r="X210" s="91"/>
      <c r="Y210" s="91"/>
      <c r="Z210" s="91"/>
      <c r="AA210" s="63">
        <f t="shared" si="7"/>
        <v>0</v>
      </c>
      <c r="AC210">
        <v>20000</v>
      </c>
      <c r="AD210">
        <f t="shared" si="8"/>
        <v>20000</v>
      </c>
    </row>
    <row r="211" spans="2:30" hidden="1" x14ac:dyDescent="0.2">
      <c r="B211" s="77">
        <v>10080052</v>
      </c>
      <c r="C211" s="77" t="s">
        <v>1287</v>
      </c>
      <c r="D211" s="77" t="s">
        <v>297</v>
      </c>
      <c r="E211" s="78">
        <v>110000</v>
      </c>
      <c r="F211" s="79">
        <v>36468.945873787517</v>
      </c>
      <c r="G211" s="77"/>
      <c r="H211" s="80"/>
      <c r="I211" s="80"/>
      <c r="J211" s="81">
        <v>73531.05412621249</v>
      </c>
      <c r="K211" s="79">
        <v>36468.945873787517</v>
      </c>
      <c r="L211" s="82"/>
      <c r="N211" s="91">
        <v>0</v>
      </c>
      <c r="O211" s="91">
        <v>0</v>
      </c>
      <c r="P211" s="91">
        <v>0</v>
      </c>
      <c r="Q211" s="91"/>
      <c r="R211" s="91"/>
      <c r="S211" s="91"/>
      <c r="T211" s="91"/>
      <c r="U211" s="91"/>
      <c r="V211" s="91">
        <v>0</v>
      </c>
      <c r="W211" s="91">
        <v>0</v>
      </c>
      <c r="X211" s="91"/>
      <c r="Y211" s="91"/>
      <c r="Z211" s="91"/>
      <c r="AA211" s="63">
        <f t="shared" si="7"/>
        <v>0</v>
      </c>
      <c r="AC211">
        <v>20000</v>
      </c>
      <c r="AD211">
        <f t="shared" si="8"/>
        <v>20000</v>
      </c>
    </row>
    <row r="212" spans="2:30" hidden="1" x14ac:dyDescent="0.2">
      <c r="B212" s="84">
        <v>10070042</v>
      </c>
      <c r="C212" s="84" t="s">
        <v>1301</v>
      </c>
      <c r="D212" s="84" t="s">
        <v>906</v>
      </c>
      <c r="E212" s="85">
        <v>110000</v>
      </c>
      <c r="F212" s="86">
        <v>50442.697489977087</v>
      </c>
      <c r="G212" s="84"/>
      <c r="H212" s="87"/>
      <c r="I212" s="87"/>
      <c r="J212" s="88">
        <v>59557.302510022913</v>
      </c>
      <c r="K212" s="86">
        <v>40442.697489977087</v>
      </c>
      <c r="L212" s="89">
        <v>10000</v>
      </c>
      <c r="N212" s="91">
        <v>0</v>
      </c>
      <c r="O212" s="91">
        <v>0</v>
      </c>
      <c r="P212" s="91">
        <v>0</v>
      </c>
      <c r="Q212" s="91"/>
      <c r="R212" s="91"/>
      <c r="S212" s="91"/>
      <c r="T212" s="91"/>
      <c r="U212" s="91"/>
      <c r="V212" s="91">
        <v>0</v>
      </c>
      <c r="W212" s="91">
        <v>0</v>
      </c>
      <c r="X212" s="91"/>
      <c r="Y212" s="91"/>
      <c r="Z212" s="91"/>
      <c r="AA212" s="63">
        <f t="shared" si="7"/>
        <v>10000</v>
      </c>
      <c r="AC212">
        <v>20000</v>
      </c>
      <c r="AD212">
        <f t="shared" si="8"/>
        <v>10000</v>
      </c>
    </row>
    <row r="213" spans="2:30" hidden="1" x14ac:dyDescent="0.2">
      <c r="B213" s="77">
        <v>10480013</v>
      </c>
      <c r="C213" s="77" t="s">
        <v>1304</v>
      </c>
      <c r="D213" s="77" t="s">
        <v>943</v>
      </c>
      <c r="E213" s="78">
        <v>110000</v>
      </c>
      <c r="F213" s="79">
        <v>1678.0800000000002</v>
      </c>
      <c r="G213" s="77"/>
      <c r="H213" s="80"/>
      <c r="I213" s="80"/>
      <c r="J213" s="81">
        <v>108321.92</v>
      </c>
      <c r="K213" s="79">
        <v>1678.0800000000002</v>
      </c>
      <c r="L213" s="82"/>
      <c r="N213" s="91">
        <v>0</v>
      </c>
      <c r="O213" s="91">
        <v>0</v>
      </c>
      <c r="P213" s="91">
        <v>0</v>
      </c>
      <c r="Q213" s="91"/>
      <c r="R213" s="91"/>
      <c r="S213" s="91"/>
      <c r="T213" s="91"/>
      <c r="U213" s="91"/>
      <c r="V213" s="91">
        <v>0</v>
      </c>
      <c r="W213" s="91">
        <v>0</v>
      </c>
      <c r="X213" s="91"/>
      <c r="Y213" s="91"/>
      <c r="Z213" s="91"/>
      <c r="AA213" s="63">
        <f t="shared" si="7"/>
        <v>0</v>
      </c>
      <c r="AC213">
        <v>20000</v>
      </c>
      <c r="AD213">
        <f t="shared" si="8"/>
        <v>20000</v>
      </c>
    </row>
    <row r="214" spans="2:30" hidden="1" x14ac:dyDescent="0.2">
      <c r="B214" s="84">
        <v>10140083</v>
      </c>
      <c r="C214" s="84" t="s">
        <v>1309</v>
      </c>
      <c r="D214" s="84" t="s">
        <v>85</v>
      </c>
      <c r="E214" s="85">
        <v>110000</v>
      </c>
      <c r="F214" s="86">
        <v>56635.60904096836</v>
      </c>
      <c r="G214" s="84"/>
      <c r="H214" s="87"/>
      <c r="I214" s="87"/>
      <c r="J214" s="88">
        <v>53364.39095903164</v>
      </c>
      <c r="K214" s="86">
        <v>46635.60904096836</v>
      </c>
      <c r="L214" s="89">
        <v>10000</v>
      </c>
      <c r="N214" s="91">
        <v>0</v>
      </c>
      <c r="O214" s="91">
        <v>0</v>
      </c>
      <c r="P214" s="91">
        <v>0</v>
      </c>
      <c r="Q214" s="91"/>
      <c r="R214" s="91"/>
      <c r="S214" s="91"/>
      <c r="T214" s="91"/>
      <c r="U214" s="91"/>
      <c r="V214" s="91">
        <v>0</v>
      </c>
      <c r="W214" s="91">
        <v>0</v>
      </c>
      <c r="X214" s="91"/>
      <c r="Y214" s="91"/>
      <c r="Z214" s="91"/>
      <c r="AA214" s="63">
        <f t="shared" si="7"/>
        <v>10000</v>
      </c>
      <c r="AC214">
        <v>20000</v>
      </c>
      <c r="AD214">
        <f t="shared" si="8"/>
        <v>10000</v>
      </c>
    </row>
    <row r="215" spans="2:30" hidden="1" x14ac:dyDescent="0.2">
      <c r="B215" s="77">
        <v>10140041</v>
      </c>
      <c r="C215" s="77" t="s">
        <v>1312</v>
      </c>
      <c r="D215" s="77" t="s">
        <v>85</v>
      </c>
      <c r="E215" s="78">
        <v>110000</v>
      </c>
      <c r="F215" s="79">
        <v>31373.109462299057</v>
      </c>
      <c r="G215" s="77"/>
      <c r="H215" s="80"/>
      <c r="I215" s="80"/>
      <c r="J215" s="81">
        <v>78626.890537700936</v>
      </c>
      <c r="K215" s="79">
        <v>31373.109462299057</v>
      </c>
      <c r="L215" s="82"/>
      <c r="N215" s="91">
        <v>0</v>
      </c>
      <c r="O215" s="91">
        <v>0</v>
      </c>
      <c r="P215" s="91">
        <v>0</v>
      </c>
      <c r="Q215" s="91"/>
      <c r="R215" s="91"/>
      <c r="S215" s="91"/>
      <c r="T215" s="91"/>
      <c r="U215" s="91"/>
      <c r="V215" s="91">
        <v>0</v>
      </c>
      <c r="W215" s="91">
        <v>0</v>
      </c>
      <c r="X215" s="91"/>
      <c r="Y215" s="91"/>
      <c r="Z215" s="91"/>
      <c r="AA215" s="63">
        <f t="shared" si="7"/>
        <v>0</v>
      </c>
      <c r="AC215">
        <v>20000</v>
      </c>
      <c r="AD215">
        <f t="shared" si="8"/>
        <v>20000</v>
      </c>
    </row>
    <row r="216" spans="2:30" hidden="1" x14ac:dyDescent="0.2">
      <c r="B216" s="84">
        <v>10140095</v>
      </c>
      <c r="C216" s="84" t="s">
        <v>1315</v>
      </c>
      <c r="D216" s="84" t="s">
        <v>85</v>
      </c>
      <c r="E216" s="85">
        <v>110000</v>
      </c>
      <c r="F216" s="86">
        <v>12362</v>
      </c>
      <c r="G216" s="84"/>
      <c r="H216" s="87"/>
      <c r="I216" s="87"/>
      <c r="J216" s="88">
        <v>97638</v>
      </c>
      <c r="K216" s="86">
        <v>12362</v>
      </c>
      <c r="L216" s="89"/>
      <c r="N216" s="91">
        <v>0</v>
      </c>
      <c r="O216" s="91">
        <v>0</v>
      </c>
      <c r="P216" s="91">
        <v>0</v>
      </c>
      <c r="Q216" s="91"/>
      <c r="R216" s="91"/>
      <c r="S216" s="91"/>
      <c r="T216" s="91"/>
      <c r="U216" s="91"/>
      <c r="V216" s="91">
        <v>0</v>
      </c>
      <c r="W216" s="91">
        <v>0</v>
      </c>
      <c r="X216" s="91"/>
      <c r="Y216" s="91"/>
      <c r="Z216" s="91"/>
      <c r="AA216" s="63">
        <f t="shared" si="7"/>
        <v>0</v>
      </c>
      <c r="AC216">
        <v>20000</v>
      </c>
      <c r="AD216">
        <f t="shared" si="8"/>
        <v>20000</v>
      </c>
    </row>
    <row r="217" spans="2:30" hidden="1" x14ac:dyDescent="0.2">
      <c r="B217" s="77">
        <v>10140094</v>
      </c>
      <c r="C217" s="77" t="s">
        <v>1318</v>
      </c>
      <c r="D217" s="77" t="s">
        <v>85</v>
      </c>
      <c r="E217" s="78">
        <v>110000</v>
      </c>
      <c r="F217" s="79">
        <v>11051</v>
      </c>
      <c r="G217" s="77"/>
      <c r="H217" s="80"/>
      <c r="I217" s="80"/>
      <c r="J217" s="81">
        <v>98949</v>
      </c>
      <c r="K217" s="79">
        <v>1051</v>
      </c>
      <c r="L217" s="82">
        <v>10000</v>
      </c>
      <c r="N217" s="91">
        <v>0</v>
      </c>
      <c r="O217" s="91">
        <v>0</v>
      </c>
      <c r="P217" s="91">
        <v>0</v>
      </c>
      <c r="Q217" s="91"/>
      <c r="R217" s="91"/>
      <c r="S217" s="91"/>
      <c r="T217" s="91"/>
      <c r="U217" s="91"/>
      <c r="V217" s="91">
        <v>0</v>
      </c>
      <c r="W217" s="91">
        <v>0</v>
      </c>
      <c r="X217" s="91"/>
      <c r="Y217" s="91"/>
      <c r="Z217" s="91"/>
      <c r="AA217" s="63">
        <f t="shared" si="7"/>
        <v>10000</v>
      </c>
      <c r="AC217">
        <v>20000</v>
      </c>
      <c r="AD217">
        <f t="shared" si="8"/>
        <v>10000</v>
      </c>
    </row>
    <row r="218" spans="2:30" hidden="1" x14ac:dyDescent="0.2">
      <c r="B218" s="84">
        <v>10140048</v>
      </c>
      <c r="C218" s="84" t="s">
        <v>1321</v>
      </c>
      <c r="D218" s="84" t="s">
        <v>85</v>
      </c>
      <c r="E218" s="85">
        <v>110000</v>
      </c>
      <c r="F218" s="86">
        <v>23839.930977029391</v>
      </c>
      <c r="G218" s="84"/>
      <c r="H218" s="87"/>
      <c r="I218" s="87"/>
      <c r="J218" s="88">
        <v>86160.069022970609</v>
      </c>
      <c r="K218" s="86">
        <v>23839.930977029391</v>
      </c>
      <c r="L218" s="89"/>
      <c r="N218" s="91">
        <v>0</v>
      </c>
      <c r="O218" s="91">
        <v>0</v>
      </c>
      <c r="P218" s="91">
        <v>0</v>
      </c>
      <c r="Q218" s="91"/>
      <c r="R218" s="91"/>
      <c r="S218" s="91"/>
      <c r="T218" s="91"/>
      <c r="U218" s="91"/>
      <c r="V218" s="91">
        <v>0</v>
      </c>
      <c r="W218" s="91">
        <v>0</v>
      </c>
      <c r="X218" s="91"/>
      <c r="Y218" s="91"/>
      <c r="Z218" s="91"/>
      <c r="AA218" s="63">
        <f t="shared" si="7"/>
        <v>0</v>
      </c>
      <c r="AC218">
        <v>20000</v>
      </c>
      <c r="AD218">
        <f t="shared" si="8"/>
        <v>20000</v>
      </c>
    </row>
    <row r="219" spans="2:30" hidden="1" x14ac:dyDescent="0.2">
      <c r="B219" s="77">
        <v>10080061</v>
      </c>
      <c r="C219" s="77" t="s">
        <v>2644</v>
      </c>
      <c r="D219" s="77"/>
      <c r="E219" s="78">
        <v>110000</v>
      </c>
      <c r="F219" s="79">
        <v>10767</v>
      </c>
      <c r="G219" s="77"/>
      <c r="H219" s="80"/>
      <c r="I219" s="80"/>
      <c r="J219" s="81">
        <v>99233</v>
      </c>
      <c r="K219" s="79">
        <v>10767</v>
      </c>
      <c r="L219" s="82"/>
      <c r="N219" s="91">
        <v>0</v>
      </c>
      <c r="O219" s="91">
        <v>0</v>
      </c>
      <c r="P219" s="91">
        <v>0</v>
      </c>
      <c r="Q219" s="91"/>
      <c r="R219" s="91"/>
      <c r="S219" s="91"/>
      <c r="T219" s="91"/>
      <c r="U219" s="91"/>
      <c r="V219" s="91">
        <v>0</v>
      </c>
      <c r="W219" s="91">
        <v>0</v>
      </c>
      <c r="X219" s="91"/>
      <c r="Y219" s="91"/>
      <c r="Z219" s="91"/>
      <c r="AA219" s="63">
        <f t="shared" si="7"/>
        <v>0</v>
      </c>
      <c r="AC219">
        <v>20000</v>
      </c>
      <c r="AD219">
        <f t="shared" si="8"/>
        <v>20000</v>
      </c>
    </row>
    <row r="220" spans="2:30" hidden="1" x14ac:dyDescent="0.2">
      <c r="B220" s="84">
        <v>10030016</v>
      </c>
      <c r="C220" s="84" t="s">
        <v>1324</v>
      </c>
      <c r="D220" s="84" t="s">
        <v>584</v>
      </c>
      <c r="E220" s="85">
        <v>110000</v>
      </c>
      <c r="F220" s="86">
        <v>55230.595701432139</v>
      </c>
      <c r="G220" s="84"/>
      <c r="H220" s="87"/>
      <c r="I220" s="87"/>
      <c r="J220" s="88">
        <v>54769.404298567861</v>
      </c>
      <c r="K220" s="86">
        <v>45230.595701432139</v>
      </c>
      <c r="L220" s="89">
        <v>10000</v>
      </c>
      <c r="N220" s="91">
        <v>0</v>
      </c>
      <c r="O220" s="91">
        <v>0</v>
      </c>
      <c r="P220" s="91">
        <v>0</v>
      </c>
      <c r="Q220" s="91"/>
      <c r="R220" s="91"/>
      <c r="S220" s="91"/>
      <c r="T220" s="91"/>
      <c r="U220" s="91"/>
      <c r="V220" s="91">
        <v>0</v>
      </c>
      <c r="W220" s="91">
        <v>0</v>
      </c>
      <c r="X220" s="91"/>
      <c r="Y220" s="91"/>
      <c r="Z220" s="91"/>
      <c r="AA220" s="63">
        <f t="shared" si="7"/>
        <v>10000</v>
      </c>
      <c r="AC220">
        <v>20000</v>
      </c>
      <c r="AD220">
        <f t="shared" si="8"/>
        <v>10000</v>
      </c>
    </row>
    <row r="221" spans="2:30" hidden="1" x14ac:dyDescent="0.2">
      <c r="B221" s="77">
        <v>10080016</v>
      </c>
      <c r="C221" s="77" t="s">
        <v>1329</v>
      </c>
      <c r="D221" s="77" t="s">
        <v>297</v>
      </c>
      <c r="E221" s="78">
        <v>110000</v>
      </c>
      <c r="F221" s="79">
        <v>23108</v>
      </c>
      <c r="G221" s="77"/>
      <c r="H221" s="80"/>
      <c r="I221" s="80"/>
      <c r="J221" s="81">
        <v>86892</v>
      </c>
      <c r="K221" s="79">
        <v>23108</v>
      </c>
      <c r="L221" s="82"/>
      <c r="N221" s="91">
        <v>0</v>
      </c>
      <c r="O221" s="91">
        <v>0</v>
      </c>
      <c r="P221" s="91">
        <v>0</v>
      </c>
      <c r="Q221" s="91"/>
      <c r="R221" s="91"/>
      <c r="S221" s="91"/>
      <c r="T221" s="91"/>
      <c r="U221" s="91"/>
      <c r="V221" s="91">
        <v>0</v>
      </c>
      <c r="W221" s="91">
        <v>0</v>
      </c>
      <c r="X221" s="91"/>
      <c r="Y221" s="91"/>
      <c r="Z221" s="91"/>
      <c r="AA221" s="63">
        <f t="shared" si="7"/>
        <v>0</v>
      </c>
      <c r="AC221">
        <v>20000</v>
      </c>
      <c r="AD221">
        <f t="shared" si="8"/>
        <v>20000</v>
      </c>
    </row>
    <row r="222" spans="2:30" hidden="1" x14ac:dyDescent="0.2">
      <c r="B222" s="84">
        <v>10140078</v>
      </c>
      <c r="C222" s="84" t="s">
        <v>1332</v>
      </c>
      <c r="D222" s="84" t="s">
        <v>85</v>
      </c>
      <c r="E222" s="85">
        <v>110000</v>
      </c>
      <c r="F222" s="86">
        <v>28214.361996577558</v>
      </c>
      <c r="G222" s="84"/>
      <c r="H222" s="87"/>
      <c r="I222" s="87"/>
      <c r="J222" s="88">
        <v>81785.638003422442</v>
      </c>
      <c r="K222" s="86">
        <v>23214.361996577558</v>
      </c>
      <c r="L222" s="89">
        <v>5000</v>
      </c>
      <c r="N222" s="91">
        <v>0</v>
      </c>
      <c r="O222" s="91">
        <v>0</v>
      </c>
      <c r="P222" s="91">
        <v>0</v>
      </c>
      <c r="Q222" s="91"/>
      <c r="R222" s="91"/>
      <c r="S222" s="91"/>
      <c r="T222" s="91"/>
      <c r="U222" s="91"/>
      <c r="V222" s="91">
        <v>0</v>
      </c>
      <c r="W222" s="91">
        <v>0</v>
      </c>
      <c r="X222" s="91"/>
      <c r="Y222" s="91"/>
      <c r="Z222" s="91"/>
      <c r="AA222" s="63">
        <f t="shared" si="7"/>
        <v>5000</v>
      </c>
      <c r="AC222">
        <v>20000</v>
      </c>
      <c r="AD222">
        <f t="shared" si="8"/>
        <v>15000</v>
      </c>
    </row>
    <row r="223" spans="2:30" hidden="1" x14ac:dyDescent="0.2">
      <c r="B223" s="77">
        <v>10100035</v>
      </c>
      <c r="C223" s="77" t="s">
        <v>1335</v>
      </c>
      <c r="D223" s="77" t="s">
        <v>906</v>
      </c>
      <c r="E223" s="78">
        <v>110000</v>
      </c>
      <c r="F223" s="79">
        <v>31521.260754517651</v>
      </c>
      <c r="G223" s="77"/>
      <c r="H223" s="80"/>
      <c r="I223" s="80"/>
      <c r="J223" s="81">
        <v>78478.739245482342</v>
      </c>
      <c r="K223" s="79">
        <v>31521.260754517651</v>
      </c>
      <c r="L223" s="82"/>
      <c r="N223" s="91">
        <v>0</v>
      </c>
      <c r="O223" s="91">
        <v>0</v>
      </c>
      <c r="P223" s="91">
        <v>0</v>
      </c>
      <c r="Q223" s="91"/>
      <c r="R223" s="91"/>
      <c r="S223" s="91"/>
      <c r="T223" s="91"/>
      <c r="U223" s="91"/>
      <c r="V223" s="91">
        <v>0</v>
      </c>
      <c r="W223" s="91">
        <v>0</v>
      </c>
      <c r="X223" s="91"/>
      <c r="Y223" s="91"/>
      <c r="Z223" s="91"/>
      <c r="AA223" s="63">
        <f t="shared" si="7"/>
        <v>0</v>
      </c>
      <c r="AC223">
        <v>20000</v>
      </c>
      <c r="AD223">
        <f t="shared" si="8"/>
        <v>20000</v>
      </c>
    </row>
    <row r="224" spans="2:30" hidden="1" x14ac:dyDescent="0.2">
      <c r="B224" s="84">
        <v>10080065</v>
      </c>
      <c r="C224" s="84" t="s">
        <v>1338</v>
      </c>
      <c r="D224" s="84" t="s">
        <v>297</v>
      </c>
      <c r="E224" s="85">
        <v>110000</v>
      </c>
      <c r="F224" s="86">
        <v>25064</v>
      </c>
      <c r="G224" s="84"/>
      <c r="H224" s="87"/>
      <c r="I224" s="87"/>
      <c r="J224" s="88">
        <v>84936</v>
      </c>
      <c r="K224" s="86">
        <v>25064</v>
      </c>
      <c r="L224" s="89"/>
      <c r="N224" s="91">
        <v>0</v>
      </c>
      <c r="O224" s="91">
        <v>0</v>
      </c>
      <c r="P224" s="91">
        <v>0</v>
      </c>
      <c r="Q224" s="91"/>
      <c r="R224" s="91"/>
      <c r="S224" s="91"/>
      <c r="T224" s="91"/>
      <c r="U224" s="91"/>
      <c r="V224" s="91">
        <v>0</v>
      </c>
      <c r="W224" s="91">
        <v>0</v>
      </c>
      <c r="X224" s="91"/>
      <c r="Y224" s="91"/>
      <c r="Z224" s="91"/>
      <c r="AA224" s="63">
        <f t="shared" si="7"/>
        <v>0</v>
      </c>
      <c r="AC224">
        <v>20000</v>
      </c>
      <c r="AD224">
        <f t="shared" si="8"/>
        <v>20000</v>
      </c>
    </row>
    <row r="225" spans="2:30" hidden="1" x14ac:dyDescent="0.2">
      <c r="B225" s="77">
        <v>10080062</v>
      </c>
      <c r="C225" s="77"/>
      <c r="D225" s="77"/>
      <c r="E225" s="78">
        <v>110000</v>
      </c>
      <c r="F225" s="79">
        <v>18756</v>
      </c>
      <c r="G225" s="77"/>
      <c r="H225" s="80"/>
      <c r="I225" s="80"/>
      <c r="J225" s="81">
        <v>91244</v>
      </c>
      <c r="K225" s="79">
        <v>18756</v>
      </c>
      <c r="L225" s="82"/>
      <c r="N225" s="91">
        <v>0</v>
      </c>
      <c r="O225" s="91">
        <v>0</v>
      </c>
      <c r="P225" s="91">
        <v>0</v>
      </c>
      <c r="Q225" s="91"/>
      <c r="R225" s="91"/>
      <c r="S225" s="91"/>
      <c r="T225" s="91"/>
      <c r="U225" s="91"/>
      <c r="V225" s="91">
        <v>0</v>
      </c>
      <c r="W225" s="91">
        <v>0</v>
      </c>
      <c r="X225" s="91"/>
      <c r="Y225" s="91"/>
      <c r="Z225" s="91"/>
      <c r="AA225" s="63">
        <f t="shared" si="7"/>
        <v>0</v>
      </c>
      <c r="AC225">
        <v>20000</v>
      </c>
      <c r="AD225">
        <f t="shared" si="8"/>
        <v>20000</v>
      </c>
    </row>
    <row r="226" spans="2:30" hidden="1" x14ac:dyDescent="0.2">
      <c r="B226" s="84">
        <v>10100036</v>
      </c>
      <c r="C226" s="84" t="s">
        <v>1343</v>
      </c>
      <c r="D226" s="84" t="s">
        <v>906</v>
      </c>
      <c r="E226" s="85">
        <v>110000</v>
      </c>
      <c r="F226" s="86">
        <v>12893.4297720912</v>
      </c>
      <c r="G226" s="84"/>
      <c r="H226" s="87"/>
      <c r="I226" s="87"/>
      <c r="J226" s="88">
        <v>97106.5702279088</v>
      </c>
      <c r="K226" s="86">
        <v>12893.4297720912</v>
      </c>
      <c r="L226" s="89"/>
      <c r="N226" s="91">
        <v>0</v>
      </c>
      <c r="O226" s="91">
        <v>0</v>
      </c>
      <c r="P226" s="91">
        <v>0</v>
      </c>
      <c r="Q226" s="91"/>
      <c r="R226" s="91"/>
      <c r="S226" s="91"/>
      <c r="T226" s="91"/>
      <c r="U226" s="91"/>
      <c r="V226" s="91">
        <v>0</v>
      </c>
      <c r="W226" s="91">
        <v>0</v>
      </c>
      <c r="X226" s="91"/>
      <c r="Y226" s="91"/>
      <c r="Z226" s="91"/>
      <c r="AA226" s="63">
        <f t="shared" si="7"/>
        <v>0</v>
      </c>
      <c r="AC226">
        <v>20000</v>
      </c>
      <c r="AD226">
        <f t="shared" si="8"/>
        <v>20000</v>
      </c>
    </row>
    <row r="227" spans="2:30" hidden="1" x14ac:dyDescent="0.2">
      <c r="B227" s="77">
        <v>10080063</v>
      </c>
      <c r="C227" s="77" t="s">
        <v>1346</v>
      </c>
      <c r="D227" s="77" t="s">
        <v>297</v>
      </c>
      <c r="E227" s="78">
        <v>110000</v>
      </c>
      <c r="F227" s="79">
        <v>9814</v>
      </c>
      <c r="G227" s="77"/>
      <c r="H227" s="80"/>
      <c r="I227" s="80"/>
      <c r="J227" s="81">
        <v>100186</v>
      </c>
      <c r="K227" s="79">
        <v>9814</v>
      </c>
      <c r="L227" s="82"/>
      <c r="N227" s="91">
        <v>0</v>
      </c>
      <c r="O227" s="91">
        <v>0</v>
      </c>
      <c r="P227" s="91">
        <v>0</v>
      </c>
      <c r="Q227" s="91"/>
      <c r="R227" s="91"/>
      <c r="S227" s="91"/>
      <c r="T227" s="91"/>
      <c r="U227" s="91"/>
      <c r="V227" s="91">
        <v>0</v>
      </c>
      <c r="W227" s="91">
        <v>0</v>
      </c>
      <c r="X227" s="91"/>
      <c r="Y227" s="91"/>
      <c r="Z227" s="91"/>
      <c r="AA227" s="63">
        <f t="shared" si="7"/>
        <v>0</v>
      </c>
      <c r="AC227">
        <v>20000</v>
      </c>
      <c r="AD227">
        <f t="shared" si="8"/>
        <v>20000</v>
      </c>
    </row>
    <row r="228" spans="2:30" hidden="1" x14ac:dyDescent="0.2">
      <c r="B228" s="84">
        <v>10080064</v>
      </c>
      <c r="C228" s="84" t="s">
        <v>1349</v>
      </c>
      <c r="D228" s="84" t="s">
        <v>297</v>
      </c>
      <c r="E228" s="85">
        <v>110000</v>
      </c>
      <c r="F228" s="86">
        <v>31612.939049766403</v>
      </c>
      <c r="G228" s="84"/>
      <c r="H228" s="87"/>
      <c r="I228" s="87"/>
      <c r="J228" s="88">
        <v>78387.060950233601</v>
      </c>
      <c r="K228" s="86">
        <v>31612.939049766403</v>
      </c>
      <c r="L228" s="89"/>
      <c r="N228" s="91">
        <v>0</v>
      </c>
      <c r="O228" s="91">
        <v>0</v>
      </c>
      <c r="P228" s="91">
        <v>0</v>
      </c>
      <c r="Q228" s="91"/>
      <c r="R228" s="91"/>
      <c r="S228" s="91"/>
      <c r="T228" s="91"/>
      <c r="U228" s="91"/>
      <c r="V228" s="91">
        <v>0</v>
      </c>
      <c r="W228" s="91">
        <v>0</v>
      </c>
      <c r="X228" s="91"/>
      <c r="Y228" s="91"/>
      <c r="Z228" s="91"/>
      <c r="AA228" s="63">
        <f t="shared" si="7"/>
        <v>0</v>
      </c>
      <c r="AC228">
        <v>20000</v>
      </c>
      <c r="AD228">
        <f t="shared" si="8"/>
        <v>20000</v>
      </c>
    </row>
    <row r="229" spans="2:30" hidden="1" x14ac:dyDescent="0.2">
      <c r="B229" s="77">
        <v>10080051</v>
      </c>
      <c r="C229" s="77" t="s">
        <v>1352</v>
      </c>
      <c r="D229" s="77" t="s">
        <v>297</v>
      </c>
      <c r="E229" s="78">
        <v>110000</v>
      </c>
      <c r="F229" s="79">
        <v>19200</v>
      </c>
      <c r="G229" s="77"/>
      <c r="H229" s="80"/>
      <c r="I229" s="80"/>
      <c r="J229" s="81">
        <v>90800</v>
      </c>
      <c r="K229" s="79">
        <v>19200</v>
      </c>
      <c r="L229" s="82"/>
      <c r="N229" s="91">
        <v>0</v>
      </c>
      <c r="O229" s="91">
        <v>0</v>
      </c>
      <c r="P229" s="91">
        <v>0</v>
      </c>
      <c r="Q229" s="91"/>
      <c r="R229" s="91"/>
      <c r="S229" s="91"/>
      <c r="T229" s="91"/>
      <c r="U229" s="91"/>
      <c r="V229" s="91">
        <v>0</v>
      </c>
      <c r="W229" s="91">
        <v>0</v>
      </c>
      <c r="X229" s="91"/>
      <c r="Y229" s="91"/>
      <c r="Z229" s="91"/>
      <c r="AA229" s="63">
        <f t="shared" si="7"/>
        <v>0</v>
      </c>
      <c r="AC229">
        <v>20000</v>
      </c>
      <c r="AD229">
        <f t="shared" si="8"/>
        <v>20000</v>
      </c>
    </row>
    <row r="230" spans="2:30" hidden="1" x14ac:dyDescent="0.2">
      <c r="B230" s="84">
        <v>10110085</v>
      </c>
      <c r="C230" s="84" t="s">
        <v>2407</v>
      </c>
      <c r="D230" s="84" t="s">
        <v>217</v>
      </c>
      <c r="E230" s="85">
        <v>110000</v>
      </c>
      <c r="F230" s="86">
        <v>3957</v>
      </c>
      <c r="G230" s="84"/>
      <c r="H230" s="87"/>
      <c r="I230" s="87"/>
      <c r="J230" s="88">
        <v>106043</v>
      </c>
      <c r="K230" s="86">
        <v>3957</v>
      </c>
      <c r="L230" s="89"/>
      <c r="N230" s="91">
        <v>0</v>
      </c>
      <c r="O230" s="91">
        <v>0</v>
      </c>
      <c r="P230" s="91">
        <v>0</v>
      </c>
      <c r="Q230" s="91"/>
      <c r="R230" s="91"/>
      <c r="S230" s="91"/>
      <c r="T230" s="91"/>
      <c r="U230" s="91"/>
      <c r="V230" s="91">
        <v>0</v>
      </c>
      <c r="W230" s="91">
        <v>0</v>
      </c>
      <c r="X230" s="91"/>
      <c r="Y230" s="91"/>
      <c r="Z230" s="91"/>
      <c r="AA230" s="63">
        <f t="shared" si="7"/>
        <v>0</v>
      </c>
      <c r="AC230">
        <v>20000</v>
      </c>
      <c r="AD230">
        <f t="shared" si="8"/>
        <v>20000</v>
      </c>
    </row>
    <row r="231" spans="2:30" hidden="1" x14ac:dyDescent="0.2">
      <c r="B231" s="77">
        <v>10080071</v>
      </c>
      <c r="C231" s="77" t="s">
        <v>2408</v>
      </c>
      <c r="D231" s="77" t="s">
        <v>297</v>
      </c>
      <c r="E231" s="78">
        <v>110000</v>
      </c>
      <c r="F231" s="79">
        <v>18375</v>
      </c>
      <c r="G231" s="77"/>
      <c r="H231" s="80"/>
      <c r="I231" s="80"/>
      <c r="J231" s="81">
        <v>91625</v>
      </c>
      <c r="K231" s="79">
        <v>3375</v>
      </c>
      <c r="L231" s="82">
        <v>15000</v>
      </c>
      <c r="N231" s="91">
        <v>0</v>
      </c>
      <c r="O231" s="91">
        <v>0</v>
      </c>
      <c r="P231" s="91">
        <v>0</v>
      </c>
      <c r="Q231" s="91"/>
      <c r="R231" s="91"/>
      <c r="S231" s="91"/>
      <c r="T231" s="91"/>
      <c r="U231" s="91"/>
      <c r="V231" s="91">
        <v>0</v>
      </c>
      <c r="W231" s="91">
        <v>0</v>
      </c>
      <c r="X231" s="91"/>
      <c r="Y231" s="91"/>
      <c r="Z231" s="91"/>
      <c r="AA231" s="63">
        <f t="shared" si="7"/>
        <v>15000</v>
      </c>
      <c r="AC231">
        <v>20000</v>
      </c>
      <c r="AD231">
        <f t="shared" si="8"/>
        <v>5000</v>
      </c>
    </row>
    <row r="232" spans="2:30" hidden="1" x14ac:dyDescent="0.2">
      <c r="B232" s="84">
        <v>10110083</v>
      </c>
      <c r="C232" s="84" t="s">
        <v>2409</v>
      </c>
      <c r="D232" s="84" t="s">
        <v>217</v>
      </c>
      <c r="E232" s="85">
        <v>110000</v>
      </c>
      <c r="F232" s="86">
        <v>23160.757766561281</v>
      </c>
      <c r="G232" s="84"/>
      <c r="H232" s="87"/>
      <c r="I232" s="87"/>
      <c r="J232" s="88">
        <v>86839.242233438723</v>
      </c>
      <c r="K232" s="86">
        <v>23160.757766561281</v>
      </c>
      <c r="L232" s="89"/>
      <c r="N232" s="91">
        <v>748</v>
      </c>
      <c r="O232" s="91">
        <v>0</v>
      </c>
      <c r="P232" s="91">
        <v>0</v>
      </c>
      <c r="Q232" s="91"/>
      <c r="R232" s="91"/>
      <c r="S232" s="91"/>
      <c r="T232" s="91"/>
      <c r="U232" s="91"/>
      <c r="V232" s="91">
        <v>0</v>
      </c>
      <c r="W232" s="91">
        <v>0</v>
      </c>
      <c r="X232" s="91"/>
      <c r="Y232" s="91"/>
      <c r="Z232" s="91"/>
      <c r="AA232" s="63">
        <f t="shared" si="7"/>
        <v>748</v>
      </c>
      <c r="AC232">
        <v>20000</v>
      </c>
      <c r="AD232">
        <f t="shared" si="8"/>
        <v>19252</v>
      </c>
    </row>
    <row r="233" spans="2:30" hidden="1" x14ac:dyDescent="0.2">
      <c r="B233" s="77">
        <v>10080048</v>
      </c>
      <c r="C233" s="77" t="s">
        <v>1355</v>
      </c>
      <c r="D233" s="77" t="s">
        <v>297</v>
      </c>
      <c r="E233" s="78">
        <v>110000</v>
      </c>
      <c r="F233" s="79">
        <v>26855.085847754111</v>
      </c>
      <c r="G233" s="77"/>
      <c r="H233" s="80"/>
      <c r="I233" s="80"/>
      <c r="J233" s="81">
        <v>83144.914152245881</v>
      </c>
      <c r="K233" s="79">
        <v>26855.085847754111</v>
      </c>
      <c r="L233" s="82"/>
      <c r="N233" s="91">
        <v>0</v>
      </c>
      <c r="O233" s="91">
        <v>0</v>
      </c>
      <c r="P233" s="91">
        <v>0</v>
      </c>
      <c r="Q233" s="91"/>
      <c r="R233" s="91"/>
      <c r="S233" s="91"/>
      <c r="T233" s="91"/>
      <c r="U233" s="91"/>
      <c r="V233" s="91">
        <v>0</v>
      </c>
      <c r="W233" s="91">
        <v>0</v>
      </c>
      <c r="X233" s="91"/>
      <c r="Y233" s="91"/>
      <c r="Z233" s="91"/>
      <c r="AA233" s="63">
        <f t="shared" si="7"/>
        <v>0</v>
      </c>
      <c r="AC233">
        <v>20000</v>
      </c>
      <c r="AD233">
        <f t="shared" si="8"/>
        <v>20000</v>
      </c>
    </row>
    <row r="234" spans="2:30" hidden="1" x14ac:dyDescent="0.2">
      <c r="B234" s="84">
        <v>10110053</v>
      </c>
      <c r="C234" s="84" t="s">
        <v>1358</v>
      </c>
      <c r="D234" s="84" t="s">
        <v>217</v>
      </c>
      <c r="E234" s="85">
        <v>110000</v>
      </c>
      <c r="F234" s="86">
        <v>23868.265833054906</v>
      </c>
      <c r="G234" s="84"/>
      <c r="H234" s="87"/>
      <c r="I234" s="87"/>
      <c r="J234" s="88">
        <v>86131.734166945098</v>
      </c>
      <c r="K234" s="86">
        <v>23868.265833054906</v>
      </c>
      <c r="L234" s="89"/>
      <c r="N234" s="91">
        <v>1878</v>
      </c>
      <c r="O234" s="91">
        <v>0</v>
      </c>
      <c r="P234" s="91">
        <v>0</v>
      </c>
      <c r="Q234" s="91"/>
      <c r="R234" s="91"/>
      <c r="S234" s="91"/>
      <c r="T234" s="91"/>
      <c r="U234" s="91"/>
      <c r="V234" s="91">
        <v>0</v>
      </c>
      <c r="W234" s="91">
        <v>0</v>
      </c>
      <c r="X234" s="91"/>
      <c r="Y234" s="91"/>
      <c r="Z234" s="91"/>
      <c r="AA234" s="63">
        <f t="shared" si="7"/>
        <v>1878</v>
      </c>
      <c r="AC234">
        <v>20000</v>
      </c>
      <c r="AD234">
        <f t="shared" si="8"/>
        <v>18122</v>
      </c>
    </row>
    <row r="235" spans="2:30" hidden="1" x14ac:dyDescent="0.2">
      <c r="B235" s="77">
        <v>10130052</v>
      </c>
      <c r="C235" s="77" t="s">
        <v>1387</v>
      </c>
      <c r="D235" s="77" t="s">
        <v>1630</v>
      </c>
      <c r="E235" s="78">
        <v>110000</v>
      </c>
      <c r="F235" s="79">
        <v>44808.473050174798</v>
      </c>
      <c r="G235" s="77"/>
      <c r="H235" s="80"/>
      <c r="I235" s="80"/>
      <c r="J235" s="81">
        <v>65191.526949825202</v>
      </c>
      <c r="K235" s="79">
        <v>44808.473050174798</v>
      </c>
      <c r="L235" s="82"/>
      <c r="N235" s="91">
        <v>0</v>
      </c>
      <c r="O235" s="91">
        <v>0</v>
      </c>
      <c r="P235" s="91">
        <v>0</v>
      </c>
      <c r="Q235" s="91"/>
      <c r="R235" s="91"/>
      <c r="S235" s="91"/>
      <c r="T235" s="91"/>
      <c r="U235" s="91"/>
      <c r="V235" s="91">
        <v>0</v>
      </c>
      <c r="W235" s="91">
        <v>0</v>
      </c>
      <c r="X235" s="91"/>
      <c r="Y235" s="91"/>
      <c r="Z235" s="91"/>
      <c r="AA235" s="63">
        <f t="shared" si="7"/>
        <v>0</v>
      </c>
      <c r="AC235">
        <v>20000</v>
      </c>
      <c r="AD235">
        <f t="shared" si="8"/>
        <v>20000</v>
      </c>
    </row>
    <row r="236" spans="2:30" hidden="1" x14ac:dyDescent="0.2">
      <c r="B236" s="84">
        <v>10130054</v>
      </c>
      <c r="C236" s="84" t="s">
        <v>1393</v>
      </c>
      <c r="D236" s="84" t="s">
        <v>1630</v>
      </c>
      <c r="E236" s="85">
        <v>110000</v>
      </c>
      <c r="F236" s="86">
        <v>36031.766694571532</v>
      </c>
      <c r="G236" s="84"/>
      <c r="H236" s="87"/>
      <c r="I236" s="87"/>
      <c r="J236" s="88">
        <v>73968.233305428468</v>
      </c>
      <c r="K236" s="86">
        <v>36031.766694571532</v>
      </c>
      <c r="L236" s="89"/>
      <c r="N236" s="91">
        <v>0</v>
      </c>
      <c r="O236" s="91">
        <v>0</v>
      </c>
      <c r="P236" s="91">
        <v>0</v>
      </c>
      <c r="Q236" s="91"/>
      <c r="R236" s="91"/>
      <c r="S236" s="91"/>
      <c r="T236" s="91"/>
      <c r="U236" s="91"/>
      <c r="V236" s="91">
        <v>0</v>
      </c>
      <c r="W236" s="91">
        <v>0</v>
      </c>
      <c r="X236" s="91"/>
      <c r="Y236" s="91"/>
      <c r="Z236" s="91"/>
      <c r="AA236" s="63">
        <f t="shared" si="7"/>
        <v>0</v>
      </c>
      <c r="AC236">
        <v>20000</v>
      </c>
      <c r="AD236">
        <f t="shared" si="8"/>
        <v>20000</v>
      </c>
    </row>
    <row r="237" spans="2:30" hidden="1" x14ac:dyDescent="0.2">
      <c r="B237" s="77">
        <v>10130051</v>
      </c>
      <c r="C237" s="77" t="s">
        <v>1396</v>
      </c>
      <c r="D237" s="77" t="s">
        <v>1630</v>
      </c>
      <c r="E237" s="78">
        <v>110000</v>
      </c>
      <c r="F237" s="79">
        <v>27909.654667865394</v>
      </c>
      <c r="G237" s="77"/>
      <c r="H237" s="80"/>
      <c r="I237" s="80"/>
      <c r="J237" s="81">
        <v>82090.345332134602</v>
      </c>
      <c r="K237" s="79">
        <v>27909.654667865394</v>
      </c>
      <c r="L237" s="82"/>
      <c r="N237" s="91">
        <v>0</v>
      </c>
      <c r="O237" s="91">
        <v>0</v>
      </c>
      <c r="P237" s="91">
        <v>0</v>
      </c>
      <c r="Q237" s="91"/>
      <c r="R237" s="91"/>
      <c r="S237" s="91"/>
      <c r="T237" s="91"/>
      <c r="U237" s="91"/>
      <c r="V237" s="91">
        <v>0</v>
      </c>
      <c r="W237" s="91">
        <v>0</v>
      </c>
      <c r="X237" s="91"/>
      <c r="Y237" s="91"/>
      <c r="Z237" s="91"/>
      <c r="AA237" s="63">
        <f t="shared" si="7"/>
        <v>0</v>
      </c>
      <c r="AC237">
        <v>20000</v>
      </c>
      <c r="AD237">
        <f t="shared" si="8"/>
        <v>20000</v>
      </c>
    </row>
    <row r="238" spans="2:30" hidden="1" x14ac:dyDescent="0.2">
      <c r="B238" s="84">
        <v>10080084</v>
      </c>
      <c r="C238" s="84" t="s">
        <v>2927</v>
      </c>
      <c r="D238" s="84" t="s">
        <v>217</v>
      </c>
      <c r="E238" s="85">
        <v>110000</v>
      </c>
      <c r="F238" s="86">
        <v>17101.914623189641</v>
      </c>
      <c r="G238" s="84"/>
      <c r="H238" s="87"/>
      <c r="I238" s="87"/>
      <c r="J238" s="88">
        <v>92898.085376810355</v>
      </c>
      <c r="K238" s="86">
        <v>2101.9146231896398</v>
      </c>
      <c r="L238" s="89">
        <v>15000</v>
      </c>
      <c r="N238" s="91">
        <v>0</v>
      </c>
      <c r="O238" s="91">
        <v>0</v>
      </c>
      <c r="P238" s="91">
        <v>0</v>
      </c>
      <c r="Q238" s="91"/>
      <c r="R238" s="91"/>
      <c r="S238" s="91"/>
      <c r="T238" s="91"/>
      <c r="U238" s="91"/>
      <c r="V238" s="91">
        <v>0</v>
      </c>
      <c r="W238" s="91">
        <v>0</v>
      </c>
      <c r="X238" s="91"/>
      <c r="Y238" s="91"/>
      <c r="Z238" s="91"/>
      <c r="AA238" s="63">
        <f t="shared" si="7"/>
        <v>15000</v>
      </c>
      <c r="AC238">
        <v>20000</v>
      </c>
      <c r="AD238">
        <f t="shared" si="8"/>
        <v>5000</v>
      </c>
    </row>
    <row r="239" spans="2:30" hidden="1" x14ac:dyDescent="0.2">
      <c r="B239" s="77">
        <v>10130055</v>
      </c>
      <c r="C239" s="77" t="s">
        <v>1441</v>
      </c>
      <c r="D239" s="77" t="s">
        <v>1630</v>
      </c>
      <c r="E239" s="78">
        <v>110000</v>
      </c>
      <c r="F239" s="79">
        <v>26886</v>
      </c>
      <c r="G239" s="77"/>
      <c r="H239" s="80"/>
      <c r="I239" s="80"/>
      <c r="J239" s="81">
        <v>83114</v>
      </c>
      <c r="K239" s="79">
        <v>16886</v>
      </c>
      <c r="L239" s="82">
        <v>10000</v>
      </c>
      <c r="N239" s="91">
        <v>0</v>
      </c>
      <c r="O239" s="91">
        <v>0</v>
      </c>
      <c r="P239" s="91">
        <v>0</v>
      </c>
      <c r="Q239" s="91"/>
      <c r="R239" s="91"/>
      <c r="S239" s="91"/>
      <c r="T239" s="91"/>
      <c r="U239" s="91"/>
      <c r="V239" s="91">
        <v>0</v>
      </c>
      <c r="W239" s="91">
        <v>0</v>
      </c>
      <c r="X239" s="91"/>
      <c r="Y239" s="91"/>
      <c r="Z239" s="91"/>
      <c r="AA239" s="63">
        <f t="shared" si="7"/>
        <v>10000</v>
      </c>
      <c r="AC239">
        <v>20000</v>
      </c>
      <c r="AD239">
        <f t="shared" si="8"/>
        <v>10000</v>
      </c>
    </row>
    <row r="240" spans="2:30" hidden="1" x14ac:dyDescent="0.2">
      <c r="B240" s="84">
        <v>10140079</v>
      </c>
      <c r="C240" s="84" t="s">
        <v>1444</v>
      </c>
      <c r="D240" s="84" t="s">
        <v>85</v>
      </c>
      <c r="E240" s="85">
        <v>110000</v>
      </c>
      <c r="F240" s="86">
        <v>13722</v>
      </c>
      <c r="G240" s="84"/>
      <c r="H240" s="87"/>
      <c r="I240" s="87"/>
      <c r="J240" s="88">
        <v>96278</v>
      </c>
      <c r="K240" s="86">
        <v>3722</v>
      </c>
      <c r="L240" s="89">
        <v>10000</v>
      </c>
      <c r="N240" s="91">
        <v>0</v>
      </c>
      <c r="O240" s="91">
        <v>0</v>
      </c>
      <c r="P240" s="91">
        <v>0</v>
      </c>
      <c r="Q240" s="91"/>
      <c r="R240" s="91"/>
      <c r="S240" s="91"/>
      <c r="T240" s="91"/>
      <c r="U240" s="91"/>
      <c r="V240" s="91">
        <v>0</v>
      </c>
      <c r="W240" s="91">
        <v>0</v>
      </c>
      <c r="X240" s="91"/>
      <c r="Y240" s="91"/>
      <c r="Z240" s="91"/>
      <c r="AA240" s="63">
        <f t="shared" si="7"/>
        <v>10000</v>
      </c>
      <c r="AC240">
        <v>20000</v>
      </c>
      <c r="AD240">
        <f t="shared" si="8"/>
        <v>10000</v>
      </c>
    </row>
    <row r="241" spans="2:30" hidden="1" x14ac:dyDescent="0.2">
      <c r="B241" s="77">
        <v>10080057</v>
      </c>
      <c r="C241" s="77" t="s">
        <v>1447</v>
      </c>
      <c r="D241" s="77" t="s">
        <v>297</v>
      </c>
      <c r="E241" s="78">
        <v>110000</v>
      </c>
      <c r="F241" s="79">
        <v>20132</v>
      </c>
      <c r="G241" s="77"/>
      <c r="H241" s="80"/>
      <c r="I241" s="80"/>
      <c r="J241" s="81">
        <v>89868</v>
      </c>
      <c r="K241" s="79">
        <v>20132</v>
      </c>
      <c r="L241" s="82"/>
      <c r="N241" s="91">
        <v>0</v>
      </c>
      <c r="O241" s="91">
        <v>0</v>
      </c>
      <c r="P241" s="91">
        <v>0</v>
      </c>
      <c r="Q241" s="91"/>
      <c r="R241" s="91"/>
      <c r="S241" s="91"/>
      <c r="T241" s="91"/>
      <c r="U241" s="91"/>
      <c r="V241" s="91">
        <v>0</v>
      </c>
      <c r="W241" s="91">
        <v>0</v>
      </c>
      <c r="X241" s="91"/>
      <c r="Y241" s="91"/>
      <c r="Z241" s="91"/>
      <c r="AA241" s="63">
        <f t="shared" si="7"/>
        <v>0</v>
      </c>
      <c r="AC241">
        <v>20000</v>
      </c>
      <c r="AD241">
        <f t="shared" si="8"/>
        <v>20000</v>
      </c>
    </row>
    <row r="242" spans="2:30" hidden="1" x14ac:dyDescent="0.2">
      <c r="B242" s="84">
        <v>10080067</v>
      </c>
      <c r="C242" s="84" t="s">
        <v>1450</v>
      </c>
      <c r="D242" s="84" t="s">
        <v>297</v>
      </c>
      <c r="E242" s="85">
        <v>110000</v>
      </c>
      <c r="F242" s="86">
        <v>28828.692655656359</v>
      </c>
      <c r="G242" s="84"/>
      <c r="H242" s="87"/>
      <c r="I242" s="87"/>
      <c r="J242" s="88">
        <v>81171.307344343644</v>
      </c>
      <c r="K242" s="86">
        <v>28828.692655656359</v>
      </c>
      <c r="L242" s="89"/>
      <c r="N242" s="91">
        <v>0</v>
      </c>
      <c r="O242" s="91">
        <v>0</v>
      </c>
      <c r="P242" s="91">
        <v>0</v>
      </c>
      <c r="Q242" s="91"/>
      <c r="R242" s="91"/>
      <c r="S242" s="91"/>
      <c r="T242" s="91"/>
      <c r="U242" s="91"/>
      <c r="V242" s="91">
        <v>0</v>
      </c>
      <c r="W242" s="91">
        <v>0</v>
      </c>
      <c r="X242" s="91"/>
      <c r="Y242" s="91"/>
      <c r="Z242" s="91"/>
      <c r="AA242" s="63">
        <f t="shared" si="7"/>
        <v>0</v>
      </c>
      <c r="AC242">
        <v>20000</v>
      </c>
      <c r="AD242">
        <f t="shared" si="8"/>
        <v>20000</v>
      </c>
    </row>
    <row r="243" spans="2:30" hidden="1" x14ac:dyDescent="0.2">
      <c r="B243" s="77">
        <v>10110059</v>
      </c>
      <c r="C243" s="77" t="s">
        <v>1456</v>
      </c>
      <c r="D243" s="77" t="s">
        <v>217</v>
      </c>
      <c r="E243" s="78">
        <v>110000</v>
      </c>
      <c r="F243" s="79">
        <v>31558.897697541226</v>
      </c>
      <c r="G243" s="77"/>
      <c r="H243" s="80"/>
      <c r="I243" s="80"/>
      <c r="J243" s="81">
        <v>78441.102302458778</v>
      </c>
      <c r="K243" s="79">
        <v>31558.897697541226</v>
      </c>
      <c r="L243" s="82"/>
      <c r="N243" s="91">
        <v>0</v>
      </c>
      <c r="O243" s="91">
        <v>0</v>
      </c>
      <c r="P243" s="91">
        <v>0</v>
      </c>
      <c r="Q243" s="91"/>
      <c r="R243" s="91"/>
      <c r="S243" s="91"/>
      <c r="T243" s="91"/>
      <c r="U243" s="91"/>
      <c r="V243" s="91">
        <v>0</v>
      </c>
      <c r="W243" s="91">
        <v>0</v>
      </c>
      <c r="X243" s="91"/>
      <c r="Y243" s="91"/>
      <c r="Z243" s="91"/>
      <c r="AA243" s="63">
        <f t="shared" si="7"/>
        <v>0</v>
      </c>
      <c r="AC243">
        <v>20000</v>
      </c>
      <c r="AD243">
        <f t="shared" si="8"/>
        <v>20000</v>
      </c>
    </row>
    <row r="244" spans="2:30" hidden="1" x14ac:dyDescent="0.2">
      <c r="B244" s="84">
        <v>10010071</v>
      </c>
      <c r="C244" s="84" t="s">
        <v>1462</v>
      </c>
      <c r="D244" s="84" t="s">
        <v>203</v>
      </c>
      <c r="E244" s="85">
        <v>110000</v>
      </c>
      <c r="F244" s="86">
        <v>25423.704620260502</v>
      </c>
      <c r="G244" s="84"/>
      <c r="H244" s="87"/>
      <c r="I244" s="87"/>
      <c r="J244" s="88">
        <v>84576.295379739502</v>
      </c>
      <c r="K244" s="86">
        <v>25423.704620260502</v>
      </c>
      <c r="L244" s="89"/>
      <c r="N244" s="91">
        <v>0</v>
      </c>
      <c r="O244" s="91">
        <v>0</v>
      </c>
      <c r="P244" s="91">
        <v>0</v>
      </c>
      <c r="Q244" s="91"/>
      <c r="R244" s="91"/>
      <c r="S244" s="91"/>
      <c r="T244" s="91"/>
      <c r="U244" s="91"/>
      <c r="V244" s="91">
        <v>0</v>
      </c>
      <c r="W244" s="91">
        <v>0</v>
      </c>
      <c r="X244" s="91"/>
      <c r="Y244" s="91"/>
      <c r="Z244" s="91"/>
      <c r="AA244" s="63">
        <f t="shared" si="7"/>
        <v>0</v>
      </c>
      <c r="AC244">
        <v>20000</v>
      </c>
      <c r="AD244">
        <f t="shared" si="8"/>
        <v>20000</v>
      </c>
    </row>
    <row r="245" spans="2:30" hidden="1" x14ac:dyDescent="0.2">
      <c r="B245" s="77">
        <v>10110062</v>
      </c>
      <c r="C245" s="77" t="s">
        <v>1471</v>
      </c>
      <c r="D245" s="77" t="s">
        <v>217</v>
      </c>
      <c r="E245" s="78">
        <v>110000</v>
      </c>
      <c r="F245" s="79">
        <v>7674.7212726565322</v>
      </c>
      <c r="G245" s="77"/>
      <c r="H245" s="80"/>
      <c r="I245" s="80"/>
      <c r="J245" s="81">
        <v>102325.27872734347</v>
      </c>
      <c r="K245" s="79">
        <v>7674.7212726565322</v>
      </c>
      <c r="L245" s="82"/>
      <c r="N245" s="91">
        <v>0</v>
      </c>
      <c r="O245" s="91">
        <v>0</v>
      </c>
      <c r="P245" s="91">
        <v>0</v>
      </c>
      <c r="Q245" s="91"/>
      <c r="R245" s="91"/>
      <c r="S245" s="91"/>
      <c r="T245" s="91"/>
      <c r="U245" s="91"/>
      <c r="V245" s="91">
        <v>0</v>
      </c>
      <c r="W245" s="91">
        <v>0</v>
      </c>
      <c r="X245" s="91"/>
      <c r="Y245" s="91"/>
      <c r="Z245" s="91"/>
      <c r="AA245" s="63">
        <f t="shared" si="7"/>
        <v>0</v>
      </c>
      <c r="AC245">
        <v>20000</v>
      </c>
      <c r="AD245">
        <f t="shared" si="8"/>
        <v>20000</v>
      </c>
    </row>
    <row r="246" spans="2:30" hidden="1" x14ac:dyDescent="0.2">
      <c r="B246" s="84">
        <v>10110063</v>
      </c>
      <c r="C246" s="84" t="s">
        <v>1474</v>
      </c>
      <c r="D246" s="84" t="s">
        <v>217</v>
      </c>
      <c r="E246" s="85">
        <v>110000</v>
      </c>
      <c r="F246" s="86">
        <v>7675</v>
      </c>
      <c r="G246" s="84"/>
      <c r="H246" s="87"/>
      <c r="I246" s="87"/>
      <c r="J246" s="88">
        <v>102325</v>
      </c>
      <c r="K246" s="86">
        <v>7675</v>
      </c>
      <c r="L246" s="89"/>
      <c r="N246" s="91">
        <v>0</v>
      </c>
      <c r="O246" s="91">
        <v>0</v>
      </c>
      <c r="P246" s="91">
        <v>0</v>
      </c>
      <c r="Q246" s="91"/>
      <c r="R246" s="91"/>
      <c r="S246" s="91"/>
      <c r="T246" s="91"/>
      <c r="U246" s="91"/>
      <c r="V246" s="91">
        <v>0</v>
      </c>
      <c r="W246" s="91">
        <v>0</v>
      </c>
      <c r="X246" s="91"/>
      <c r="Y246" s="91"/>
      <c r="Z246" s="91"/>
      <c r="AA246" s="63">
        <f t="shared" si="7"/>
        <v>0</v>
      </c>
      <c r="AC246">
        <v>20000</v>
      </c>
      <c r="AD246">
        <f t="shared" si="8"/>
        <v>20000</v>
      </c>
    </row>
    <row r="247" spans="2:30" hidden="1" x14ac:dyDescent="0.2">
      <c r="B247" s="77">
        <v>10110066</v>
      </c>
      <c r="C247" s="77" t="s">
        <v>1477</v>
      </c>
      <c r="D247" s="77" t="s">
        <v>217</v>
      </c>
      <c r="E247" s="78">
        <v>110000</v>
      </c>
      <c r="F247" s="79">
        <v>34155.331892297843</v>
      </c>
      <c r="G247" s="77"/>
      <c r="H247" s="80"/>
      <c r="I247" s="80"/>
      <c r="J247" s="81">
        <v>75844.668107702164</v>
      </c>
      <c r="K247" s="79">
        <v>34155.331892297843</v>
      </c>
      <c r="L247" s="82"/>
      <c r="N247" s="91">
        <v>0</v>
      </c>
      <c r="O247" s="91">
        <v>0</v>
      </c>
      <c r="P247" s="91">
        <v>0</v>
      </c>
      <c r="Q247" s="91"/>
      <c r="R247" s="91"/>
      <c r="S247" s="91"/>
      <c r="T247" s="91"/>
      <c r="U247" s="91"/>
      <c r="V247" s="91">
        <v>0</v>
      </c>
      <c r="W247" s="91">
        <v>0</v>
      </c>
      <c r="X247" s="91"/>
      <c r="Y247" s="91"/>
      <c r="Z247" s="91"/>
      <c r="AA247" s="63">
        <f t="shared" si="7"/>
        <v>0</v>
      </c>
      <c r="AC247">
        <v>20000</v>
      </c>
      <c r="AD247">
        <f t="shared" si="8"/>
        <v>20000</v>
      </c>
    </row>
    <row r="248" spans="2:30" hidden="1" x14ac:dyDescent="0.2">
      <c r="B248" s="84">
        <v>10110065</v>
      </c>
      <c r="C248" s="84" t="s">
        <v>1480</v>
      </c>
      <c r="D248" s="84" t="s">
        <v>217</v>
      </c>
      <c r="E248" s="85">
        <v>110000</v>
      </c>
      <c r="F248" s="86">
        <v>28991.570189911039</v>
      </c>
      <c r="G248" s="84"/>
      <c r="H248" s="87"/>
      <c r="I248" s="87"/>
      <c r="J248" s="88">
        <v>81008.429810088957</v>
      </c>
      <c r="K248" s="86">
        <v>28991.570189911039</v>
      </c>
      <c r="L248" s="89"/>
      <c r="N248" s="91">
        <v>0</v>
      </c>
      <c r="O248" s="91">
        <v>0</v>
      </c>
      <c r="P248" s="91">
        <v>0</v>
      </c>
      <c r="Q248" s="91"/>
      <c r="R248" s="91"/>
      <c r="S248" s="91"/>
      <c r="T248" s="91"/>
      <c r="U248" s="91"/>
      <c r="V248" s="91">
        <v>0</v>
      </c>
      <c r="W248" s="91">
        <v>0</v>
      </c>
      <c r="X248" s="91"/>
      <c r="Y248" s="91"/>
      <c r="Z248" s="91"/>
      <c r="AA248" s="63">
        <f t="shared" si="7"/>
        <v>0</v>
      </c>
      <c r="AC248">
        <v>20000</v>
      </c>
      <c r="AD248">
        <f t="shared" si="8"/>
        <v>20000</v>
      </c>
    </row>
    <row r="249" spans="2:30" hidden="1" x14ac:dyDescent="0.2">
      <c r="B249" s="77">
        <v>10110067</v>
      </c>
      <c r="C249" s="77" t="s">
        <v>1483</v>
      </c>
      <c r="D249" s="77" t="s">
        <v>217</v>
      </c>
      <c r="E249" s="78">
        <v>110000</v>
      </c>
      <c r="F249" s="79">
        <v>2643</v>
      </c>
      <c r="G249" s="77"/>
      <c r="H249" s="80"/>
      <c r="I249" s="80"/>
      <c r="J249" s="81">
        <v>107357</v>
      </c>
      <c r="K249" s="79">
        <v>2643</v>
      </c>
      <c r="L249" s="82"/>
      <c r="N249" s="91">
        <v>0</v>
      </c>
      <c r="O249" s="91">
        <v>0</v>
      </c>
      <c r="P249" s="91">
        <v>0</v>
      </c>
      <c r="Q249" s="91"/>
      <c r="R249" s="91"/>
      <c r="S249" s="91"/>
      <c r="T249" s="91"/>
      <c r="U249" s="91"/>
      <c r="V249" s="91">
        <v>0</v>
      </c>
      <c r="W249" s="91">
        <v>0</v>
      </c>
      <c r="X249" s="91"/>
      <c r="Y249" s="91"/>
      <c r="Z249" s="91"/>
      <c r="AA249" s="63">
        <f t="shared" si="7"/>
        <v>0</v>
      </c>
      <c r="AC249">
        <v>20000</v>
      </c>
      <c r="AD249">
        <f t="shared" si="8"/>
        <v>20000</v>
      </c>
    </row>
    <row r="250" spans="2:30" hidden="1" x14ac:dyDescent="0.2">
      <c r="B250" s="84">
        <v>10110056</v>
      </c>
      <c r="C250" s="84" t="s">
        <v>1487</v>
      </c>
      <c r="D250" s="84" t="s">
        <v>217</v>
      </c>
      <c r="E250" s="85">
        <v>110000</v>
      </c>
      <c r="F250" s="86">
        <v>28384.150978485322</v>
      </c>
      <c r="G250" s="84"/>
      <c r="H250" s="87"/>
      <c r="I250" s="87"/>
      <c r="J250" s="88">
        <v>81615.849021514674</v>
      </c>
      <c r="K250" s="86">
        <v>28384.150978485322</v>
      </c>
      <c r="L250" s="89"/>
      <c r="N250" s="91">
        <v>0</v>
      </c>
      <c r="O250" s="91">
        <v>0</v>
      </c>
      <c r="P250" s="91">
        <v>0</v>
      </c>
      <c r="Q250" s="91"/>
      <c r="R250" s="91"/>
      <c r="S250" s="91"/>
      <c r="T250" s="91"/>
      <c r="U250" s="91"/>
      <c r="V250" s="91">
        <v>0</v>
      </c>
      <c r="W250" s="91">
        <v>0</v>
      </c>
      <c r="X250" s="91"/>
      <c r="Y250" s="91"/>
      <c r="Z250" s="91"/>
      <c r="AA250" s="63">
        <f t="shared" si="7"/>
        <v>0</v>
      </c>
      <c r="AC250">
        <v>20000</v>
      </c>
      <c r="AD250">
        <f t="shared" si="8"/>
        <v>20000</v>
      </c>
    </row>
    <row r="251" spans="2:30" hidden="1" x14ac:dyDescent="0.2">
      <c r="B251" s="77">
        <v>10110057</v>
      </c>
      <c r="C251" s="77" t="s">
        <v>1490</v>
      </c>
      <c r="D251" s="77" t="s">
        <v>217</v>
      </c>
      <c r="E251" s="78">
        <v>110000</v>
      </c>
      <c r="F251" s="79">
        <v>22505.874887833968</v>
      </c>
      <c r="G251" s="77"/>
      <c r="H251" s="80"/>
      <c r="I251" s="80"/>
      <c r="J251" s="81">
        <v>87494.125112166032</v>
      </c>
      <c r="K251" s="79">
        <v>22505.874887833968</v>
      </c>
      <c r="L251" s="82"/>
      <c r="N251" s="91">
        <v>0</v>
      </c>
      <c r="O251" s="91">
        <v>0</v>
      </c>
      <c r="P251" s="91">
        <v>0</v>
      </c>
      <c r="Q251" s="91"/>
      <c r="R251" s="91"/>
      <c r="S251" s="91"/>
      <c r="T251" s="91"/>
      <c r="U251" s="91"/>
      <c r="V251" s="91">
        <v>0</v>
      </c>
      <c r="W251" s="91">
        <v>0</v>
      </c>
      <c r="X251" s="91"/>
      <c r="Y251" s="91"/>
      <c r="Z251" s="91"/>
      <c r="AA251" s="63">
        <f t="shared" si="7"/>
        <v>0</v>
      </c>
      <c r="AC251">
        <v>20000</v>
      </c>
      <c r="AD251">
        <f t="shared" si="8"/>
        <v>20000</v>
      </c>
    </row>
    <row r="252" spans="2:30" hidden="1" x14ac:dyDescent="0.2">
      <c r="B252" s="84">
        <v>10080066</v>
      </c>
      <c r="C252" s="84" t="s">
        <v>1502</v>
      </c>
      <c r="D252" s="84" t="s">
        <v>1709</v>
      </c>
      <c r="E252" s="85">
        <v>110000</v>
      </c>
      <c r="F252" s="86">
        <v>21082</v>
      </c>
      <c r="G252" s="84"/>
      <c r="H252" s="87"/>
      <c r="I252" s="87"/>
      <c r="J252" s="88">
        <v>88918</v>
      </c>
      <c r="K252" s="86">
        <v>21082</v>
      </c>
      <c r="L252" s="89"/>
      <c r="N252" s="91">
        <v>0</v>
      </c>
      <c r="O252" s="91">
        <v>0</v>
      </c>
      <c r="P252" s="91">
        <v>0</v>
      </c>
      <c r="Q252" s="91"/>
      <c r="R252" s="91"/>
      <c r="S252" s="91"/>
      <c r="T252" s="91"/>
      <c r="U252" s="91"/>
      <c r="V252" s="91">
        <v>0</v>
      </c>
      <c r="W252" s="91">
        <v>0</v>
      </c>
      <c r="X252" s="91"/>
      <c r="Y252" s="91"/>
      <c r="Z252" s="91"/>
      <c r="AA252" s="63">
        <f t="shared" si="7"/>
        <v>0</v>
      </c>
      <c r="AC252">
        <v>20000</v>
      </c>
      <c r="AD252">
        <f t="shared" si="8"/>
        <v>20000</v>
      </c>
    </row>
    <row r="253" spans="2:30" hidden="1" x14ac:dyDescent="0.2">
      <c r="B253" s="77">
        <v>0</v>
      </c>
      <c r="C253" s="77" t="s">
        <v>1503</v>
      </c>
      <c r="D253" s="77"/>
      <c r="E253" s="78">
        <v>110000</v>
      </c>
      <c r="F253" s="79">
        <v>10000</v>
      </c>
      <c r="G253" s="77"/>
      <c r="H253" s="80"/>
      <c r="I253" s="80"/>
      <c r="J253" s="81">
        <v>100000</v>
      </c>
      <c r="K253" s="79">
        <v>0</v>
      </c>
      <c r="L253" s="82">
        <v>10000</v>
      </c>
      <c r="N253" s="91">
        <v>0</v>
      </c>
      <c r="O253" s="91">
        <v>0</v>
      </c>
      <c r="P253" s="91">
        <v>0</v>
      </c>
      <c r="Q253" s="91"/>
      <c r="R253" s="91"/>
      <c r="S253" s="91"/>
      <c r="T253" s="91"/>
      <c r="U253" s="91"/>
      <c r="V253" s="91">
        <v>0</v>
      </c>
      <c r="W253" s="91">
        <v>0</v>
      </c>
      <c r="X253" s="91"/>
      <c r="Y253" s="91"/>
      <c r="Z253" s="91"/>
      <c r="AA253" s="63">
        <f t="shared" si="7"/>
        <v>10000</v>
      </c>
      <c r="AC253">
        <v>20000</v>
      </c>
      <c r="AD253">
        <f t="shared" si="8"/>
        <v>10000</v>
      </c>
    </row>
    <row r="254" spans="2:30" hidden="1" x14ac:dyDescent="0.2">
      <c r="B254" s="84">
        <v>10100033</v>
      </c>
      <c r="C254" s="84" t="s">
        <v>1507</v>
      </c>
      <c r="D254" s="84" t="s">
        <v>906</v>
      </c>
      <c r="E254" s="85">
        <v>110000</v>
      </c>
      <c r="F254" s="86">
        <v>42264.734400000001</v>
      </c>
      <c r="G254" s="84"/>
      <c r="H254" s="87"/>
      <c r="I254" s="87"/>
      <c r="J254" s="88">
        <v>67735.265599999999</v>
      </c>
      <c r="K254" s="86">
        <v>32264.734400000001</v>
      </c>
      <c r="L254" s="89">
        <v>10000</v>
      </c>
      <c r="N254" s="91">
        <v>0</v>
      </c>
      <c r="O254" s="91">
        <v>0</v>
      </c>
      <c r="P254" s="91">
        <v>0</v>
      </c>
      <c r="Q254" s="91"/>
      <c r="R254" s="91"/>
      <c r="S254" s="91"/>
      <c r="T254" s="91"/>
      <c r="U254" s="91"/>
      <c r="V254" s="91">
        <v>0</v>
      </c>
      <c r="W254" s="91">
        <v>0</v>
      </c>
      <c r="X254" s="91"/>
      <c r="Y254" s="91"/>
      <c r="Z254" s="91"/>
      <c r="AA254" s="63">
        <f t="shared" si="7"/>
        <v>10000</v>
      </c>
      <c r="AC254">
        <v>20000</v>
      </c>
      <c r="AD254">
        <f t="shared" si="8"/>
        <v>10000</v>
      </c>
    </row>
    <row r="255" spans="2:30" hidden="1" x14ac:dyDescent="0.2">
      <c r="B255" s="77">
        <v>0</v>
      </c>
      <c r="C255" s="77" t="s">
        <v>1515</v>
      </c>
      <c r="D255" s="77"/>
      <c r="E255" s="78">
        <v>110000</v>
      </c>
      <c r="F255" s="79">
        <v>5000</v>
      </c>
      <c r="G255" s="77"/>
      <c r="H255" s="80"/>
      <c r="I255" s="80"/>
      <c r="J255" s="81">
        <v>105000</v>
      </c>
      <c r="K255" s="79">
        <v>0</v>
      </c>
      <c r="L255" s="82">
        <v>5000</v>
      </c>
      <c r="N255" s="91">
        <v>0</v>
      </c>
      <c r="O255" s="91">
        <v>0</v>
      </c>
      <c r="P255" s="91">
        <v>0</v>
      </c>
      <c r="Q255" s="91"/>
      <c r="R255" s="91"/>
      <c r="S255" s="91"/>
      <c r="T255" s="91"/>
      <c r="U255" s="91"/>
      <c r="V255" s="91">
        <v>0</v>
      </c>
      <c r="W255" s="91">
        <v>0</v>
      </c>
      <c r="X255" s="91"/>
      <c r="Y255" s="91"/>
      <c r="Z255" s="91"/>
      <c r="AA255" s="63">
        <f t="shared" si="7"/>
        <v>5000</v>
      </c>
      <c r="AC255">
        <v>20000</v>
      </c>
      <c r="AD255">
        <f t="shared" si="8"/>
        <v>15000</v>
      </c>
    </row>
    <row r="256" spans="2:30" hidden="1" x14ac:dyDescent="0.2">
      <c r="B256" s="84">
        <v>10120042</v>
      </c>
      <c r="C256" s="84" t="s">
        <v>1523</v>
      </c>
      <c r="D256" s="84" t="s">
        <v>177</v>
      </c>
      <c r="E256" s="85">
        <v>110000</v>
      </c>
      <c r="F256" s="86">
        <v>32616</v>
      </c>
      <c r="G256" s="84"/>
      <c r="H256" s="87"/>
      <c r="I256" s="87"/>
      <c r="J256" s="88">
        <v>77384</v>
      </c>
      <c r="K256" s="86">
        <v>27616</v>
      </c>
      <c r="L256" s="89">
        <v>5000</v>
      </c>
      <c r="N256" s="91">
        <v>0</v>
      </c>
      <c r="O256" s="91">
        <v>0</v>
      </c>
      <c r="P256" s="91">
        <v>0</v>
      </c>
      <c r="Q256" s="91"/>
      <c r="R256" s="91"/>
      <c r="S256" s="91"/>
      <c r="T256" s="91"/>
      <c r="U256" s="91"/>
      <c r="V256" s="91">
        <v>0</v>
      </c>
      <c r="W256" s="91">
        <v>0</v>
      </c>
      <c r="X256" s="91"/>
      <c r="Y256" s="91"/>
      <c r="Z256" s="91"/>
      <c r="AA256" s="63">
        <f t="shared" si="7"/>
        <v>5000</v>
      </c>
      <c r="AC256">
        <v>20000</v>
      </c>
      <c r="AD256">
        <f t="shared" si="8"/>
        <v>15000</v>
      </c>
    </row>
    <row r="257" spans="2:30" hidden="1" x14ac:dyDescent="0.2">
      <c r="B257" s="77">
        <v>10120043</v>
      </c>
      <c r="C257" s="77" t="s">
        <v>1527</v>
      </c>
      <c r="D257" s="77" t="s">
        <v>177</v>
      </c>
      <c r="E257" s="78">
        <v>110000</v>
      </c>
      <c r="F257" s="79">
        <v>38024.839399999997</v>
      </c>
      <c r="G257" s="77"/>
      <c r="H257" s="80"/>
      <c r="I257" s="80"/>
      <c r="J257" s="81">
        <v>71975.160600000003</v>
      </c>
      <c r="K257" s="79">
        <v>28024.839400000001</v>
      </c>
      <c r="L257" s="82">
        <v>10000</v>
      </c>
      <c r="N257" s="91">
        <v>0</v>
      </c>
      <c r="O257" s="91">
        <v>0</v>
      </c>
      <c r="P257" s="91">
        <v>0</v>
      </c>
      <c r="Q257" s="91"/>
      <c r="R257" s="91"/>
      <c r="S257" s="91"/>
      <c r="T257" s="91"/>
      <c r="U257" s="91"/>
      <c r="V257" s="91">
        <v>0</v>
      </c>
      <c r="W257" s="91">
        <v>0</v>
      </c>
      <c r="X257" s="91"/>
      <c r="Y257" s="91"/>
      <c r="Z257" s="91"/>
      <c r="AA257" s="63">
        <f t="shared" si="7"/>
        <v>10000</v>
      </c>
      <c r="AC257">
        <v>20000</v>
      </c>
      <c r="AD257">
        <f t="shared" si="8"/>
        <v>10000</v>
      </c>
    </row>
    <row r="258" spans="2:30" hidden="1" x14ac:dyDescent="0.2">
      <c r="B258" s="84">
        <v>10120044</v>
      </c>
      <c r="C258" s="84" t="s">
        <v>1533</v>
      </c>
      <c r="D258" s="84" t="s">
        <v>177</v>
      </c>
      <c r="E258" s="85">
        <v>110000</v>
      </c>
      <c r="F258" s="86">
        <v>19627.443599999999</v>
      </c>
      <c r="G258" s="84"/>
      <c r="H258" s="87"/>
      <c r="I258" s="87"/>
      <c r="J258" s="88">
        <v>90372.556400000001</v>
      </c>
      <c r="K258" s="86">
        <v>9627.4435999999987</v>
      </c>
      <c r="L258" s="89">
        <v>10000</v>
      </c>
      <c r="N258" s="91">
        <v>0</v>
      </c>
      <c r="O258" s="91">
        <v>0</v>
      </c>
      <c r="P258" s="91">
        <v>0</v>
      </c>
      <c r="Q258" s="91"/>
      <c r="R258" s="91"/>
      <c r="S258" s="91"/>
      <c r="T258" s="91"/>
      <c r="U258" s="91"/>
      <c r="V258" s="91">
        <v>0</v>
      </c>
      <c r="W258" s="91">
        <v>0</v>
      </c>
      <c r="X258" s="91"/>
      <c r="Y258" s="91"/>
      <c r="Z258" s="91"/>
      <c r="AA258" s="63">
        <f t="shared" si="7"/>
        <v>10000</v>
      </c>
      <c r="AC258">
        <v>20000</v>
      </c>
      <c r="AD258">
        <f t="shared" si="8"/>
        <v>10000</v>
      </c>
    </row>
    <row r="259" spans="2:30" hidden="1" x14ac:dyDescent="0.2">
      <c r="B259" s="77">
        <v>10120045</v>
      </c>
      <c r="C259" s="77" t="s">
        <v>1536</v>
      </c>
      <c r="D259" s="77" t="s">
        <v>177</v>
      </c>
      <c r="E259" s="78">
        <v>110000</v>
      </c>
      <c r="F259" s="79">
        <v>10000</v>
      </c>
      <c r="G259" s="77"/>
      <c r="H259" s="80"/>
      <c r="I259" s="80"/>
      <c r="J259" s="81">
        <v>100000</v>
      </c>
      <c r="K259" s="79">
        <v>0</v>
      </c>
      <c r="L259" s="82">
        <v>10000</v>
      </c>
      <c r="N259" s="91">
        <v>0</v>
      </c>
      <c r="O259" s="91">
        <v>0</v>
      </c>
      <c r="P259" s="91">
        <v>0</v>
      </c>
      <c r="Q259" s="91"/>
      <c r="R259" s="91"/>
      <c r="S259" s="91"/>
      <c r="T259" s="91"/>
      <c r="U259" s="91"/>
      <c r="V259" s="91">
        <v>0</v>
      </c>
      <c r="W259" s="91">
        <v>0</v>
      </c>
      <c r="X259" s="91"/>
      <c r="Y259" s="91"/>
      <c r="Z259" s="91"/>
      <c r="AA259" s="63">
        <f t="shared" si="7"/>
        <v>10000</v>
      </c>
      <c r="AC259">
        <v>20000</v>
      </c>
      <c r="AD259">
        <f t="shared" si="8"/>
        <v>10000</v>
      </c>
    </row>
    <row r="260" spans="2:30" hidden="1" x14ac:dyDescent="0.2">
      <c r="B260" s="84">
        <v>0</v>
      </c>
      <c r="C260" s="84" t="s">
        <v>1542</v>
      </c>
      <c r="D260" s="84"/>
      <c r="E260" s="85">
        <v>110000</v>
      </c>
      <c r="F260" s="86">
        <v>10000</v>
      </c>
      <c r="G260" s="84"/>
      <c r="H260" s="87"/>
      <c r="I260" s="87"/>
      <c r="J260" s="88">
        <v>100000</v>
      </c>
      <c r="K260" s="86">
        <v>0</v>
      </c>
      <c r="L260" s="89">
        <v>10000</v>
      </c>
      <c r="N260" s="91">
        <v>0</v>
      </c>
      <c r="O260" s="91">
        <v>0</v>
      </c>
      <c r="P260" s="91">
        <v>0</v>
      </c>
      <c r="Q260" s="91"/>
      <c r="R260" s="91"/>
      <c r="S260" s="91"/>
      <c r="T260" s="91"/>
      <c r="U260" s="91"/>
      <c r="V260" s="91">
        <v>0</v>
      </c>
      <c r="W260" s="91">
        <v>0</v>
      </c>
      <c r="X260" s="91"/>
      <c r="Y260" s="91"/>
      <c r="Z260" s="91"/>
      <c r="AA260" s="63">
        <f t="shared" ref="AA260:AA323" si="9">SUM(L260:W260)</f>
        <v>10000</v>
      </c>
      <c r="AC260">
        <v>20000</v>
      </c>
      <c r="AD260">
        <f t="shared" si="8"/>
        <v>10000</v>
      </c>
    </row>
    <row r="261" spans="2:30" hidden="1" x14ac:dyDescent="0.2">
      <c r="B261" s="77">
        <v>10010038</v>
      </c>
      <c r="C261" s="77" t="s">
        <v>1562</v>
      </c>
      <c r="D261" s="77" t="s">
        <v>203</v>
      </c>
      <c r="E261" s="78">
        <v>110000</v>
      </c>
      <c r="F261" s="79">
        <v>46765.769011810342</v>
      </c>
      <c r="G261" s="77"/>
      <c r="H261" s="80"/>
      <c r="I261" s="80"/>
      <c r="J261" s="81">
        <v>63234.230988189658</v>
      </c>
      <c r="K261" s="79">
        <v>36765.769011810342</v>
      </c>
      <c r="L261" s="82">
        <v>10000</v>
      </c>
      <c r="N261" s="91">
        <v>0</v>
      </c>
      <c r="O261" s="91">
        <v>0</v>
      </c>
      <c r="P261" s="91">
        <v>0</v>
      </c>
      <c r="Q261" s="91"/>
      <c r="R261" s="91"/>
      <c r="S261" s="91"/>
      <c r="T261" s="91"/>
      <c r="U261" s="91"/>
      <c r="V261" s="91">
        <v>0</v>
      </c>
      <c r="W261" s="91">
        <v>0</v>
      </c>
      <c r="X261" s="91"/>
      <c r="Y261" s="91"/>
      <c r="Z261" s="91"/>
      <c r="AA261" s="63">
        <f t="shared" si="9"/>
        <v>10000</v>
      </c>
      <c r="AC261">
        <v>20000</v>
      </c>
      <c r="AD261">
        <f t="shared" si="8"/>
        <v>10000</v>
      </c>
    </row>
    <row r="262" spans="2:30" hidden="1" x14ac:dyDescent="0.2">
      <c r="B262" s="84">
        <v>10060057</v>
      </c>
      <c r="C262" s="84" t="s">
        <v>1578</v>
      </c>
      <c r="D262" s="84" t="s">
        <v>1321</v>
      </c>
      <c r="E262" s="85">
        <v>110000</v>
      </c>
      <c r="F262" s="86">
        <v>43536.643003991165</v>
      </c>
      <c r="G262" s="84"/>
      <c r="H262" s="87"/>
      <c r="I262" s="87"/>
      <c r="J262" s="88">
        <v>66463.356996008835</v>
      </c>
      <c r="K262" s="86">
        <v>43536.643003991165</v>
      </c>
      <c r="L262" s="89">
        <v>0</v>
      </c>
      <c r="N262" s="91">
        <v>0</v>
      </c>
      <c r="O262" s="91">
        <v>0</v>
      </c>
      <c r="P262" s="91">
        <v>0</v>
      </c>
      <c r="Q262" s="91"/>
      <c r="R262" s="91"/>
      <c r="S262" s="91"/>
      <c r="T262" s="91"/>
      <c r="U262" s="91"/>
      <c r="V262" s="91">
        <v>0</v>
      </c>
      <c r="W262" s="91">
        <v>0</v>
      </c>
      <c r="X262" s="91"/>
      <c r="Y262" s="91"/>
      <c r="Z262" s="91"/>
      <c r="AA262" s="63">
        <f t="shared" si="9"/>
        <v>0</v>
      </c>
      <c r="AC262">
        <v>20000</v>
      </c>
      <c r="AD262">
        <f t="shared" ref="AD262:AD313" si="10">AC262-AA262</f>
        <v>20000</v>
      </c>
    </row>
    <row r="263" spans="2:30" hidden="1" x14ac:dyDescent="0.2">
      <c r="B263" s="77">
        <v>10130046</v>
      </c>
      <c r="C263" s="77" t="s">
        <v>1634</v>
      </c>
      <c r="D263" s="77" t="s">
        <v>1630</v>
      </c>
      <c r="E263" s="78">
        <v>110000</v>
      </c>
      <c r="F263" s="79">
        <v>48802.234922935029</v>
      </c>
      <c r="G263" s="77"/>
      <c r="H263" s="80"/>
      <c r="I263" s="80"/>
      <c r="J263" s="81">
        <v>61197.765077064971</v>
      </c>
      <c r="K263" s="79">
        <v>48802.234922935029</v>
      </c>
      <c r="L263" s="82"/>
      <c r="N263" s="91">
        <v>0</v>
      </c>
      <c r="O263" s="91">
        <v>0</v>
      </c>
      <c r="P263" s="91">
        <v>0</v>
      </c>
      <c r="Q263" s="91"/>
      <c r="R263" s="91"/>
      <c r="S263" s="91"/>
      <c r="T263" s="91"/>
      <c r="U263" s="91"/>
      <c r="V263" s="91">
        <v>0</v>
      </c>
      <c r="W263" s="91">
        <v>0</v>
      </c>
      <c r="X263" s="91"/>
      <c r="Y263" s="91"/>
      <c r="Z263" s="91"/>
      <c r="AA263" s="63">
        <f t="shared" si="9"/>
        <v>0</v>
      </c>
      <c r="AC263">
        <v>20000</v>
      </c>
      <c r="AD263">
        <f t="shared" si="10"/>
        <v>20000</v>
      </c>
    </row>
    <row r="264" spans="2:30" hidden="1" x14ac:dyDescent="0.2">
      <c r="B264" s="84">
        <v>10120051</v>
      </c>
      <c r="C264" s="84" t="s">
        <v>1637</v>
      </c>
      <c r="D264" s="84" t="s">
        <v>177</v>
      </c>
      <c r="E264" s="85">
        <v>110000</v>
      </c>
      <c r="F264" s="86">
        <v>43345.196599999996</v>
      </c>
      <c r="G264" s="84"/>
      <c r="H264" s="87"/>
      <c r="I264" s="87"/>
      <c r="J264" s="88">
        <v>66654.803400000004</v>
      </c>
      <c r="K264" s="86">
        <v>33345.196599999996</v>
      </c>
      <c r="L264" s="89">
        <v>10000</v>
      </c>
      <c r="N264" s="91">
        <v>0</v>
      </c>
      <c r="O264" s="91">
        <v>0</v>
      </c>
      <c r="P264" s="91">
        <v>0</v>
      </c>
      <c r="Q264" s="91"/>
      <c r="R264" s="91"/>
      <c r="S264" s="91"/>
      <c r="T264" s="91"/>
      <c r="U264" s="91"/>
      <c r="V264" s="91">
        <v>0</v>
      </c>
      <c r="W264" s="91">
        <v>0</v>
      </c>
      <c r="X264" s="91"/>
      <c r="Y264" s="91"/>
      <c r="Z264" s="91"/>
      <c r="AA264" s="63">
        <f t="shared" si="9"/>
        <v>10000</v>
      </c>
      <c r="AC264">
        <v>20000</v>
      </c>
      <c r="AD264">
        <f t="shared" si="10"/>
        <v>10000</v>
      </c>
    </row>
    <row r="265" spans="2:30" hidden="1" x14ac:dyDescent="0.2">
      <c r="B265" s="77">
        <v>10120052</v>
      </c>
      <c r="C265" s="77" t="s">
        <v>1641</v>
      </c>
      <c r="D265" s="77" t="s">
        <v>177</v>
      </c>
      <c r="E265" s="78">
        <v>110000</v>
      </c>
      <c r="F265" s="79">
        <v>98912.192532727349</v>
      </c>
      <c r="G265" s="77"/>
      <c r="H265" s="80"/>
      <c r="I265" s="80"/>
      <c r="J265" s="81">
        <v>11087.807467272651</v>
      </c>
      <c r="K265" s="79">
        <v>88912.192532727349</v>
      </c>
      <c r="L265" s="82">
        <v>10000</v>
      </c>
      <c r="N265" s="91">
        <v>0</v>
      </c>
      <c r="O265" s="91">
        <v>0</v>
      </c>
      <c r="P265" s="91">
        <v>0</v>
      </c>
      <c r="Q265" s="91"/>
      <c r="R265" s="91"/>
      <c r="S265" s="91"/>
      <c r="T265" s="91"/>
      <c r="U265" s="91"/>
      <c r="V265" s="91">
        <v>0</v>
      </c>
      <c r="W265" s="91">
        <v>0</v>
      </c>
      <c r="X265" s="91"/>
      <c r="Y265" s="91"/>
      <c r="Z265" s="91"/>
      <c r="AA265" s="63">
        <f t="shared" si="9"/>
        <v>10000</v>
      </c>
      <c r="AC265">
        <v>20000</v>
      </c>
      <c r="AD265">
        <f t="shared" si="10"/>
        <v>10000</v>
      </c>
    </row>
    <row r="266" spans="2:30" hidden="1" x14ac:dyDescent="0.2">
      <c r="B266" s="84">
        <v>10120053</v>
      </c>
      <c r="C266" s="84" t="s">
        <v>1645</v>
      </c>
      <c r="D266" s="84" t="s">
        <v>177</v>
      </c>
      <c r="E266" s="85">
        <v>110000</v>
      </c>
      <c r="F266" s="86">
        <v>47875.372811854366</v>
      </c>
      <c r="G266" s="84"/>
      <c r="H266" s="87"/>
      <c r="I266" s="87"/>
      <c r="J266" s="88">
        <v>62124.627188145634</v>
      </c>
      <c r="K266" s="86">
        <v>37875.372811854366</v>
      </c>
      <c r="L266" s="89">
        <v>10000</v>
      </c>
      <c r="N266" s="91">
        <v>0</v>
      </c>
      <c r="O266" s="91">
        <v>0</v>
      </c>
      <c r="P266" s="91">
        <v>0</v>
      </c>
      <c r="Q266" s="91"/>
      <c r="R266" s="91"/>
      <c r="S266" s="91"/>
      <c r="T266" s="91"/>
      <c r="U266" s="91"/>
      <c r="V266" s="91">
        <v>0</v>
      </c>
      <c r="W266" s="91">
        <v>0</v>
      </c>
      <c r="X266" s="91"/>
      <c r="Y266" s="91"/>
      <c r="Z266" s="91"/>
      <c r="AA266" s="63">
        <f t="shared" si="9"/>
        <v>10000</v>
      </c>
      <c r="AC266">
        <v>20000</v>
      </c>
      <c r="AD266">
        <f t="shared" si="10"/>
        <v>10000</v>
      </c>
    </row>
    <row r="267" spans="2:30" hidden="1" x14ac:dyDescent="0.2">
      <c r="B267" s="77">
        <v>10120054</v>
      </c>
      <c r="C267" s="77" t="s">
        <v>1649</v>
      </c>
      <c r="D267" s="77" t="s">
        <v>177</v>
      </c>
      <c r="E267" s="78">
        <v>110000</v>
      </c>
      <c r="F267" s="79">
        <v>39595.94229642368</v>
      </c>
      <c r="G267" s="77"/>
      <c r="H267" s="80"/>
      <c r="I267" s="80"/>
      <c r="J267" s="81">
        <v>70404.057703576313</v>
      </c>
      <c r="K267" s="79">
        <v>29595.94229642368</v>
      </c>
      <c r="L267" s="82">
        <v>10000</v>
      </c>
      <c r="N267" s="91">
        <v>0</v>
      </c>
      <c r="O267" s="91">
        <v>0</v>
      </c>
      <c r="P267" s="91">
        <v>0</v>
      </c>
      <c r="Q267" s="91"/>
      <c r="R267" s="91"/>
      <c r="S267" s="91"/>
      <c r="T267" s="91"/>
      <c r="U267" s="91"/>
      <c r="V267" s="91">
        <v>0</v>
      </c>
      <c r="W267" s="91">
        <v>0</v>
      </c>
      <c r="X267" s="91"/>
      <c r="Y267" s="91"/>
      <c r="Z267" s="91"/>
      <c r="AA267" s="63">
        <f t="shared" si="9"/>
        <v>10000</v>
      </c>
      <c r="AC267">
        <v>20000</v>
      </c>
      <c r="AD267">
        <f t="shared" si="10"/>
        <v>10000</v>
      </c>
    </row>
    <row r="268" spans="2:30" hidden="1" x14ac:dyDescent="0.2">
      <c r="B268" s="84">
        <v>10030050</v>
      </c>
      <c r="C268" s="84" t="s">
        <v>1660</v>
      </c>
      <c r="D268" s="84" t="s">
        <v>584</v>
      </c>
      <c r="E268" s="85">
        <v>110000</v>
      </c>
      <c r="F268" s="86">
        <v>47190.486220779159</v>
      </c>
      <c r="G268" s="84"/>
      <c r="H268" s="87"/>
      <c r="I268" s="87"/>
      <c r="J268" s="88">
        <v>62809.513779220841</v>
      </c>
      <c r="K268" s="86">
        <v>47190.486220779159</v>
      </c>
      <c r="L268" s="89"/>
      <c r="N268" s="91">
        <v>0</v>
      </c>
      <c r="O268" s="91">
        <v>0</v>
      </c>
      <c r="P268" s="91">
        <v>0</v>
      </c>
      <c r="Q268" s="91"/>
      <c r="R268" s="91"/>
      <c r="S268" s="91"/>
      <c r="T268" s="91"/>
      <c r="U268" s="91"/>
      <c r="V268" s="91">
        <v>0</v>
      </c>
      <c r="W268" s="91">
        <v>0</v>
      </c>
      <c r="X268" s="91"/>
      <c r="Y268" s="91"/>
      <c r="Z268" s="91"/>
      <c r="AA268" s="63">
        <f t="shared" si="9"/>
        <v>0</v>
      </c>
      <c r="AC268">
        <v>20000</v>
      </c>
      <c r="AD268">
        <f t="shared" si="10"/>
        <v>20000</v>
      </c>
    </row>
    <row r="269" spans="2:30" hidden="1" x14ac:dyDescent="0.2">
      <c r="B269" s="77">
        <v>10030051</v>
      </c>
      <c r="C269" s="77" t="s">
        <v>1663</v>
      </c>
      <c r="D269" s="77" t="s">
        <v>584</v>
      </c>
      <c r="E269" s="78">
        <v>110000</v>
      </c>
      <c r="F269" s="79">
        <v>69405.519852054087</v>
      </c>
      <c r="G269" s="77"/>
      <c r="H269" s="80"/>
      <c r="I269" s="80"/>
      <c r="J269" s="81">
        <v>40594.480147945913</v>
      </c>
      <c r="K269" s="79">
        <v>69405.519852054087</v>
      </c>
      <c r="L269" s="82"/>
      <c r="N269" s="91">
        <v>0</v>
      </c>
      <c r="O269" s="91">
        <v>0</v>
      </c>
      <c r="P269" s="91">
        <v>0</v>
      </c>
      <c r="Q269" s="91"/>
      <c r="R269" s="91"/>
      <c r="S269" s="91"/>
      <c r="T269" s="91"/>
      <c r="U269" s="91"/>
      <c r="V269" s="91">
        <v>0</v>
      </c>
      <c r="W269" s="91">
        <v>0</v>
      </c>
      <c r="X269" s="91"/>
      <c r="Y269" s="91"/>
      <c r="Z269" s="91"/>
      <c r="AA269" s="63">
        <f t="shared" si="9"/>
        <v>0</v>
      </c>
      <c r="AC269">
        <v>20000</v>
      </c>
      <c r="AD269">
        <f t="shared" si="10"/>
        <v>20000</v>
      </c>
    </row>
    <row r="270" spans="2:30" hidden="1" x14ac:dyDescent="0.2">
      <c r="B270" s="84">
        <v>10030055</v>
      </c>
      <c r="C270" s="84" t="s">
        <v>1675</v>
      </c>
      <c r="D270" s="84" t="s">
        <v>584</v>
      </c>
      <c r="E270" s="85">
        <v>110000</v>
      </c>
      <c r="F270" s="86">
        <v>33748.465262357662</v>
      </c>
      <c r="G270" s="84"/>
      <c r="H270" s="87"/>
      <c r="I270" s="87"/>
      <c r="J270" s="88">
        <v>76251.534737642331</v>
      </c>
      <c r="K270" s="86">
        <v>33748.465262357662</v>
      </c>
      <c r="L270" s="89"/>
      <c r="N270" s="91">
        <v>0</v>
      </c>
      <c r="O270" s="91">
        <v>0</v>
      </c>
      <c r="P270" s="91">
        <v>0</v>
      </c>
      <c r="Q270" s="91"/>
      <c r="R270" s="91"/>
      <c r="S270" s="91"/>
      <c r="T270" s="91"/>
      <c r="U270" s="91"/>
      <c r="V270" s="91">
        <v>0</v>
      </c>
      <c r="W270" s="91">
        <v>0</v>
      </c>
      <c r="X270" s="91"/>
      <c r="Y270" s="91"/>
      <c r="Z270" s="91"/>
      <c r="AA270" s="63">
        <f t="shared" si="9"/>
        <v>0</v>
      </c>
      <c r="AC270">
        <v>20000</v>
      </c>
      <c r="AD270">
        <f t="shared" si="10"/>
        <v>20000</v>
      </c>
    </row>
    <row r="271" spans="2:30" hidden="1" x14ac:dyDescent="0.2">
      <c r="B271" s="77">
        <v>10030056</v>
      </c>
      <c r="C271" s="77" t="s">
        <v>1678</v>
      </c>
      <c r="D271" s="77" t="s">
        <v>584</v>
      </c>
      <c r="E271" s="78">
        <v>110000</v>
      </c>
      <c r="F271" s="79">
        <v>31415.852355185987</v>
      </c>
      <c r="G271" s="77"/>
      <c r="H271" s="80"/>
      <c r="I271" s="80"/>
      <c r="J271" s="81">
        <v>78584.147644814017</v>
      </c>
      <c r="K271" s="79">
        <v>31415.852355185987</v>
      </c>
      <c r="L271" s="82"/>
      <c r="N271" s="91">
        <v>0</v>
      </c>
      <c r="O271" s="91">
        <v>0</v>
      </c>
      <c r="P271" s="91">
        <v>0</v>
      </c>
      <c r="Q271" s="91"/>
      <c r="R271" s="91"/>
      <c r="S271" s="91"/>
      <c r="T271" s="91"/>
      <c r="U271" s="91"/>
      <c r="V271" s="91">
        <v>0</v>
      </c>
      <c r="W271" s="91">
        <v>0</v>
      </c>
      <c r="X271" s="91"/>
      <c r="Y271" s="91"/>
      <c r="Z271" s="91"/>
      <c r="AA271" s="63">
        <f t="shared" si="9"/>
        <v>0</v>
      </c>
      <c r="AC271">
        <v>20000</v>
      </c>
      <c r="AD271">
        <f t="shared" si="10"/>
        <v>20000</v>
      </c>
    </row>
    <row r="272" spans="2:30" hidden="1" x14ac:dyDescent="0.2">
      <c r="B272" s="84">
        <v>10010055</v>
      </c>
      <c r="C272" s="84" t="s">
        <v>1693</v>
      </c>
      <c r="D272" s="84" t="s">
        <v>203</v>
      </c>
      <c r="E272" s="85">
        <v>110000</v>
      </c>
      <c r="F272" s="86">
        <v>23575.572576419214</v>
      </c>
      <c r="G272" s="84"/>
      <c r="H272" s="87"/>
      <c r="I272" s="87"/>
      <c r="J272" s="88">
        <v>86424.427423580782</v>
      </c>
      <c r="K272" s="86">
        <v>23575.572576419214</v>
      </c>
      <c r="L272" s="89"/>
      <c r="N272" s="91">
        <v>29</v>
      </c>
      <c r="O272" s="91">
        <v>0</v>
      </c>
      <c r="P272" s="91">
        <v>0</v>
      </c>
      <c r="Q272" s="91"/>
      <c r="R272" s="91"/>
      <c r="S272" s="91"/>
      <c r="T272" s="91"/>
      <c r="U272" s="91"/>
      <c r="V272" s="91">
        <v>0</v>
      </c>
      <c r="W272" s="91">
        <v>0</v>
      </c>
      <c r="X272" s="91"/>
      <c r="Y272" s="91"/>
      <c r="Z272" s="91"/>
      <c r="AA272" s="63">
        <f t="shared" si="9"/>
        <v>29</v>
      </c>
      <c r="AC272">
        <v>20000</v>
      </c>
      <c r="AD272">
        <f t="shared" si="10"/>
        <v>19971</v>
      </c>
    </row>
    <row r="273" spans="2:30" hidden="1" x14ac:dyDescent="0.2">
      <c r="B273" s="77">
        <v>10010059</v>
      </c>
      <c r="C273" s="77" t="s">
        <v>1696</v>
      </c>
      <c r="D273" s="77" t="s">
        <v>203</v>
      </c>
      <c r="E273" s="78">
        <v>110000</v>
      </c>
      <c r="F273" s="79">
        <v>30675.143297912415</v>
      </c>
      <c r="G273" s="77"/>
      <c r="H273" s="80"/>
      <c r="I273" s="80"/>
      <c r="J273" s="81">
        <v>79324.856702087593</v>
      </c>
      <c r="K273" s="79">
        <v>30675.143297912415</v>
      </c>
      <c r="L273" s="82"/>
      <c r="N273" s="91">
        <v>106</v>
      </c>
      <c r="O273" s="91">
        <v>0</v>
      </c>
      <c r="P273" s="91">
        <v>0</v>
      </c>
      <c r="Q273" s="91"/>
      <c r="R273" s="91"/>
      <c r="S273" s="91"/>
      <c r="T273" s="91"/>
      <c r="U273" s="91"/>
      <c r="V273" s="91">
        <v>0</v>
      </c>
      <c r="W273" s="91">
        <v>0</v>
      </c>
      <c r="X273" s="91"/>
      <c r="Y273" s="91"/>
      <c r="Z273" s="91"/>
      <c r="AA273" s="63">
        <f t="shared" si="9"/>
        <v>106</v>
      </c>
      <c r="AC273">
        <v>20000</v>
      </c>
      <c r="AD273">
        <f t="shared" si="10"/>
        <v>19894</v>
      </c>
    </row>
    <row r="274" spans="2:30" hidden="1" x14ac:dyDescent="0.2">
      <c r="B274" s="84">
        <v>10010058</v>
      </c>
      <c r="C274" s="84" t="s">
        <v>1699</v>
      </c>
      <c r="D274" s="84" t="s">
        <v>203</v>
      </c>
      <c r="E274" s="85">
        <v>110000</v>
      </c>
      <c r="F274" s="86">
        <v>14853.3604</v>
      </c>
      <c r="G274" s="84"/>
      <c r="H274" s="87"/>
      <c r="I274" s="87"/>
      <c r="J274" s="88">
        <v>95146.639599999995</v>
      </c>
      <c r="K274" s="86">
        <v>14853.3604</v>
      </c>
      <c r="L274" s="89"/>
      <c r="N274" s="91">
        <v>0</v>
      </c>
      <c r="O274" s="91">
        <v>0</v>
      </c>
      <c r="P274" s="91">
        <v>0</v>
      </c>
      <c r="Q274" s="91"/>
      <c r="R274" s="91"/>
      <c r="S274" s="91"/>
      <c r="T274" s="91"/>
      <c r="U274" s="91"/>
      <c r="V274" s="91">
        <v>0</v>
      </c>
      <c r="W274" s="91">
        <v>0</v>
      </c>
      <c r="X274" s="91"/>
      <c r="Y274" s="91"/>
      <c r="Z274" s="91"/>
      <c r="AA274" s="63">
        <f t="shared" si="9"/>
        <v>0</v>
      </c>
      <c r="AC274">
        <v>20000</v>
      </c>
      <c r="AD274">
        <f t="shared" si="10"/>
        <v>20000</v>
      </c>
    </row>
    <row r="275" spans="2:30" hidden="1" x14ac:dyDescent="0.2">
      <c r="B275" s="77">
        <v>10080055</v>
      </c>
      <c r="C275" s="77" t="s">
        <v>1708</v>
      </c>
      <c r="D275" s="77" t="s">
        <v>1709</v>
      </c>
      <c r="E275" s="78">
        <v>110000</v>
      </c>
      <c r="F275" s="79">
        <v>33243.094706667674</v>
      </c>
      <c r="G275" s="77"/>
      <c r="H275" s="80"/>
      <c r="I275" s="80"/>
      <c r="J275" s="81">
        <v>76756.905293332326</v>
      </c>
      <c r="K275" s="79">
        <v>28243.094706667674</v>
      </c>
      <c r="L275" s="82">
        <v>5000</v>
      </c>
      <c r="N275" s="91">
        <v>0</v>
      </c>
      <c r="O275" s="91">
        <v>0</v>
      </c>
      <c r="P275" s="91">
        <v>0</v>
      </c>
      <c r="Q275" s="91"/>
      <c r="R275" s="91"/>
      <c r="S275" s="91"/>
      <c r="T275" s="91"/>
      <c r="U275" s="91"/>
      <c r="V275" s="91">
        <v>0</v>
      </c>
      <c r="W275" s="91">
        <v>0</v>
      </c>
      <c r="X275" s="91"/>
      <c r="Y275" s="91"/>
      <c r="Z275" s="91"/>
      <c r="AA275" s="63">
        <f t="shared" si="9"/>
        <v>5000</v>
      </c>
      <c r="AC275">
        <v>20000</v>
      </c>
      <c r="AD275">
        <f t="shared" si="10"/>
        <v>15000</v>
      </c>
    </row>
    <row r="276" spans="2:30" hidden="1" x14ac:dyDescent="0.2">
      <c r="B276" s="84">
        <v>10110051</v>
      </c>
      <c r="C276" s="84" t="s">
        <v>1713</v>
      </c>
      <c r="D276" s="84" t="s">
        <v>217</v>
      </c>
      <c r="E276" s="85">
        <v>110000</v>
      </c>
      <c r="F276" s="86">
        <v>26256.890200000002</v>
      </c>
      <c r="G276" s="84"/>
      <c r="H276" s="87"/>
      <c r="I276" s="87"/>
      <c r="J276" s="88">
        <v>83743.109800000006</v>
      </c>
      <c r="K276" s="86">
        <v>16256.890200000002</v>
      </c>
      <c r="L276" s="89">
        <v>10000</v>
      </c>
      <c r="N276" s="91">
        <v>0</v>
      </c>
      <c r="O276" s="91">
        <v>0</v>
      </c>
      <c r="P276" s="91">
        <v>0</v>
      </c>
      <c r="Q276" s="91"/>
      <c r="R276" s="91"/>
      <c r="S276" s="91"/>
      <c r="T276" s="91"/>
      <c r="U276" s="91"/>
      <c r="V276" s="91">
        <v>0</v>
      </c>
      <c r="W276" s="91">
        <v>0</v>
      </c>
      <c r="X276" s="91"/>
      <c r="Y276" s="91"/>
      <c r="Z276" s="91"/>
      <c r="AA276" s="63">
        <f t="shared" si="9"/>
        <v>10000</v>
      </c>
      <c r="AC276">
        <v>20000</v>
      </c>
      <c r="AD276">
        <f t="shared" si="10"/>
        <v>10000</v>
      </c>
    </row>
    <row r="277" spans="2:30" hidden="1" x14ac:dyDescent="0.2">
      <c r="B277" s="77">
        <v>0</v>
      </c>
      <c r="C277" s="77" t="s">
        <v>1716</v>
      </c>
      <c r="D277" s="77" t="s">
        <v>1709</v>
      </c>
      <c r="E277" s="78">
        <v>110000</v>
      </c>
      <c r="F277" s="79">
        <v>0</v>
      </c>
      <c r="G277" s="77"/>
      <c r="H277" s="80"/>
      <c r="I277" s="80"/>
      <c r="J277" s="81">
        <v>110000</v>
      </c>
      <c r="K277" s="79">
        <v>0</v>
      </c>
      <c r="L277" s="82"/>
      <c r="N277" s="91">
        <v>0</v>
      </c>
      <c r="O277" s="91">
        <v>0</v>
      </c>
      <c r="P277" s="91">
        <v>0</v>
      </c>
      <c r="Q277" s="91"/>
      <c r="R277" s="91"/>
      <c r="S277" s="91"/>
      <c r="T277" s="91"/>
      <c r="U277" s="91"/>
      <c r="V277" s="91">
        <v>0</v>
      </c>
      <c r="W277" s="91">
        <v>0</v>
      </c>
      <c r="X277" s="91"/>
      <c r="Y277" s="91"/>
      <c r="Z277" s="91"/>
      <c r="AA277" s="63">
        <f t="shared" si="9"/>
        <v>0</v>
      </c>
      <c r="AC277">
        <v>20000</v>
      </c>
      <c r="AD277">
        <f t="shared" si="10"/>
        <v>20000</v>
      </c>
    </row>
    <row r="278" spans="2:30" hidden="1" x14ac:dyDescent="0.2">
      <c r="B278" s="84">
        <v>0</v>
      </c>
      <c r="C278" s="84" t="s">
        <v>1718</v>
      </c>
      <c r="D278" s="84" t="s">
        <v>1709</v>
      </c>
      <c r="E278" s="85">
        <v>110000</v>
      </c>
      <c r="F278" s="86">
        <v>0</v>
      </c>
      <c r="G278" s="84"/>
      <c r="H278" s="87"/>
      <c r="I278" s="87"/>
      <c r="J278" s="88">
        <v>110000</v>
      </c>
      <c r="K278" s="86">
        <v>0</v>
      </c>
      <c r="L278" s="89"/>
      <c r="N278" s="91">
        <v>0</v>
      </c>
      <c r="O278" s="91">
        <v>0</v>
      </c>
      <c r="P278" s="91">
        <v>0</v>
      </c>
      <c r="Q278" s="91"/>
      <c r="R278" s="91"/>
      <c r="S278" s="91"/>
      <c r="T278" s="91"/>
      <c r="U278" s="91"/>
      <c r="V278" s="91">
        <v>0</v>
      </c>
      <c r="W278" s="91">
        <v>0</v>
      </c>
      <c r="X278" s="91"/>
      <c r="Y278" s="91"/>
      <c r="Z278" s="91"/>
      <c r="AA278" s="63">
        <f t="shared" si="9"/>
        <v>0</v>
      </c>
      <c r="AC278">
        <v>20000</v>
      </c>
      <c r="AD278">
        <f t="shared" si="10"/>
        <v>20000</v>
      </c>
    </row>
    <row r="279" spans="2:30" hidden="1" x14ac:dyDescent="0.2">
      <c r="B279" s="77">
        <v>10010040</v>
      </c>
      <c r="C279" s="77" t="s">
        <v>1737</v>
      </c>
      <c r="D279" s="77" t="s">
        <v>203</v>
      </c>
      <c r="E279" s="78">
        <v>110000</v>
      </c>
      <c r="F279" s="79">
        <v>18280.488189902277</v>
      </c>
      <c r="G279" s="77"/>
      <c r="H279" s="80"/>
      <c r="I279" s="80"/>
      <c r="J279" s="81">
        <v>91719.511810097727</v>
      </c>
      <c r="K279" s="79">
        <v>18280.488189902277</v>
      </c>
      <c r="L279" s="82"/>
      <c r="N279" s="91">
        <v>0</v>
      </c>
      <c r="O279" s="91">
        <v>0</v>
      </c>
      <c r="P279" s="91">
        <v>0</v>
      </c>
      <c r="Q279" s="91"/>
      <c r="R279" s="91"/>
      <c r="S279" s="91"/>
      <c r="T279" s="91"/>
      <c r="U279" s="91"/>
      <c r="V279" s="91">
        <v>0</v>
      </c>
      <c r="W279" s="91">
        <v>0</v>
      </c>
      <c r="X279" s="91"/>
      <c r="Y279" s="91"/>
      <c r="Z279" s="91"/>
      <c r="AA279" s="63">
        <f t="shared" si="9"/>
        <v>0</v>
      </c>
      <c r="AC279">
        <v>20000</v>
      </c>
      <c r="AD279">
        <f t="shared" si="10"/>
        <v>20000</v>
      </c>
    </row>
    <row r="280" spans="2:30" hidden="1" x14ac:dyDescent="0.2">
      <c r="B280" s="84">
        <v>10080034</v>
      </c>
      <c r="C280" s="84" t="s">
        <v>1740</v>
      </c>
      <c r="D280" s="84" t="s">
        <v>1709</v>
      </c>
      <c r="E280" s="85">
        <v>110000</v>
      </c>
      <c r="F280" s="86">
        <v>6978</v>
      </c>
      <c r="G280" s="84"/>
      <c r="H280" s="87"/>
      <c r="I280" s="87"/>
      <c r="J280" s="88">
        <v>103022</v>
      </c>
      <c r="K280" s="86">
        <v>6978</v>
      </c>
      <c r="L280" s="89"/>
      <c r="N280" s="91">
        <v>0</v>
      </c>
      <c r="O280" s="91">
        <v>0</v>
      </c>
      <c r="P280" s="91">
        <v>0</v>
      </c>
      <c r="Q280" s="91"/>
      <c r="R280" s="91"/>
      <c r="S280" s="91"/>
      <c r="T280" s="91"/>
      <c r="U280" s="91"/>
      <c r="V280" s="91">
        <v>0</v>
      </c>
      <c r="W280" s="91">
        <v>0</v>
      </c>
      <c r="X280" s="91"/>
      <c r="Y280" s="91"/>
      <c r="Z280" s="91"/>
      <c r="AA280" s="63">
        <f t="shared" si="9"/>
        <v>0</v>
      </c>
      <c r="AC280">
        <v>20000</v>
      </c>
      <c r="AD280">
        <f t="shared" si="10"/>
        <v>20000</v>
      </c>
    </row>
    <row r="281" spans="2:30" hidden="1" x14ac:dyDescent="0.2">
      <c r="B281" s="77">
        <v>10140139</v>
      </c>
      <c r="C281" s="77" t="s">
        <v>2736</v>
      </c>
      <c r="D281" s="77" t="s">
        <v>85</v>
      </c>
      <c r="E281" s="78">
        <v>110000</v>
      </c>
      <c r="F281" s="79">
        <v>26540.612648998402</v>
      </c>
      <c r="G281" s="77"/>
      <c r="H281" s="80"/>
      <c r="I281" s="80"/>
      <c r="J281" s="81">
        <v>83459.387351001598</v>
      </c>
      <c r="K281" s="79">
        <v>11540.6126489984</v>
      </c>
      <c r="L281" s="82">
        <v>15000</v>
      </c>
      <c r="N281" s="91">
        <v>3663</v>
      </c>
      <c r="O281" s="91">
        <v>1991</v>
      </c>
      <c r="P281" s="91">
        <v>2944</v>
      </c>
      <c r="Q281" s="91"/>
      <c r="R281" s="91"/>
      <c r="S281" s="91"/>
      <c r="T281" s="91"/>
      <c r="U281" s="91"/>
      <c r="V281" s="91">
        <v>0</v>
      </c>
      <c r="W281" s="91">
        <v>0</v>
      </c>
      <c r="X281" s="91"/>
      <c r="Y281" s="91"/>
      <c r="Z281" s="91"/>
      <c r="AA281" s="63">
        <f t="shared" si="9"/>
        <v>23598</v>
      </c>
      <c r="AC281">
        <v>20000</v>
      </c>
      <c r="AD281">
        <f t="shared" si="10"/>
        <v>-3598</v>
      </c>
    </row>
    <row r="282" spans="2:30" hidden="1" x14ac:dyDescent="0.2">
      <c r="B282" s="84">
        <v>10110011</v>
      </c>
      <c r="C282" s="84" t="s">
        <v>1743</v>
      </c>
      <c r="D282" s="84" t="s">
        <v>217</v>
      </c>
      <c r="E282" s="85">
        <v>110000</v>
      </c>
      <c r="F282" s="86">
        <v>24873.384669361163</v>
      </c>
      <c r="G282" s="84"/>
      <c r="H282" s="87"/>
      <c r="I282" s="87"/>
      <c r="J282" s="88">
        <v>85126.61533063883</v>
      </c>
      <c r="K282" s="86">
        <v>24873.384669361163</v>
      </c>
      <c r="L282" s="89"/>
      <c r="N282" s="91">
        <v>0</v>
      </c>
      <c r="O282" s="91">
        <v>0</v>
      </c>
      <c r="P282" s="91">
        <v>0</v>
      </c>
      <c r="Q282" s="91"/>
      <c r="R282" s="91"/>
      <c r="S282" s="91"/>
      <c r="T282" s="91"/>
      <c r="U282" s="91"/>
      <c r="V282" s="91">
        <v>0</v>
      </c>
      <c r="W282" s="91">
        <v>0</v>
      </c>
      <c r="X282" s="91"/>
      <c r="Y282" s="91"/>
      <c r="Z282" s="91"/>
      <c r="AA282" s="63">
        <f t="shared" si="9"/>
        <v>0</v>
      </c>
      <c r="AC282">
        <v>20000</v>
      </c>
      <c r="AD282">
        <f t="shared" si="10"/>
        <v>20000</v>
      </c>
    </row>
    <row r="283" spans="2:30" hidden="1" x14ac:dyDescent="0.2">
      <c r="B283" s="77">
        <v>10140066</v>
      </c>
      <c r="C283" s="77" t="s">
        <v>1751</v>
      </c>
      <c r="D283" s="77" t="s">
        <v>85</v>
      </c>
      <c r="E283" s="78">
        <v>110000</v>
      </c>
      <c r="F283" s="79">
        <v>69157.396690402413</v>
      </c>
      <c r="G283" s="77"/>
      <c r="H283" s="80"/>
      <c r="I283" s="80"/>
      <c r="J283" s="81">
        <v>40842.603309597587</v>
      </c>
      <c r="K283" s="79">
        <v>59157.396690402413</v>
      </c>
      <c r="L283" s="82">
        <v>10000</v>
      </c>
      <c r="N283" s="91">
        <v>0</v>
      </c>
      <c r="O283" s="91">
        <v>0</v>
      </c>
      <c r="P283" s="91">
        <v>0</v>
      </c>
      <c r="Q283" s="91"/>
      <c r="R283" s="91"/>
      <c r="S283" s="91"/>
      <c r="T283" s="91"/>
      <c r="U283" s="91"/>
      <c r="V283" s="91">
        <v>0</v>
      </c>
      <c r="W283" s="91">
        <v>0</v>
      </c>
      <c r="X283" s="91"/>
      <c r="Y283" s="91"/>
      <c r="Z283" s="91"/>
      <c r="AA283" s="63">
        <f t="shared" si="9"/>
        <v>10000</v>
      </c>
      <c r="AC283">
        <v>20000</v>
      </c>
      <c r="AD283">
        <f t="shared" si="10"/>
        <v>10000</v>
      </c>
    </row>
    <row r="284" spans="2:30" hidden="1" x14ac:dyDescent="0.2">
      <c r="B284" s="84">
        <v>10120065</v>
      </c>
      <c r="C284" s="84" t="s">
        <v>164</v>
      </c>
      <c r="D284" s="84" t="s">
        <v>177</v>
      </c>
      <c r="E284" s="85">
        <v>110000</v>
      </c>
      <c r="F284" s="86">
        <v>61155.717492364121</v>
      </c>
      <c r="G284" s="84"/>
      <c r="H284" s="87"/>
      <c r="I284" s="87"/>
      <c r="J284" s="88">
        <v>48844.282507635879</v>
      </c>
      <c r="K284" s="86">
        <v>51155.717492364121</v>
      </c>
      <c r="L284" s="89">
        <v>10000</v>
      </c>
      <c r="N284" s="91">
        <v>0</v>
      </c>
      <c r="O284" s="91">
        <v>0</v>
      </c>
      <c r="P284" s="91">
        <v>0</v>
      </c>
      <c r="Q284" s="91"/>
      <c r="R284" s="91"/>
      <c r="S284" s="91"/>
      <c r="T284" s="91"/>
      <c r="U284" s="91"/>
      <c r="V284" s="91">
        <v>0</v>
      </c>
      <c r="W284" s="91">
        <v>0</v>
      </c>
      <c r="X284" s="91"/>
      <c r="Y284" s="91"/>
      <c r="Z284" s="91"/>
      <c r="AA284" s="63">
        <f t="shared" si="9"/>
        <v>10000</v>
      </c>
      <c r="AC284">
        <v>20000</v>
      </c>
      <c r="AD284">
        <f t="shared" si="10"/>
        <v>10000</v>
      </c>
    </row>
    <row r="285" spans="2:30" hidden="1" x14ac:dyDescent="0.2">
      <c r="B285" s="77">
        <v>10140081</v>
      </c>
      <c r="C285" s="77" t="s">
        <v>1768</v>
      </c>
      <c r="D285" s="77" t="s">
        <v>85</v>
      </c>
      <c r="E285" s="78">
        <v>110000</v>
      </c>
      <c r="F285" s="79">
        <v>16346.2456</v>
      </c>
      <c r="G285" s="77"/>
      <c r="H285" s="80"/>
      <c r="I285" s="80"/>
      <c r="J285" s="81">
        <v>93653.754400000005</v>
      </c>
      <c r="K285" s="79">
        <v>8346.2456000000002</v>
      </c>
      <c r="L285" s="82">
        <v>8000</v>
      </c>
      <c r="N285" s="91">
        <v>0</v>
      </c>
      <c r="O285" s="91">
        <v>0</v>
      </c>
      <c r="P285" s="91">
        <v>0</v>
      </c>
      <c r="Q285" s="91"/>
      <c r="R285" s="91"/>
      <c r="S285" s="91"/>
      <c r="T285" s="91"/>
      <c r="U285" s="91"/>
      <c r="V285" s="91">
        <v>0</v>
      </c>
      <c r="W285" s="91">
        <v>0</v>
      </c>
      <c r="X285" s="91"/>
      <c r="Y285" s="91"/>
      <c r="Z285" s="91"/>
      <c r="AA285" s="63">
        <f t="shared" si="9"/>
        <v>8000</v>
      </c>
      <c r="AC285">
        <v>20000</v>
      </c>
      <c r="AD285">
        <f t="shared" si="10"/>
        <v>12000</v>
      </c>
    </row>
    <row r="286" spans="2:30" hidden="1" x14ac:dyDescent="0.2">
      <c r="B286" s="84">
        <v>10140067</v>
      </c>
      <c r="C286" s="84" t="s">
        <v>1780</v>
      </c>
      <c r="D286" s="84" t="s">
        <v>85</v>
      </c>
      <c r="E286" s="85">
        <v>110000</v>
      </c>
      <c r="F286" s="86">
        <v>56909.002210568244</v>
      </c>
      <c r="G286" s="84"/>
      <c r="H286" s="87"/>
      <c r="I286" s="87"/>
      <c r="J286" s="88">
        <v>53090.997789431756</v>
      </c>
      <c r="K286" s="86">
        <v>46909.002210568244</v>
      </c>
      <c r="L286" s="89">
        <v>10000</v>
      </c>
      <c r="N286" s="91">
        <v>0</v>
      </c>
      <c r="O286" s="91">
        <v>0</v>
      </c>
      <c r="P286" s="91">
        <v>0</v>
      </c>
      <c r="Q286" s="91"/>
      <c r="R286" s="91"/>
      <c r="S286" s="91"/>
      <c r="T286" s="91"/>
      <c r="U286" s="91"/>
      <c r="V286" s="91">
        <v>0</v>
      </c>
      <c r="W286" s="91">
        <v>0</v>
      </c>
      <c r="X286" s="91"/>
      <c r="Y286" s="91"/>
      <c r="Z286" s="91"/>
      <c r="AA286" s="63">
        <f t="shared" si="9"/>
        <v>10000</v>
      </c>
      <c r="AC286">
        <v>20000</v>
      </c>
      <c r="AD286">
        <f t="shared" si="10"/>
        <v>10000</v>
      </c>
    </row>
    <row r="287" spans="2:30" hidden="1" x14ac:dyDescent="0.2">
      <c r="B287" s="77">
        <v>10140069</v>
      </c>
      <c r="C287" s="77" t="s">
        <v>268</v>
      </c>
      <c r="D287" s="77" t="s">
        <v>85</v>
      </c>
      <c r="E287" s="78">
        <v>110000</v>
      </c>
      <c r="F287" s="79">
        <v>66134.967615210451</v>
      </c>
      <c r="G287" s="77"/>
      <c r="H287" s="80"/>
      <c r="I287" s="80"/>
      <c r="J287" s="81">
        <v>43865.032384789549</v>
      </c>
      <c r="K287" s="79">
        <v>66134.967615210451</v>
      </c>
      <c r="L287" s="82"/>
      <c r="N287" s="91">
        <v>0</v>
      </c>
      <c r="O287" s="91">
        <v>0</v>
      </c>
      <c r="P287" s="91">
        <v>0</v>
      </c>
      <c r="Q287" s="91"/>
      <c r="R287" s="91"/>
      <c r="S287" s="91"/>
      <c r="T287" s="91"/>
      <c r="U287" s="91"/>
      <c r="V287" s="91">
        <v>0</v>
      </c>
      <c r="W287" s="91">
        <v>0</v>
      </c>
      <c r="X287" s="91"/>
      <c r="Y287" s="91"/>
      <c r="Z287" s="91"/>
      <c r="AA287" s="63">
        <f t="shared" si="9"/>
        <v>0</v>
      </c>
      <c r="AC287">
        <v>20000</v>
      </c>
      <c r="AD287">
        <f t="shared" si="10"/>
        <v>20000</v>
      </c>
    </row>
    <row r="288" spans="2:30" hidden="1" x14ac:dyDescent="0.2">
      <c r="B288" s="84">
        <v>10130047</v>
      </c>
      <c r="C288" s="84" t="s">
        <v>1785</v>
      </c>
      <c r="D288" s="84" t="s">
        <v>1630</v>
      </c>
      <c r="E288" s="85">
        <v>110000</v>
      </c>
      <c r="F288" s="86">
        <v>40638.448799999998</v>
      </c>
      <c r="G288" s="84"/>
      <c r="H288" s="87"/>
      <c r="I288" s="87"/>
      <c r="J288" s="88">
        <v>69361.551200000002</v>
      </c>
      <c r="K288" s="86">
        <v>30638.448799999998</v>
      </c>
      <c r="L288" s="89">
        <v>10000</v>
      </c>
      <c r="N288" s="91">
        <v>0</v>
      </c>
      <c r="O288" s="91">
        <v>0</v>
      </c>
      <c r="P288" s="91">
        <v>0</v>
      </c>
      <c r="Q288" s="91"/>
      <c r="R288" s="91"/>
      <c r="S288" s="91"/>
      <c r="T288" s="91"/>
      <c r="U288" s="91"/>
      <c r="V288" s="91">
        <v>0</v>
      </c>
      <c r="W288" s="91">
        <v>0</v>
      </c>
      <c r="X288" s="91"/>
      <c r="Y288" s="91"/>
      <c r="Z288" s="91"/>
      <c r="AA288" s="63">
        <f t="shared" si="9"/>
        <v>10000</v>
      </c>
      <c r="AC288">
        <v>20000</v>
      </c>
      <c r="AD288">
        <f t="shared" si="10"/>
        <v>10000</v>
      </c>
    </row>
    <row r="289" spans="2:31" hidden="1" x14ac:dyDescent="0.2">
      <c r="B289" s="77">
        <v>10010051</v>
      </c>
      <c r="C289" s="77" t="s">
        <v>1789</v>
      </c>
      <c r="D289" s="77" t="s">
        <v>203</v>
      </c>
      <c r="E289" s="78">
        <v>110000</v>
      </c>
      <c r="F289" s="79">
        <v>51622.839520753187</v>
      </c>
      <c r="G289" s="77"/>
      <c r="H289" s="80"/>
      <c r="I289" s="80"/>
      <c r="J289" s="81">
        <v>58377.160479246813</v>
      </c>
      <c r="K289" s="79">
        <v>41622.839520753187</v>
      </c>
      <c r="L289" s="82">
        <v>10000</v>
      </c>
      <c r="N289" s="91">
        <v>0</v>
      </c>
      <c r="O289" s="91">
        <v>0</v>
      </c>
      <c r="P289" s="91">
        <v>0</v>
      </c>
      <c r="Q289" s="91"/>
      <c r="R289" s="91"/>
      <c r="S289" s="91"/>
      <c r="T289" s="91"/>
      <c r="U289" s="91"/>
      <c r="V289" s="91">
        <v>0</v>
      </c>
      <c r="W289" s="91">
        <v>0</v>
      </c>
      <c r="X289" s="91"/>
      <c r="Y289" s="91"/>
      <c r="Z289" s="91"/>
      <c r="AA289" s="63">
        <f t="shared" si="9"/>
        <v>10000</v>
      </c>
      <c r="AC289">
        <v>20000</v>
      </c>
      <c r="AD289">
        <f t="shared" si="10"/>
        <v>10000</v>
      </c>
    </row>
    <row r="290" spans="2:31" hidden="1" x14ac:dyDescent="0.2">
      <c r="B290" s="84">
        <v>0</v>
      </c>
      <c r="C290" s="84" t="s">
        <v>1809</v>
      </c>
      <c r="D290" s="84" t="s">
        <v>203</v>
      </c>
      <c r="E290" s="85">
        <v>110000</v>
      </c>
      <c r="F290" s="86">
        <v>0</v>
      </c>
      <c r="G290" s="84"/>
      <c r="H290" s="87"/>
      <c r="I290" s="87"/>
      <c r="J290" s="88">
        <v>110000</v>
      </c>
      <c r="K290" s="86">
        <v>0</v>
      </c>
      <c r="L290" s="89"/>
      <c r="N290" s="91">
        <v>0</v>
      </c>
      <c r="O290" s="91">
        <v>0</v>
      </c>
      <c r="P290" s="91">
        <v>0</v>
      </c>
      <c r="Q290" s="91"/>
      <c r="R290" s="91"/>
      <c r="S290" s="91"/>
      <c r="T290" s="91"/>
      <c r="U290" s="91"/>
      <c r="V290" s="91">
        <v>0</v>
      </c>
      <c r="W290" s="91">
        <v>0</v>
      </c>
      <c r="X290" s="91"/>
      <c r="Y290" s="91"/>
      <c r="Z290" s="91"/>
      <c r="AA290" s="63">
        <f t="shared" si="9"/>
        <v>0</v>
      </c>
      <c r="AC290">
        <v>20000</v>
      </c>
      <c r="AD290">
        <f t="shared" si="10"/>
        <v>20000</v>
      </c>
    </row>
    <row r="291" spans="2:31" hidden="1" x14ac:dyDescent="0.2">
      <c r="B291" s="77">
        <v>10070033</v>
      </c>
      <c r="C291" s="77" t="s">
        <v>1827</v>
      </c>
      <c r="D291" s="77" t="s">
        <v>2257</v>
      </c>
      <c r="E291" s="78">
        <v>110000</v>
      </c>
      <c r="F291" s="79">
        <v>59394.097561004892</v>
      </c>
      <c r="G291" s="77"/>
      <c r="H291" s="80"/>
      <c r="I291" s="80"/>
      <c r="J291" s="81">
        <v>50605.902438995108</v>
      </c>
      <c r="K291" s="79">
        <v>49394.097561004892</v>
      </c>
      <c r="L291" s="82">
        <v>10000</v>
      </c>
      <c r="N291" s="91">
        <v>0</v>
      </c>
      <c r="O291" s="91">
        <v>0</v>
      </c>
      <c r="P291" s="91">
        <v>0</v>
      </c>
      <c r="Q291" s="91"/>
      <c r="R291" s="91"/>
      <c r="S291" s="91"/>
      <c r="T291" s="91"/>
      <c r="U291" s="91"/>
      <c r="V291" s="91">
        <v>0</v>
      </c>
      <c r="W291" s="91">
        <v>0</v>
      </c>
      <c r="X291" s="91"/>
      <c r="Y291" s="91"/>
      <c r="Z291" s="91"/>
      <c r="AA291" s="63">
        <f t="shared" si="9"/>
        <v>10000</v>
      </c>
      <c r="AC291">
        <v>20000</v>
      </c>
      <c r="AD291">
        <f t="shared" si="10"/>
        <v>10000</v>
      </c>
    </row>
    <row r="292" spans="2:31" hidden="1" x14ac:dyDescent="0.2">
      <c r="B292" s="84">
        <v>10070034</v>
      </c>
      <c r="C292" s="84" t="s">
        <v>1831</v>
      </c>
      <c r="D292" s="84" t="s">
        <v>2257</v>
      </c>
      <c r="E292" s="85">
        <v>110000</v>
      </c>
      <c r="F292" s="86">
        <v>16579</v>
      </c>
      <c r="G292" s="84"/>
      <c r="H292" s="87"/>
      <c r="I292" s="87"/>
      <c r="J292" s="88">
        <v>93421</v>
      </c>
      <c r="K292" s="86">
        <v>6579</v>
      </c>
      <c r="L292" s="89">
        <v>10000</v>
      </c>
      <c r="N292" s="91">
        <v>0</v>
      </c>
      <c r="O292" s="91">
        <v>0</v>
      </c>
      <c r="P292" s="91">
        <v>0</v>
      </c>
      <c r="Q292" s="91"/>
      <c r="R292" s="91"/>
      <c r="S292" s="91"/>
      <c r="T292" s="91"/>
      <c r="U292" s="91"/>
      <c r="V292" s="91">
        <v>0</v>
      </c>
      <c r="W292" s="91">
        <v>0</v>
      </c>
      <c r="X292" s="91"/>
      <c r="Y292" s="91"/>
      <c r="Z292" s="91"/>
      <c r="AA292" s="63">
        <f t="shared" si="9"/>
        <v>10000</v>
      </c>
      <c r="AC292">
        <v>20000</v>
      </c>
      <c r="AD292">
        <f t="shared" si="10"/>
        <v>10000</v>
      </c>
    </row>
    <row r="293" spans="2:31" hidden="1" x14ac:dyDescent="0.2">
      <c r="B293" s="77">
        <v>10100034</v>
      </c>
      <c r="C293" s="77" t="s">
        <v>1852</v>
      </c>
      <c r="D293" s="77" t="s">
        <v>906</v>
      </c>
      <c r="E293" s="78">
        <v>110000</v>
      </c>
      <c r="F293" s="79">
        <v>31647.258166456319</v>
      </c>
      <c r="G293" s="77"/>
      <c r="H293" s="80"/>
      <c r="I293" s="80"/>
      <c r="J293" s="81">
        <v>78352.741833543681</v>
      </c>
      <c r="K293" s="79">
        <v>21647.258166456319</v>
      </c>
      <c r="L293" s="82">
        <v>10000</v>
      </c>
      <c r="N293" s="91">
        <v>0</v>
      </c>
      <c r="O293" s="91">
        <v>0</v>
      </c>
      <c r="P293" s="91">
        <v>0</v>
      </c>
      <c r="Q293" s="91"/>
      <c r="R293" s="91"/>
      <c r="S293" s="91"/>
      <c r="T293" s="91"/>
      <c r="U293" s="91"/>
      <c r="V293" s="91">
        <v>0</v>
      </c>
      <c r="W293" s="91">
        <v>0</v>
      </c>
      <c r="X293" s="91"/>
      <c r="Y293" s="91"/>
      <c r="Z293" s="91"/>
      <c r="AA293" s="63">
        <f t="shared" si="9"/>
        <v>10000</v>
      </c>
      <c r="AC293">
        <v>20000</v>
      </c>
      <c r="AD293">
        <f t="shared" si="10"/>
        <v>10000</v>
      </c>
    </row>
    <row r="294" spans="2:31" hidden="1" x14ac:dyDescent="0.2">
      <c r="B294" s="84">
        <v>10110052</v>
      </c>
      <c r="C294" s="84" t="s">
        <v>1869</v>
      </c>
      <c r="D294" s="84" t="s">
        <v>217</v>
      </c>
      <c r="E294" s="85">
        <v>110000</v>
      </c>
      <c r="F294" s="86">
        <v>28550.611400000002</v>
      </c>
      <c r="G294" s="84"/>
      <c r="H294" s="87"/>
      <c r="I294" s="87"/>
      <c r="J294" s="88">
        <v>81449.388600000006</v>
      </c>
      <c r="K294" s="86">
        <v>18550.611400000002</v>
      </c>
      <c r="L294" s="89">
        <v>10000</v>
      </c>
      <c r="N294" s="91">
        <v>0</v>
      </c>
      <c r="O294" s="91">
        <v>0</v>
      </c>
      <c r="P294" s="91">
        <v>0</v>
      </c>
      <c r="Q294" s="91"/>
      <c r="R294" s="91"/>
      <c r="S294" s="91"/>
      <c r="T294" s="91"/>
      <c r="U294" s="91"/>
      <c r="V294" s="91">
        <v>0</v>
      </c>
      <c r="W294" s="91">
        <v>0</v>
      </c>
      <c r="X294" s="91"/>
      <c r="Y294" s="91"/>
      <c r="Z294" s="91"/>
      <c r="AA294" s="63">
        <f t="shared" si="9"/>
        <v>10000</v>
      </c>
      <c r="AC294">
        <v>20000</v>
      </c>
      <c r="AD294">
        <f t="shared" si="10"/>
        <v>10000</v>
      </c>
    </row>
    <row r="295" spans="2:31" hidden="1" x14ac:dyDescent="0.2">
      <c r="B295" s="77">
        <v>10110044</v>
      </c>
      <c r="C295" s="77" t="s">
        <v>1876</v>
      </c>
      <c r="D295" s="77" t="s">
        <v>217</v>
      </c>
      <c r="E295" s="78">
        <v>110000</v>
      </c>
      <c r="F295" s="79">
        <v>47834.095087134854</v>
      </c>
      <c r="G295" s="77"/>
      <c r="H295" s="80"/>
      <c r="I295" s="80"/>
      <c r="J295" s="81">
        <v>62165.904912865146</v>
      </c>
      <c r="K295" s="79">
        <v>37834.095087134854</v>
      </c>
      <c r="L295" s="82">
        <v>10000</v>
      </c>
      <c r="N295" s="91">
        <v>0</v>
      </c>
      <c r="O295" s="91">
        <v>0</v>
      </c>
      <c r="P295" s="91">
        <v>0</v>
      </c>
      <c r="Q295" s="91"/>
      <c r="R295" s="91"/>
      <c r="S295" s="91"/>
      <c r="T295" s="91"/>
      <c r="U295" s="91"/>
      <c r="V295" s="91">
        <v>0</v>
      </c>
      <c r="W295" s="91">
        <v>0</v>
      </c>
      <c r="X295" s="91"/>
      <c r="Y295" s="91"/>
      <c r="Z295" s="91"/>
      <c r="AA295" s="63">
        <f t="shared" si="9"/>
        <v>10000</v>
      </c>
      <c r="AC295">
        <v>20000</v>
      </c>
      <c r="AD295">
        <f t="shared" si="10"/>
        <v>10000</v>
      </c>
    </row>
    <row r="296" spans="2:31" hidden="1" x14ac:dyDescent="0.2">
      <c r="B296" s="84">
        <v>10060114</v>
      </c>
      <c r="C296" s="84" t="s">
        <v>3533</v>
      </c>
      <c r="D296" s="84" t="s">
        <v>3093</v>
      </c>
      <c r="E296" s="85">
        <v>110000</v>
      </c>
      <c r="F296" s="86">
        <v>14000</v>
      </c>
      <c r="G296" s="84"/>
      <c r="H296" s="87"/>
      <c r="I296" s="87"/>
      <c r="J296" s="88">
        <v>96000</v>
      </c>
      <c r="K296" s="86">
        <v>0</v>
      </c>
      <c r="L296" s="89">
        <v>14000</v>
      </c>
      <c r="N296" s="91">
        <v>0</v>
      </c>
      <c r="O296" s="91">
        <v>0</v>
      </c>
      <c r="P296" s="91">
        <v>0</v>
      </c>
      <c r="Q296" s="91"/>
      <c r="R296" s="91">
        <v>2407</v>
      </c>
      <c r="S296" s="91"/>
      <c r="T296" s="91"/>
      <c r="U296" s="91"/>
      <c r="V296" s="91">
        <v>0</v>
      </c>
      <c r="W296" s="91">
        <v>0</v>
      </c>
      <c r="X296" s="91"/>
      <c r="Y296" s="91"/>
      <c r="Z296" s="91"/>
      <c r="AA296" s="63">
        <f t="shared" si="9"/>
        <v>16407</v>
      </c>
      <c r="AC296">
        <v>20000</v>
      </c>
      <c r="AD296">
        <f t="shared" si="10"/>
        <v>3593</v>
      </c>
    </row>
    <row r="297" spans="2:31" hidden="1" x14ac:dyDescent="0.2">
      <c r="B297" s="77">
        <v>10090066</v>
      </c>
      <c r="C297" s="77" t="s">
        <v>3534</v>
      </c>
      <c r="D297" s="77" t="s">
        <v>57</v>
      </c>
      <c r="E297" s="78">
        <v>110000</v>
      </c>
      <c r="F297" s="79">
        <v>10000</v>
      </c>
      <c r="G297" s="77"/>
      <c r="H297" s="80"/>
      <c r="I297" s="80"/>
      <c r="J297" s="81">
        <v>100000</v>
      </c>
      <c r="K297" s="79">
        <v>0</v>
      </c>
      <c r="L297" s="82">
        <v>10000</v>
      </c>
      <c r="N297" s="91">
        <v>0</v>
      </c>
      <c r="O297" s="91">
        <v>0</v>
      </c>
      <c r="P297" s="91">
        <v>0</v>
      </c>
      <c r="Q297" s="91"/>
      <c r="R297" s="91">
        <v>2192</v>
      </c>
      <c r="S297" s="91"/>
      <c r="T297" s="91">
        <v>2656</v>
      </c>
      <c r="U297" s="91">
        <v>1750</v>
      </c>
      <c r="V297" s="91">
        <v>1821</v>
      </c>
      <c r="W297" s="91">
        <v>451</v>
      </c>
      <c r="X297" s="91"/>
      <c r="Y297" s="91"/>
      <c r="Z297" s="91"/>
      <c r="AA297" s="63">
        <f t="shared" si="9"/>
        <v>18870</v>
      </c>
      <c r="AC297">
        <v>20000</v>
      </c>
      <c r="AD297">
        <f t="shared" si="10"/>
        <v>1130</v>
      </c>
    </row>
    <row r="298" spans="2:31" hidden="1" x14ac:dyDescent="0.2">
      <c r="B298" s="84">
        <v>10090067</v>
      </c>
      <c r="C298" s="84" t="s">
        <v>3535</v>
      </c>
      <c r="D298" s="84" t="s">
        <v>57</v>
      </c>
      <c r="E298" s="85">
        <v>110000</v>
      </c>
      <c r="F298" s="86">
        <v>0</v>
      </c>
      <c r="G298" s="84"/>
      <c r="H298" s="87"/>
      <c r="I298" s="87"/>
      <c r="J298" s="88">
        <v>110000</v>
      </c>
      <c r="K298" s="86">
        <v>0</v>
      </c>
      <c r="L298" s="89"/>
      <c r="N298" s="91">
        <v>0</v>
      </c>
      <c r="O298" s="91">
        <v>0</v>
      </c>
      <c r="P298" s="91">
        <v>0</v>
      </c>
      <c r="Q298" s="91"/>
      <c r="R298" s="91"/>
      <c r="S298" s="91"/>
      <c r="T298" s="91"/>
      <c r="U298" s="91"/>
      <c r="V298" s="91">
        <v>0</v>
      </c>
      <c r="W298" s="91">
        <v>0</v>
      </c>
      <c r="X298" s="91"/>
      <c r="Y298" s="91"/>
      <c r="Z298" s="91"/>
      <c r="AA298" s="63">
        <f t="shared" si="9"/>
        <v>0</v>
      </c>
      <c r="AC298">
        <v>20000</v>
      </c>
      <c r="AD298">
        <f t="shared" si="10"/>
        <v>20000</v>
      </c>
    </row>
    <row r="299" spans="2:31" hidden="1" x14ac:dyDescent="0.2">
      <c r="B299" s="77">
        <v>0</v>
      </c>
      <c r="C299" s="77" t="s">
        <v>1894</v>
      </c>
      <c r="D299" s="77" t="s">
        <v>177</v>
      </c>
      <c r="E299" s="78">
        <v>0</v>
      </c>
      <c r="F299" s="79">
        <v>5000</v>
      </c>
      <c r="G299" s="77"/>
      <c r="H299" s="80"/>
      <c r="I299" s="80"/>
      <c r="J299" s="81">
        <v>-5000</v>
      </c>
      <c r="K299" s="79">
        <v>0</v>
      </c>
      <c r="L299" s="82">
        <v>5000</v>
      </c>
      <c r="N299" s="91">
        <v>0</v>
      </c>
      <c r="O299" s="91">
        <v>0</v>
      </c>
      <c r="P299" s="91">
        <v>0</v>
      </c>
      <c r="Q299" s="91"/>
      <c r="R299" s="91"/>
      <c r="S299" s="91"/>
      <c r="T299" s="91"/>
      <c r="U299" s="91"/>
      <c r="V299" s="91">
        <v>0</v>
      </c>
      <c r="W299" s="91">
        <v>0</v>
      </c>
      <c r="X299" s="91"/>
      <c r="Y299" s="91"/>
      <c r="Z299" s="91"/>
      <c r="AA299" s="63">
        <f t="shared" si="9"/>
        <v>5000</v>
      </c>
      <c r="AC299">
        <v>20000</v>
      </c>
      <c r="AD299">
        <f t="shared" si="10"/>
        <v>15000</v>
      </c>
    </row>
    <row r="300" spans="2:31" hidden="1" x14ac:dyDescent="0.2">
      <c r="B300" s="84">
        <v>0</v>
      </c>
      <c r="C300" s="84" t="s">
        <v>1898</v>
      </c>
      <c r="D300" s="84" t="s">
        <v>943</v>
      </c>
      <c r="E300" s="85">
        <v>0</v>
      </c>
      <c r="F300" s="86">
        <v>10000</v>
      </c>
      <c r="G300" s="84"/>
      <c r="H300" s="87"/>
      <c r="I300" s="87"/>
      <c r="J300" s="88">
        <v>-10000</v>
      </c>
      <c r="K300" s="86">
        <v>0</v>
      </c>
      <c r="L300" s="89">
        <v>10000</v>
      </c>
      <c r="N300" s="91">
        <v>0</v>
      </c>
      <c r="O300" s="91">
        <v>0</v>
      </c>
      <c r="P300" s="91">
        <v>0</v>
      </c>
      <c r="Q300" s="91"/>
      <c r="R300" s="91"/>
      <c r="S300" s="91"/>
      <c r="T300" s="91"/>
      <c r="U300" s="91"/>
      <c r="V300" s="91">
        <v>0</v>
      </c>
      <c r="W300" s="91">
        <v>0</v>
      </c>
      <c r="X300" s="91"/>
      <c r="Y300" s="91"/>
      <c r="Z300" s="91"/>
      <c r="AA300" s="63">
        <f t="shared" si="9"/>
        <v>10000</v>
      </c>
      <c r="AC300">
        <v>20000</v>
      </c>
      <c r="AD300">
        <f t="shared" si="10"/>
        <v>10000</v>
      </c>
    </row>
    <row r="301" spans="2:31" hidden="1" x14ac:dyDescent="0.2">
      <c r="B301" s="77">
        <v>0</v>
      </c>
      <c r="C301" s="77" t="s">
        <v>1899</v>
      </c>
      <c r="D301" s="77" t="s">
        <v>217</v>
      </c>
      <c r="E301" s="78">
        <v>0</v>
      </c>
      <c r="F301" s="79">
        <v>15000</v>
      </c>
      <c r="G301" s="77"/>
      <c r="H301" s="80"/>
      <c r="I301" s="80"/>
      <c r="J301" s="81">
        <v>-15000</v>
      </c>
      <c r="K301" s="79">
        <v>0</v>
      </c>
      <c r="L301" s="82">
        <v>15000</v>
      </c>
      <c r="N301" s="91">
        <v>0</v>
      </c>
      <c r="O301" s="91">
        <v>0</v>
      </c>
      <c r="P301" s="91">
        <v>0</v>
      </c>
      <c r="Q301" s="91"/>
      <c r="R301" s="91"/>
      <c r="S301" s="91"/>
      <c r="T301" s="91"/>
      <c r="U301" s="91"/>
      <c r="V301" s="91">
        <v>0</v>
      </c>
      <c r="W301" s="91">
        <v>0</v>
      </c>
      <c r="X301" s="91"/>
      <c r="Y301" s="91"/>
      <c r="Z301" s="91"/>
      <c r="AA301" s="63">
        <f t="shared" si="9"/>
        <v>15000</v>
      </c>
      <c r="AC301">
        <v>20000</v>
      </c>
      <c r="AD301">
        <f t="shared" si="10"/>
        <v>5000</v>
      </c>
    </row>
    <row r="302" spans="2:31" hidden="1" x14ac:dyDescent="0.2">
      <c r="B302" s="84">
        <v>10100050</v>
      </c>
      <c r="C302" s="84" t="s">
        <v>2615</v>
      </c>
      <c r="D302" s="84" t="s">
        <v>906</v>
      </c>
      <c r="E302" s="85">
        <v>110000</v>
      </c>
      <c r="F302" s="86">
        <v>7118</v>
      </c>
      <c r="G302" s="84"/>
      <c r="H302" s="87"/>
      <c r="I302" s="87"/>
      <c r="J302" s="88">
        <v>102882</v>
      </c>
      <c r="K302" s="86">
        <v>7118</v>
      </c>
      <c r="L302" s="89"/>
      <c r="N302" s="91">
        <v>0</v>
      </c>
      <c r="O302" s="91">
        <v>0</v>
      </c>
      <c r="P302" s="91">
        <v>0</v>
      </c>
      <c r="Q302" s="91"/>
      <c r="R302" s="91"/>
      <c r="S302" s="91"/>
      <c r="T302" s="91"/>
      <c r="U302" s="91"/>
      <c r="V302" s="91">
        <v>0</v>
      </c>
      <c r="W302" s="91">
        <v>0</v>
      </c>
      <c r="X302" s="91"/>
      <c r="Y302" s="91"/>
      <c r="Z302" s="91"/>
      <c r="AA302" s="63">
        <f t="shared" si="9"/>
        <v>0</v>
      </c>
      <c r="AC302">
        <v>20000</v>
      </c>
      <c r="AD302">
        <f t="shared" si="10"/>
        <v>20000</v>
      </c>
    </row>
    <row r="303" spans="2:31" hidden="1" x14ac:dyDescent="0.2">
      <c r="B303" s="77">
        <v>10010050</v>
      </c>
      <c r="C303" s="77" t="s">
        <v>1574</v>
      </c>
      <c r="D303" s="77" t="s">
        <v>203</v>
      </c>
      <c r="E303" s="78">
        <v>110000</v>
      </c>
      <c r="F303" s="79">
        <v>39741.098781038956</v>
      </c>
      <c r="G303" s="77">
        <v>0</v>
      </c>
      <c r="H303" s="80">
        <v>45426</v>
      </c>
      <c r="I303" s="80" t="s">
        <v>2447</v>
      </c>
      <c r="J303" s="81">
        <v>70258.901218961051</v>
      </c>
      <c r="K303" s="79">
        <v>24741.098781038956</v>
      </c>
      <c r="L303" s="82">
        <v>15000</v>
      </c>
      <c r="N303" s="91">
        <v>0</v>
      </c>
      <c r="O303" s="91">
        <v>0</v>
      </c>
      <c r="P303" s="91">
        <v>0</v>
      </c>
      <c r="Q303" s="91"/>
      <c r="R303" s="91"/>
      <c r="S303" s="91"/>
      <c r="T303" s="91"/>
      <c r="U303" s="91"/>
      <c r="V303" s="91">
        <v>0</v>
      </c>
      <c r="W303" s="91">
        <v>0</v>
      </c>
      <c r="X303" s="91"/>
      <c r="Y303" s="91"/>
      <c r="Z303" s="91"/>
      <c r="AA303" s="63">
        <f t="shared" si="9"/>
        <v>15000</v>
      </c>
      <c r="AC303">
        <v>20000</v>
      </c>
      <c r="AD303">
        <f t="shared" si="10"/>
        <v>5000</v>
      </c>
    </row>
    <row r="304" spans="2:31" hidden="1" x14ac:dyDescent="0.2">
      <c r="B304" s="77">
        <v>10120111</v>
      </c>
      <c r="C304" s="106" t="s">
        <v>3582</v>
      </c>
      <c r="D304" s="77" t="s">
        <v>3563</v>
      </c>
      <c r="E304" s="78">
        <v>110000</v>
      </c>
      <c r="F304" s="79">
        <v>10000</v>
      </c>
      <c r="G304" s="77"/>
      <c r="H304" s="80"/>
      <c r="I304" s="80"/>
      <c r="J304" s="81">
        <v>100000</v>
      </c>
      <c r="K304" s="79">
        <v>5583</v>
      </c>
      <c r="L304" s="82">
        <v>10000</v>
      </c>
      <c r="N304" s="91">
        <v>0</v>
      </c>
      <c r="R304" s="91">
        <v>3894</v>
      </c>
      <c r="S304">
        <v>0</v>
      </c>
      <c r="T304">
        <v>5419</v>
      </c>
      <c r="U304" s="91">
        <v>687</v>
      </c>
      <c r="V304" s="91">
        <v>0</v>
      </c>
      <c r="W304" s="91">
        <v>0</v>
      </c>
      <c r="X304" s="101"/>
      <c r="Y304" s="101"/>
      <c r="Z304" s="101"/>
      <c r="AA304" s="63">
        <f>SUM(L304:W304)</f>
        <v>20000</v>
      </c>
      <c r="AC304">
        <v>20000</v>
      </c>
      <c r="AD304">
        <f t="shared" si="10"/>
        <v>0</v>
      </c>
      <c r="AE304">
        <v>2147</v>
      </c>
    </row>
    <row r="305" spans="2:32" hidden="1" x14ac:dyDescent="0.2">
      <c r="B305" s="30">
        <v>10010126</v>
      </c>
      <c r="C305" s="30" t="s">
        <v>3585</v>
      </c>
      <c r="D305" s="30"/>
      <c r="E305" s="78">
        <v>110000</v>
      </c>
      <c r="F305" s="33">
        <v>10000</v>
      </c>
      <c r="G305" s="30"/>
      <c r="H305" s="34"/>
      <c r="I305" s="34"/>
      <c r="J305" s="35">
        <v>100000</v>
      </c>
      <c r="K305" s="33">
        <v>0</v>
      </c>
      <c r="L305" s="36">
        <v>10000</v>
      </c>
      <c r="N305" s="91"/>
      <c r="Q305" s="91">
        <v>6</v>
      </c>
      <c r="R305" s="91"/>
      <c r="V305" s="91">
        <v>0</v>
      </c>
      <c r="W305" s="91">
        <v>0</v>
      </c>
      <c r="X305" s="91"/>
      <c r="Y305" s="91"/>
      <c r="Z305" s="91"/>
      <c r="AA305" s="63">
        <f t="shared" si="9"/>
        <v>10006</v>
      </c>
      <c r="AC305">
        <v>20000</v>
      </c>
      <c r="AD305">
        <f t="shared" si="10"/>
        <v>9994</v>
      </c>
    </row>
    <row r="306" spans="2:32" hidden="1" x14ac:dyDescent="0.2">
      <c r="B306" s="30">
        <v>10010127</v>
      </c>
      <c r="C306" s="30" t="s">
        <v>3586</v>
      </c>
      <c r="D306" s="30"/>
      <c r="E306" s="78">
        <v>110000</v>
      </c>
      <c r="F306" s="33">
        <v>20000</v>
      </c>
      <c r="G306" s="30"/>
      <c r="H306" s="34"/>
      <c r="I306" s="34"/>
      <c r="J306" s="35">
        <v>0</v>
      </c>
      <c r="K306" s="33">
        <v>0</v>
      </c>
      <c r="L306" s="36">
        <v>20000</v>
      </c>
      <c r="N306" s="91"/>
      <c r="Q306" s="91">
        <v>24</v>
      </c>
      <c r="R306" s="91"/>
      <c r="V306" s="91">
        <v>0</v>
      </c>
      <c r="W306" s="91">
        <v>0</v>
      </c>
      <c r="X306" s="91"/>
      <c r="Y306" s="91"/>
      <c r="Z306" s="91"/>
      <c r="AA306" s="63">
        <f t="shared" si="9"/>
        <v>20024</v>
      </c>
      <c r="AC306">
        <v>20000</v>
      </c>
      <c r="AD306">
        <f t="shared" si="10"/>
        <v>-24</v>
      </c>
    </row>
    <row r="307" spans="2:32" hidden="1" x14ac:dyDescent="0.2">
      <c r="B307" s="30">
        <v>10020076</v>
      </c>
      <c r="C307" s="30" t="s">
        <v>3587</v>
      </c>
      <c r="D307" s="30"/>
      <c r="E307" s="78">
        <v>110000</v>
      </c>
      <c r="F307" s="33">
        <v>15447</v>
      </c>
      <c r="G307" s="30"/>
      <c r="H307" s="34"/>
      <c r="I307" s="34"/>
      <c r="J307" s="35">
        <v>94553</v>
      </c>
      <c r="K307" s="33">
        <v>5447</v>
      </c>
      <c r="L307" s="36">
        <v>10000</v>
      </c>
      <c r="N307" s="91"/>
      <c r="Q307" s="91">
        <v>18</v>
      </c>
      <c r="R307" s="91">
        <v>330</v>
      </c>
      <c r="V307" s="91">
        <v>0</v>
      </c>
      <c r="W307" s="91">
        <v>0</v>
      </c>
      <c r="X307" s="91"/>
      <c r="Y307" s="91"/>
      <c r="Z307" s="91"/>
      <c r="AA307" s="63">
        <f t="shared" si="9"/>
        <v>10348</v>
      </c>
      <c r="AC307">
        <v>20000</v>
      </c>
      <c r="AD307">
        <f t="shared" si="10"/>
        <v>9652</v>
      </c>
    </row>
    <row r="308" spans="2:32" hidden="1" x14ac:dyDescent="0.2">
      <c r="B308" s="30">
        <v>10020077</v>
      </c>
      <c r="C308" s="30" t="s">
        <v>3588</v>
      </c>
      <c r="D308" s="30"/>
      <c r="E308" s="78">
        <v>110000</v>
      </c>
      <c r="F308" s="33">
        <v>24143.980800000001</v>
      </c>
      <c r="G308" s="30"/>
      <c r="H308" s="34"/>
      <c r="I308" s="34"/>
      <c r="J308" s="35">
        <v>85856.019199999995</v>
      </c>
      <c r="K308" s="33">
        <v>9143.9808000000012</v>
      </c>
      <c r="L308" s="36">
        <v>15000</v>
      </c>
      <c r="N308" s="91"/>
      <c r="Q308" s="91">
        <v>18</v>
      </c>
      <c r="R308" s="91">
        <v>830</v>
      </c>
      <c r="T308" s="91">
        <v>1519</v>
      </c>
      <c r="U308" s="101">
        <v>977</v>
      </c>
      <c r="V308" s="91">
        <v>1272</v>
      </c>
      <c r="W308" s="91">
        <v>384</v>
      </c>
      <c r="X308" s="91"/>
      <c r="Y308" s="91"/>
      <c r="Z308" s="91"/>
      <c r="AA308" s="63">
        <f t="shared" si="9"/>
        <v>20000</v>
      </c>
      <c r="AC308">
        <v>20000</v>
      </c>
      <c r="AD308">
        <f t="shared" si="10"/>
        <v>0</v>
      </c>
      <c r="AF308">
        <f>2088-569</f>
        <v>1519</v>
      </c>
    </row>
    <row r="309" spans="2:32" hidden="1" x14ac:dyDescent="0.2">
      <c r="B309" s="30">
        <v>10020078</v>
      </c>
      <c r="C309" s="30" t="s">
        <v>3589</v>
      </c>
      <c r="D309" s="30"/>
      <c r="E309" s="78">
        <v>110000</v>
      </c>
      <c r="F309" s="33">
        <v>13837</v>
      </c>
      <c r="G309" s="30"/>
      <c r="H309" s="34"/>
      <c r="I309" s="34"/>
      <c r="J309" s="35">
        <v>96163</v>
      </c>
      <c r="K309" s="33">
        <v>3837</v>
      </c>
      <c r="L309" s="36">
        <v>10000</v>
      </c>
      <c r="N309" s="91"/>
      <c r="Q309" s="91">
        <v>18</v>
      </c>
      <c r="R309" s="91">
        <v>345</v>
      </c>
      <c r="V309" s="91">
        <v>0</v>
      </c>
      <c r="W309" s="91">
        <v>0</v>
      </c>
      <c r="X309" s="91"/>
      <c r="Y309" s="91"/>
      <c r="Z309" s="91"/>
      <c r="AA309" s="63">
        <f t="shared" si="9"/>
        <v>10363</v>
      </c>
      <c r="AC309">
        <v>20000</v>
      </c>
      <c r="AD309">
        <f t="shared" si="10"/>
        <v>9637</v>
      </c>
    </row>
    <row r="310" spans="2:32" hidden="1" x14ac:dyDescent="0.2">
      <c r="B310" s="30">
        <v>10020079</v>
      </c>
      <c r="C310" s="30" t="s">
        <v>3590</v>
      </c>
      <c r="D310" s="30"/>
      <c r="E310" s="78">
        <v>110000</v>
      </c>
      <c r="F310" s="33">
        <v>12359</v>
      </c>
      <c r="G310" s="30"/>
      <c r="H310" s="34"/>
      <c r="I310" s="34"/>
      <c r="J310" s="35">
        <v>97641</v>
      </c>
      <c r="K310" s="33">
        <v>2359</v>
      </c>
      <c r="L310" s="36">
        <v>10000</v>
      </c>
      <c r="N310" s="91"/>
      <c r="Q310" s="91">
        <v>18</v>
      </c>
      <c r="R310" s="91">
        <v>402</v>
      </c>
      <c r="V310" s="91">
        <v>0</v>
      </c>
      <c r="W310" s="91">
        <v>0</v>
      </c>
      <c r="X310" s="91"/>
      <c r="Y310" s="91"/>
      <c r="Z310" s="91"/>
      <c r="AA310" s="63">
        <f t="shared" si="9"/>
        <v>10420</v>
      </c>
      <c r="AC310">
        <v>20000</v>
      </c>
      <c r="AD310">
        <f t="shared" si="10"/>
        <v>9580</v>
      </c>
    </row>
    <row r="311" spans="2:32" hidden="1" x14ac:dyDescent="0.2">
      <c r="B311" s="30">
        <v>10060115</v>
      </c>
      <c r="C311" s="30" t="s">
        <v>3591</v>
      </c>
      <c r="D311" s="30"/>
      <c r="E311" s="78">
        <v>110000</v>
      </c>
      <c r="F311" s="33">
        <v>16415.1162</v>
      </c>
      <c r="G311" s="30"/>
      <c r="H311" s="34"/>
      <c r="I311" s="34"/>
      <c r="J311" s="35">
        <v>93584.883799999996</v>
      </c>
      <c r="K311" s="33">
        <v>6415.1162000000004</v>
      </c>
      <c r="L311" s="36">
        <v>10000</v>
      </c>
      <c r="N311" s="91"/>
      <c r="Q311" s="91">
        <v>16</v>
      </c>
      <c r="R311" s="91">
        <v>1069</v>
      </c>
      <c r="V311" s="91">
        <v>459</v>
      </c>
      <c r="W311" s="91">
        <v>303</v>
      </c>
      <c r="X311" s="91"/>
      <c r="Y311" s="91"/>
      <c r="Z311" s="91"/>
      <c r="AA311" s="63">
        <f t="shared" si="9"/>
        <v>11847</v>
      </c>
      <c r="AC311">
        <v>20000</v>
      </c>
      <c r="AD311">
        <f t="shared" si="10"/>
        <v>8153</v>
      </c>
    </row>
    <row r="312" spans="2:32" hidden="1" x14ac:dyDescent="0.2">
      <c r="B312" s="30">
        <v>10080105</v>
      </c>
      <c r="C312" s="30" t="s">
        <v>3592</v>
      </c>
      <c r="D312" s="30"/>
      <c r="E312" s="78">
        <v>110000</v>
      </c>
      <c r="F312" s="33">
        <v>0</v>
      </c>
      <c r="G312" s="30"/>
      <c r="H312" s="34"/>
      <c r="I312" s="34"/>
      <c r="J312" s="35">
        <v>110000</v>
      </c>
      <c r="K312" s="33">
        <v>0</v>
      </c>
      <c r="L312" s="36">
        <v>0</v>
      </c>
      <c r="N312" s="91"/>
      <c r="Q312" s="91">
        <v>19</v>
      </c>
      <c r="R312" s="91"/>
      <c r="V312" s="91">
        <v>0</v>
      </c>
      <c r="W312" s="91">
        <v>0</v>
      </c>
      <c r="X312" s="91"/>
      <c r="Y312" s="91"/>
      <c r="Z312" s="91"/>
      <c r="AA312" s="63">
        <f t="shared" si="9"/>
        <v>19</v>
      </c>
      <c r="AC312">
        <v>20000</v>
      </c>
      <c r="AD312">
        <f t="shared" si="10"/>
        <v>19981</v>
      </c>
    </row>
    <row r="313" spans="2:32" hidden="1" x14ac:dyDescent="0.2">
      <c r="B313" s="30">
        <v>10540021</v>
      </c>
      <c r="C313" s="30" t="s">
        <v>3593</v>
      </c>
      <c r="D313" s="30"/>
      <c r="E313" s="78">
        <v>110000</v>
      </c>
      <c r="F313" s="33">
        <v>18907.695599999999</v>
      </c>
      <c r="G313" s="30"/>
      <c r="H313" s="34"/>
      <c r="I313" s="34"/>
      <c r="J313" s="35">
        <v>91092.304399999994</v>
      </c>
      <c r="K313" s="33">
        <v>8907.6955999999991</v>
      </c>
      <c r="L313" s="36">
        <v>10000</v>
      </c>
      <c r="N313" s="91"/>
      <c r="Q313" s="91">
        <v>2</v>
      </c>
      <c r="R313" s="91">
        <v>1921</v>
      </c>
      <c r="T313" s="91">
        <v>108</v>
      </c>
      <c r="U313" s="91">
        <v>1075</v>
      </c>
      <c r="V313" s="91">
        <v>3012</v>
      </c>
      <c r="W313" s="91">
        <v>2501</v>
      </c>
      <c r="X313" s="91"/>
      <c r="Y313" s="91"/>
      <c r="Z313" s="91"/>
      <c r="AA313" s="63">
        <f t="shared" si="9"/>
        <v>18619</v>
      </c>
      <c r="AC313">
        <v>20000</v>
      </c>
      <c r="AD313">
        <f t="shared" si="10"/>
        <v>1381</v>
      </c>
    </row>
    <row r="314" spans="2:32" hidden="1" x14ac:dyDescent="0.2">
      <c r="B314" s="77">
        <v>10080106</v>
      </c>
      <c r="C314" s="30" t="s">
        <v>3594</v>
      </c>
      <c r="D314" s="77"/>
      <c r="E314" s="78">
        <v>110000</v>
      </c>
      <c r="F314" s="79">
        <v>15000</v>
      </c>
      <c r="G314" s="77"/>
      <c r="H314" s="80"/>
      <c r="I314" s="80"/>
      <c r="J314" s="81">
        <v>110000</v>
      </c>
      <c r="K314" s="79">
        <v>0</v>
      </c>
      <c r="L314" s="82">
        <v>15000</v>
      </c>
      <c r="N314" s="91"/>
      <c r="R314" s="91">
        <v>839</v>
      </c>
      <c r="V314" s="91">
        <v>0</v>
      </c>
      <c r="W314" s="91">
        <v>0</v>
      </c>
      <c r="X314" s="91"/>
      <c r="Y314" s="91"/>
      <c r="Z314" s="91"/>
      <c r="AA314" s="63">
        <f t="shared" si="9"/>
        <v>15839</v>
      </c>
      <c r="AC314">
        <v>20000</v>
      </c>
      <c r="AD314">
        <f t="shared" ref="AD314:AD316" si="11">AC314-AA314</f>
        <v>4161</v>
      </c>
    </row>
    <row r="315" spans="2:32" x14ac:dyDescent="0.2">
      <c r="B315" s="77">
        <v>10530081</v>
      </c>
      <c r="C315" s="30" t="s">
        <v>3595</v>
      </c>
      <c r="D315" s="77"/>
      <c r="E315" s="78">
        <v>110000</v>
      </c>
      <c r="F315" s="79">
        <v>30156.483400000001</v>
      </c>
      <c r="G315" s="77"/>
      <c r="H315" s="80"/>
      <c r="I315" s="80"/>
      <c r="J315" s="81">
        <v>79843.516600000003</v>
      </c>
      <c r="K315" s="79">
        <v>12623.483400000001</v>
      </c>
      <c r="L315" s="82">
        <v>10000</v>
      </c>
      <c r="N315" s="91"/>
      <c r="R315" s="91">
        <v>721</v>
      </c>
      <c r="T315">
        <v>7533</v>
      </c>
      <c r="V315" s="91">
        <v>0</v>
      </c>
      <c r="W315" s="91">
        <v>2467</v>
      </c>
      <c r="X315" s="91"/>
      <c r="Y315" s="91"/>
      <c r="Z315" s="91"/>
      <c r="AA315" s="63">
        <f t="shared" si="9"/>
        <v>20721</v>
      </c>
      <c r="AC315">
        <v>20000</v>
      </c>
      <c r="AD315">
        <f t="shared" si="11"/>
        <v>-721</v>
      </c>
    </row>
    <row r="316" spans="2:32" hidden="1" x14ac:dyDescent="0.2">
      <c r="B316" s="77">
        <v>10560006</v>
      </c>
      <c r="C316" s="30" t="s">
        <v>3596</v>
      </c>
      <c r="D316" s="77"/>
      <c r="E316" s="78">
        <v>110000</v>
      </c>
      <c r="F316" s="79">
        <v>13500</v>
      </c>
      <c r="G316" s="77"/>
      <c r="H316" s="80"/>
      <c r="I316" s="80"/>
      <c r="J316" s="81">
        <v>96500</v>
      </c>
      <c r="K316" s="79">
        <v>3500</v>
      </c>
      <c r="L316" s="82">
        <v>10000</v>
      </c>
      <c r="N316" s="91"/>
      <c r="R316" s="91">
        <v>1082</v>
      </c>
      <c r="V316" s="91">
        <v>0</v>
      </c>
      <c r="W316" s="91">
        <v>0</v>
      </c>
      <c r="X316" s="91"/>
      <c r="Y316" s="91"/>
      <c r="Z316" s="91"/>
      <c r="AA316" s="63">
        <f t="shared" si="9"/>
        <v>11082</v>
      </c>
      <c r="AC316">
        <v>20000</v>
      </c>
      <c r="AD316">
        <f t="shared" si="11"/>
        <v>8918</v>
      </c>
    </row>
    <row r="317" spans="2:32" hidden="1" x14ac:dyDescent="0.2">
      <c r="B317" s="18">
        <v>10010113</v>
      </c>
      <c r="C317" s="18"/>
      <c r="D317" s="18"/>
      <c r="E317" s="78">
        <v>110000</v>
      </c>
      <c r="F317" s="79">
        <v>9124.9187999999995</v>
      </c>
      <c r="G317" s="18"/>
      <c r="H317" s="18"/>
      <c r="I317" s="18"/>
      <c r="J317" s="81">
        <v>100875.0812</v>
      </c>
      <c r="K317" s="79">
        <v>9124.9187999999995</v>
      </c>
      <c r="L317" s="82">
        <v>0</v>
      </c>
      <c r="T317" s="91">
        <v>3240</v>
      </c>
      <c r="U317" s="101">
        <v>3442</v>
      </c>
      <c r="V317" s="91">
        <v>3748</v>
      </c>
      <c r="W317" s="91">
        <v>0</v>
      </c>
      <c r="X317" s="91"/>
      <c r="Y317" s="91"/>
      <c r="Z317" s="91"/>
      <c r="AA317" s="63">
        <f t="shared" si="9"/>
        <v>10430</v>
      </c>
      <c r="AC317">
        <v>20000</v>
      </c>
      <c r="AD317">
        <f t="shared" ref="AD317:AD333" si="12">AC317-AA317</f>
        <v>9570</v>
      </c>
    </row>
    <row r="318" spans="2:32" hidden="1" x14ac:dyDescent="0.2">
      <c r="B318" s="18">
        <v>10010121</v>
      </c>
      <c r="C318" s="18"/>
      <c r="D318" s="18"/>
      <c r="E318" s="78">
        <v>110000</v>
      </c>
      <c r="F318" s="79">
        <v>12249.205199999999</v>
      </c>
      <c r="G318" s="18"/>
      <c r="H318" s="18"/>
      <c r="I318" s="18"/>
      <c r="J318" s="81">
        <v>97750.794800000003</v>
      </c>
      <c r="K318" s="79">
        <v>12249.205199999999</v>
      </c>
      <c r="L318" s="82">
        <v>0</v>
      </c>
      <c r="T318" s="91">
        <v>3888</v>
      </c>
      <c r="U318" s="101">
        <v>3359</v>
      </c>
      <c r="V318" s="91">
        <v>5828</v>
      </c>
      <c r="W318" s="91">
        <v>0</v>
      </c>
      <c r="X318" s="91"/>
      <c r="Y318" s="91"/>
      <c r="Z318" s="91"/>
      <c r="AA318" s="63">
        <f t="shared" si="9"/>
        <v>13075</v>
      </c>
      <c r="AC318">
        <v>20000</v>
      </c>
      <c r="AD318">
        <f t="shared" si="12"/>
        <v>6925</v>
      </c>
    </row>
    <row r="319" spans="2:32" hidden="1" x14ac:dyDescent="0.2">
      <c r="B319" s="18">
        <v>10560008</v>
      </c>
      <c r="C319" s="18"/>
      <c r="D319" s="18"/>
      <c r="E319" s="78">
        <v>110000</v>
      </c>
      <c r="F319" s="79">
        <v>10000</v>
      </c>
      <c r="G319" s="18"/>
      <c r="H319" s="18"/>
      <c r="I319" s="18"/>
      <c r="J319" s="81">
        <v>100000</v>
      </c>
      <c r="K319" s="79">
        <v>0</v>
      </c>
      <c r="L319" s="82">
        <v>10000</v>
      </c>
      <c r="U319" s="101">
        <v>713</v>
      </c>
      <c r="V319" s="91">
        <v>0</v>
      </c>
      <c r="W319" s="91">
        <v>0</v>
      </c>
      <c r="X319" s="91"/>
      <c r="Y319" s="91"/>
      <c r="Z319" s="91"/>
      <c r="AA319" s="63">
        <f t="shared" si="9"/>
        <v>10713</v>
      </c>
      <c r="AC319">
        <v>20000</v>
      </c>
      <c r="AD319">
        <f t="shared" si="12"/>
        <v>9287</v>
      </c>
    </row>
    <row r="320" spans="2:32" hidden="1" x14ac:dyDescent="0.2">
      <c r="B320" s="18">
        <v>10570001</v>
      </c>
      <c r="C320" s="18"/>
      <c r="D320" s="18"/>
      <c r="E320" s="78">
        <v>110000</v>
      </c>
      <c r="F320" s="79">
        <v>66</v>
      </c>
      <c r="G320" s="18"/>
      <c r="H320" s="18"/>
      <c r="I320" s="18"/>
      <c r="J320" s="81">
        <v>109934</v>
      </c>
      <c r="K320" s="79">
        <v>66</v>
      </c>
      <c r="L320" s="82">
        <v>0</v>
      </c>
      <c r="U320" s="101">
        <v>1259</v>
      </c>
      <c r="V320" s="91">
        <v>0</v>
      </c>
      <c r="W320" s="91">
        <v>0</v>
      </c>
      <c r="X320" s="91"/>
      <c r="Y320" s="91"/>
      <c r="Z320" s="91"/>
      <c r="AA320" s="63">
        <f t="shared" si="9"/>
        <v>1259</v>
      </c>
      <c r="AC320">
        <v>20000</v>
      </c>
      <c r="AD320">
        <f t="shared" si="12"/>
        <v>18741</v>
      </c>
    </row>
    <row r="321" spans="2:32" hidden="1" x14ac:dyDescent="0.2">
      <c r="B321" s="18">
        <v>10570002</v>
      </c>
      <c r="C321" s="18"/>
      <c r="D321" s="18"/>
      <c r="E321" s="78">
        <v>110000</v>
      </c>
      <c r="F321" s="79">
        <v>0</v>
      </c>
      <c r="G321" s="18"/>
      <c r="H321" s="18"/>
      <c r="I321" s="18"/>
      <c r="J321" s="81">
        <v>110000</v>
      </c>
      <c r="K321" s="79">
        <v>0</v>
      </c>
      <c r="L321" s="82">
        <v>0</v>
      </c>
      <c r="U321" s="101">
        <v>531</v>
      </c>
      <c r="V321" s="91">
        <v>0</v>
      </c>
      <c r="W321" s="91">
        <v>0</v>
      </c>
      <c r="X321" s="91"/>
      <c r="Y321" s="91"/>
      <c r="Z321" s="91"/>
      <c r="AA321" s="63">
        <f t="shared" si="9"/>
        <v>531</v>
      </c>
      <c r="AC321">
        <v>20000</v>
      </c>
      <c r="AD321">
        <f t="shared" si="12"/>
        <v>19469</v>
      </c>
    </row>
    <row r="322" spans="2:32" hidden="1" x14ac:dyDescent="0.2">
      <c r="B322" s="18">
        <v>10570003</v>
      </c>
      <c r="C322" s="18"/>
      <c r="D322" s="18"/>
      <c r="E322" s="78">
        <v>110000</v>
      </c>
      <c r="F322" s="79">
        <v>311</v>
      </c>
      <c r="G322" s="18"/>
      <c r="H322" s="18"/>
      <c r="I322" s="18"/>
      <c r="J322" s="81">
        <v>109689</v>
      </c>
      <c r="K322" s="79">
        <v>311</v>
      </c>
      <c r="L322" s="82">
        <v>0</v>
      </c>
      <c r="U322" s="101">
        <v>1835</v>
      </c>
      <c r="V322" s="91">
        <v>0</v>
      </c>
      <c r="W322" s="91">
        <v>0</v>
      </c>
      <c r="X322" s="91"/>
      <c r="Y322" s="91"/>
      <c r="Z322" s="91"/>
      <c r="AA322" s="63">
        <f t="shared" si="9"/>
        <v>1835</v>
      </c>
      <c r="AC322">
        <v>20000</v>
      </c>
      <c r="AD322">
        <f t="shared" si="12"/>
        <v>18165</v>
      </c>
    </row>
    <row r="323" spans="2:32" hidden="1" x14ac:dyDescent="0.2">
      <c r="B323" s="18">
        <v>10570008</v>
      </c>
      <c r="C323" s="18"/>
      <c r="D323" s="18"/>
      <c r="E323" s="78">
        <v>110000</v>
      </c>
      <c r="F323" s="79">
        <v>20380.998200000002</v>
      </c>
      <c r="G323" s="18"/>
      <c r="H323" s="18"/>
      <c r="I323" s="18"/>
      <c r="J323" s="81">
        <v>89619.001799999998</v>
      </c>
      <c r="K323" s="79">
        <v>10380.998200000002</v>
      </c>
      <c r="L323" s="82">
        <v>10000</v>
      </c>
      <c r="U323" s="101">
        <v>8080</v>
      </c>
      <c r="V323" s="91">
        <v>1920</v>
      </c>
      <c r="W323" s="91">
        <v>0</v>
      </c>
      <c r="X323" s="91"/>
      <c r="Y323" s="91"/>
      <c r="Z323" s="91"/>
      <c r="AA323" s="63">
        <f t="shared" si="9"/>
        <v>20000</v>
      </c>
      <c r="AC323">
        <v>20000</v>
      </c>
      <c r="AD323">
        <f t="shared" si="12"/>
        <v>0</v>
      </c>
      <c r="AF323">
        <f>6656-4736</f>
        <v>1920</v>
      </c>
    </row>
    <row r="324" spans="2:32" hidden="1" x14ac:dyDescent="0.2">
      <c r="B324" s="18">
        <v>10570009</v>
      </c>
      <c r="C324" s="18"/>
      <c r="D324" s="18"/>
      <c r="E324" s="78">
        <v>110000</v>
      </c>
      <c r="F324" s="79">
        <v>16135.3364</v>
      </c>
      <c r="G324" s="18"/>
      <c r="H324" s="18"/>
      <c r="I324" s="18"/>
      <c r="J324" s="81">
        <v>93864.6636</v>
      </c>
      <c r="K324" s="79">
        <v>6135.3364000000001</v>
      </c>
      <c r="L324" s="82">
        <v>10000</v>
      </c>
      <c r="U324" s="101">
        <v>7787</v>
      </c>
      <c r="V324" s="91">
        <v>2213</v>
      </c>
      <c r="W324" s="91">
        <v>0</v>
      </c>
      <c r="X324" s="91"/>
      <c r="Y324" s="91"/>
      <c r="Z324" s="91"/>
      <c r="AA324" s="63">
        <f t="shared" ref="AA324:AA333" si="13">SUM(L324:W324)</f>
        <v>20000</v>
      </c>
      <c r="AC324">
        <v>20000</v>
      </c>
      <c r="AD324">
        <f t="shared" si="12"/>
        <v>0</v>
      </c>
      <c r="AF324">
        <f>3299-1086</f>
        <v>2213</v>
      </c>
    </row>
    <row r="325" spans="2:32" hidden="1" x14ac:dyDescent="0.2">
      <c r="B325" s="18">
        <v>10120114</v>
      </c>
      <c r="C325" s="18"/>
      <c r="D325" s="18"/>
      <c r="E325" s="78">
        <v>110000</v>
      </c>
      <c r="F325" s="79">
        <v>10000</v>
      </c>
      <c r="G325" s="18"/>
      <c r="H325" s="18"/>
      <c r="I325" s="18"/>
      <c r="J325" s="81">
        <v>100000</v>
      </c>
      <c r="K325" s="79">
        <v>0</v>
      </c>
      <c r="L325" s="82">
        <v>10000</v>
      </c>
      <c r="U325" s="101">
        <v>1179</v>
      </c>
      <c r="V325" s="91">
        <v>1347</v>
      </c>
      <c r="W325" s="91">
        <v>0</v>
      </c>
      <c r="X325" s="91"/>
      <c r="Y325" s="91"/>
      <c r="Z325" s="91"/>
      <c r="AA325" s="63">
        <f t="shared" si="13"/>
        <v>12526</v>
      </c>
      <c r="AC325">
        <v>20000</v>
      </c>
      <c r="AD325">
        <f t="shared" si="12"/>
        <v>7474</v>
      </c>
    </row>
    <row r="326" spans="2:32" hidden="1" x14ac:dyDescent="0.2">
      <c r="B326" s="18">
        <v>10010137</v>
      </c>
      <c r="C326" s="18"/>
      <c r="D326" s="18"/>
      <c r="E326" s="78">
        <v>110000</v>
      </c>
      <c r="F326" s="79">
        <v>16861</v>
      </c>
      <c r="G326" s="18"/>
      <c r="H326" s="18"/>
      <c r="I326" s="18"/>
      <c r="J326" s="81">
        <v>93139</v>
      </c>
      <c r="K326" s="79">
        <v>1861</v>
      </c>
      <c r="L326" s="82">
        <v>15000</v>
      </c>
      <c r="U326" s="101">
        <v>5000</v>
      </c>
      <c r="V326" s="91">
        <v>0</v>
      </c>
      <c r="W326" s="91">
        <v>0</v>
      </c>
      <c r="X326" s="91"/>
      <c r="Y326" s="91"/>
      <c r="Z326" s="91"/>
      <c r="AA326" s="63">
        <f t="shared" si="13"/>
        <v>20000</v>
      </c>
      <c r="AC326">
        <v>20000</v>
      </c>
      <c r="AD326">
        <f t="shared" si="12"/>
        <v>0</v>
      </c>
    </row>
    <row r="327" spans="2:32" hidden="1" x14ac:dyDescent="0.2">
      <c r="B327" s="18">
        <v>10060121</v>
      </c>
      <c r="C327" s="18"/>
      <c r="D327" s="18"/>
      <c r="E327" s="78">
        <v>110000</v>
      </c>
      <c r="F327" s="79">
        <v>0</v>
      </c>
      <c r="G327" s="18"/>
      <c r="H327" s="18"/>
      <c r="I327" s="18"/>
      <c r="J327" s="81">
        <v>110000</v>
      </c>
      <c r="K327" s="79">
        <v>0</v>
      </c>
      <c r="L327" s="82">
        <v>0</v>
      </c>
      <c r="U327" s="101">
        <v>1402</v>
      </c>
      <c r="V327" s="91">
        <v>2241</v>
      </c>
      <c r="W327" s="91">
        <v>0</v>
      </c>
      <c r="X327" s="91"/>
      <c r="Y327" s="91"/>
      <c r="Z327" s="91"/>
      <c r="AA327" s="63">
        <f t="shared" si="13"/>
        <v>3643</v>
      </c>
      <c r="AC327">
        <v>20000</v>
      </c>
      <c r="AD327">
        <f t="shared" si="12"/>
        <v>16357</v>
      </c>
    </row>
    <row r="328" spans="2:32" hidden="1" x14ac:dyDescent="0.2">
      <c r="B328" s="18">
        <v>10080114</v>
      </c>
      <c r="C328" s="18"/>
      <c r="D328" s="18"/>
      <c r="E328" s="78">
        <v>110000</v>
      </c>
      <c r="F328" s="79">
        <v>15000</v>
      </c>
      <c r="G328" s="18"/>
      <c r="H328" s="18"/>
      <c r="I328" s="18"/>
      <c r="J328" s="81">
        <v>110000</v>
      </c>
      <c r="K328" s="79">
        <v>0</v>
      </c>
      <c r="L328" s="82">
        <v>15000</v>
      </c>
      <c r="U328" s="101">
        <v>602</v>
      </c>
      <c r="V328" s="91">
        <v>169</v>
      </c>
      <c r="W328" s="91">
        <v>0</v>
      </c>
      <c r="X328" s="91"/>
      <c r="Y328" s="91"/>
      <c r="Z328" s="91"/>
      <c r="AA328" s="63">
        <f t="shared" si="13"/>
        <v>15771</v>
      </c>
      <c r="AC328">
        <v>20000</v>
      </c>
      <c r="AD328">
        <f t="shared" si="12"/>
        <v>4229</v>
      </c>
    </row>
    <row r="329" spans="2:32" hidden="1" x14ac:dyDescent="0.2">
      <c r="B329" s="18">
        <v>10560015</v>
      </c>
      <c r="C329" s="18"/>
      <c r="D329" s="18"/>
      <c r="E329" s="78">
        <v>110000</v>
      </c>
      <c r="F329" s="79">
        <v>0</v>
      </c>
      <c r="G329" s="18"/>
      <c r="H329" s="18"/>
      <c r="I329" s="18"/>
      <c r="J329" s="81">
        <v>110000</v>
      </c>
      <c r="K329" s="79">
        <v>0</v>
      </c>
      <c r="L329" s="82">
        <v>0</v>
      </c>
      <c r="U329" s="101">
        <v>785</v>
      </c>
      <c r="V329" s="91">
        <v>729</v>
      </c>
      <c r="W329" s="91">
        <v>0</v>
      </c>
      <c r="X329" s="91"/>
      <c r="Y329" s="91"/>
      <c r="Z329" s="91"/>
      <c r="AA329" s="63">
        <f t="shared" si="13"/>
        <v>1514</v>
      </c>
      <c r="AC329">
        <v>20000</v>
      </c>
      <c r="AD329">
        <f t="shared" si="12"/>
        <v>18486</v>
      </c>
    </row>
    <row r="330" spans="2:32" hidden="1" x14ac:dyDescent="0.2">
      <c r="B330" s="18">
        <v>10560019</v>
      </c>
      <c r="C330" s="18"/>
      <c r="D330" s="18"/>
      <c r="E330" s="78">
        <v>110000</v>
      </c>
      <c r="F330" s="79">
        <v>0</v>
      </c>
      <c r="G330" s="18"/>
      <c r="H330" s="18"/>
      <c r="I330" s="18"/>
      <c r="J330" s="81">
        <v>110000</v>
      </c>
      <c r="K330" s="79">
        <v>0</v>
      </c>
      <c r="L330" s="82">
        <v>0</v>
      </c>
      <c r="U330" s="101">
        <v>1004</v>
      </c>
      <c r="V330" s="91">
        <v>3563</v>
      </c>
      <c r="W330" s="91">
        <v>0</v>
      </c>
      <c r="X330" s="91"/>
      <c r="Y330" s="91"/>
      <c r="Z330" s="91"/>
      <c r="AA330" s="63">
        <f t="shared" si="13"/>
        <v>4567</v>
      </c>
      <c r="AC330">
        <v>20000</v>
      </c>
      <c r="AD330">
        <f t="shared" si="12"/>
        <v>15433</v>
      </c>
    </row>
    <row r="331" spans="2:32" hidden="1" x14ac:dyDescent="0.2">
      <c r="B331" s="18">
        <v>10580003</v>
      </c>
      <c r="C331" s="18"/>
      <c r="D331" s="18"/>
      <c r="E331" s="78">
        <v>110000</v>
      </c>
      <c r="F331" s="79">
        <v>15000</v>
      </c>
      <c r="G331" s="18"/>
      <c r="H331" s="18"/>
      <c r="I331" s="18"/>
      <c r="J331" s="81">
        <v>95000</v>
      </c>
      <c r="K331" s="79">
        <v>0</v>
      </c>
      <c r="L331" s="82">
        <v>15000</v>
      </c>
      <c r="U331" s="101">
        <v>4357</v>
      </c>
      <c r="V331" s="91">
        <v>643</v>
      </c>
      <c r="W331" s="91">
        <v>0</v>
      </c>
      <c r="X331" s="91"/>
      <c r="Y331" s="91"/>
      <c r="Z331" s="91"/>
      <c r="AA331" s="63">
        <f t="shared" si="13"/>
        <v>20000</v>
      </c>
      <c r="AC331">
        <v>20000</v>
      </c>
      <c r="AD331">
        <f t="shared" si="12"/>
        <v>0</v>
      </c>
      <c r="AF331">
        <f>8578-7935</f>
        <v>643</v>
      </c>
    </row>
    <row r="332" spans="2:32" hidden="1" x14ac:dyDescent="0.2">
      <c r="B332" s="18">
        <v>10120113</v>
      </c>
      <c r="C332" s="18"/>
      <c r="D332" s="18"/>
      <c r="E332" s="78">
        <v>110000</v>
      </c>
      <c r="F332" s="79">
        <v>10000</v>
      </c>
      <c r="G332" s="18"/>
      <c r="H332" s="18"/>
      <c r="I332" s="18"/>
      <c r="J332" s="81">
        <v>100000</v>
      </c>
      <c r="K332" s="79">
        <v>0</v>
      </c>
      <c r="L332" s="82">
        <v>10000</v>
      </c>
      <c r="U332" s="101">
        <v>72</v>
      </c>
      <c r="V332" s="91">
        <v>881</v>
      </c>
      <c r="W332" s="91">
        <v>1125</v>
      </c>
      <c r="X332" s="91"/>
      <c r="Y332" s="91"/>
      <c r="Z332" s="91"/>
      <c r="AA332" s="63">
        <f t="shared" si="13"/>
        <v>12078</v>
      </c>
      <c r="AC332">
        <v>20000</v>
      </c>
      <c r="AD332">
        <f t="shared" si="12"/>
        <v>7922</v>
      </c>
    </row>
    <row r="333" spans="2:32" hidden="1" x14ac:dyDescent="0.2">
      <c r="B333" s="18">
        <v>10140192</v>
      </c>
      <c r="C333" s="18"/>
      <c r="D333" s="18"/>
      <c r="E333" s="78">
        <v>110000</v>
      </c>
      <c r="F333" s="79">
        <v>10000</v>
      </c>
      <c r="G333" s="18"/>
      <c r="H333" s="18"/>
      <c r="I333" s="18"/>
      <c r="J333" s="81">
        <v>110000</v>
      </c>
      <c r="K333" s="79">
        <v>0</v>
      </c>
      <c r="L333" s="82">
        <v>10000</v>
      </c>
      <c r="U333" s="101">
        <v>571</v>
      </c>
      <c r="V333" s="91">
        <v>641</v>
      </c>
      <c r="W333" s="91">
        <v>0</v>
      </c>
      <c r="X333" s="91"/>
      <c r="Y333" s="91"/>
      <c r="Z333" s="91"/>
      <c r="AA333" s="63">
        <f t="shared" si="13"/>
        <v>11212</v>
      </c>
      <c r="AC333">
        <v>20000</v>
      </c>
      <c r="AD333">
        <f t="shared" si="12"/>
        <v>8788</v>
      </c>
    </row>
    <row r="334" spans="2:32" hidden="1" x14ac:dyDescent="0.2">
      <c r="B334" s="18">
        <v>10010089</v>
      </c>
      <c r="C334" s="18"/>
      <c r="D334" s="18"/>
      <c r="E334" s="78">
        <v>110000</v>
      </c>
      <c r="F334" s="79">
        <v>27907.9532</v>
      </c>
      <c r="G334" s="18"/>
      <c r="H334" s="18"/>
      <c r="I334" s="18"/>
      <c r="J334" s="81">
        <v>82092.046799999996</v>
      </c>
      <c r="K334" s="79">
        <v>7907.9531999999999</v>
      </c>
      <c r="L334" s="82">
        <v>20000</v>
      </c>
      <c r="T334" s="91">
        <v>0</v>
      </c>
      <c r="U334" s="91">
        <v>0</v>
      </c>
      <c r="V334" s="91">
        <v>0</v>
      </c>
      <c r="W334" s="91">
        <v>0</v>
      </c>
      <c r="X334" s="91"/>
      <c r="Y334" s="91"/>
      <c r="Z334" s="91"/>
      <c r="AA334" s="63">
        <f t="shared" ref="AA334:AA349" si="14">SUM(L334:W334)</f>
        <v>20000</v>
      </c>
      <c r="AC334">
        <v>20000</v>
      </c>
      <c r="AD334">
        <f t="shared" ref="AD334:AD349" si="15">AC334-AA334</f>
        <v>0</v>
      </c>
    </row>
    <row r="335" spans="2:32" hidden="1" x14ac:dyDescent="0.2">
      <c r="B335" s="18">
        <v>10570007</v>
      </c>
      <c r="C335" s="18"/>
      <c r="D335" s="18"/>
      <c r="E335" s="78">
        <v>110000</v>
      </c>
      <c r="F335" s="79">
        <v>5157.4103999999998</v>
      </c>
      <c r="G335" s="18"/>
      <c r="H335" s="18"/>
      <c r="I335" s="18"/>
      <c r="J335" s="81">
        <v>104842.58960000001</v>
      </c>
      <c r="K335" s="79">
        <v>5157.4103999999998</v>
      </c>
      <c r="L335" s="82">
        <v>0</v>
      </c>
      <c r="U335" s="91">
        <v>3153</v>
      </c>
      <c r="V335" s="91">
        <v>1591</v>
      </c>
      <c r="W335" s="91">
        <v>0</v>
      </c>
      <c r="X335" s="91"/>
      <c r="Y335" s="91"/>
      <c r="Z335" s="91"/>
      <c r="AA335" s="63">
        <f t="shared" si="14"/>
        <v>4744</v>
      </c>
      <c r="AC335">
        <v>20000</v>
      </c>
      <c r="AD335">
        <f t="shared" si="15"/>
        <v>15256</v>
      </c>
    </row>
    <row r="336" spans="2:32" hidden="1" x14ac:dyDescent="0.2">
      <c r="B336" s="18">
        <v>10570019</v>
      </c>
      <c r="C336" s="18"/>
      <c r="D336" s="18"/>
      <c r="E336" s="78">
        <v>85000</v>
      </c>
      <c r="F336" s="79">
        <v>0</v>
      </c>
      <c r="G336" s="18"/>
      <c r="H336" s="18"/>
      <c r="I336" s="18"/>
      <c r="J336" s="81">
        <v>85000</v>
      </c>
      <c r="K336" s="79">
        <v>0</v>
      </c>
      <c r="L336" s="82">
        <v>0</v>
      </c>
      <c r="V336" s="91">
        <v>2095</v>
      </c>
      <c r="W336" s="91">
        <v>0</v>
      </c>
      <c r="X336" s="91"/>
      <c r="Y336" s="91"/>
      <c r="Z336" s="91"/>
      <c r="AA336" s="63">
        <f t="shared" si="14"/>
        <v>2095</v>
      </c>
      <c r="AC336">
        <v>20000</v>
      </c>
      <c r="AD336">
        <f t="shared" si="15"/>
        <v>17905</v>
      </c>
    </row>
    <row r="337" spans="2:30" hidden="1" x14ac:dyDescent="0.2">
      <c r="B337" s="18">
        <v>10570020</v>
      </c>
      <c r="C337" s="18"/>
      <c r="D337" s="18"/>
      <c r="E337" s="78">
        <v>85000</v>
      </c>
      <c r="F337" s="79">
        <v>0</v>
      </c>
      <c r="G337" s="18"/>
      <c r="H337" s="18"/>
      <c r="I337" s="18"/>
      <c r="J337" s="81">
        <v>85000</v>
      </c>
      <c r="K337" s="79">
        <v>0</v>
      </c>
      <c r="L337" s="82">
        <v>0</v>
      </c>
      <c r="V337" s="91">
        <v>2037</v>
      </c>
      <c r="W337" s="91">
        <v>0</v>
      </c>
      <c r="X337" s="91"/>
      <c r="Y337" s="91"/>
      <c r="Z337" s="91"/>
      <c r="AA337" s="63">
        <f t="shared" si="14"/>
        <v>2037</v>
      </c>
      <c r="AC337">
        <v>20000</v>
      </c>
      <c r="AD337">
        <f t="shared" si="15"/>
        <v>17963</v>
      </c>
    </row>
    <row r="338" spans="2:30" hidden="1" x14ac:dyDescent="0.2">
      <c r="B338" s="18">
        <v>10570021</v>
      </c>
      <c r="C338" s="18"/>
      <c r="D338" s="18"/>
      <c r="E338" s="78">
        <v>85000</v>
      </c>
      <c r="F338" s="79">
        <v>0</v>
      </c>
      <c r="G338" s="18"/>
      <c r="H338" s="18"/>
      <c r="I338" s="18"/>
      <c r="J338" s="81">
        <v>85000</v>
      </c>
      <c r="K338" s="79">
        <v>0</v>
      </c>
      <c r="L338" s="82">
        <v>0</v>
      </c>
      <c r="V338" s="91">
        <v>2056</v>
      </c>
      <c r="W338" s="91">
        <v>0</v>
      </c>
      <c r="X338" s="91"/>
      <c r="Y338" s="91"/>
      <c r="Z338" s="91"/>
      <c r="AA338" s="63">
        <f t="shared" si="14"/>
        <v>2056</v>
      </c>
      <c r="AC338">
        <v>20000</v>
      </c>
      <c r="AD338">
        <f t="shared" si="15"/>
        <v>17944</v>
      </c>
    </row>
    <row r="339" spans="2:30" hidden="1" x14ac:dyDescent="0.2">
      <c r="B339" s="18">
        <v>10020083</v>
      </c>
      <c r="C339" s="18"/>
      <c r="D339" s="18"/>
      <c r="E339" s="78">
        <v>110000</v>
      </c>
      <c r="F339" s="79">
        <v>0</v>
      </c>
      <c r="G339" s="18"/>
      <c r="H339" s="18"/>
      <c r="I339" s="18"/>
      <c r="J339" s="81">
        <v>110000</v>
      </c>
      <c r="K339" s="79">
        <v>0</v>
      </c>
      <c r="L339" s="82">
        <v>0</v>
      </c>
      <c r="U339" s="91">
        <v>8</v>
      </c>
      <c r="V339" s="91">
        <v>787</v>
      </c>
      <c r="W339" s="91">
        <v>0</v>
      </c>
      <c r="X339" s="91"/>
      <c r="Y339" s="91"/>
      <c r="Z339" s="91"/>
      <c r="AA339" s="63">
        <f t="shared" si="14"/>
        <v>795</v>
      </c>
      <c r="AC339">
        <v>20000</v>
      </c>
      <c r="AD339">
        <f t="shared" si="15"/>
        <v>19205</v>
      </c>
    </row>
    <row r="340" spans="2:30" hidden="1" x14ac:dyDescent="0.2">
      <c r="B340" s="18">
        <v>10060124</v>
      </c>
      <c r="C340" s="18"/>
      <c r="D340" s="18"/>
      <c r="E340" s="78">
        <v>85000</v>
      </c>
      <c r="F340" s="79">
        <v>15000</v>
      </c>
      <c r="G340" s="18"/>
      <c r="H340" s="18"/>
      <c r="I340" s="18"/>
      <c r="J340" s="81">
        <v>70000</v>
      </c>
      <c r="K340" s="79">
        <v>0</v>
      </c>
      <c r="L340" s="82">
        <v>15000</v>
      </c>
      <c r="V340" s="91">
        <v>400</v>
      </c>
      <c r="W340" s="91">
        <v>427</v>
      </c>
      <c r="X340" s="91"/>
      <c r="Y340" s="91"/>
      <c r="Z340" s="91"/>
      <c r="AA340" s="63">
        <f t="shared" si="14"/>
        <v>15827</v>
      </c>
      <c r="AC340">
        <v>20000</v>
      </c>
      <c r="AD340">
        <f t="shared" si="15"/>
        <v>4173</v>
      </c>
    </row>
    <row r="341" spans="2:30" hidden="1" x14ac:dyDescent="0.2">
      <c r="B341" s="18">
        <v>10530083</v>
      </c>
      <c r="C341" s="18"/>
      <c r="D341" s="18"/>
      <c r="E341" s="78">
        <v>110000</v>
      </c>
      <c r="F341" s="79">
        <v>10000</v>
      </c>
      <c r="G341" s="18"/>
      <c r="H341" s="18"/>
      <c r="I341" s="18"/>
      <c r="J341" s="81">
        <v>100000</v>
      </c>
      <c r="K341" s="79">
        <v>0</v>
      </c>
      <c r="L341" s="82">
        <v>10000</v>
      </c>
      <c r="V341" s="91">
        <v>1909</v>
      </c>
      <c r="W341" s="91">
        <v>790</v>
      </c>
      <c r="X341" s="91"/>
      <c r="Y341" s="91"/>
      <c r="Z341" s="91"/>
      <c r="AA341" s="63">
        <f t="shared" si="14"/>
        <v>12699</v>
      </c>
      <c r="AC341">
        <v>20000</v>
      </c>
      <c r="AD341">
        <f t="shared" si="15"/>
        <v>7301</v>
      </c>
    </row>
    <row r="342" spans="2:30" hidden="1" x14ac:dyDescent="0.2">
      <c r="B342" s="18">
        <v>10570028</v>
      </c>
      <c r="C342" s="18"/>
      <c r="D342" s="18"/>
      <c r="E342" s="78">
        <v>85000</v>
      </c>
      <c r="F342" s="79">
        <v>0</v>
      </c>
      <c r="G342" s="18"/>
      <c r="H342" s="18"/>
      <c r="I342" s="18"/>
      <c r="J342" s="81">
        <v>85000</v>
      </c>
      <c r="K342" s="79">
        <v>0</v>
      </c>
      <c r="L342" s="82">
        <v>0</v>
      </c>
      <c r="V342" s="91">
        <v>577</v>
      </c>
      <c r="W342" s="91">
        <v>0</v>
      </c>
      <c r="X342" s="91"/>
      <c r="Y342" s="91"/>
      <c r="Z342" s="91"/>
      <c r="AA342" s="63">
        <f t="shared" si="14"/>
        <v>577</v>
      </c>
      <c r="AC342">
        <v>20000</v>
      </c>
      <c r="AD342">
        <f t="shared" si="15"/>
        <v>19423</v>
      </c>
    </row>
    <row r="343" spans="2:30" hidden="1" x14ac:dyDescent="0.2">
      <c r="B343" s="18">
        <v>10570029</v>
      </c>
      <c r="C343" s="18"/>
      <c r="D343" s="18"/>
      <c r="E343" s="78">
        <v>85000</v>
      </c>
      <c r="F343" s="79">
        <v>0</v>
      </c>
      <c r="G343" s="18"/>
      <c r="H343" s="18"/>
      <c r="I343" s="18"/>
      <c r="J343" s="81">
        <v>85000</v>
      </c>
      <c r="K343" s="79">
        <v>0</v>
      </c>
      <c r="L343" s="82">
        <v>0</v>
      </c>
      <c r="V343" s="91">
        <v>945</v>
      </c>
      <c r="W343" s="91">
        <v>0</v>
      </c>
      <c r="X343" s="91"/>
      <c r="Y343" s="91"/>
      <c r="Z343" s="91"/>
      <c r="AA343" s="63">
        <f t="shared" si="14"/>
        <v>945</v>
      </c>
      <c r="AC343">
        <v>20000</v>
      </c>
      <c r="AD343">
        <f t="shared" si="15"/>
        <v>19055</v>
      </c>
    </row>
    <row r="344" spans="2:30" hidden="1" x14ac:dyDescent="0.2">
      <c r="B344" s="18">
        <v>10570031</v>
      </c>
      <c r="C344" s="18"/>
      <c r="D344" s="18"/>
      <c r="E344" s="78">
        <v>85000</v>
      </c>
      <c r="F344" s="79">
        <v>10000</v>
      </c>
      <c r="G344" s="18"/>
      <c r="H344" s="18"/>
      <c r="I344" s="18"/>
      <c r="J344" s="81">
        <v>75000</v>
      </c>
      <c r="K344" s="79">
        <v>0</v>
      </c>
      <c r="L344" s="82">
        <v>10000</v>
      </c>
      <c r="V344" s="91">
        <v>824</v>
      </c>
      <c r="W344" s="91">
        <v>2077</v>
      </c>
      <c r="X344" s="91"/>
      <c r="Y344" s="91"/>
      <c r="Z344" s="91"/>
      <c r="AA344" s="63">
        <f t="shared" si="14"/>
        <v>12901</v>
      </c>
      <c r="AC344">
        <v>20000</v>
      </c>
      <c r="AD344">
        <f t="shared" si="15"/>
        <v>7099</v>
      </c>
    </row>
    <row r="345" spans="2:30" hidden="1" x14ac:dyDescent="0.2">
      <c r="B345" s="18">
        <v>10540037</v>
      </c>
      <c r="C345" s="18"/>
      <c r="D345" s="18"/>
      <c r="E345" s="78">
        <v>110000</v>
      </c>
      <c r="F345" s="79">
        <v>10000</v>
      </c>
      <c r="G345" s="18"/>
      <c r="H345" s="18"/>
      <c r="I345" s="18"/>
      <c r="J345" s="81">
        <v>100000</v>
      </c>
      <c r="K345" s="79">
        <v>0</v>
      </c>
      <c r="L345" s="82">
        <v>10000</v>
      </c>
      <c r="V345" s="91">
        <v>1141</v>
      </c>
      <c r="W345" s="91">
        <v>2055</v>
      </c>
      <c r="X345" s="91"/>
      <c r="Y345" s="91"/>
      <c r="Z345" s="91"/>
      <c r="AA345" s="63">
        <f t="shared" si="14"/>
        <v>13196</v>
      </c>
      <c r="AC345">
        <v>20000</v>
      </c>
      <c r="AD345">
        <f t="shared" si="15"/>
        <v>6804</v>
      </c>
    </row>
    <row r="346" spans="2:30" hidden="1" x14ac:dyDescent="0.2">
      <c r="B346" s="18">
        <v>10060126</v>
      </c>
      <c r="C346" s="18"/>
      <c r="D346" s="18"/>
      <c r="E346" s="78">
        <v>85000</v>
      </c>
      <c r="F346" s="79">
        <v>10000</v>
      </c>
      <c r="G346" s="18"/>
      <c r="H346" s="18"/>
      <c r="I346" s="18"/>
      <c r="J346" s="81">
        <v>75000</v>
      </c>
      <c r="K346" s="79">
        <v>0</v>
      </c>
      <c r="L346" s="82">
        <v>10000</v>
      </c>
      <c r="V346" s="91">
        <v>2454</v>
      </c>
      <c r="W346" s="91">
        <v>2701</v>
      </c>
      <c r="X346" s="91"/>
      <c r="Y346" s="91"/>
      <c r="Z346" s="91"/>
      <c r="AA346" s="63">
        <f t="shared" si="14"/>
        <v>15155</v>
      </c>
      <c r="AC346">
        <v>20000</v>
      </c>
      <c r="AD346">
        <f t="shared" si="15"/>
        <v>4845</v>
      </c>
    </row>
    <row r="347" spans="2:30" hidden="1" x14ac:dyDescent="0.2">
      <c r="B347" s="18">
        <v>10090074</v>
      </c>
      <c r="C347" s="18"/>
      <c r="D347" s="18"/>
      <c r="E347" s="78">
        <v>85000</v>
      </c>
      <c r="F347" s="79">
        <v>0</v>
      </c>
      <c r="G347" s="18"/>
      <c r="H347" s="18"/>
      <c r="I347" s="18"/>
      <c r="J347" s="81">
        <v>85000</v>
      </c>
      <c r="K347" s="79">
        <v>0</v>
      </c>
      <c r="L347" s="82">
        <v>0</v>
      </c>
      <c r="V347" s="91">
        <v>379</v>
      </c>
      <c r="W347" s="91">
        <v>0</v>
      </c>
      <c r="X347" s="91"/>
      <c r="Y347" s="91"/>
      <c r="Z347" s="91"/>
      <c r="AA347" s="63">
        <f t="shared" si="14"/>
        <v>379</v>
      </c>
      <c r="AC347">
        <v>20000</v>
      </c>
      <c r="AD347">
        <f t="shared" si="15"/>
        <v>19621</v>
      </c>
    </row>
    <row r="348" spans="2:30" hidden="1" x14ac:dyDescent="0.2">
      <c r="B348" s="18">
        <v>10140194</v>
      </c>
      <c r="C348" s="18"/>
      <c r="D348" s="18"/>
      <c r="E348" s="78">
        <v>85000</v>
      </c>
      <c r="F348" s="79">
        <v>10000</v>
      </c>
      <c r="G348" s="18"/>
      <c r="H348" s="18"/>
      <c r="I348" s="18"/>
      <c r="J348" s="81">
        <v>75000</v>
      </c>
      <c r="K348" s="79">
        <v>0</v>
      </c>
      <c r="L348" s="82">
        <v>10000</v>
      </c>
      <c r="V348" s="91">
        <v>264</v>
      </c>
      <c r="W348" s="91">
        <v>1887</v>
      </c>
      <c r="X348" s="91"/>
      <c r="Y348" s="91"/>
      <c r="Z348" s="91"/>
      <c r="AA348" s="63">
        <f t="shared" si="14"/>
        <v>12151</v>
      </c>
      <c r="AC348">
        <v>20000</v>
      </c>
      <c r="AD348">
        <f t="shared" si="15"/>
        <v>7849</v>
      </c>
    </row>
    <row r="349" spans="2:30" hidden="1" x14ac:dyDescent="0.2">
      <c r="B349" s="18">
        <v>10140197</v>
      </c>
      <c r="C349" s="18"/>
      <c r="D349" s="18"/>
      <c r="E349" s="78">
        <v>85000</v>
      </c>
      <c r="F349" s="79">
        <v>0</v>
      </c>
      <c r="G349" s="18"/>
      <c r="H349" s="18"/>
      <c r="I349" s="18"/>
      <c r="J349" s="81">
        <v>85000</v>
      </c>
      <c r="K349" s="79">
        <v>0</v>
      </c>
      <c r="L349" s="82">
        <v>0</v>
      </c>
      <c r="V349" s="91">
        <v>257</v>
      </c>
      <c r="W349" s="91">
        <v>0</v>
      </c>
      <c r="X349" s="91"/>
      <c r="Y349" s="91"/>
      <c r="Z349" s="91"/>
      <c r="AA349" s="63">
        <f t="shared" si="14"/>
        <v>257</v>
      </c>
      <c r="AC349">
        <v>20000</v>
      </c>
      <c r="AD349">
        <f t="shared" si="15"/>
        <v>19743</v>
      </c>
    </row>
    <row r="350" spans="2:30" hidden="1" x14ac:dyDescent="0.2">
      <c r="B350" s="18">
        <v>10060116</v>
      </c>
      <c r="C350" s="18"/>
      <c r="D350" s="18"/>
      <c r="E350" s="78">
        <v>110000</v>
      </c>
      <c r="F350" s="79">
        <v>25000</v>
      </c>
      <c r="G350" s="18"/>
      <c r="H350" s="18"/>
      <c r="I350" s="18"/>
      <c r="J350" s="81">
        <v>85000</v>
      </c>
      <c r="K350" s="79">
        <v>5000</v>
      </c>
      <c r="L350" s="82">
        <v>20000</v>
      </c>
      <c r="T350" s="91">
        <v>0</v>
      </c>
      <c r="W350" s="91">
        <v>0</v>
      </c>
      <c r="X350" s="91"/>
      <c r="Y350" s="91"/>
      <c r="Z350" s="91"/>
      <c r="AA350" s="63">
        <f t="shared" ref="AA350:AA354" si="16">SUM(L350:W350)</f>
        <v>20000</v>
      </c>
      <c r="AC350">
        <v>20000</v>
      </c>
      <c r="AD350">
        <f t="shared" ref="AD350:AD356" si="17">AC350-AA350</f>
        <v>0</v>
      </c>
    </row>
    <row r="351" spans="2:30" hidden="1" x14ac:dyDescent="0.2">
      <c r="B351" s="18">
        <v>10120116</v>
      </c>
      <c r="C351" s="18"/>
      <c r="D351" s="18"/>
      <c r="E351" s="78">
        <v>85000</v>
      </c>
      <c r="F351" s="79">
        <v>10000</v>
      </c>
      <c r="G351" s="18"/>
      <c r="H351" s="18"/>
      <c r="I351" s="18"/>
      <c r="J351" s="81">
        <v>75000</v>
      </c>
      <c r="K351" s="79">
        <v>0</v>
      </c>
      <c r="L351" s="82">
        <v>10000</v>
      </c>
      <c r="W351" s="91">
        <v>10000</v>
      </c>
      <c r="X351" s="101"/>
      <c r="Y351" s="101"/>
      <c r="Z351" s="101"/>
      <c r="AA351" s="63">
        <f t="shared" si="16"/>
        <v>20000</v>
      </c>
      <c r="AC351">
        <v>20000</v>
      </c>
      <c r="AD351">
        <f t="shared" si="17"/>
        <v>0</v>
      </c>
    </row>
    <row r="352" spans="2:30" hidden="1" x14ac:dyDescent="0.2">
      <c r="B352" s="18">
        <v>10140191</v>
      </c>
      <c r="C352" s="18"/>
      <c r="D352" s="18"/>
      <c r="E352" s="78">
        <v>110000</v>
      </c>
      <c r="F352" s="79">
        <v>10000</v>
      </c>
      <c r="G352" s="18"/>
      <c r="H352" s="18"/>
      <c r="I352" s="18"/>
      <c r="J352" s="81">
        <v>100000</v>
      </c>
      <c r="K352" s="79">
        <v>0</v>
      </c>
      <c r="L352" s="82">
        <v>10000</v>
      </c>
      <c r="W352" s="91">
        <v>920</v>
      </c>
      <c r="X352" s="91"/>
      <c r="Y352" s="91"/>
      <c r="Z352" s="91"/>
      <c r="AA352" s="63">
        <f t="shared" si="16"/>
        <v>10920</v>
      </c>
      <c r="AC352">
        <v>20000</v>
      </c>
      <c r="AD352">
        <f t="shared" si="17"/>
        <v>9080</v>
      </c>
    </row>
    <row r="353" spans="2:31" hidden="1" x14ac:dyDescent="0.2">
      <c r="B353" s="18">
        <v>10120121</v>
      </c>
      <c r="C353" s="18"/>
      <c r="D353" s="18"/>
      <c r="E353" s="78">
        <v>85000</v>
      </c>
      <c r="F353" s="79">
        <v>10000</v>
      </c>
      <c r="G353" s="18"/>
      <c r="H353" s="18"/>
      <c r="I353" s="18"/>
      <c r="J353" s="81">
        <v>75000</v>
      </c>
      <c r="K353" s="79">
        <v>0</v>
      </c>
      <c r="L353" s="82">
        <v>10000</v>
      </c>
      <c r="W353" s="91">
        <v>397</v>
      </c>
      <c r="X353" s="101">
        <v>1778</v>
      </c>
      <c r="Y353" s="101"/>
      <c r="Z353" s="101"/>
      <c r="AA353" s="63">
        <f>SUM(L353:X353)</f>
        <v>12175</v>
      </c>
      <c r="AC353">
        <v>20000</v>
      </c>
      <c r="AD353">
        <f t="shared" si="17"/>
        <v>7825</v>
      </c>
    </row>
    <row r="354" spans="2:31" hidden="1" x14ac:dyDescent="0.2">
      <c r="B354" s="18">
        <v>10070078</v>
      </c>
      <c r="C354" s="18"/>
      <c r="D354" s="18"/>
      <c r="E354" s="78">
        <v>85000</v>
      </c>
      <c r="F354" s="79">
        <v>5000</v>
      </c>
      <c r="G354" s="18"/>
      <c r="H354" s="18"/>
      <c r="I354" s="18"/>
      <c r="J354" s="81">
        <v>80000</v>
      </c>
      <c r="K354" s="79">
        <v>0</v>
      </c>
      <c r="L354" s="82">
        <v>5000</v>
      </c>
      <c r="W354" s="91">
        <v>1230</v>
      </c>
      <c r="X354" s="91"/>
      <c r="Y354" s="91"/>
      <c r="Z354" s="91"/>
      <c r="AA354" s="63">
        <f t="shared" si="16"/>
        <v>6230</v>
      </c>
      <c r="AC354">
        <v>20000</v>
      </c>
      <c r="AD354">
        <f t="shared" si="17"/>
        <v>13770</v>
      </c>
    </row>
    <row r="355" spans="2:31" hidden="1" x14ac:dyDescent="0.2">
      <c r="B355" s="18">
        <v>10530102</v>
      </c>
      <c r="C355" s="18"/>
      <c r="D355" s="18"/>
      <c r="E355" s="78">
        <v>85000</v>
      </c>
      <c r="F355" s="79">
        <v>10000</v>
      </c>
      <c r="G355" s="18"/>
      <c r="H355" s="18"/>
      <c r="I355" s="18"/>
      <c r="J355" s="81">
        <v>75000</v>
      </c>
      <c r="K355" s="79">
        <v>0</v>
      </c>
      <c r="L355" s="82">
        <v>10000</v>
      </c>
      <c r="W355" s="91">
        <v>298</v>
      </c>
      <c r="X355" s="101">
        <v>1736</v>
      </c>
      <c r="Y355" s="101"/>
      <c r="Z355" s="101"/>
      <c r="AA355" s="63">
        <f>SUM(L355:X355)</f>
        <v>12034</v>
      </c>
      <c r="AC355">
        <v>20000</v>
      </c>
      <c r="AD355">
        <f t="shared" si="17"/>
        <v>7966</v>
      </c>
    </row>
    <row r="356" spans="2:31" hidden="1" x14ac:dyDescent="0.2">
      <c r="B356" s="18">
        <v>10120122</v>
      </c>
      <c r="C356" s="18"/>
      <c r="D356" s="18"/>
      <c r="E356" s="78">
        <v>85000</v>
      </c>
      <c r="F356" s="79">
        <v>10000</v>
      </c>
      <c r="G356" s="18"/>
      <c r="H356" s="18"/>
      <c r="I356" s="18"/>
      <c r="J356" s="81">
        <v>75000</v>
      </c>
      <c r="K356" s="79">
        <v>0</v>
      </c>
      <c r="L356" s="82">
        <v>10000</v>
      </c>
      <c r="W356" s="91">
        <v>611</v>
      </c>
      <c r="X356" s="101">
        <v>9389</v>
      </c>
      <c r="Y356" s="101"/>
      <c r="Z356" s="101"/>
      <c r="AA356" s="63">
        <f>SUM(L356:X356)</f>
        <v>20000</v>
      </c>
      <c r="AC356">
        <v>20000</v>
      </c>
      <c r="AD356">
        <f t="shared" si="17"/>
        <v>0</v>
      </c>
      <c r="AE356">
        <v>571</v>
      </c>
    </row>
    <row r="357" spans="2:31" hidden="1" x14ac:dyDescent="0.2">
      <c r="B357" s="18">
        <v>10070077</v>
      </c>
      <c r="C357" s="18"/>
      <c r="D357" s="18"/>
      <c r="E357" s="78">
        <v>85000</v>
      </c>
      <c r="F357" s="79">
        <v>5000</v>
      </c>
      <c r="G357" s="18"/>
      <c r="H357" s="18"/>
      <c r="I357" s="18"/>
      <c r="J357" s="81">
        <v>80000</v>
      </c>
      <c r="K357" s="79">
        <v>0</v>
      </c>
      <c r="L357" s="82">
        <v>5000</v>
      </c>
      <c r="W357" s="91">
        <v>431</v>
      </c>
      <c r="X357" s="91"/>
      <c r="Y357" s="91"/>
      <c r="Z357" s="91"/>
      <c r="AA357" s="63">
        <f>SUM(L357:W357)</f>
        <v>5431</v>
      </c>
      <c r="AC357">
        <v>20000</v>
      </c>
      <c r="AD357">
        <f t="shared" ref="AD357:AD365" si="18">AC357-AA357</f>
        <v>14569</v>
      </c>
    </row>
    <row r="358" spans="2:31" hidden="1" x14ac:dyDescent="0.2">
      <c r="B358" s="18">
        <v>10550004</v>
      </c>
      <c r="C358" s="18"/>
      <c r="D358" s="18"/>
      <c r="E358" s="78">
        <v>85000</v>
      </c>
      <c r="F358" s="79">
        <v>15000</v>
      </c>
      <c r="G358" s="18"/>
      <c r="H358" s="18"/>
      <c r="I358" s="18"/>
      <c r="J358" s="81">
        <v>70000</v>
      </c>
      <c r="K358" s="79">
        <v>0</v>
      </c>
      <c r="L358" s="82">
        <v>15000</v>
      </c>
      <c r="W358" s="91">
        <v>47</v>
      </c>
      <c r="X358" s="91"/>
      <c r="Y358" s="91"/>
      <c r="Z358" s="91"/>
      <c r="AA358" s="63">
        <f>SUM(L358:W358)</f>
        <v>15047</v>
      </c>
      <c r="AC358">
        <v>20000</v>
      </c>
      <c r="AD358">
        <f t="shared" si="18"/>
        <v>4953</v>
      </c>
    </row>
    <row r="359" spans="2:31" hidden="1" x14ac:dyDescent="0.2">
      <c r="B359" s="18">
        <v>10560022</v>
      </c>
      <c r="C359" s="18"/>
      <c r="D359" s="18"/>
      <c r="E359" s="78">
        <v>85000</v>
      </c>
      <c r="F359" s="79">
        <v>10000</v>
      </c>
      <c r="G359" s="18"/>
      <c r="H359" s="18"/>
      <c r="I359" s="18"/>
      <c r="J359" s="81">
        <v>75000</v>
      </c>
      <c r="K359" s="79">
        <v>0</v>
      </c>
      <c r="L359" s="82">
        <v>10000</v>
      </c>
      <c r="W359" s="91">
        <v>2455</v>
      </c>
      <c r="X359" s="91"/>
      <c r="Y359" s="91"/>
      <c r="Z359" s="91"/>
      <c r="AA359" s="63">
        <f>SUM(L359:W359)</f>
        <v>12455</v>
      </c>
      <c r="AC359">
        <v>20000</v>
      </c>
      <c r="AD359">
        <f t="shared" si="18"/>
        <v>7545</v>
      </c>
    </row>
    <row r="360" spans="2:31" x14ac:dyDescent="0.2">
      <c r="B360" s="18">
        <v>10560026</v>
      </c>
      <c r="C360" s="18"/>
      <c r="D360" s="18"/>
      <c r="E360" s="78">
        <v>85000</v>
      </c>
      <c r="F360" s="79">
        <v>10000</v>
      </c>
      <c r="G360" s="18"/>
      <c r="H360" s="18"/>
      <c r="I360" s="18"/>
      <c r="J360" s="81">
        <v>75000</v>
      </c>
      <c r="K360" s="79">
        <v>0</v>
      </c>
      <c r="L360" s="82">
        <v>10000</v>
      </c>
      <c r="W360" s="91">
        <v>1333</v>
      </c>
      <c r="X360" s="91"/>
      <c r="Y360" s="91">
        <v>6806</v>
      </c>
      <c r="Z360" s="91">
        <v>1861</v>
      </c>
      <c r="AA360" s="63">
        <f>SUM(L360:Z360)</f>
        <v>20000</v>
      </c>
      <c r="AC360">
        <v>20000</v>
      </c>
      <c r="AD360">
        <f t="shared" si="18"/>
        <v>0</v>
      </c>
    </row>
    <row r="361" spans="2:31" x14ac:dyDescent="0.2">
      <c r="B361" s="18">
        <v>10590001</v>
      </c>
      <c r="C361" s="18"/>
      <c r="D361" s="18"/>
      <c r="E361" s="78">
        <v>85000</v>
      </c>
      <c r="F361" s="79">
        <v>10000</v>
      </c>
      <c r="G361" s="18"/>
      <c r="H361" s="18"/>
      <c r="I361" s="18"/>
      <c r="J361" s="81">
        <v>75000</v>
      </c>
      <c r="K361" s="79">
        <v>0</v>
      </c>
      <c r="L361" s="82">
        <v>10000</v>
      </c>
      <c r="W361" s="91">
        <v>7620</v>
      </c>
      <c r="X361" s="91">
        <v>2380</v>
      </c>
      <c r="Y361" s="91"/>
      <c r="Z361" s="91"/>
      <c r="AA361" s="63">
        <f>SUM(L361:X361)</f>
        <v>20000</v>
      </c>
      <c r="AC361">
        <v>20000</v>
      </c>
      <c r="AD361">
        <f t="shared" si="18"/>
        <v>0</v>
      </c>
    </row>
    <row r="362" spans="2:31" hidden="1" x14ac:dyDescent="0.2">
      <c r="B362" s="18">
        <v>10590002</v>
      </c>
      <c r="C362" s="18"/>
      <c r="D362" s="18"/>
      <c r="E362" s="78">
        <v>85000</v>
      </c>
      <c r="F362" s="79">
        <v>1000</v>
      </c>
      <c r="G362" s="18"/>
      <c r="H362" s="18"/>
      <c r="I362" s="18"/>
      <c r="J362" s="81">
        <v>84000</v>
      </c>
      <c r="K362" s="79">
        <v>0</v>
      </c>
      <c r="L362" s="82">
        <v>1000</v>
      </c>
      <c r="W362" s="91">
        <v>533</v>
      </c>
      <c r="X362" s="91"/>
      <c r="Y362" s="91"/>
      <c r="Z362" s="91"/>
      <c r="AA362" s="63">
        <f>SUM(L362:W362)</f>
        <v>1533</v>
      </c>
      <c r="AC362">
        <v>20000</v>
      </c>
      <c r="AD362">
        <f t="shared" si="18"/>
        <v>18467</v>
      </c>
    </row>
    <row r="363" spans="2:31" hidden="1" x14ac:dyDescent="0.2">
      <c r="B363" s="18">
        <v>10590003</v>
      </c>
      <c r="C363" s="18"/>
      <c r="D363" s="18"/>
      <c r="E363" s="78">
        <v>85000</v>
      </c>
      <c r="F363" s="79">
        <v>10000</v>
      </c>
      <c r="G363" s="18"/>
      <c r="H363" s="18"/>
      <c r="I363" s="18"/>
      <c r="J363" s="81">
        <v>75000</v>
      </c>
      <c r="K363" s="79">
        <v>0</v>
      </c>
      <c r="L363" s="82">
        <v>10000</v>
      </c>
      <c r="W363" s="91">
        <v>1038</v>
      </c>
      <c r="X363" s="91"/>
      <c r="Y363" s="91"/>
      <c r="Z363" s="91"/>
      <c r="AA363" s="63">
        <f>SUM(L363:W363)</f>
        <v>11038</v>
      </c>
      <c r="AC363">
        <v>20000</v>
      </c>
      <c r="AD363">
        <f t="shared" si="18"/>
        <v>8962</v>
      </c>
    </row>
    <row r="364" spans="2:31" x14ac:dyDescent="0.2">
      <c r="B364" s="18">
        <v>10590004</v>
      </c>
      <c r="C364" s="18"/>
      <c r="D364" s="18"/>
      <c r="E364" s="78">
        <v>85000</v>
      </c>
      <c r="F364" s="79">
        <v>15000</v>
      </c>
      <c r="G364" s="18"/>
      <c r="H364" s="18"/>
      <c r="I364" s="18"/>
      <c r="J364" s="81">
        <v>70000</v>
      </c>
      <c r="K364" s="79">
        <v>0</v>
      </c>
      <c r="L364" s="82">
        <v>15000</v>
      </c>
      <c r="W364" s="91">
        <v>1809</v>
      </c>
      <c r="X364" s="91">
        <v>3191</v>
      </c>
      <c r="Y364" s="91"/>
      <c r="Z364" s="91"/>
      <c r="AA364" s="63">
        <f>SUM(L364:X364)</f>
        <v>20000</v>
      </c>
      <c r="AC364">
        <v>20000</v>
      </c>
      <c r="AD364">
        <f t="shared" si="18"/>
        <v>0</v>
      </c>
    </row>
    <row r="365" spans="2:31" x14ac:dyDescent="0.2">
      <c r="B365" s="18">
        <v>10590006</v>
      </c>
      <c r="C365" s="18"/>
      <c r="D365" s="18"/>
      <c r="E365" s="78">
        <v>85000</v>
      </c>
      <c r="F365" s="79">
        <v>15000</v>
      </c>
      <c r="G365" s="18"/>
      <c r="H365" s="18"/>
      <c r="I365" s="18"/>
      <c r="J365" s="81">
        <v>70000</v>
      </c>
      <c r="K365" s="79">
        <v>0</v>
      </c>
      <c r="L365" s="82">
        <v>15000</v>
      </c>
      <c r="W365" s="91">
        <v>1188</v>
      </c>
      <c r="X365" s="91">
        <v>3399</v>
      </c>
      <c r="Y365" s="91">
        <v>413</v>
      </c>
      <c r="Z365" s="91"/>
      <c r="AA365" s="63">
        <f>SUM(L365:Y365)</f>
        <v>20000</v>
      </c>
      <c r="AC365">
        <v>20000</v>
      </c>
      <c r="AD365">
        <f t="shared" si="18"/>
        <v>0</v>
      </c>
    </row>
    <row r="366" spans="2:31" hidden="1" x14ac:dyDescent="0.2">
      <c r="B366" s="18">
        <v>10560003</v>
      </c>
      <c r="C366" s="18"/>
      <c r="D366" s="18"/>
      <c r="E366" s="78">
        <v>110000</v>
      </c>
      <c r="F366" s="79">
        <v>0</v>
      </c>
      <c r="G366" s="18"/>
      <c r="H366" s="18"/>
      <c r="I366" s="18"/>
      <c r="J366" s="81">
        <v>110000</v>
      </c>
      <c r="K366" s="79">
        <v>0</v>
      </c>
      <c r="L366" s="82">
        <v>0</v>
      </c>
      <c r="R366">
        <v>125</v>
      </c>
      <c r="AA366" s="63">
        <f t="shared" ref="AA366" si="19">SUM(L366:W366)</f>
        <v>125</v>
      </c>
      <c r="AC366">
        <v>20000</v>
      </c>
      <c r="AD366">
        <f t="shared" ref="AD366" si="20">AC366-AA366</f>
        <v>19875</v>
      </c>
    </row>
    <row r="367" spans="2:31" hidden="1" x14ac:dyDescent="0.2">
      <c r="B367" s="18">
        <v>10110148</v>
      </c>
      <c r="C367" s="18"/>
      <c r="D367" s="18"/>
      <c r="E367" s="78">
        <v>110000</v>
      </c>
      <c r="F367" s="79">
        <v>29813.343800000002</v>
      </c>
      <c r="G367" s="18"/>
      <c r="H367" s="18"/>
      <c r="I367" s="18"/>
      <c r="J367" s="81">
        <v>80186.656199999998</v>
      </c>
      <c r="K367" s="79">
        <v>9813.3438000000006</v>
      </c>
      <c r="L367" s="82">
        <v>20000</v>
      </c>
      <c r="T367" s="91">
        <v>0</v>
      </c>
      <c r="U367" s="91">
        <v>0</v>
      </c>
      <c r="AA367" s="63">
        <f t="shared" ref="AA367:AA369" si="21">SUM(L367:W367)</f>
        <v>20000</v>
      </c>
      <c r="AC367">
        <v>20000</v>
      </c>
      <c r="AD367">
        <f t="shared" ref="AD367:AD368" si="22">AC367-AA367</f>
        <v>0</v>
      </c>
    </row>
    <row r="368" spans="2:31" hidden="1" x14ac:dyDescent="0.2">
      <c r="B368" s="18">
        <v>10020080</v>
      </c>
      <c r="C368" s="18"/>
      <c r="D368" s="18"/>
      <c r="E368" s="78">
        <v>110000</v>
      </c>
      <c r="F368" s="79">
        <v>15000</v>
      </c>
      <c r="G368" s="18"/>
      <c r="H368" s="18"/>
      <c r="I368" s="18"/>
      <c r="J368" s="81">
        <v>95000</v>
      </c>
      <c r="K368" s="79">
        <v>5000</v>
      </c>
      <c r="L368" s="82">
        <v>10000</v>
      </c>
      <c r="T368" s="91">
        <v>489</v>
      </c>
      <c r="AA368" s="63">
        <f t="shared" si="21"/>
        <v>10489</v>
      </c>
      <c r="AC368">
        <v>20000</v>
      </c>
      <c r="AD368">
        <f t="shared" si="22"/>
        <v>9511</v>
      </c>
    </row>
    <row r="369" spans="2:30" hidden="1" x14ac:dyDescent="0.2">
      <c r="B369" s="18">
        <v>10140187</v>
      </c>
      <c r="C369" s="18"/>
      <c r="D369" s="18"/>
      <c r="E369" s="78">
        <v>110000</v>
      </c>
      <c r="F369" s="79">
        <v>0</v>
      </c>
      <c r="G369" s="18"/>
      <c r="H369" s="18"/>
      <c r="I369" s="18"/>
      <c r="J369" s="81">
        <v>110000</v>
      </c>
      <c r="K369" s="79">
        <v>0</v>
      </c>
      <c r="L369" s="82">
        <v>0</v>
      </c>
      <c r="U369" s="91">
        <v>212</v>
      </c>
      <c r="AA369" s="63">
        <f t="shared" si="21"/>
        <v>212</v>
      </c>
      <c r="AC369">
        <v>20000</v>
      </c>
      <c r="AD369">
        <f t="shared" ref="AD369" si="23">AC369-AA369</f>
        <v>19788</v>
      </c>
    </row>
    <row r="371" spans="2:30" x14ac:dyDescent="0.2">
      <c r="N371" s="92">
        <f>SUM(N3:N304)</f>
        <v>104073</v>
      </c>
      <c r="O371" s="92">
        <f>SUM(O3:O304)</f>
        <v>48660</v>
      </c>
      <c r="P371" s="92">
        <f>SUM(P3:P304)</f>
        <v>96558</v>
      </c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3" spans="2:30" x14ac:dyDescent="0.2">
      <c r="N373" s="16" t="s">
        <v>3567</v>
      </c>
      <c r="O373" s="16" t="s">
        <v>3568</v>
      </c>
      <c r="P373" s="16" t="s">
        <v>3569</v>
      </c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2:30" x14ac:dyDescent="0.2">
      <c r="N374" s="16">
        <v>104073</v>
      </c>
      <c r="O374" s="16">
        <v>46640</v>
      </c>
      <c r="P374" s="16">
        <v>101285</v>
      </c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81" spans="2:30" x14ac:dyDescent="0.2">
      <c r="Q381" s="76" t="s">
        <v>3419</v>
      </c>
      <c r="R381" s="102" t="s">
        <v>3581</v>
      </c>
      <c r="S381" s="111">
        <v>282</v>
      </c>
      <c r="T381">
        <v>282</v>
      </c>
      <c r="AA381" s="104">
        <f t="shared" ref="AA381:AA386" si="24">S381-T381</f>
        <v>0</v>
      </c>
    </row>
    <row r="382" spans="2:30" x14ac:dyDescent="0.2">
      <c r="Q382" s="76" t="s">
        <v>3419</v>
      </c>
      <c r="R382" s="102" t="s">
        <v>3580</v>
      </c>
      <c r="S382" s="103">
        <v>1861</v>
      </c>
      <c r="T382">
        <v>3546</v>
      </c>
      <c r="AA382" s="104">
        <f t="shared" si="24"/>
        <v>-1685</v>
      </c>
    </row>
    <row r="383" spans="2:30" x14ac:dyDescent="0.2">
      <c r="Q383" s="76" t="s">
        <v>3419</v>
      </c>
      <c r="R383" s="102" t="s">
        <v>3579</v>
      </c>
      <c r="S383" s="103">
        <v>1861</v>
      </c>
      <c r="T383">
        <v>1861</v>
      </c>
      <c r="U383" s="114">
        <v>10060130</v>
      </c>
      <c r="V383" s="114"/>
      <c r="AA383" s="104">
        <f t="shared" si="24"/>
        <v>0</v>
      </c>
    </row>
    <row r="384" spans="2:30" x14ac:dyDescent="0.2">
      <c r="Q384" s="76" t="s">
        <v>3419</v>
      </c>
      <c r="R384" s="102" t="s">
        <v>3578</v>
      </c>
      <c r="S384" s="103">
        <v>2398.0657999999999</v>
      </c>
      <c r="T384">
        <v>2398</v>
      </c>
      <c r="U384" s="18" t="s">
        <v>3603</v>
      </c>
      <c r="V384" s="18">
        <v>417</v>
      </c>
      <c r="AA384" s="91">
        <f t="shared" si="24"/>
        <v>6.5799999999853753E-2</v>
      </c>
    </row>
    <row r="385" spans="17:27" x14ac:dyDescent="0.2">
      <c r="Q385" s="76" t="s">
        <v>3419</v>
      </c>
      <c r="R385" s="102" t="s">
        <v>3577</v>
      </c>
      <c r="S385" s="103">
        <v>3565.9299999999994</v>
      </c>
      <c r="T385">
        <v>3566</v>
      </c>
      <c r="U385" s="18" t="s">
        <v>3604</v>
      </c>
      <c r="V385" s="18">
        <v>1278</v>
      </c>
      <c r="AA385" s="91">
        <f t="shared" si="24"/>
        <v>-7.0000000000618456E-2</v>
      </c>
    </row>
    <row r="386" spans="17:27" x14ac:dyDescent="0.2">
      <c r="Q386" s="76" t="s">
        <v>3419</v>
      </c>
      <c r="R386" s="102" t="s">
        <v>3576</v>
      </c>
      <c r="S386" s="103">
        <v>3084.2468000000008</v>
      </c>
      <c r="T386">
        <v>3084</v>
      </c>
      <c r="U386" s="18" t="s">
        <v>3567</v>
      </c>
      <c r="V386" s="18">
        <v>2141</v>
      </c>
      <c r="AA386" s="91">
        <f t="shared" si="24"/>
        <v>0.24680000000080327</v>
      </c>
    </row>
    <row r="387" spans="17:27" x14ac:dyDescent="0.2">
      <c r="S387">
        <f>SUBTOTAL(9,S381:S386)</f>
        <v>13052.242600000001</v>
      </c>
      <c r="U387" s="18" t="s">
        <v>3568</v>
      </c>
      <c r="V387" s="18">
        <v>2055</v>
      </c>
    </row>
    <row r="388" spans="17:27" x14ac:dyDescent="0.2">
      <c r="U388" s="18" t="s">
        <v>3569</v>
      </c>
      <c r="V388" s="18">
        <v>4531</v>
      </c>
    </row>
    <row r="389" spans="17:27" x14ac:dyDescent="0.2">
      <c r="Q389" s="83" t="s">
        <v>2793</v>
      </c>
      <c r="R389" s="102" t="s">
        <v>3576</v>
      </c>
      <c r="S389" s="103">
        <v>1861</v>
      </c>
      <c r="U389" s="18"/>
      <c r="V389" s="18">
        <f>SUBTOTAL(9,V384:V388)</f>
        <v>10422</v>
      </c>
    </row>
    <row r="390" spans="17:27" x14ac:dyDescent="0.2">
      <c r="Q390" s="83" t="s">
        <v>2793</v>
      </c>
      <c r="R390" s="102" t="s">
        <v>3577</v>
      </c>
      <c r="S390" s="103">
        <v>1550</v>
      </c>
    </row>
    <row r="391" spans="17:27" x14ac:dyDescent="0.2">
      <c r="Q391" s="83" t="s">
        <v>2793</v>
      </c>
      <c r="R391" s="102" t="s">
        <v>3578</v>
      </c>
      <c r="S391" s="103">
        <v>1141</v>
      </c>
    </row>
    <row r="392" spans="17:27" x14ac:dyDescent="0.2">
      <c r="Q392" s="83" t="s">
        <v>2793</v>
      </c>
      <c r="R392" s="102" t="s">
        <v>3579</v>
      </c>
      <c r="S392" s="103">
        <v>999</v>
      </c>
    </row>
    <row r="393" spans="17:27" x14ac:dyDescent="0.2">
      <c r="Q393" s="83" t="s">
        <v>2793</v>
      </c>
      <c r="R393" s="102" t="s">
        <v>3580</v>
      </c>
      <c r="S393" s="103">
        <v>1313</v>
      </c>
    </row>
    <row r="394" spans="17:27" x14ac:dyDescent="0.2">
      <c r="Q394" s="83" t="s">
        <v>2793</v>
      </c>
      <c r="R394" s="102" t="s">
        <v>3581</v>
      </c>
      <c r="S394" s="103">
        <v>1156</v>
      </c>
    </row>
    <row r="395" spans="17:27" x14ac:dyDescent="0.2">
      <c r="Q395" s="83" t="s">
        <v>2793</v>
      </c>
      <c r="R395" s="105" t="s">
        <v>3583</v>
      </c>
      <c r="S395" s="103">
        <v>1154</v>
      </c>
    </row>
    <row r="397" spans="17:27" x14ac:dyDescent="0.2">
      <c r="R397" s="102" t="s">
        <v>3576</v>
      </c>
      <c r="S397" s="103">
        <v>1861</v>
      </c>
    </row>
    <row r="398" spans="17:27" x14ac:dyDescent="0.2">
      <c r="R398" s="102" t="s">
        <v>3577</v>
      </c>
      <c r="S398" s="103">
        <v>1873.2351999999998</v>
      </c>
    </row>
    <row r="399" spans="17:27" x14ac:dyDescent="0.2">
      <c r="R399" s="102" t="s">
        <v>3578</v>
      </c>
      <c r="S399" s="103">
        <v>436</v>
      </c>
    </row>
    <row r="400" spans="17:27" x14ac:dyDescent="0.2">
      <c r="R400" s="102" t="s">
        <v>3579</v>
      </c>
      <c r="S400" s="103">
        <v>1361</v>
      </c>
    </row>
  </sheetData>
  <autoFilter ref="B2:AB369" xr:uid="{EF954932-997E-4808-8A2F-F209CAC5CE34}">
    <filterColumn colId="0">
      <filters>
        <filter val="10530074"/>
        <filter val="10530081"/>
        <filter val="10560026"/>
        <filter val="10590001"/>
        <filter val="10590004"/>
        <filter val="10590006"/>
      </filters>
    </filterColumn>
  </autoFilter>
  <mergeCells count="2">
    <mergeCell ref="N1:P1"/>
    <mergeCell ref="U383:V383"/>
  </mergeCells>
  <conditionalFormatting sqref="B3:B303">
    <cfRule type="duplicateValues" dxfId="5" priority="7"/>
  </conditionalFormatting>
  <conditionalFormatting sqref="B304:B316">
    <cfRule type="duplicateValues" dxfId="4" priority="5"/>
  </conditionalFormatting>
  <conditionalFormatting sqref="J3:J369">
    <cfRule type="cellIs" dxfId="3" priority="6" operator="lessThan">
      <formula>1</formula>
    </cfRule>
  </conditionalFormatting>
  <conditionalFormatting sqref="Q381:Q386">
    <cfRule type="duplicateValues" dxfId="2" priority="3"/>
  </conditionalFormatting>
  <conditionalFormatting sqref="Q389:Q395">
    <cfRule type="duplicateValues" dxfId="1" priority="2"/>
  </conditionalFormatting>
  <conditionalFormatting sqref="AD14:AD369">
    <cfRule type="cellIs" dxfId="0" priority="1" operator="lessThan">
      <formula>-1</formula>
    </cfRule>
  </conditionalFormatting>
  <dataValidations disablePrompts="1" count="2">
    <dataValidation type="custom" allowBlank="1" showDropDown="1" sqref="H3:I262 H263:H303 I263:I266 I268:I303 H304:I316" xr:uid="{593F9330-F680-42B2-87A0-D1157C19FCB7}">
      <formula1>OR(NOT(ISERROR(DATEVALUE(H3))), AND(ISNUMBER(H3), LEFT(CELL("format", H3))="D"))</formula1>
    </dataValidation>
    <dataValidation allowBlank="1" showDropDown="1" sqref="B3:B6 B12:B13 B16:B21 B96:B123 B125:B134 B136:B147 B150:B262 B264:B280 B282:B303" xr:uid="{2F85171C-04FF-48F3-936D-AC25D32DBFB8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AA29-E44A-47CC-A277-481A86B66FDF}">
  <dimension ref="A1:M13"/>
  <sheetViews>
    <sheetView workbookViewId="0">
      <selection activeCell="C13" sqref="C13"/>
    </sheetView>
  </sheetViews>
  <sheetFormatPr defaultRowHeight="12.75" x14ac:dyDescent="0.2"/>
  <cols>
    <col min="6" max="6" width="9.5703125" bestFit="1" customWidth="1"/>
    <col min="7" max="7" width="53.28515625" bestFit="1" customWidth="1"/>
  </cols>
  <sheetData>
    <row r="1" spans="1:13" x14ac:dyDescent="0.2">
      <c r="A1" s="50" t="s">
        <v>2470</v>
      </c>
      <c r="B1" s="115" t="s">
        <v>2236</v>
      </c>
      <c r="C1" s="115"/>
      <c r="D1" s="51" t="s">
        <v>2474</v>
      </c>
      <c r="E1" s="50" t="s">
        <v>2475</v>
      </c>
      <c r="F1" s="52" t="s">
        <v>2476</v>
      </c>
    </row>
    <row r="2" spans="1:13" x14ac:dyDescent="0.2">
      <c r="A2" s="53" t="s">
        <v>2477</v>
      </c>
      <c r="B2" s="54"/>
      <c r="C2" s="54"/>
      <c r="D2" s="55"/>
      <c r="E2" s="53"/>
      <c r="F2" s="56" t="s">
        <v>2478</v>
      </c>
    </row>
    <row r="3" spans="1:13" x14ac:dyDescent="0.2">
      <c r="A3" s="53" t="s">
        <v>2479</v>
      </c>
      <c r="B3" s="54"/>
      <c r="C3" s="54"/>
      <c r="D3" s="55"/>
      <c r="E3" s="53"/>
      <c r="F3" s="56" t="s">
        <v>2480</v>
      </c>
    </row>
    <row r="4" spans="1:13" x14ac:dyDescent="0.2">
      <c r="A4" s="53" t="s">
        <v>2481</v>
      </c>
      <c r="B4" s="54"/>
      <c r="C4" s="54"/>
      <c r="D4" s="55"/>
      <c r="E4" s="53"/>
      <c r="F4" s="56" t="s">
        <v>2481</v>
      </c>
      <c r="G4" s="62" t="s">
        <v>2492</v>
      </c>
    </row>
    <row r="5" spans="1:13" x14ac:dyDescent="0.2">
      <c r="A5" s="57">
        <v>45412</v>
      </c>
      <c r="B5" s="58" t="s">
        <v>2482</v>
      </c>
      <c r="C5" s="59" t="s">
        <v>2483</v>
      </c>
      <c r="D5" s="60" t="s">
        <v>2484</v>
      </c>
      <c r="E5" s="53" t="s">
        <v>2485</v>
      </c>
      <c r="F5" s="61">
        <v>7335</v>
      </c>
    </row>
    <row r="6" spans="1:13" x14ac:dyDescent="0.2">
      <c r="A6" s="57">
        <v>45426</v>
      </c>
      <c r="B6" s="58" t="s">
        <v>2482</v>
      </c>
      <c r="C6" s="59" t="s">
        <v>2483</v>
      </c>
      <c r="D6" s="60" t="s">
        <v>2484</v>
      </c>
      <c r="E6" s="53" t="s">
        <v>2486</v>
      </c>
      <c r="F6" s="61">
        <v>4000</v>
      </c>
    </row>
    <row r="7" spans="1:13" x14ac:dyDescent="0.2">
      <c r="A7" s="57">
        <v>45429</v>
      </c>
      <c r="B7" s="58" t="s">
        <v>2482</v>
      </c>
      <c r="C7" s="59" t="s">
        <v>2483</v>
      </c>
      <c r="D7" s="60" t="s">
        <v>2484</v>
      </c>
      <c r="E7" s="53" t="s">
        <v>2487</v>
      </c>
      <c r="F7" s="61">
        <v>20000</v>
      </c>
    </row>
    <row r="8" spans="1:13" x14ac:dyDescent="0.2">
      <c r="A8" s="57">
        <v>45450</v>
      </c>
      <c r="B8" s="58" t="s">
        <v>2482</v>
      </c>
      <c r="C8" s="59" t="s">
        <v>2483</v>
      </c>
      <c r="D8" s="60" t="s">
        <v>2484</v>
      </c>
      <c r="E8" s="53" t="s">
        <v>2488</v>
      </c>
      <c r="F8" s="61">
        <v>20000</v>
      </c>
    </row>
    <row r="9" spans="1:13" x14ac:dyDescent="0.2">
      <c r="A9" s="57">
        <v>45461</v>
      </c>
      <c r="B9" s="58" t="s">
        <v>2482</v>
      </c>
      <c r="C9" s="59" t="s">
        <v>2483</v>
      </c>
      <c r="D9" s="60" t="s">
        <v>2484</v>
      </c>
      <c r="E9" s="53" t="s">
        <v>2489</v>
      </c>
      <c r="F9" s="61">
        <v>67008</v>
      </c>
      <c r="G9" t="s">
        <v>2533</v>
      </c>
    </row>
    <row r="10" spans="1:13" x14ac:dyDescent="0.2">
      <c r="A10" s="57">
        <v>45467</v>
      </c>
      <c r="B10" s="58" t="s">
        <v>2482</v>
      </c>
      <c r="C10" s="59" t="s">
        <v>2483</v>
      </c>
      <c r="D10" s="60" t="s">
        <v>2484</v>
      </c>
      <c r="E10" s="53" t="s">
        <v>2490</v>
      </c>
      <c r="F10" s="61">
        <v>13131</v>
      </c>
    </row>
    <row r="11" spans="1:13" x14ac:dyDescent="0.2">
      <c r="A11" s="57">
        <v>45467</v>
      </c>
      <c r="B11" s="58" t="s">
        <v>2482</v>
      </c>
      <c r="C11" s="59" t="s">
        <v>2483</v>
      </c>
      <c r="D11" s="60" t="s">
        <v>2484</v>
      </c>
      <c r="E11" s="53" t="s">
        <v>2491</v>
      </c>
      <c r="F11" s="61">
        <v>15573</v>
      </c>
    </row>
    <row r="12" spans="1:13" x14ac:dyDescent="0.2">
      <c r="A12" s="57"/>
      <c r="B12" s="58"/>
      <c r="C12" s="59"/>
      <c r="D12" s="60"/>
      <c r="E12" s="53"/>
      <c r="F12" s="61"/>
      <c r="L12">
        <v>8611</v>
      </c>
      <c r="M12" s="62" t="s">
        <v>2493</v>
      </c>
    </row>
    <row r="13" spans="1:13" x14ac:dyDescent="0.2">
      <c r="A13" s="48">
        <v>45520</v>
      </c>
      <c r="F13" s="61">
        <v>5000</v>
      </c>
      <c r="G13" t="s">
        <v>2530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5"/>
  <sheetViews>
    <sheetView workbookViewId="0">
      <selection activeCell="B12" sqref="B12"/>
    </sheetView>
  </sheetViews>
  <sheetFormatPr defaultColWidth="12.7109375" defaultRowHeight="15.75" customHeight="1" x14ac:dyDescent="0.2"/>
  <cols>
    <col min="5" max="5" width="10.28515625" bestFit="1" customWidth="1"/>
    <col min="6" max="6" width="8" bestFit="1" customWidth="1"/>
    <col min="7" max="7" width="8.28515625" bestFit="1" customWidth="1"/>
    <col min="9" max="9" width="10.28515625" bestFit="1" customWidth="1"/>
    <col min="10" max="10" width="8" bestFit="1" customWidth="1"/>
    <col min="11" max="11" width="8.28515625" bestFit="1" customWidth="1"/>
  </cols>
  <sheetData>
    <row r="1" spans="1:15" ht="15.75" customHeight="1" x14ac:dyDescent="0.2">
      <c r="B1" t="s">
        <v>2535</v>
      </c>
      <c r="E1" t="s">
        <v>2366</v>
      </c>
      <c r="J1" t="s">
        <v>2534</v>
      </c>
    </row>
    <row r="2" spans="1:15" ht="15.75" customHeight="1" x14ac:dyDescent="0.2">
      <c r="A2" s="46" t="s">
        <v>2470</v>
      </c>
      <c r="B2" s="46" t="s">
        <v>2237</v>
      </c>
      <c r="C2" s="46" t="s">
        <v>2471</v>
      </c>
      <c r="E2" s="46" t="s">
        <v>2470</v>
      </c>
      <c r="F2" s="46" t="s">
        <v>2237</v>
      </c>
      <c r="G2" s="46" t="s">
        <v>2471</v>
      </c>
      <c r="I2" s="46" t="s">
        <v>2470</v>
      </c>
      <c r="J2" s="46" t="s">
        <v>2237</v>
      </c>
      <c r="K2" s="46" t="s">
        <v>2471</v>
      </c>
    </row>
    <row r="3" spans="1:15" ht="15.75" customHeight="1" x14ac:dyDescent="0.2">
      <c r="A3" s="45">
        <v>44676</v>
      </c>
      <c r="B3" s="18">
        <v>150000</v>
      </c>
      <c r="C3" s="18" t="s">
        <v>2472</v>
      </c>
      <c r="E3" s="45">
        <v>44841</v>
      </c>
      <c r="F3" s="18">
        <v>150000</v>
      </c>
      <c r="G3" s="18" t="s">
        <v>2473</v>
      </c>
      <c r="I3" s="45">
        <v>45159</v>
      </c>
      <c r="J3" s="18">
        <v>700000</v>
      </c>
      <c r="K3" s="18" t="s">
        <v>2473</v>
      </c>
      <c r="L3" t="s">
        <v>2628</v>
      </c>
    </row>
    <row r="4" spans="1:15" ht="15.75" customHeight="1" x14ac:dyDescent="0.2">
      <c r="A4" s="45">
        <v>44963</v>
      </c>
      <c r="B4" s="18">
        <v>204000</v>
      </c>
      <c r="C4" s="18" t="s">
        <v>2472</v>
      </c>
      <c r="E4" s="45">
        <v>44845</v>
      </c>
      <c r="F4" s="18">
        <v>310000</v>
      </c>
      <c r="G4" s="18" t="s">
        <v>2473</v>
      </c>
      <c r="I4" s="45">
        <v>45205</v>
      </c>
      <c r="J4" s="18">
        <v>250000</v>
      </c>
      <c r="K4" s="18" t="s">
        <v>2473</v>
      </c>
      <c r="L4" t="s">
        <v>2628</v>
      </c>
    </row>
    <row r="5" spans="1:15" ht="15.75" customHeight="1" x14ac:dyDescent="0.2">
      <c r="A5" s="44">
        <v>44981</v>
      </c>
      <c r="B5">
        <v>136000</v>
      </c>
      <c r="C5" s="18" t="s">
        <v>2472</v>
      </c>
      <c r="E5" s="45">
        <v>44855</v>
      </c>
      <c r="F5" s="18">
        <v>40000</v>
      </c>
      <c r="G5" s="18" t="s">
        <v>2473</v>
      </c>
      <c r="I5" s="45">
        <v>45238</v>
      </c>
      <c r="J5" s="18">
        <v>250000</v>
      </c>
      <c r="K5" s="18" t="s">
        <v>2473</v>
      </c>
      <c r="L5" t="s">
        <v>2628</v>
      </c>
    </row>
    <row r="6" spans="1:15" ht="15.75" customHeight="1" x14ac:dyDescent="0.2">
      <c r="A6" s="44">
        <v>45031</v>
      </c>
      <c r="B6">
        <v>69000</v>
      </c>
      <c r="C6" s="18" t="s">
        <v>2472</v>
      </c>
      <c r="E6" s="45">
        <v>44929</v>
      </c>
      <c r="F6" s="18">
        <v>250000</v>
      </c>
      <c r="G6" s="18" t="s">
        <v>2473</v>
      </c>
      <c r="I6" s="44">
        <v>45252</v>
      </c>
      <c r="J6" s="18">
        <v>250000</v>
      </c>
      <c r="K6" s="18" t="s">
        <v>2473</v>
      </c>
      <c r="L6" t="s">
        <v>2628</v>
      </c>
    </row>
    <row r="7" spans="1:15" ht="15.75" customHeight="1" x14ac:dyDescent="0.2">
      <c r="A7" s="44">
        <v>45112</v>
      </c>
      <c r="B7">
        <v>109500</v>
      </c>
      <c r="C7" s="18" t="s">
        <v>2472</v>
      </c>
      <c r="E7" s="45">
        <v>45014</v>
      </c>
      <c r="F7" s="47">
        <v>101967</v>
      </c>
      <c r="G7" s="18" t="s">
        <v>2473</v>
      </c>
      <c r="I7" s="44">
        <v>45268</v>
      </c>
      <c r="J7" s="18">
        <v>250000</v>
      </c>
      <c r="K7" s="18" t="s">
        <v>2473</v>
      </c>
      <c r="L7" t="s">
        <v>2628</v>
      </c>
    </row>
    <row r="8" spans="1:15" ht="15.75" customHeight="1" x14ac:dyDescent="0.25">
      <c r="A8" s="44">
        <v>45252</v>
      </c>
      <c r="B8">
        <v>38075</v>
      </c>
      <c r="C8" s="18" t="s">
        <v>2472</v>
      </c>
      <c r="E8" s="45">
        <v>45090</v>
      </c>
      <c r="F8" s="49">
        <v>53240</v>
      </c>
      <c r="G8" s="18" t="s">
        <v>2473</v>
      </c>
      <c r="I8" s="44">
        <v>45299</v>
      </c>
      <c r="J8" s="46">
        <v>250000</v>
      </c>
      <c r="K8" s="46" t="s">
        <v>2473</v>
      </c>
      <c r="L8" s="63" t="s">
        <v>2628</v>
      </c>
      <c r="O8" s="13">
        <f>750000+101967+53240+26620+26620+26620+873835+26620</f>
        <v>1885522</v>
      </c>
    </row>
    <row r="9" spans="1:15" ht="15.75" customHeight="1" x14ac:dyDescent="0.2">
      <c r="A9" s="44">
        <v>45664</v>
      </c>
      <c r="B9">
        <v>72100</v>
      </c>
      <c r="C9" s="18" t="s">
        <v>2472</v>
      </c>
      <c r="E9" s="44">
        <v>45103</v>
      </c>
      <c r="F9" s="49">
        <v>26620</v>
      </c>
      <c r="G9" s="18" t="s">
        <v>2473</v>
      </c>
      <c r="I9" s="48">
        <v>45358</v>
      </c>
      <c r="J9" s="46">
        <v>250000</v>
      </c>
      <c r="K9" s="46" t="s">
        <v>2473</v>
      </c>
      <c r="L9" s="63" t="s">
        <v>2628</v>
      </c>
    </row>
    <row r="10" spans="1:15" ht="15.75" customHeight="1" x14ac:dyDescent="0.2">
      <c r="A10" s="48">
        <v>45733</v>
      </c>
      <c r="B10">
        <f>64396+54250</f>
        <v>118646</v>
      </c>
      <c r="C10" s="18" t="s">
        <v>2472</v>
      </c>
      <c r="E10" s="44">
        <v>45134</v>
      </c>
      <c r="F10" s="49">
        <v>26620</v>
      </c>
      <c r="G10" s="18" t="s">
        <v>2473</v>
      </c>
      <c r="I10" s="48">
        <v>45426</v>
      </c>
      <c r="J10" s="18">
        <v>804132</v>
      </c>
      <c r="K10" s="18" t="s">
        <v>2473</v>
      </c>
    </row>
    <row r="11" spans="1:15" ht="15.75" customHeight="1" x14ac:dyDescent="0.2">
      <c r="B11">
        <f>SUM(B3:B10)</f>
        <v>897321</v>
      </c>
      <c r="E11" s="44">
        <v>45175</v>
      </c>
      <c r="F11" s="49">
        <v>26620</v>
      </c>
      <c r="G11" s="18" t="s">
        <v>2473</v>
      </c>
      <c r="I11" s="48">
        <v>45448</v>
      </c>
      <c r="J11" s="18">
        <v>0</v>
      </c>
      <c r="K11" s="18" t="s">
        <v>2473</v>
      </c>
    </row>
    <row r="12" spans="1:15" ht="15.75" customHeight="1" x14ac:dyDescent="0.2">
      <c r="E12" s="44">
        <v>45252</v>
      </c>
      <c r="F12" s="49">
        <v>873835</v>
      </c>
      <c r="G12" s="18" t="s">
        <v>2473</v>
      </c>
      <c r="J12">
        <f>SUM(J3:J11)</f>
        <v>3004132</v>
      </c>
    </row>
    <row r="13" spans="1:15" ht="15.75" customHeight="1" x14ac:dyDescent="0.2">
      <c r="F13">
        <f>SUM(F3:F12)</f>
        <v>1858902</v>
      </c>
      <c r="J13">
        <f>+J12+F13</f>
        <v>4863034</v>
      </c>
    </row>
    <row r="14" spans="1:15" ht="15.75" customHeight="1" x14ac:dyDescent="0.2">
      <c r="F14">
        <v>19715</v>
      </c>
    </row>
    <row r="15" spans="1:15" ht="15.75" customHeight="1" x14ac:dyDescent="0.2">
      <c r="F15">
        <f>+F13+F14</f>
        <v>1878617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2"/>
  <sheetViews>
    <sheetView workbookViewId="0">
      <selection activeCell="G14" sqref="G14"/>
    </sheetView>
  </sheetViews>
  <sheetFormatPr defaultColWidth="12.7109375" defaultRowHeight="15.75" customHeight="1" x14ac:dyDescent="0.2"/>
  <cols>
    <col min="1" max="1" width="46.28515625" bestFit="1" customWidth="1"/>
    <col min="2" max="2" width="17.28515625" bestFit="1" customWidth="1"/>
    <col min="3" max="4" width="16" bestFit="1" customWidth="1"/>
    <col min="5" max="5" width="19.28515625" bestFit="1" customWidth="1"/>
    <col min="6" max="6" width="15.5703125" bestFit="1" customWidth="1"/>
    <col min="7" max="8" width="13.42578125" bestFit="1" customWidth="1"/>
  </cols>
  <sheetData>
    <row r="1" spans="1:8" ht="15.75" customHeight="1" x14ac:dyDescent="0.2">
      <c r="A1" s="8" t="s">
        <v>3162</v>
      </c>
      <c r="E1" s="8" t="s">
        <v>2246</v>
      </c>
      <c r="F1" s="48">
        <v>45846</v>
      </c>
    </row>
    <row r="2" spans="1:8" ht="15.75" customHeight="1" x14ac:dyDescent="0.25">
      <c r="A2" s="8" t="s">
        <v>2235</v>
      </c>
      <c r="E2" s="15" t="s">
        <v>2247</v>
      </c>
      <c r="F2" s="15" t="s">
        <v>2248</v>
      </c>
    </row>
    <row r="3" spans="1:8" ht="15.75" customHeight="1" x14ac:dyDescent="0.25">
      <c r="A3" s="9" t="s">
        <v>2236</v>
      </c>
      <c r="B3" s="9" t="s">
        <v>2237</v>
      </c>
      <c r="E3" s="16" t="s">
        <v>2249</v>
      </c>
      <c r="F3" s="17">
        <v>2355189</v>
      </c>
    </row>
    <row r="4" spans="1:8" ht="15.75" customHeight="1" x14ac:dyDescent="0.2">
      <c r="A4" t="s">
        <v>2238</v>
      </c>
      <c r="B4" s="10">
        <f>+'AMCU Details'!R1</f>
        <v>1985000</v>
      </c>
      <c r="C4" s="116">
        <f>+B5+B4</f>
        <v>3228531.7199999988</v>
      </c>
      <c r="D4" s="116"/>
      <c r="E4" s="18" t="s">
        <v>2250</v>
      </c>
      <c r="F4" s="17">
        <v>20334481</v>
      </c>
      <c r="H4" s="10"/>
    </row>
    <row r="5" spans="1:8" ht="15.75" customHeight="1" x14ac:dyDescent="0.25">
      <c r="A5" t="s">
        <v>2239</v>
      </c>
      <c r="B5" s="10">
        <v>1243531.7199999988</v>
      </c>
      <c r="C5" s="113"/>
      <c r="D5" s="116"/>
      <c r="E5" s="19" t="s">
        <v>2241</v>
      </c>
      <c r="F5" s="20">
        <f>SUM(F3:F4)</f>
        <v>22689670</v>
      </c>
    </row>
    <row r="6" spans="1:8" ht="15.75" customHeight="1" x14ac:dyDescent="0.2">
      <c r="A6" t="s">
        <v>2240</v>
      </c>
      <c r="B6" s="10">
        <f>+'AMCU Details'!Q1</f>
        <v>7284344.053212963</v>
      </c>
      <c r="C6" s="10"/>
      <c r="D6" s="10"/>
      <c r="E6" s="18" t="s">
        <v>2251</v>
      </c>
      <c r="F6" s="17">
        <f>+B14-F5</f>
        <v>-19284454.226787038</v>
      </c>
      <c r="H6" s="10"/>
    </row>
    <row r="7" spans="1:8" ht="15.75" customHeight="1" x14ac:dyDescent="0.25">
      <c r="A7" s="11" t="s">
        <v>2241</v>
      </c>
      <c r="B7" s="12">
        <f>+B4+B6+B5</f>
        <v>10512875.773212962</v>
      </c>
    </row>
    <row r="8" spans="1:8" ht="15.75" customHeight="1" x14ac:dyDescent="0.25">
      <c r="A8" t="s">
        <v>2242</v>
      </c>
      <c r="B8" s="13">
        <f>+'AMCU Details'!M1</f>
        <v>30000</v>
      </c>
      <c r="C8" s="10"/>
      <c r="D8" s="14"/>
      <c r="E8" s="10"/>
      <c r="F8" s="14"/>
    </row>
    <row r="9" spans="1:8" ht="15.75" customHeight="1" x14ac:dyDescent="0.25">
      <c r="A9" t="s">
        <v>2243</v>
      </c>
      <c r="B9" s="13">
        <v>0</v>
      </c>
      <c r="D9" s="14"/>
      <c r="F9" s="14"/>
    </row>
    <row r="10" spans="1:8" ht="15.75" customHeight="1" x14ac:dyDescent="0.25">
      <c r="A10" s="117" t="s">
        <v>2874</v>
      </c>
      <c r="B10" s="13">
        <f>750000+101967+53240+26620+26620+26620+873835+26620</f>
        <v>1885522</v>
      </c>
      <c r="C10" s="116"/>
      <c r="D10" s="14"/>
      <c r="E10" s="10"/>
    </row>
    <row r="11" spans="1:8" ht="15.75" customHeight="1" x14ac:dyDescent="0.25">
      <c r="A11" s="117"/>
      <c r="B11" s="13">
        <f>+PRAVAH!J12</f>
        <v>3004132</v>
      </c>
      <c r="C11" s="113"/>
      <c r="D11" s="14"/>
      <c r="G11" s="10"/>
    </row>
    <row r="12" spans="1:8" ht="15.75" customHeight="1" x14ac:dyDescent="0.25">
      <c r="A12" s="71" t="s">
        <v>3515</v>
      </c>
      <c r="B12" s="13">
        <v>1290685</v>
      </c>
      <c r="C12" s="70"/>
      <c r="D12" s="14"/>
      <c r="G12" s="10"/>
    </row>
    <row r="13" spans="1:8" ht="15.75" customHeight="1" x14ac:dyDescent="0.25">
      <c r="A13" t="s">
        <v>2244</v>
      </c>
      <c r="B13" s="13">
        <f>+PRAVAH!B11</f>
        <v>897321</v>
      </c>
    </row>
    <row r="14" spans="1:8" ht="15.75" customHeight="1" x14ac:dyDescent="0.25">
      <c r="A14" s="11" t="s">
        <v>2245</v>
      </c>
      <c r="B14" s="12">
        <f>+B7-B8-B10-B13-B11-B9-B12</f>
        <v>3405215.7732129619</v>
      </c>
      <c r="D14" s="10"/>
    </row>
    <row r="15" spans="1:8" ht="15.75" customHeight="1" x14ac:dyDescent="0.2">
      <c r="D15" s="10"/>
    </row>
    <row r="16" spans="1:8" ht="15.75" customHeight="1" x14ac:dyDescent="0.2">
      <c r="B16" s="64"/>
    </row>
    <row r="19" spans="3:5" ht="15.75" customHeight="1" x14ac:dyDescent="0.2">
      <c r="D19" s="14"/>
    </row>
    <row r="20" spans="3:5" ht="15.75" customHeight="1" x14ac:dyDescent="0.2">
      <c r="C20" s="10"/>
      <c r="D20" s="14"/>
    </row>
    <row r="22" spans="3:5" ht="15.75" customHeight="1" x14ac:dyDescent="0.2">
      <c r="E22" s="14"/>
    </row>
  </sheetData>
  <mergeCells count="4">
    <mergeCell ref="C4:C5"/>
    <mergeCell ref="D4:D5"/>
    <mergeCell ref="C10:C11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AMCU Details</vt:lpstr>
      <vt:lpstr>Sheet1</vt:lpstr>
      <vt:lpstr>Sheet2</vt:lpstr>
      <vt:lpstr>PRAVAH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cp:lastPrinted>2024-07-05T05:43:02Z</cp:lastPrinted>
  <dcterms:created xsi:type="dcterms:W3CDTF">2024-08-16T09:18:51Z</dcterms:created>
  <dcterms:modified xsi:type="dcterms:W3CDTF">2026-08-04T06:58:01Z</dcterms:modified>
</cp:coreProperties>
</file>