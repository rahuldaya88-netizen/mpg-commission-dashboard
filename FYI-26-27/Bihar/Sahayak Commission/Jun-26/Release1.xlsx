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"/>
    </mc:Choice>
  </mc:AlternateContent>
  <xr:revisionPtr revIDLastSave="0" documentId="13_ncr:1_{C28EAFCA-C80C-429D-A23A-A06173F04272}" xr6:coauthVersionLast="47" xr6:coauthVersionMax="47" xr10:uidLastSave="{00000000-0000-0000-0000-000000000000}"/>
  <bookViews>
    <workbookView xWindow="-120" yWindow="-120" windowWidth="29040" windowHeight="15720" xr2:uid="{0EBEF8F9-44CF-4D47-BBEF-330FF09B4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H7" i="1"/>
  <c r="G7" i="1"/>
  <c r="A3" i="1"/>
  <c r="A4" i="1"/>
  <c r="A5" i="1"/>
  <c r="A6" i="1"/>
  <c r="A2" i="1"/>
</calcChain>
</file>

<file path=xl/sharedStrings.xml><?xml version="1.0" encoding="utf-8"?>
<sst xmlns="http://schemas.openxmlformats.org/spreadsheetml/2006/main" count="74" uniqueCount="52">
  <si>
    <t xml:space="preserve">Code </t>
  </si>
  <si>
    <t xml:space="preserve">MPG NAME </t>
  </si>
  <si>
    <t>Farmer Payment</t>
  </si>
  <si>
    <t>MCC</t>
  </si>
  <si>
    <t>BMC Volume</t>
  </si>
  <si>
    <t>BMC Amount</t>
  </si>
  <si>
    <t>Payble to Sahyak</t>
  </si>
  <si>
    <t>Hold</t>
  </si>
  <si>
    <t>Net Payble</t>
  </si>
  <si>
    <t xml:space="preserve">Payment relase </t>
  </si>
  <si>
    <t>Remarks</t>
  </si>
  <si>
    <t>Recommendation</t>
  </si>
  <si>
    <t>GOMUKH BALAHA W-9</t>
  </si>
  <si>
    <t>Direct</t>
  </si>
  <si>
    <t>Kalyanpur</t>
  </si>
  <si>
    <t>Release</t>
  </si>
  <si>
    <t>Release1</t>
  </si>
  <si>
    <t>GOMUKH DADHIYA-2</t>
  </si>
  <si>
    <t>MISHRBIGHA</t>
  </si>
  <si>
    <t>Gopalpur Bmc</t>
  </si>
  <si>
    <t>PRATAPUR</t>
  </si>
  <si>
    <t>GOMUKH Waini</t>
  </si>
  <si>
    <t>Agreement Issue</t>
  </si>
  <si>
    <t>TOTAL</t>
  </si>
  <si>
    <t>Down Payment reveived</t>
  </si>
  <si>
    <t>ID</t>
  </si>
  <si>
    <t>0002</t>
  </si>
  <si>
    <t>Farmer</t>
  </si>
  <si>
    <t>Farmers Account Name</t>
  </si>
  <si>
    <t>Account no</t>
  </si>
  <si>
    <t>IFSC code</t>
  </si>
  <si>
    <t xml:space="preserve">Bank Of name </t>
  </si>
  <si>
    <t>Veleshwar Roy</t>
  </si>
  <si>
    <t>75342250005130</t>
  </si>
  <si>
    <t>CNRB0017534</t>
  </si>
  <si>
    <t xml:space="preserve">Canara Bank </t>
  </si>
  <si>
    <t>Ravindra Ray</t>
  </si>
  <si>
    <t>28770110157756</t>
  </si>
  <si>
    <t>UCBA0002877</t>
  </si>
  <si>
    <t xml:space="preserve">Uco Bank </t>
  </si>
  <si>
    <t>Barbir Yadav</t>
  </si>
  <si>
    <t>39145615626</t>
  </si>
  <si>
    <t>SBIN0000097</t>
  </si>
  <si>
    <t>SBI-Kiosk Banking</t>
  </si>
  <si>
    <t>Mantu Kumar Yadav</t>
  </si>
  <si>
    <t>3746580582</t>
  </si>
  <si>
    <t>CBIN0284386</t>
  </si>
  <si>
    <t xml:space="preserve">Central Bank Of India </t>
  </si>
  <si>
    <t>Krishna Kishor Ray</t>
  </si>
  <si>
    <t>3178898000</t>
  </si>
  <si>
    <t>CBIN0282536</t>
  </si>
  <si>
    <t>Centaral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</si>
</sst>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theme="7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2" fillId="2" borderId="1" xfId="2" applyFont="1" applyFill="1" applyBorder="1" applyAlignment="1">
      <alignment horizontal="center" vertical="center" wrapText="1"/>
    </xf>
    <xf numFmtId="43" fontId="2" fillId="3" borderId="1" xfId="2" applyFont="1" applyFill="1" applyBorder="1" applyAlignment="1">
      <alignment horizontal="center" vertical="center" wrapText="1"/>
    </xf>
    <xf numFmtId="43" fontId="3" fillId="3" borderId="1" xfId="2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166" fontId="4" fillId="0" borderId="1" xfId="2" applyNumberFormat="1" applyFont="1" applyFill="1" applyBorder="1" applyAlignment="1">
      <alignment horizontal="center"/>
    </xf>
    <xf numFmtId="165" fontId="7" fillId="0" borderId="1" xfId="1" applyNumberFormat="1" applyFont="1" applyBorder="1"/>
    <xf numFmtId="166" fontId="2" fillId="7" borderId="1" xfId="0" applyNumberFormat="1" applyFont="1" applyFill="1" applyBorder="1" applyAlignment="1">
      <alignment horizontal="center"/>
    </xf>
    <xf numFmtId="166" fontId="2" fillId="7" borderId="1" xfId="0" applyNumberFormat="1" applyFont="1" applyFill="1" applyBorder="1"/>
    <xf numFmtId="166" fontId="2" fillId="4" borderId="1" xfId="0" applyNumberFormat="1" applyFont="1" applyFill="1" applyBorder="1"/>
    <xf numFmtId="1" fontId="6" fillId="0" borderId="1" xfId="2" applyNumberFormat="1" applyFont="1" applyFill="1" applyBorder="1"/>
    <xf numFmtId="1" fontId="4" fillId="0" borderId="1" xfId="1" applyNumberFormat="1" applyFont="1" applyFill="1" applyBorder="1" applyAlignment="1">
      <alignment horizontal="right"/>
    </xf>
    <xf numFmtId="1" fontId="3" fillId="0" borderId="1" xfId="1" applyNumberFormat="1" applyFont="1" applyFill="1" applyBorder="1" applyAlignment="1">
      <alignment horizontal="right"/>
    </xf>
    <xf numFmtId="1" fontId="4" fillId="4" borderId="1" xfId="1" applyNumberFormat="1" applyFont="1" applyFill="1" applyBorder="1" applyAlignment="1">
      <alignment horizontal="right"/>
    </xf>
    <xf numFmtId="1" fontId="2" fillId="7" borderId="1" xfId="0" applyNumberFormat="1" applyFont="1" applyFill="1" applyBorder="1"/>
    <xf numFmtId="1" fontId="3" fillId="7" borderId="1" xfId="1" applyNumberFormat="1" applyFont="1" applyFill="1" applyBorder="1"/>
    <xf numFmtId="1" fontId="2" fillId="4" borderId="1" xfId="0" applyNumberFormat="1" applyFont="1" applyFill="1" applyBorder="1"/>
  </cellXfs>
  <cellStyles count="3">
    <cellStyle name="Comma" xfId="1" builtinId="3"/>
    <cellStyle name="Comma 2" xfId="2" xr:uid="{317E3E41-F277-4532-A518-6DB99C933DD6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C2C4-5E77-4F1A-A103-E3388578877B}">
  <dimension ref="A1:R7"/>
  <sheetViews>
    <sheetView tabSelected="1" workbookViewId="0">
      <selection activeCell="O21" sqref="O21"/>
    </sheetView>
  </sheetViews>
  <sheetFormatPr defaultRowHeight="15" x14ac:dyDescent="0.25"/>
  <cols>
    <col min="1" max="1" width="13.140625" bestFit="1" customWidth="1"/>
    <col min="2" max="2" width="9" bestFit="1" customWidth="1"/>
    <col min="3" max="3" width="9" customWidth="1"/>
    <col min="4" max="4" width="20.28515625" bestFit="1" customWidth="1"/>
    <col min="5" max="5" width="8.85546875" bestFit="1" customWidth="1"/>
    <col min="6" max="6" width="11.5703125" bestFit="1" customWidth="1"/>
    <col min="7" max="7" width="7" bestFit="1" customWidth="1"/>
    <col min="8" max="8" width="11.140625" bestFit="1" customWidth="1"/>
    <col min="9" max="9" width="8.42578125" bestFit="1" customWidth="1"/>
    <col min="10" max="10" width="5" bestFit="1" customWidth="1"/>
    <col min="11" max="11" width="6.28515625" bestFit="1" customWidth="1"/>
    <col min="12" max="12" width="7.85546875" bestFit="1" customWidth="1"/>
    <col min="13" max="13" width="23.42578125" bestFit="1" customWidth="1"/>
    <col min="14" max="14" width="10.28515625" bestFit="1" customWidth="1"/>
    <col min="15" max="15" width="18.85546875" bestFit="1" customWidth="1"/>
    <col min="16" max="16" width="15.140625" bestFit="1" customWidth="1"/>
    <col min="17" max="17" width="12.85546875" bestFit="1" customWidth="1"/>
    <col min="18" max="18" width="21" bestFit="1" customWidth="1"/>
  </cols>
  <sheetData>
    <row r="1" spans="1:18" ht="27" x14ac:dyDescent="0.25">
      <c r="A1" s="1" t="s">
        <v>25</v>
      </c>
      <c r="B1" s="1" t="s">
        <v>0</v>
      </c>
      <c r="C1" s="1" t="s">
        <v>27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3" t="s">
        <v>7</v>
      </c>
      <c r="K1" s="2" t="s">
        <v>8</v>
      </c>
      <c r="L1" s="4" t="s">
        <v>9</v>
      </c>
      <c r="M1" s="5" t="s">
        <v>10</v>
      </c>
      <c r="N1" s="5" t="s">
        <v>11</v>
      </c>
      <c r="O1" s="5" t="s">
        <v>28</v>
      </c>
      <c r="P1" s="5" t="s">
        <v>29</v>
      </c>
      <c r="Q1" s="5" t="s">
        <v>30</v>
      </c>
      <c r="R1" s="5" t="s">
        <v>31</v>
      </c>
    </row>
    <row r="2" spans="1:18" x14ac:dyDescent="0.25">
      <c r="A2" s="6" t="str">
        <f>CONCATENATE(B2,C2)</f>
        <v>105300740002</v>
      </c>
      <c r="B2" s="7">
        <v>10530074</v>
      </c>
      <c r="C2" s="8" t="s">
        <v>26</v>
      </c>
      <c r="D2" s="9" t="s">
        <v>12</v>
      </c>
      <c r="E2" s="10" t="s">
        <v>13</v>
      </c>
      <c r="F2" s="10" t="s">
        <v>14</v>
      </c>
      <c r="G2" s="16">
        <v>3552.7499999999995</v>
      </c>
      <c r="H2" s="16">
        <v>149400.30622445862</v>
      </c>
      <c r="I2" s="17">
        <v>5349</v>
      </c>
      <c r="J2" s="18">
        <v>0</v>
      </c>
      <c r="K2" s="19">
        <v>5349</v>
      </c>
      <c r="L2" s="11" t="s">
        <v>15</v>
      </c>
      <c r="M2" s="12" t="s">
        <v>24</v>
      </c>
      <c r="N2" s="12" t="s">
        <v>16</v>
      </c>
      <c r="O2" s="6" t="s">
        <v>32</v>
      </c>
      <c r="P2" s="6" t="s">
        <v>33</v>
      </c>
      <c r="Q2" s="6" t="s">
        <v>34</v>
      </c>
      <c r="R2" s="6" t="s">
        <v>35</v>
      </c>
    </row>
    <row r="3" spans="1:18" x14ac:dyDescent="0.25">
      <c r="A3" s="6" t="str">
        <f t="shared" ref="A3:A6" si="0">CONCATENATE(B3,C3)</f>
        <v>105300810002</v>
      </c>
      <c r="B3" s="7">
        <v>10530081</v>
      </c>
      <c r="C3" s="8" t="s">
        <v>26</v>
      </c>
      <c r="D3" s="9" t="s">
        <v>17</v>
      </c>
      <c r="E3" s="10" t="s">
        <v>13</v>
      </c>
      <c r="F3" s="10" t="s">
        <v>14</v>
      </c>
      <c r="G3" s="16">
        <v>8147.65</v>
      </c>
      <c r="H3" s="16">
        <v>365427.81245672115</v>
      </c>
      <c r="I3" s="17">
        <v>10571</v>
      </c>
      <c r="J3" s="18">
        <v>0</v>
      </c>
      <c r="K3" s="19">
        <v>10571</v>
      </c>
      <c r="L3" s="11" t="s">
        <v>15</v>
      </c>
      <c r="M3" s="12" t="s">
        <v>24</v>
      </c>
      <c r="N3" s="12" t="s">
        <v>16</v>
      </c>
      <c r="O3" s="6" t="s">
        <v>36</v>
      </c>
      <c r="P3" s="6" t="s">
        <v>37</v>
      </c>
      <c r="Q3" s="6" t="s">
        <v>38</v>
      </c>
      <c r="R3" s="6" t="s">
        <v>39</v>
      </c>
    </row>
    <row r="4" spans="1:18" x14ac:dyDescent="0.25">
      <c r="A4" s="6" t="str">
        <f t="shared" si="0"/>
        <v>105900010002</v>
      </c>
      <c r="B4" s="7">
        <v>10590001</v>
      </c>
      <c r="C4" s="8" t="s">
        <v>26</v>
      </c>
      <c r="D4" s="9" t="s">
        <v>18</v>
      </c>
      <c r="E4" s="10" t="s">
        <v>13</v>
      </c>
      <c r="F4" s="10" t="s">
        <v>19</v>
      </c>
      <c r="G4" s="16">
        <v>3633.5800000000004</v>
      </c>
      <c r="H4" s="16">
        <v>204275.87471263803</v>
      </c>
      <c r="I4" s="17">
        <v>1767</v>
      </c>
      <c r="J4" s="18">
        <v>0</v>
      </c>
      <c r="K4" s="19">
        <v>1767</v>
      </c>
      <c r="L4" s="11" t="s">
        <v>15</v>
      </c>
      <c r="M4" s="12" t="s">
        <v>24</v>
      </c>
      <c r="N4" s="12" t="s">
        <v>16</v>
      </c>
      <c r="O4" s="6" t="s">
        <v>40</v>
      </c>
      <c r="P4" s="6" t="s">
        <v>41</v>
      </c>
      <c r="Q4" s="6" t="s">
        <v>42</v>
      </c>
      <c r="R4" s="6" t="s">
        <v>43</v>
      </c>
    </row>
    <row r="5" spans="1:18" x14ac:dyDescent="0.25">
      <c r="A5" s="6" t="str">
        <f t="shared" si="0"/>
        <v>105900040002</v>
      </c>
      <c r="B5" s="7">
        <v>10590004</v>
      </c>
      <c r="C5" s="8" t="s">
        <v>26</v>
      </c>
      <c r="D5" s="9" t="s">
        <v>20</v>
      </c>
      <c r="E5" s="10" t="s">
        <v>13</v>
      </c>
      <c r="F5" s="10" t="s">
        <v>19</v>
      </c>
      <c r="G5" s="16">
        <v>5391.3</v>
      </c>
      <c r="H5" s="16">
        <v>216731.19953838998</v>
      </c>
      <c r="I5" s="17">
        <v>4291</v>
      </c>
      <c r="J5" s="18">
        <v>0</v>
      </c>
      <c r="K5" s="19">
        <v>4291</v>
      </c>
      <c r="L5" s="11" t="s">
        <v>15</v>
      </c>
      <c r="M5" s="12" t="s">
        <v>24</v>
      </c>
      <c r="N5" s="12" t="s">
        <v>16</v>
      </c>
      <c r="O5" s="6" t="s">
        <v>44</v>
      </c>
      <c r="P5" s="6" t="s">
        <v>45</v>
      </c>
      <c r="Q5" s="6" t="s">
        <v>46</v>
      </c>
      <c r="R5" s="6" t="s">
        <v>47</v>
      </c>
    </row>
    <row r="6" spans="1:18" x14ac:dyDescent="0.25">
      <c r="A6" s="6" t="str">
        <f t="shared" si="0"/>
        <v>105301080002</v>
      </c>
      <c r="B6" s="7">
        <v>10530108</v>
      </c>
      <c r="C6" s="8" t="s">
        <v>26</v>
      </c>
      <c r="D6" s="9" t="s">
        <v>21</v>
      </c>
      <c r="E6" s="10" t="s">
        <v>13</v>
      </c>
      <c r="F6" s="10" t="s">
        <v>14</v>
      </c>
      <c r="G6" s="16">
        <v>1743.1</v>
      </c>
      <c r="H6" s="16">
        <v>69967.299610474991</v>
      </c>
      <c r="I6" s="17">
        <v>726</v>
      </c>
      <c r="J6" s="18">
        <v>0</v>
      </c>
      <c r="K6" s="19">
        <v>726</v>
      </c>
      <c r="L6" s="11" t="s">
        <v>15</v>
      </c>
      <c r="M6" s="12" t="s">
        <v>22</v>
      </c>
      <c r="N6" s="12" t="s">
        <v>16</v>
      </c>
      <c r="O6" s="6" t="s">
        <v>48</v>
      </c>
      <c r="P6" s="6" t="s">
        <v>49</v>
      </c>
      <c r="Q6" s="6" t="s">
        <v>50</v>
      </c>
      <c r="R6" s="6" t="s">
        <v>51</v>
      </c>
    </row>
    <row r="7" spans="1:18" x14ac:dyDescent="0.25">
      <c r="A7" s="13"/>
      <c r="B7" s="13"/>
      <c r="C7" s="13"/>
      <c r="D7" s="14" t="s">
        <v>23</v>
      </c>
      <c r="E7" s="14"/>
      <c r="F7" s="14"/>
      <c r="G7" s="20">
        <f>SUM(G2:G6)</f>
        <v>22468.379999999997</v>
      </c>
      <c r="H7" s="20">
        <f>SUM(H2:H6)</f>
        <v>1005802.4925426828</v>
      </c>
      <c r="I7" s="20">
        <f>SUM(I2:I6)</f>
        <v>22704</v>
      </c>
      <c r="J7" s="21">
        <f>SUM(J2:J6)</f>
        <v>0</v>
      </c>
      <c r="K7" s="22">
        <v>22704</v>
      </c>
      <c r="L7" s="11">
        <v>132</v>
      </c>
      <c r="M7" s="15"/>
      <c r="N7" s="15"/>
      <c r="O7" s="15"/>
      <c r="P7" s="15"/>
      <c r="Q7" s="15"/>
      <c r="R7" s="15"/>
    </row>
  </sheetData>
  <conditionalFormatting sqref="A1:C1">
    <cfRule type="duplicateValues" dxfId="4" priority="5" stopIfTrue="1"/>
  </conditionalFormatting>
  <conditionalFormatting sqref="L7 I2:L6">
    <cfRule type="cellIs" dxfId="1" priority="2" operator="lessThan">
      <formula>0</formula>
    </cfRule>
  </conditionalFormatting>
  <conditionalFormatting sqref="P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2026-07-30T07:06:22Z</dcterms:created>
  <dcterms:modified xsi:type="dcterms:W3CDTF">2026-07-30T07:20:28Z</dcterms:modified>
</cp:coreProperties>
</file>