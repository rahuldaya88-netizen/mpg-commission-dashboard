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"/>
    </mc:Choice>
  </mc:AlternateContent>
  <xr:revisionPtr revIDLastSave="0" documentId="13_ncr:1_{F0C950D3-530E-4E0E-A22F-49EDFED1C25D}" xr6:coauthVersionLast="47" xr6:coauthVersionMax="47" xr10:uidLastSave="{00000000-0000-0000-0000-000000000000}"/>
  <bookViews>
    <workbookView xWindow="-120" yWindow="-120" windowWidth="29040" windowHeight="15720" xr2:uid="{B6BEFDA9-A4BC-4CA2-831F-C864D238E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K7" i="1"/>
  <c r="M7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<sst xmlns="http://schemas.openxmlformats.org/spreadsheetml/2006/main" count="80" uniqueCount="41">
  <si>
    <t>Month</t>
  </si>
  <si>
    <t xml:space="preserve">Code </t>
  </si>
  <si>
    <t xml:space="preserve">MPG NAME </t>
  </si>
  <si>
    <t>Farmer Payment</t>
  </si>
  <si>
    <t xml:space="preserve">BMC Code </t>
  </si>
  <si>
    <t>MCC</t>
  </si>
  <si>
    <t>status</t>
  </si>
  <si>
    <t>Start Date</t>
  </si>
  <si>
    <t>BMC Volume</t>
  </si>
  <si>
    <t>BMC Amount</t>
  </si>
  <si>
    <t>Net Payble</t>
  </si>
  <si>
    <t xml:space="preserve">Payment relase </t>
  </si>
  <si>
    <t>Recommendation</t>
  </si>
  <si>
    <t>Gomukh Paharpur Jilebya</t>
  </si>
  <si>
    <t>Direct</t>
  </si>
  <si>
    <t>Chautham</t>
  </si>
  <si>
    <t>Old</t>
  </si>
  <si>
    <t>July</t>
  </si>
  <si>
    <t>June</t>
  </si>
  <si>
    <t>May</t>
  </si>
  <si>
    <t>Total</t>
  </si>
  <si>
    <t>Gomukh Azad Nagar</t>
  </si>
  <si>
    <t>Release</t>
  </si>
  <si>
    <t>Release2 Dtd.05-09-2026</t>
  </si>
  <si>
    <t>Release2 dtd.05-09-2026</t>
  </si>
  <si>
    <t>Release3 Dtd.05-09-2026</t>
  </si>
  <si>
    <t>ID</t>
  </si>
  <si>
    <t>Farmer Code</t>
  </si>
  <si>
    <t>0002</t>
  </si>
  <si>
    <t>Farmers Account Name</t>
  </si>
  <si>
    <t>Account no</t>
  </si>
  <si>
    <t>IFSC code</t>
  </si>
  <si>
    <t xml:space="preserve">Bank Of name </t>
  </si>
  <si>
    <t>Sonelal Sah</t>
  </si>
  <si>
    <t>34593256103</t>
  </si>
  <si>
    <t>SBIN0010768</t>
  </si>
  <si>
    <t xml:space="preserve">State Bank of India </t>
  </si>
  <si>
    <t>Ghansyam Kumar</t>
  </si>
  <si>
    <t>484902010020968</t>
  </si>
  <si>
    <t>UBIN0548499</t>
  </si>
  <si>
    <t xml:space="preserve">Union Bank of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</si>
</sst>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0" fillId="3" borderId="1" xfId="0" applyFill="1" applyBorder="1"/>
    <xf numFmtId="164" fontId="0" fillId="3" borderId="1" xfId="1" applyNumberFormat="1" applyFont="1" applyFill="1" applyBorder="1"/>
    <xf numFmtId="0" fontId="0" fillId="3" borderId="1" xfId="0" quotePrefix="1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174B-F0A2-4880-960B-5BBCE971DD09}">
  <dimension ref="A1:S7"/>
  <sheetViews>
    <sheetView tabSelected="1" workbookViewId="0">
      <selection activeCell="O20" sqref="O20"/>
    </sheetView>
  </sheetViews>
  <sheetFormatPr defaultRowHeight="15" x14ac:dyDescent="0.25"/>
  <cols>
    <col min="1" max="1" width="6.7109375" bestFit="1" customWidth="1"/>
    <col min="2" max="2" width="14" bestFit="1" customWidth="1"/>
    <col min="3" max="3" width="9" bestFit="1" customWidth="1"/>
    <col min="4" max="4" width="9" customWidth="1"/>
    <col min="5" max="5" width="24" bestFit="1" customWidth="1"/>
    <col min="6" max="6" width="15.7109375" bestFit="1" customWidth="1"/>
    <col min="7" max="7" width="10.85546875" bestFit="1" customWidth="1"/>
    <col min="8" max="8" width="10.140625" bestFit="1" customWidth="1"/>
    <col min="9" max="9" width="6.5703125" bestFit="1" customWidth="1"/>
    <col min="10" max="10" width="10.42578125" bestFit="1" customWidth="1"/>
    <col min="11" max="11" width="12.42578125" bestFit="1" customWidth="1"/>
    <col min="12" max="12" width="12.5703125" bestFit="1" customWidth="1"/>
    <col min="13" max="13" width="10.7109375" bestFit="1" customWidth="1"/>
    <col min="14" max="14" width="15.42578125" bestFit="1" customWidth="1"/>
    <col min="15" max="15" width="22.7109375" bestFit="1" customWidth="1"/>
    <col min="16" max="16" width="22.140625" bestFit="1" customWidth="1"/>
    <col min="17" max="17" width="16.140625" bestFit="1" customWidth="1"/>
    <col min="18" max="18" width="12.42578125" bestFit="1" customWidth="1"/>
    <col min="19" max="19" width="19" bestFit="1" customWidth="1"/>
  </cols>
  <sheetData>
    <row r="1" spans="1:19" x14ac:dyDescent="0.25">
      <c r="A1" s="1" t="s">
        <v>0</v>
      </c>
      <c r="B1" s="2" t="s">
        <v>26</v>
      </c>
      <c r="C1" s="2" t="s">
        <v>1</v>
      </c>
      <c r="D1" s="2" t="s">
        <v>27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29</v>
      </c>
      <c r="Q1" s="2" t="s">
        <v>30</v>
      </c>
      <c r="R1" s="2" t="s">
        <v>31</v>
      </c>
      <c r="S1" s="2" t="s">
        <v>32</v>
      </c>
    </row>
    <row r="2" spans="1:19" x14ac:dyDescent="0.25">
      <c r="A2" s="6" t="s">
        <v>17</v>
      </c>
      <c r="B2" s="7" t="str">
        <f>CONCATENATE(C2,D2)</f>
        <v>105600220002</v>
      </c>
      <c r="C2" s="6">
        <v>10560022</v>
      </c>
      <c r="D2" s="8" t="s">
        <v>28</v>
      </c>
      <c r="E2" s="6" t="s">
        <v>13</v>
      </c>
      <c r="F2" s="6" t="s">
        <v>14</v>
      </c>
      <c r="G2" s="6">
        <v>1056</v>
      </c>
      <c r="H2" s="6" t="s">
        <v>15</v>
      </c>
      <c r="I2" s="6" t="s">
        <v>16</v>
      </c>
      <c r="J2" s="9">
        <v>46037</v>
      </c>
      <c r="K2" s="7">
        <v>9214.7199999999993</v>
      </c>
      <c r="L2" s="7">
        <v>393859.41</v>
      </c>
      <c r="M2" s="7">
        <v>6187</v>
      </c>
      <c r="N2" s="6" t="s">
        <v>22</v>
      </c>
      <c r="O2" s="6" t="s">
        <v>23</v>
      </c>
      <c r="P2" s="10" t="s">
        <v>33</v>
      </c>
      <c r="Q2" s="10" t="s">
        <v>34</v>
      </c>
      <c r="R2" s="10" t="s">
        <v>35</v>
      </c>
      <c r="S2" s="10" t="s">
        <v>36</v>
      </c>
    </row>
    <row r="3" spans="1:19" x14ac:dyDescent="0.25">
      <c r="A3" s="10" t="s">
        <v>17</v>
      </c>
      <c r="B3" s="7" t="str">
        <f t="shared" ref="B3:B6" si="0">CONCATENATE(C3,D3)</f>
        <v>105600260002</v>
      </c>
      <c r="C3" s="10">
        <v>10560026</v>
      </c>
      <c r="D3" s="10" t="s">
        <v>28</v>
      </c>
      <c r="E3" s="10" t="s">
        <v>21</v>
      </c>
      <c r="F3" s="10" t="s">
        <v>14</v>
      </c>
      <c r="G3" s="10">
        <v>1056</v>
      </c>
      <c r="H3" s="10" t="s">
        <v>15</v>
      </c>
      <c r="I3" s="10" t="s">
        <v>16</v>
      </c>
      <c r="J3" s="11">
        <v>46037</v>
      </c>
      <c r="K3" s="12">
        <v>4067.8199999999997</v>
      </c>
      <c r="L3" s="12">
        <v>161701.83000000002</v>
      </c>
      <c r="M3" s="12">
        <v>2596</v>
      </c>
      <c r="N3" s="10" t="s">
        <v>22</v>
      </c>
      <c r="O3" s="10" t="s">
        <v>23</v>
      </c>
      <c r="P3" s="10" t="s">
        <v>37</v>
      </c>
      <c r="Q3" s="10" t="s">
        <v>38</v>
      </c>
      <c r="R3" s="10" t="s">
        <v>39</v>
      </c>
      <c r="S3" s="10" t="s">
        <v>40</v>
      </c>
    </row>
    <row r="4" spans="1:19" x14ac:dyDescent="0.25">
      <c r="A4" s="6" t="s">
        <v>18</v>
      </c>
      <c r="B4" s="7" t="str">
        <f t="shared" si="0"/>
        <v>105600220002</v>
      </c>
      <c r="C4" s="6">
        <v>10560022</v>
      </c>
      <c r="D4" s="6" t="s">
        <v>28</v>
      </c>
      <c r="E4" s="6" t="s">
        <v>13</v>
      </c>
      <c r="F4" s="6" t="s">
        <v>14</v>
      </c>
      <c r="G4" s="6">
        <v>1056</v>
      </c>
      <c r="H4" s="6" t="s">
        <v>15</v>
      </c>
      <c r="I4" s="6" t="s">
        <v>16</v>
      </c>
      <c r="J4" s="9">
        <v>46037</v>
      </c>
      <c r="K4" s="7">
        <v>11695.060000000001</v>
      </c>
      <c r="L4" s="7">
        <v>506698.94460856798</v>
      </c>
      <c r="M4" s="7">
        <v>8578</v>
      </c>
      <c r="N4" s="6" t="s">
        <v>22</v>
      </c>
      <c r="O4" s="6" t="s">
        <v>24</v>
      </c>
      <c r="P4" s="10" t="s">
        <v>33</v>
      </c>
      <c r="Q4" s="10" t="s">
        <v>34</v>
      </c>
      <c r="R4" s="10" t="s">
        <v>35</v>
      </c>
      <c r="S4" s="10" t="s">
        <v>36</v>
      </c>
    </row>
    <row r="5" spans="1:19" x14ac:dyDescent="0.25">
      <c r="A5" s="10" t="s">
        <v>18</v>
      </c>
      <c r="B5" s="7" t="str">
        <f t="shared" si="0"/>
        <v>105600260002</v>
      </c>
      <c r="C5" s="10">
        <v>10560026</v>
      </c>
      <c r="D5" s="10" t="s">
        <v>28</v>
      </c>
      <c r="E5" s="10" t="s">
        <v>21</v>
      </c>
      <c r="F5" s="10" t="s">
        <v>14</v>
      </c>
      <c r="G5" s="10">
        <v>1056</v>
      </c>
      <c r="H5" s="10" t="s">
        <v>15</v>
      </c>
      <c r="I5" s="10" t="s">
        <v>16</v>
      </c>
      <c r="J5" s="11">
        <v>46037</v>
      </c>
      <c r="K5" s="12">
        <v>6067.26</v>
      </c>
      <c r="L5" s="12">
        <v>243461.28551260798</v>
      </c>
      <c r="M5" s="12">
        <v>4839</v>
      </c>
      <c r="N5" s="10" t="s">
        <v>22</v>
      </c>
      <c r="O5" s="10" t="s">
        <v>24</v>
      </c>
      <c r="P5" s="10" t="s">
        <v>37</v>
      </c>
      <c r="Q5" s="10" t="s">
        <v>38</v>
      </c>
      <c r="R5" s="10" t="s">
        <v>39</v>
      </c>
      <c r="S5" s="10" t="s">
        <v>40</v>
      </c>
    </row>
    <row r="6" spans="1:19" x14ac:dyDescent="0.25">
      <c r="A6" s="6" t="s">
        <v>19</v>
      </c>
      <c r="B6" s="7" t="str">
        <f t="shared" si="0"/>
        <v>105600220002</v>
      </c>
      <c r="C6" s="6">
        <v>10560022</v>
      </c>
      <c r="D6" s="6" t="s">
        <v>28</v>
      </c>
      <c r="E6" s="6" t="s">
        <v>13</v>
      </c>
      <c r="F6" s="6" t="s">
        <v>14</v>
      </c>
      <c r="G6" s="6">
        <v>1056</v>
      </c>
      <c r="H6" s="6" t="s">
        <v>15</v>
      </c>
      <c r="I6" s="6" t="s">
        <v>16</v>
      </c>
      <c r="J6" s="9">
        <v>46037</v>
      </c>
      <c r="K6" s="7">
        <v>8172.4400000000005</v>
      </c>
      <c r="L6" s="7">
        <v>347697.44435231597</v>
      </c>
      <c r="M6" s="7">
        <v>5393</v>
      </c>
      <c r="N6" s="6" t="s">
        <v>22</v>
      </c>
      <c r="O6" s="6" t="s">
        <v>25</v>
      </c>
      <c r="P6" s="10" t="s">
        <v>33</v>
      </c>
      <c r="Q6" s="10" t="s">
        <v>34</v>
      </c>
      <c r="R6" s="10" t="s">
        <v>35</v>
      </c>
      <c r="S6" s="10" t="s">
        <v>36</v>
      </c>
    </row>
    <row r="7" spans="1:19" x14ac:dyDescent="0.25">
      <c r="A7" s="3" t="s">
        <v>20</v>
      </c>
      <c r="B7" s="4"/>
      <c r="C7" s="4"/>
      <c r="D7" s="4"/>
      <c r="E7" s="4"/>
      <c r="F7" s="4"/>
      <c r="G7" s="4"/>
      <c r="H7" s="4"/>
      <c r="I7" s="4"/>
      <c r="J7" s="4"/>
      <c r="K7" s="5">
        <f>SUM(K2:K6)</f>
        <v>39217.300000000003</v>
      </c>
      <c r="L7" s="5">
        <f>SUM(L2:L6)</f>
        <v>1653418.914473492</v>
      </c>
      <c r="M7" s="5">
        <f>SUM(M2:M6)</f>
        <v>27593</v>
      </c>
      <c r="N7" s="4"/>
      <c r="O7" s="4"/>
    </row>
  </sheetData>
  <conditionalFormatting sqref="Q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2026-09-05T04:52:59Z</dcterms:created>
  <dcterms:modified xsi:type="dcterms:W3CDTF">2026-09-05T05:56:12Z</dcterms:modified>
</cp:coreProperties>
</file>