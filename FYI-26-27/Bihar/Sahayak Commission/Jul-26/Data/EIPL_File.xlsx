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489373D9-71E9-4C73-A167-FB05E30AA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6" r:id="rId1"/>
    <sheet name="Sheet1" sheetId="4" r:id="rId2"/>
    <sheet name="Sheet2" sheetId="5" r:id="rId3"/>
  </sheets>
  <definedNames>
    <definedName name="_xlnm._FilterDatabase" localSheetId="1" hidden="1">Sheet1!$A$2:$X$220</definedName>
    <definedName name="_xlnm.Print_Area" localSheetId="1">Sheet1!#REF!</definedName>
  </definedNames>
  <calcPr calcId="191029"/>
  <pivotCaches>
    <pivotCache cacheId="6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F5" i="4"/>
  <c r="F220" i="4"/>
  <c r="F219" i="4"/>
  <c r="F218" i="4"/>
  <c r="F217" i="4"/>
  <c r="F216" i="4"/>
  <c r="F215" i="4"/>
  <c r="G215" i="4" s="1"/>
  <c r="F214" i="4"/>
  <c r="F213" i="4"/>
  <c r="F212" i="4"/>
  <c r="F211" i="4"/>
  <c r="F210" i="4"/>
  <c r="F209" i="4"/>
  <c r="F208" i="4"/>
  <c r="F207" i="4"/>
  <c r="G207" i="4" s="1"/>
  <c r="F206" i="4"/>
  <c r="F205" i="4"/>
  <c r="F204" i="4"/>
  <c r="G204" i="4" s="1"/>
  <c r="F203" i="4"/>
  <c r="G203" i="4" s="1"/>
  <c r="F202" i="4"/>
  <c r="F201" i="4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F189" i="4"/>
  <c r="F188" i="4"/>
  <c r="F187" i="4"/>
  <c r="F186" i="4"/>
  <c r="F185" i="4"/>
  <c r="F184" i="4"/>
  <c r="F183" i="4"/>
  <c r="G183" i="4" s="1"/>
  <c r="F182" i="4"/>
  <c r="G182" i="4" s="1"/>
  <c r="F181" i="4"/>
  <c r="F180" i="4"/>
  <c r="F179" i="4"/>
  <c r="G179" i="4" s="1"/>
  <c r="F178" i="4"/>
  <c r="F177" i="4"/>
  <c r="F176" i="4"/>
  <c r="G176" i="4" s="1"/>
  <c r="F175" i="4"/>
  <c r="G175" i="4" s="1"/>
  <c r="F174" i="4"/>
  <c r="F173" i="4"/>
  <c r="G173" i="4" s="1"/>
  <c r="F172" i="4"/>
  <c r="G172" i="4" s="1"/>
  <c r="F171" i="4"/>
  <c r="G171" i="4" s="1"/>
  <c r="F170" i="4"/>
  <c r="G170" i="4" s="1"/>
  <c r="F169" i="4"/>
  <c r="F168" i="4"/>
  <c r="F167" i="4"/>
  <c r="F166" i="4"/>
  <c r="G166" i="4" s="1"/>
  <c r="F165" i="4"/>
  <c r="G165" i="4" s="1"/>
  <c r="F164" i="4"/>
  <c r="F163" i="4"/>
  <c r="F162" i="4"/>
  <c r="G162" i="4" s="1"/>
  <c r="F161" i="4"/>
  <c r="G161" i="4" s="1"/>
  <c r="F160" i="4"/>
  <c r="G160" i="4" s="1"/>
  <c r="F159" i="4"/>
  <c r="G159" i="4" s="1"/>
  <c r="F158" i="4"/>
  <c r="F157" i="4"/>
  <c r="F156" i="4"/>
  <c r="F155" i="4"/>
  <c r="F154" i="4"/>
  <c r="F153" i="4"/>
  <c r="G153" i="4" s="1"/>
  <c r="F152" i="4"/>
  <c r="F151" i="4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F142" i="4"/>
  <c r="F141" i="4"/>
  <c r="F140" i="4"/>
  <c r="G140" i="4" s="1"/>
  <c r="F139" i="4"/>
  <c r="G139" i="4" s="1"/>
  <c r="F138" i="4"/>
  <c r="G138" i="4" s="1"/>
  <c r="F137" i="4"/>
  <c r="F136" i="4"/>
  <c r="G136" i="4" s="1"/>
  <c r="F135" i="4"/>
  <c r="F134" i="4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F74" i="4"/>
  <c r="F73" i="4"/>
  <c r="G73" i="4" s="1"/>
  <c r="F72" i="4"/>
  <c r="G72" i="4" s="1"/>
  <c r="F71" i="4"/>
  <c r="F70" i="4"/>
  <c r="G70" i="4" s="1"/>
  <c r="F69" i="4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G41" i="4"/>
  <c r="F40" i="4"/>
  <c r="G40" i="4" s="1"/>
  <c r="F39" i="4"/>
  <c r="G39" i="4" s="1"/>
  <c r="F38" i="4"/>
  <c r="G38" i="4" s="1"/>
  <c r="F37" i="4"/>
  <c r="F36" i="4"/>
  <c r="F35" i="4"/>
  <c r="G35" i="4" s="1"/>
  <c r="F34" i="4"/>
  <c r="G34" i="4" s="1"/>
  <c r="F33" i="4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F25" i="4"/>
  <c r="G25" i="4" s="1"/>
  <c r="F24" i="4"/>
  <c r="G24" i="4" s="1"/>
  <c r="F23" i="4"/>
  <c r="G23" i="4" s="1"/>
  <c r="F22" i="4"/>
  <c r="G22" i="4" s="1"/>
  <c r="F21" i="4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F12" i="4"/>
  <c r="F11" i="4"/>
  <c r="F10" i="4"/>
  <c r="F9" i="4"/>
  <c r="G9" i="4" s="1"/>
  <c r="F8" i="4"/>
  <c r="F7" i="4"/>
  <c r="F6" i="4"/>
  <c r="G3" i="4"/>
  <c r="U220" i="4" l="1"/>
  <c r="B95" i="4" l="1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<sst xmlns="http://schemas.openxmlformats.org/spreadsheetml/2006/main" count="2171" uniqueCount="550">
  <si>
    <t xml:space="preserve">Manish Kumar </t>
  </si>
  <si>
    <t>Complaint_Datetime</t>
  </si>
  <si>
    <t>31-01-2026 15:41:26</t>
  </si>
  <si>
    <t>29-01-2026 17:26:08</t>
  </si>
  <si>
    <t>29-01-2026 16:40:42</t>
  </si>
  <si>
    <t>27-01-2026 14:29:49</t>
  </si>
  <si>
    <t>27-01-2026 15:47:34</t>
  </si>
  <si>
    <t>24-01-2026 16:09:31</t>
  </si>
  <si>
    <t>21-01-2026 13:53:34</t>
  </si>
  <si>
    <t>19-01-2026 16:00:35</t>
  </si>
  <si>
    <t>19-01-2026 10:30:18</t>
  </si>
  <si>
    <t>19-01-2026 15:55:34</t>
  </si>
  <si>
    <t>17-01-2026 14:32:26</t>
  </si>
  <si>
    <t>17-01-2026 14:01:41</t>
  </si>
  <si>
    <t>16-01-2026 16:18:19</t>
  </si>
  <si>
    <t>13-01-2026 13:36:23</t>
  </si>
  <si>
    <t>12-01-2026 16:50:04</t>
  </si>
  <si>
    <t>12-01-2026 10:37:50</t>
  </si>
  <si>
    <t>07-01-2026 16:22:20</t>
  </si>
  <si>
    <t>07-01-2026 17:16:52</t>
  </si>
  <si>
    <t>07-01-2026 16:29:42</t>
  </si>
  <si>
    <t>07-01-2026 21:25:50</t>
  </si>
  <si>
    <t>05-01-2026 17:13:45</t>
  </si>
  <si>
    <t>05-01-2026 16:00:45</t>
  </si>
  <si>
    <t>05-01-2026 16:05:54</t>
  </si>
  <si>
    <t>05-01-2026 16:03:28</t>
  </si>
  <si>
    <t>05-01-2026 16:10:29</t>
  </si>
  <si>
    <t>03-01-2026 16:10:54</t>
  </si>
  <si>
    <t>28-02-2026 11:13:12</t>
  </si>
  <si>
    <t>27-02-2026 20:07:06</t>
  </si>
  <si>
    <t>27-02-2026 18:27:19</t>
  </si>
  <si>
    <t>27-02-2026 17:21:16</t>
  </si>
  <si>
    <t>26-02-2026 16:02:09</t>
  </si>
  <si>
    <t>26-02-2026 14:28:48</t>
  </si>
  <si>
    <t>25-02-2026 16:13:09</t>
  </si>
  <si>
    <t>24-02-2026 16:15:09</t>
  </si>
  <si>
    <t>23-02-2026 16:20:34</t>
  </si>
  <si>
    <t>20-02-2026 16:21:40</t>
  </si>
  <si>
    <t>19-02-2026 15:28:36</t>
  </si>
  <si>
    <t>19-02-2026 15:17:00</t>
  </si>
  <si>
    <t>18-02-2026 17:06:45</t>
  </si>
  <si>
    <t>17-02-2026 18:47:39</t>
  </si>
  <si>
    <t>17-02-2026 15:31:32</t>
  </si>
  <si>
    <t>16-02-2026 15:53:19</t>
  </si>
  <si>
    <t>16-02-2026 15:51:36</t>
  </si>
  <si>
    <t>14-02-2026 14:21:23</t>
  </si>
  <si>
    <t>14-02-2026 15:29:31</t>
  </si>
  <si>
    <t>14-02-2026 11:52:30</t>
  </si>
  <si>
    <t>13-02-2026 17:14:26</t>
  </si>
  <si>
    <t>12-02-2026 15:54:49</t>
  </si>
  <si>
    <t>12-02-2026 14:34:29</t>
  </si>
  <si>
    <t>11-02-2026 15:36:34</t>
  </si>
  <si>
    <t>10-02-2026 18:04:47</t>
  </si>
  <si>
    <t>10-02-2026 18:08:53</t>
  </si>
  <si>
    <t>10-02-2026 15:15:26</t>
  </si>
  <si>
    <t>07-02-2026 13:11:33</t>
  </si>
  <si>
    <t>05-02-2026 14:18:17</t>
  </si>
  <si>
    <t>05-02-2026 16:15:54</t>
  </si>
  <si>
    <t>04-02-2026 10:12:30</t>
  </si>
  <si>
    <t>04-02-2026 16:46:03</t>
  </si>
  <si>
    <t>04-02-2026 14:47:55</t>
  </si>
  <si>
    <t>04-02-2026 16:39:36</t>
  </si>
  <si>
    <t>04-02-2026 14:46:54</t>
  </si>
  <si>
    <t>04-02-2026 10:13:57</t>
  </si>
  <si>
    <t>04-02-2026 14:46:14</t>
  </si>
  <si>
    <t>04-02-2026 10:16:50</t>
  </si>
  <si>
    <t>04-02-2026 16:52:57</t>
  </si>
  <si>
    <t>04-02-2026 16:18:59</t>
  </si>
  <si>
    <t>04-02-2026 10:32:29</t>
  </si>
  <si>
    <t>03-02-2026 16:19:06</t>
  </si>
  <si>
    <t>03-02-2026 16:18:44</t>
  </si>
  <si>
    <t>02-02-2026 16:29:31</t>
  </si>
  <si>
    <t>Month</t>
  </si>
  <si>
    <t>State</t>
  </si>
  <si>
    <t>Type</t>
  </si>
  <si>
    <t>Bihar</t>
  </si>
  <si>
    <t>MPG</t>
  </si>
  <si>
    <t>BMC</t>
  </si>
  <si>
    <t>Jharkhand</t>
  </si>
  <si>
    <t>VLCC_Code</t>
  </si>
  <si>
    <t>BMC Name</t>
  </si>
  <si>
    <t>GOMUKH MISROLIYA</t>
  </si>
  <si>
    <t>musrigharai store</t>
  </si>
  <si>
    <t>Musrigharari</t>
  </si>
  <si>
    <t>Gomukh Bochaha</t>
  </si>
  <si>
    <t>DalsinghSarai</t>
  </si>
  <si>
    <t>Pandra</t>
  </si>
  <si>
    <t>Itki</t>
  </si>
  <si>
    <t xml:space="preserve">aure </t>
  </si>
  <si>
    <t>Jounapur</t>
  </si>
  <si>
    <t xml:space="preserve">kishanpur </t>
  </si>
  <si>
    <t>pahlampur</t>
  </si>
  <si>
    <t xml:space="preserve">maliya </t>
  </si>
  <si>
    <t>Sonvarsha</t>
  </si>
  <si>
    <t>Gomukh Akaha</t>
  </si>
  <si>
    <t>Ramanath pur</t>
  </si>
  <si>
    <t>Dighiya</t>
  </si>
  <si>
    <t xml:space="preserve"> jhaura tabhak</t>
  </si>
  <si>
    <t xml:space="preserve">jakhaur </t>
  </si>
  <si>
    <t>Subhanipur</t>
  </si>
  <si>
    <t>005</t>
  </si>
  <si>
    <t>BMC asarganj</t>
  </si>
  <si>
    <t>GOMUKH BANGHARA</t>
  </si>
  <si>
    <t>GAMHARIYA</t>
  </si>
  <si>
    <t>gomukh Muskipur</t>
  </si>
  <si>
    <t>Satogachi</t>
  </si>
  <si>
    <t>Jaadi</t>
  </si>
  <si>
    <t>GOMUKH PATHAKTOL</t>
  </si>
  <si>
    <t>Khajuri</t>
  </si>
  <si>
    <t>ALAULI BMC</t>
  </si>
  <si>
    <t xml:space="preserve">Etachildri </t>
  </si>
  <si>
    <t>Gomukh Icharua</t>
  </si>
  <si>
    <t>gomukh fateha salempur</t>
  </si>
  <si>
    <t xml:space="preserve">Mahida sahpur </t>
  </si>
  <si>
    <t>Gomukh Jagdishpur</t>
  </si>
  <si>
    <t>Beri</t>
  </si>
  <si>
    <t xml:space="preserve">RAJAPUR </t>
  </si>
  <si>
    <t>thebhay</t>
  </si>
  <si>
    <t>MSK chatmadih</t>
  </si>
  <si>
    <t>Asarganj</t>
  </si>
  <si>
    <t>Gomukh Jhajha</t>
  </si>
  <si>
    <t>Khesrahiya</t>
  </si>
  <si>
    <t>GOMUKH CHAKIRDI</t>
  </si>
  <si>
    <t>Mordiwa east</t>
  </si>
  <si>
    <t>sabikpur</t>
  </si>
  <si>
    <t>Laldiyara</t>
  </si>
  <si>
    <t>pacham</t>
  </si>
  <si>
    <t>sherpur narsari east</t>
  </si>
  <si>
    <t>jahagirpur salkhanni</t>
  </si>
  <si>
    <t>sondahi</t>
  </si>
  <si>
    <t>Badiya</t>
  </si>
  <si>
    <t>Narayanpur</t>
  </si>
  <si>
    <t>singarpur</t>
  </si>
  <si>
    <t>sangrampur</t>
  </si>
  <si>
    <t xml:space="preserve">batta rampur </t>
  </si>
  <si>
    <t>0013</t>
  </si>
  <si>
    <t>In Bmc Halsi</t>
  </si>
  <si>
    <t>Halsi</t>
  </si>
  <si>
    <t>Salemabad S kamal bmc</t>
  </si>
  <si>
    <t>Sahibpur Kamal</t>
  </si>
  <si>
    <t xml:space="preserve">Phulwariya S Kamal </t>
  </si>
  <si>
    <t xml:space="preserve"> tirgunj</t>
  </si>
  <si>
    <t>Gomukh nirpur</t>
  </si>
  <si>
    <t>Bero</t>
  </si>
  <si>
    <t>Gomukh Kaudesari</t>
  </si>
  <si>
    <t>Dumraon</t>
  </si>
  <si>
    <t>Gomukh Dumariya  Bujura Madhay</t>
  </si>
  <si>
    <t>Parbatta</t>
  </si>
  <si>
    <t xml:space="preserve">gangasarai </t>
  </si>
  <si>
    <t>simri BMC</t>
  </si>
  <si>
    <t xml:space="preserve">dumari </t>
  </si>
  <si>
    <t>prashpur kadwa gomukh</t>
  </si>
  <si>
    <t>Jhandapur</t>
  </si>
  <si>
    <t xml:space="preserve">virupur </t>
  </si>
  <si>
    <t>MSK MPG gauripur</t>
  </si>
  <si>
    <t>katahra</t>
  </si>
  <si>
    <t>juwsh</t>
  </si>
  <si>
    <t>Gomukh Arariya Ward No 9</t>
  </si>
  <si>
    <t>losghani</t>
  </si>
  <si>
    <t>Nista tol</t>
  </si>
  <si>
    <t>Contact_Person</t>
  </si>
  <si>
    <t xml:space="preserve">vinay kumar </t>
  </si>
  <si>
    <t>prakash</t>
  </si>
  <si>
    <t xml:space="preserve"> sopander ray</t>
  </si>
  <si>
    <t>Ravi Gop</t>
  </si>
  <si>
    <t xml:space="preserve">Amit Tiwari </t>
  </si>
  <si>
    <t xml:space="preserve">Raushan Kumar </t>
  </si>
  <si>
    <t>Lalan singh</t>
  </si>
  <si>
    <t>surendu bhaskar</t>
  </si>
  <si>
    <t>bhavesh kumar</t>
  </si>
  <si>
    <t xml:space="preserve">Ram bachan yadav </t>
  </si>
  <si>
    <t>chandan</t>
  </si>
  <si>
    <t xml:space="preserve">Birjnandan thakur </t>
  </si>
  <si>
    <t>Sohel Ansari</t>
  </si>
  <si>
    <t xml:space="preserve">Adita Kumar </t>
  </si>
  <si>
    <t xml:space="preserve">Niraj Singh </t>
  </si>
  <si>
    <t>Anik kumar</t>
  </si>
  <si>
    <t>Dheeraj Kumar</t>
  </si>
  <si>
    <t xml:space="preserve">DHARAMVIR </t>
  </si>
  <si>
    <t>BHUSAN KUMAR</t>
  </si>
  <si>
    <t xml:space="preserve">Bablu yadav </t>
  </si>
  <si>
    <t>Mithun Kumar</t>
  </si>
  <si>
    <t>shushila devi</t>
  </si>
  <si>
    <t>Anuj Kumar Singh</t>
  </si>
  <si>
    <t>AMIT KUMAR</t>
  </si>
  <si>
    <t>Sanju devi</t>
  </si>
  <si>
    <t xml:space="preserve">Ram Ratan Prasad </t>
  </si>
  <si>
    <t>Ramesh kumar</t>
  </si>
  <si>
    <t xml:space="preserve">Aaryan kumar </t>
  </si>
  <si>
    <t xml:space="preserve">Ajay Tiwari </t>
  </si>
  <si>
    <t>pavan ray</t>
  </si>
  <si>
    <t xml:space="preserve">Birbal Rai </t>
  </si>
  <si>
    <t xml:space="preserve">saurabh kumar </t>
  </si>
  <si>
    <t>Vidya prasad singh</t>
  </si>
  <si>
    <t>Bishekha</t>
  </si>
  <si>
    <t>Nitesh Kumar</t>
  </si>
  <si>
    <t>kamni kumari</t>
  </si>
  <si>
    <t xml:space="preserve"> vivek </t>
  </si>
  <si>
    <t>vikash Kumar</t>
  </si>
  <si>
    <t xml:space="preserve">ramdayal yadav </t>
  </si>
  <si>
    <t>girdhari jha</t>
  </si>
  <si>
    <t>piriyanka</t>
  </si>
  <si>
    <t>ranjeeb singh</t>
  </si>
  <si>
    <t>Pinkesh kumar</t>
  </si>
  <si>
    <t>CHANDAN</t>
  </si>
  <si>
    <t xml:space="preserve">yogesh yadav </t>
  </si>
  <si>
    <t>Arun kumar</t>
  </si>
  <si>
    <t xml:space="preserve">kanhaiya kumar </t>
  </si>
  <si>
    <t>kunal kumar dev</t>
  </si>
  <si>
    <t xml:space="preserve">Sushila devi </t>
  </si>
  <si>
    <t>SAROJ DEVI</t>
  </si>
  <si>
    <t>Muna</t>
  </si>
  <si>
    <t>Vijay ray</t>
  </si>
  <si>
    <t xml:space="preserve">Ganesh Mahtha </t>
  </si>
  <si>
    <t xml:space="preserve">Ramakant Singh </t>
  </si>
  <si>
    <t>Aanand Shankar</t>
  </si>
  <si>
    <t xml:space="preserve">amarjit kumar </t>
  </si>
  <si>
    <t>Ankit Kumar</t>
  </si>
  <si>
    <t xml:space="preserve">shiv kumar </t>
  </si>
  <si>
    <t>Nawal kishor rai</t>
  </si>
  <si>
    <t>Chandan Kumar</t>
  </si>
  <si>
    <t xml:space="preserve">sanjiv Kumar </t>
  </si>
  <si>
    <t xml:space="preserve">mairtyumjay Kumar </t>
  </si>
  <si>
    <t>Shard kumar</t>
  </si>
  <si>
    <t>Rinku devi</t>
  </si>
  <si>
    <t>vakil yadav</t>
  </si>
  <si>
    <t>Contact_Person_No</t>
  </si>
  <si>
    <t>machine</t>
  </si>
  <si>
    <t>EKOMILK ULTRA PRO ANALYSER</t>
  </si>
  <si>
    <t>WEIGHING SCALE 60 KG</t>
  </si>
  <si>
    <t>Everest Smart Tab-based Android Terminal (Table-top) with Inbuilt Printer</t>
  </si>
  <si>
    <t>STIRRER UNIT EV5600</t>
  </si>
  <si>
    <t>serial_no</t>
  </si>
  <si>
    <t>E-17127304</t>
  </si>
  <si>
    <t>GTD-23060367</t>
  </si>
  <si>
    <t>GE-19122123</t>
  </si>
  <si>
    <t>GTD-23060338</t>
  </si>
  <si>
    <t>GTD-23060345</t>
  </si>
  <si>
    <t>E-17116790</t>
  </si>
  <si>
    <t>GS-23104583</t>
  </si>
  <si>
    <t>SN/E00384723</t>
  </si>
  <si>
    <t>s-17095698</t>
  </si>
  <si>
    <t>GNE-22102070</t>
  </si>
  <si>
    <t>E-17116788</t>
  </si>
  <si>
    <t>S-17106422</t>
  </si>
  <si>
    <t>e-17127306</t>
  </si>
  <si>
    <t>E-17127228</t>
  </si>
  <si>
    <t>GTD-23060341</t>
  </si>
  <si>
    <t>GTD-23060369</t>
  </si>
  <si>
    <t>E-17127324</t>
  </si>
  <si>
    <t>GTD-23111293</t>
  </si>
  <si>
    <t>GTD-23060317</t>
  </si>
  <si>
    <t>GNE-23114076</t>
  </si>
  <si>
    <t>GS-23033782</t>
  </si>
  <si>
    <t>GNE-23024408</t>
  </si>
  <si>
    <t>gs-22121174</t>
  </si>
  <si>
    <t>GS-23011720</t>
  </si>
  <si>
    <t>SN/E00396092</t>
  </si>
  <si>
    <t>GTD-23014085</t>
  </si>
  <si>
    <t>SN/E00399034</t>
  </si>
  <si>
    <t>ge-20033997</t>
  </si>
  <si>
    <t>S-22033322</t>
  </si>
  <si>
    <t>gtd-23024210</t>
  </si>
  <si>
    <t>E-17116770</t>
  </si>
  <si>
    <t>GTD-23014018</t>
  </si>
  <si>
    <t>GTD-23014057</t>
  </si>
  <si>
    <t>GNE-23114072</t>
  </si>
  <si>
    <t>GTD-23014089</t>
  </si>
  <si>
    <t>GNE-23061058</t>
  </si>
  <si>
    <t>GNE-23024440</t>
  </si>
  <si>
    <t>GTD-23060378</t>
  </si>
  <si>
    <t>SN/E00390594</t>
  </si>
  <si>
    <t>GNE-23024458</t>
  </si>
  <si>
    <t>GNE-23114035</t>
  </si>
  <si>
    <t>E-17116836</t>
  </si>
  <si>
    <t>GNE-22102066</t>
  </si>
  <si>
    <t>E-214082361</t>
  </si>
  <si>
    <t>GTD-23013855</t>
  </si>
  <si>
    <t>GNE-23061081</t>
  </si>
  <si>
    <t>GNE-23024441</t>
  </si>
  <si>
    <t>Replace Parts</t>
  </si>
  <si>
    <t>SAP Code</t>
  </si>
  <si>
    <t>Invoice No</t>
  </si>
  <si>
    <t>Invoice Date</t>
  </si>
  <si>
    <t>Ekomilk Sieringe With Plunger</t>
  </si>
  <si>
    <t>RM00530</t>
  </si>
  <si>
    <t>AR2526E4580</t>
  </si>
  <si>
    <t>EWS Battery Backup SMPS (BBLC)</t>
  </si>
  <si>
    <t>RM00241</t>
  </si>
  <si>
    <t>Connector 5 Pin Metal M/F</t>
  </si>
  <si>
    <t>RM00727</t>
  </si>
  <si>
    <t>DPU DC To DC Converter 12V To 5V</t>
  </si>
  <si>
    <t>RM00493</t>
  </si>
  <si>
    <t>Battery 3.7V/2600Mah</t>
  </si>
  <si>
    <t>RM00980</t>
  </si>
  <si>
    <t>AR2526E4579</t>
  </si>
  <si>
    <t>Fatscan Motor Pump Pipe</t>
  </si>
  <si>
    <t>SF00147</t>
  </si>
  <si>
    <t>Ekomilk Keyboard</t>
  </si>
  <si>
    <t>RM00512</t>
  </si>
  <si>
    <t>Keyboard For Weighing Scale (Repaired)</t>
  </si>
  <si>
    <t>SF00048</t>
  </si>
  <si>
    <t>Stirrer Timer PCB</t>
  </si>
  <si>
    <t>RM00478</t>
  </si>
  <si>
    <t>Fatscan Sensor to Syringe Pipe</t>
  </si>
  <si>
    <t>SF00146</t>
  </si>
  <si>
    <t>Fatscan " Y " Pipe</t>
  </si>
  <si>
    <t>SF00145</t>
  </si>
  <si>
    <t>Ekomilk Air Bubble</t>
  </si>
  <si>
    <t>RM00509</t>
  </si>
  <si>
    <t>Ekomilk Transformer</t>
  </si>
  <si>
    <t>RM00508</t>
  </si>
  <si>
    <t>DPU Thermal Printer EPM 207</t>
  </si>
  <si>
    <t>RM00282</t>
  </si>
  <si>
    <t>WI-FI SERIAL DEVICE WITH EXTERNAL POWER SUPPLY (WI-SENSE)</t>
  </si>
  <si>
    <t>SF00082</t>
  </si>
  <si>
    <t>AR2526E5034</t>
  </si>
  <si>
    <t>SWS Motherboard (Version 1.1)</t>
  </si>
  <si>
    <t>RM00973</t>
  </si>
  <si>
    <t>AR2526E5065</t>
  </si>
  <si>
    <t>Stirrer Power Board</t>
  </si>
  <si>
    <t>RM00477</t>
  </si>
  <si>
    <t>Keyboard For Weighing Scale New Design</t>
  </si>
  <si>
    <t>RM01176</t>
  </si>
  <si>
    <t>Stirrer Pencil Type Sensor</t>
  </si>
  <si>
    <t>RM00479</t>
  </si>
  <si>
    <t>Ekomilk Motorpump Set New</t>
  </si>
  <si>
    <t>TR00181</t>
  </si>
  <si>
    <t>Fatscan Pro Transformer</t>
  </si>
  <si>
    <t>RM01625</t>
  </si>
  <si>
    <t>EWZ MOTHERBOARD FOR WS</t>
  </si>
  <si>
    <t>RM01596</t>
  </si>
  <si>
    <t>Load Cell 100 Kg 60310</t>
  </si>
  <si>
    <t>RM00006</t>
  </si>
  <si>
    <t>Weighing Scale Motherboard Old</t>
  </si>
  <si>
    <t>RM00420</t>
  </si>
  <si>
    <t>Ekomilk LCD Display</t>
  </si>
  <si>
    <t>RM00511</t>
  </si>
  <si>
    <t>Rate</t>
  </si>
  <si>
    <t>Basic</t>
  </si>
  <si>
    <t>GST</t>
  </si>
  <si>
    <t>Total</t>
  </si>
  <si>
    <t>Recoverable</t>
  </si>
  <si>
    <t>Remarks2</t>
  </si>
  <si>
    <t>Running</t>
  </si>
  <si>
    <t>NA</t>
  </si>
  <si>
    <t>Status not confirmed</t>
  </si>
  <si>
    <t>24-03-2026 12:28:41</t>
  </si>
  <si>
    <t>24-03-2026 15:04:55</t>
  </si>
  <si>
    <t>23-03-2026 18:26:45</t>
  </si>
  <si>
    <t>21-03-2026 17:02:25</t>
  </si>
  <si>
    <t>16-03-2026 11:33:57</t>
  </si>
  <si>
    <t>16-03-2026 17:00:51</t>
  </si>
  <si>
    <t>12-03-2026 12:55:40</t>
  </si>
  <si>
    <t>12-03-2026 16:28:12</t>
  </si>
  <si>
    <t>11-03-2026 14:03:43</t>
  </si>
  <si>
    <t>11-03-2026 15:46:41</t>
  </si>
  <si>
    <t>07-03-2026 13:51:14</t>
  </si>
  <si>
    <t>06-03-2026 20:30:26</t>
  </si>
  <si>
    <t>02-03-2026 16:40:03</t>
  </si>
  <si>
    <t>02-03-2026 17:09:11</t>
  </si>
  <si>
    <t>28-02-2026 17:08:34</t>
  </si>
  <si>
    <t>28-02-2026 17:02:50</t>
  </si>
  <si>
    <t>28-02-2026 17:23:53</t>
  </si>
  <si>
    <t>RAHIMPUR DAKSHIN</t>
  </si>
  <si>
    <t>ENGLISH DUBAULI</t>
  </si>
  <si>
    <t>Mathar word 10 bmc S kamal</t>
  </si>
  <si>
    <t>SAHIYAR</t>
  </si>
  <si>
    <t>saidpur</t>
  </si>
  <si>
    <t>songar</t>
  </si>
  <si>
    <t>GOMUKH BELAUR</t>
  </si>
  <si>
    <t xml:space="preserve">SIMARI RAMPATTI </t>
  </si>
  <si>
    <t>mahdatpur</t>
  </si>
  <si>
    <t>Ghatoh east</t>
  </si>
  <si>
    <t>M S K Manikpur</t>
  </si>
  <si>
    <t xml:space="preserve">Gomukh Kanhaiyachak pachhim </t>
  </si>
  <si>
    <t>Gomukh Pahadpur</t>
  </si>
  <si>
    <t>Gomukh Fatepur</t>
  </si>
  <si>
    <t>ANANDPUR</t>
  </si>
  <si>
    <t>KASISH</t>
  </si>
  <si>
    <t>Akshay kumar Yadav</t>
  </si>
  <si>
    <t>Satish Kumar Thakur</t>
  </si>
  <si>
    <t>rambaran yadav</t>
  </si>
  <si>
    <t>reena</t>
  </si>
  <si>
    <t>INDRAJEET YADAV</t>
  </si>
  <si>
    <t xml:space="preserve">Amit Kumar Pandey </t>
  </si>
  <si>
    <t>Sunil Kumar</t>
  </si>
  <si>
    <t>Pinki Kumari</t>
  </si>
  <si>
    <t>Pritam kumar</t>
  </si>
  <si>
    <t>Sanjeev Kumar</t>
  </si>
  <si>
    <t>Arvind Pal</t>
  </si>
  <si>
    <t xml:space="preserve">GAUTAM KUMAR </t>
  </si>
  <si>
    <t xml:space="preserve">rabit kumar </t>
  </si>
  <si>
    <t>GTD-23013979</t>
  </si>
  <si>
    <t>SN/E00389865</t>
  </si>
  <si>
    <t>FatScan Pro Analyzer (4 para) with Standard Accessories (AISI 304 0.75 mm thickness)</t>
  </si>
  <si>
    <t>AD-25100819</t>
  </si>
  <si>
    <t>GTD-23013854</t>
  </si>
  <si>
    <t>GTD-23024195</t>
  </si>
  <si>
    <t>s-22040031</t>
  </si>
  <si>
    <t>GNE-23024403</t>
  </si>
  <si>
    <t>GTD-23024135</t>
  </si>
  <si>
    <t>Fatscan ABS Body Plunger</t>
  </si>
  <si>
    <t>Ekomilk Bush</t>
  </si>
  <si>
    <t>FatScan Double Sensor Measuring Mini PCB (4 para) with Sensor (Repaired)</t>
  </si>
  <si>
    <t>WiFi Serial Device (Wysence)</t>
  </si>
  <si>
    <t>RM01811</t>
  </si>
  <si>
    <t>RM00510</t>
  </si>
  <si>
    <t>SF00130</t>
  </si>
  <si>
    <t>SF00056</t>
  </si>
  <si>
    <t>VLCC_Name</t>
  </si>
  <si>
    <t>BIHRAURA</t>
  </si>
  <si>
    <t>MALIYA</t>
  </si>
  <si>
    <t>RAMO PATTI</t>
  </si>
  <si>
    <t>SUHANIPUR</t>
  </si>
  <si>
    <t>NAUWAGARHI</t>
  </si>
  <si>
    <t>JANGALI TOL</t>
  </si>
  <si>
    <t>JAHAGIRPUR</t>
  </si>
  <si>
    <t>FATIKA RMC</t>
  </si>
  <si>
    <t>PAHALANPUR</t>
  </si>
  <si>
    <t>TR00182</t>
  </si>
  <si>
    <t>RM01371</t>
  </si>
  <si>
    <t>RM01787</t>
  </si>
  <si>
    <t>EKOMILK AIR BUBBLE</t>
  </si>
  <si>
    <t>EKOMILK MOTORPUMP SET NEW</t>
  </si>
  <si>
    <t>SWS MOTHERBOARD (VERSION 1.1)</t>
  </si>
  <si>
    <t>BATTERY 3.7V/2600MAH</t>
  </si>
  <si>
    <t>EKOMILK BUSH</t>
  </si>
  <si>
    <t>FATSCAN MOTOR PUMP PIPE</t>
  </si>
  <si>
    <t>EKO SYRINGE WITH PLUNGER (EACH)</t>
  </si>
  <si>
    <t>DPU DC TO DC CONVERTER 12V TO 5V</t>
  </si>
  <si>
    <t>FATSCAN "Y" PIPE</t>
  </si>
  <si>
    <t>FATSCAN DOUBLE SENSOR MEASURING MINI PCB (4 PARA) WITH SENSOR (REPAIRED)</t>
  </si>
  <si>
    <t>KEYBOARD FOR WEIGHING SCALE NEW DESIGN (VER.2)</t>
  </si>
  <si>
    <t>SITAPUR</t>
  </si>
  <si>
    <t>GOMUKH GANGAULI</t>
  </si>
  <si>
    <t>DHAKAICH</t>
  </si>
  <si>
    <t>GOMUKH ARMA</t>
  </si>
  <si>
    <t>SIMRI</t>
  </si>
  <si>
    <t>SAHED</t>
  </si>
  <si>
    <t>GORIYARI</t>
  </si>
  <si>
    <t>MAIDA</t>
  </si>
  <si>
    <t>MEGHAUL -2</t>
  </si>
  <si>
    <t>SHRI BHAIRAB</t>
  </si>
  <si>
    <t>CHATMADIH</t>
  </si>
  <si>
    <t>SURATPUR</t>
  </si>
  <si>
    <t>BASKI</t>
  </si>
  <si>
    <t>JARI</t>
  </si>
  <si>
    <t>CHAUTHAM</t>
  </si>
  <si>
    <t>LAXMIPUR</t>
  </si>
  <si>
    <t>RAHUAA</t>
  </si>
  <si>
    <t>CHAUTHAM STORE</t>
  </si>
  <si>
    <t>BARGARI</t>
  </si>
  <si>
    <t>GAWPUR</t>
  </si>
  <si>
    <t>MURTO</t>
  </si>
  <si>
    <t>PALI</t>
  </si>
  <si>
    <t>DANDARI</t>
  </si>
  <si>
    <t>MISROLIYA</t>
  </si>
  <si>
    <t>GHAGRA</t>
  </si>
  <si>
    <t>NARAYANA PUR</t>
  </si>
  <si>
    <t>DESHRA</t>
  </si>
  <si>
    <t>BHNPUR</t>
  </si>
  <si>
    <t>FATIKGRAM</t>
  </si>
  <si>
    <t>TERO</t>
  </si>
  <si>
    <t>BISBASPUR</t>
  </si>
  <si>
    <t>ARUNDA</t>
  </si>
  <si>
    <t>SRIKRISHNAPUR</t>
  </si>
  <si>
    <t>TARANAGAR</t>
  </si>
  <si>
    <t>DAMMINA</t>
  </si>
  <si>
    <t>ALAMPUR</t>
  </si>
  <si>
    <t>MAHDATPUR</t>
  </si>
  <si>
    <t>MPG NAME :-</t>
  </si>
  <si>
    <t>SARAIYA</t>
  </si>
  <si>
    <t>MAHENDARPUR</t>
  </si>
  <si>
    <t>BACHAUTA</t>
  </si>
  <si>
    <t>LAHUARA</t>
  </si>
  <si>
    <t>MATHURAPUR</t>
  </si>
  <si>
    <t>DHIRA</t>
  </si>
  <si>
    <t>SHIAPUR</t>
  </si>
  <si>
    <t>MUSRIGHARARI</t>
  </si>
  <si>
    <t>GOMUKH RAKSHANAGAR TOLA</t>
  </si>
  <si>
    <t>ADAMPPUR</t>
  </si>
  <si>
    <t>RAMAIYA</t>
  </si>
  <si>
    <t>HATBELE</t>
  </si>
  <si>
    <t>NARICHA</t>
  </si>
  <si>
    <t>KALYANPUR MADHURAPUR</t>
  </si>
  <si>
    <t>HALSI</t>
  </si>
  <si>
    <t>KASIMPUR</t>
  </si>
  <si>
    <t>RANIGANJA</t>
  </si>
  <si>
    <t>SHARUA</t>
  </si>
  <si>
    <t>NATUNGRAM</t>
  </si>
  <si>
    <t>KUMARPUR</t>
  </si>
  <si>
    <t>PASHIMMAPUR</t>
  </si>
  <si>
    <t>RADHANAGAR</t>
  </si>
  <si>
    <t>DUMRAON</t>
  </si>
  <si>
    <t>SONVARSHA</t>
  </si>
  <si>
    <t>PIRAGUTU</t>
  </si>
  <si>
    <t>MANJHAUL</t>
  </si>
  <si>
    <t>ASARGANJ</t>
  </si>
  <si>
    <t>ITKI</t>
  </si>
  <si>
    <t>SAHEBPURKAMAL</t>
  </si>
  <si>
    <t>LALDIYRA</t>
  </si>
  <si>
    <t>UCHALAN</t>
  </si>
  <si>
    <t>ARASUL</t>
  </si>
  <si>
    <t>BACHRA</t>
  </si>
  <si>
    <t>ARARIA</t>
  </si>
  <si>
    <t>RAMPUR MATIHANI</t>
  </si>
  <si>
    <t>ALAULI</t>
  </si>
  <si>
    <t>KOACHMALI</t>
  </si>
  <si>
    <t>WAINA</t>
  </si>
  <si>
    <t>KALYANPUR</t>
  </si>
  <si>
    <t>SINGRAPUR</t>
  </si>
  <si>
    <t>RM01810</t>
  </si>
  <si>
    <t>RM01090</t>
  </si>
  <si>
    <t>RM01543</t>
  </si>
  <si>
    <t>RM01040</t>
  </si>
  <si>
    <t>RM01658</t>
  </si>
  <si>
    <t>RM00529</t>
  </si>
  <si>
    <t>SF00144</t>
  </si>
  <si>
    <t>SF00100</t>
  </si>
  <si>
    <t>DPU THERMAL PRINTER EPM 207</t>
  </si>
  <si>
    <t>FATSCAN ABS BODY SYRINGE</t>
  </si>
  <si>
    <t>SWS DISPLAY 2*16 BIG</t>
  </si>
  <si>
    <t>EKOMILK LCD DISPLAY</t>
  </si>
  <si>
    <t>DONGLE WITH WIFI 12V (WYSENSE)</t>
  </si>
  <si>
    <t>EKOMILK KEYBOARD</t>
  </si>
  <si>
    <t>LOAD CELL 100 KG 60310</t>
  </si>
  <si>
    <t>FATSCAN SENSOR TO SYRINGE PIPE</t>
  </si>
  <si>
    <t>WEIGHING SCALE MOTHERBOARD OLD</t>
  </si>
  <si>
    <t>EWS BATTERY BACKUP SMPS(BBLC)</t>
  </si>
  <si>
    <t>FATSCAN 4PIN FEMALE CONNECTOR WITH 6" CABLE</t>
  </si>
  <si>
    <t>KEYBOARD FOR WEIGHING SCALE (REPAIRED)</t>
  </si>
  <si>
    <t>EWS BATTERY BACKUP SMPS (BBLC)</t>
  </si>
  <si>
    <t>STIRRER TIMER PCB</t>
  </si>
  <si>
    <t>EKOMILK SIERINGE ONLY</t>
  </si>
  <si>
    <t>FATSCAN 9 PIN CONNECTOR WITH CABLE</t>
  </si>
  <si>
    <t>FATSCAN ABS BODY PLUNGER</t>
  </si>
  <si>
    <t>FATSCAN DOUBLE SENSOR MEASURING MAIN PCB (4 PARA) WITH SENSOR (NEW)</t>
  </si>
  <si>
    <t>Recovery Remark</t>
  </si>
  <si>
    <t>Yes</t>
  </si>
  <si>
    <t>Under Warrenty</t>
  </si>
  <si>
    <t>No</t>
  </si>
  <si>
    <t>New Code</t>
  </si>
  <si>
    <t>Start Date</t>
  </si>
  <si>
    <t>MPG Start Dste</t>
  </si>
  <si>
    <t>WB</t>
  </si>
  <si>
    <t>Ageing</t>
  </si>
  <si>
    <t>REcovery</t>
  </si>
  <si>
    <t>Grand Total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</si>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</sst>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4009]dd/mm/yyyy;@"/>
    <numFmt numFmtId="165" formatCode="dd/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2" fillId="2" borderId="1" xfId="3" applyFont="1" applyFill="1" applyBorder="1"/>
    <xf numFmtId="1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22" fontId="0" fillId="3" borderId="1" xfId="0" applyNumberFormat="1" applyFill="1" applyBorder="1" applyAlignment="1">
      <alignment horizontal="left"/>
    </xf>
    <xf numFmtId="22" fontId="0" fillId="4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3" fillId="3" borderId="1" xfId="0" applyNumberFormat="1" applyFont="1" applyFill="1" applyBorder="1"/>
    <xf numFmtId="0" fontId="3" fillId="5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9" fontId="4" fillId="4" borderId="1" xfId="3" applyFont="1" applyFill="1" applyBorder="1"/>
    <xf numFmtId="9" fontId="3" fillId="5" borderId="1" xfId="3" applyFont="1" applyFill="1" applyBorder="1"/>
    <xf numFmtId="43" fontId="4" fillId="4" borderId="1" xfId="2" applyFont="1" applyFill="1" applyBorder="1"/>
    <xf numFmtId="43" fontId="3" fillId="5" borderId="1" xfId="2" applyFont="1" applyFill="1" applyBorder="1"/>
    <xf numFmtId="0" fontId="0" fillId="4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7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left"/>
    </xf>
    <xf numFmtId="0" fontId="0" fillId="6" borderId="1" xfId="0" applyFill="1" applyBorder="1"/>
    <xf numFmtId="43" fontId="0" fillId="0" borderId="0" xfId="0" applyNumberFormat="1"/>
    <xf numFmtId="15" fontId="4" fillId="4" borderId="1" xfId="3" applyNumberFormat="1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6" fillId="4" borderId="0" xfId="0" applyNumberFormat="1" applyFont="1" applyFill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0" fontId="0" fillId="0" borderId="0" xfId="0" pivotButton="1"/>
    <xf numFmtId="0" fontId="7" fillId="7" borderId="2" xfId="0" applyFont="1" applyFill="1" applyBorder="1"/>
    <xf numFmtId="0" fontId="7" fillId="7" borderId="3" xfId="0" applyFont="1" applyFill="1" applyBorder="1"/>
  </cellXfs>
  <cellStyles count="4">
    <cellStyle name="Comma" xfId="2" builtinId="3"/>
    <cellStyle name="Comma 2" xfId="1" xr:uid="{00000000-0005-0000-0000-000001000000}"/>
    <cellStyle name="Normal" xfId="0" builtinId="0"/>
    <cellStyle name="Percent" xfId="3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0EEE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7.424012037038" createdVersion="8" refreshedVersion="8" minRefreshableVersion="3" recordCount="217" xr:uid="{8D6B48B2-DBAE-457F-B349-B5EE66B2FE9B}">
  <cacheSource type="worksheet">
    <worksheetSource ref="A2:X219" sheet="Sheet1"/>
  </cacheSource>
  <cacheFields count="24">
    <cacheField name="Complaint_Datetime" numFmtId="0">
      <sharedItems containsDate="1" containsMixedTypes="1" minDate="2026-04-15T11:25:20" maxDate="2026-05-30T14:53:27"/>
    </cacheField>
    <cacheField name="Month" numFmtId="0">
      <sharedItems containsDate="1" containsMixedTypes="1" minDate="2026-03-01T00:00:00" maxDate="2026-05-02T00:00:00"/>
    </cacheField>
    <cacheField name="State" numFmtId="0">
      <sharedItems count="3">
        <s v="Bihar"/>
        <s v="Jharkhand"/>
        <s v="WB"/>
      </sharedItems>
    </cacheField>
    <cacheField name="Type" numFmtId="0">
      <sharedItems/>
    </cacheField>
    <cacheField name="VLCC_Code" numFmtId="0">
      <sharedItems containsMixedTypes="1" containsNumber="1" containsInteger="1" minValue="0" maxValue="30300007" count="137">
        <n v="10130115"/>
        <n v="1013"/>
        <n v="10120094"/>
        <n v="20020004"/>
        <n v="2001"/>
        <n v="1050"/>
        <n v="10120022"/>
        <n v="10130001"/>
        <n v="10030080"/>
        <n v="10060049"/>
        <n v="10130077"/>
        <n v="10120029"/>
        <n v="20010017"/>
        <n v="10120089"/>
        <n v="10020026"/>
        <n v="10120001"/>
        <s v="005"/>
        <n v="10120121"/>
        <n v="10110140"/>
        <n v="10030034"/>
        <n v="10120012"/>
        <n v="20020002"/>
        <n v="10120114"/>
        <n v="10120006"/>
        <n v="1054"/>
        <n v="20010016"/>
        <n v="10110099"/>
        <n v="10080086"/>
        <n v="10010142"/>
        <n v="10140185"/>
        <n v="10120083"/>
        <n v="10140020"/>
        <n v="10100054"/>
        <n v="10030003"/>
        <n v="10030059"/>
        <n v="10130016"/>
        <n v="10130116"/>
        <n v="10120104"/>
        <n v="10020005"/>
        <n v="10020076"/>
        <n v="10130093"/>
        <n v="10130046"/>
        <n v="10090009"/>
        <n v="10120024"/>
        <n v="10120051"/>
        <n v="10020079"/>
        <n v="10060090"/>
        <n v="10060032"/>
        <s v="0013"/>
        <n v="10110069"/>
        <n v="9788"/>
        <n v="10120095"/>
        <n v="10130091"/>
        <n v="20010003"/>
        <n v="10140159"/>
        <n v="10100016"/>
        <n v="10020059"/>
        <n v="1012"/>
        <n v="10020025"/>
        <n v="10480001"/>
        <n v="10020029"/>
        <n v="10400001"/>
        <n v="10030075"/>
        <n v="10020023"/>
        <n v="10100038"/>
        <n v="10060116"/>
        <n v="10110073"/>
        <n v="10110106"/>
        <n v="10140007"/>
        <n v="10110055"/>
        <n v="10140003"/>
        <n v="10030082"/>
        <n v="10130052"/>
        <n v="10540042"/>
        <n v="10140041"/>
        <n v="10360001"/>
        <n v="10120065"/>
        <n v="10310001"/>
        <n v="10100009"/>
        <n v="10140129"/>
        <n v="10110050"/>
        <n v="10060031"/>
        <n v="10090063"/>
        <n v="10350001"/>
        <n v="10110164"/>
        <n v="30130001"/>
        <n v="30090003"/>
        <n v="30200002"/>
        <n v="10140012"/>
        <n v="10140099"/>
        <n v="10060026"/>
        <n v="20070006"/>
        <n v="10010038"/>
        <n v="10010149"/>
        <n v="10010148"/>
        <n v="10010140"/>
        <n v="10120071"/>
        <n v="20020005"/>
        <n v="1056"/>
        <n v="10130044"/>
        <n v="10130008"/>
        <n v="20020014"/>
        <n v="10130098"/>
        <n v="20010027"/>
        <n v="20020001"/>
        <n v="10110007"/>
        <n v="10110095"/>
        <n v="20010036"/>
        <n v="30190004"/>
        <n v="10020042"/>
        <n v="30031613"/>
        <n v="20010041"/>
        <n v="10220001"/>
        <n v="1860"/>
        <n v="213"/>
        <n v="2512"/>
        <n v="30031657"/>
        <n v="30090002"/>
        <n v="10070053"/>
        <n v="10110001"/>
        <n v="10110097"/>
        <n v="10090049"/>
        <n v="10540034"/>
        <n v="10090038"/>
        <n v="30020004"/>
        <n v="10140137"/>
        <n v="30040003"/>
        <n v="10120107"/>
        <n v="30140001"/>
        <n v="30250002"/>
        <n v="1053"/>
        <n v="1009009"/>
        <n v="30140032"/>
        <n v="0"/>
        <n v="30300007"/>
        <n v="30030016"/>
        <n v="30240006"/>
      </sharedItems>
    </cacheField>
    <cacheField name="MPG Start Dste" numFmtId="165">
      <sharedItems containsDate="1" containsMixedTypes="1" minDate="2017-09-01T00:00:00" maxDate="2026-04-01T00:00:00"/>
    </cacheField>
    <cacheField name="Ageing" numFmtId="0">
      <sharedItems containsString="0" containsBlank="1" containsNumber="1" minValue="0.653773148151231" maxValue="3191.6128240740727"/>
    </cacheField>
    <cacheField name="VLCC_Name" numFmtId="0">
      <sharedItems/>
    </cacheField>
    <cacheField name="BMC Name" numFmtId="0">
      <sharedItems containsBlank="1" containsMixedTypes="1" containsNumber="1" containsInteger="1" minValue="1056" maxValue="1056"/>
    </cacheField>
    <cacheField name="Contact_Person" numFmtId="0">
      <sharedItems containsBlank="1"/>
    </cacheField>
    <cacheField name="Contact_Person_No" numFmtId="0">
      <sharedItems containsString="0" containsBlank="1" containsNumber="1" containsInteger="1" minValue="6201859567" maxValue="9973808926"/>
    </cacheField>
    <cacheField name="machine" numFmtId="0">
      <sharedItems containsBlank="1"/>
    </cacheField>
    <cacheField name="serial_no" numFmtId="0">
      <sharedItems containsBlank="1" containsMixedTypes="1" containsNumber="1" containsInteger="1" minValue="183572" maxValue="2352041"/>
    </cacheField>
    <cacheField name="Replace Parts" numFmtId="0">
      <sharedItems/>
    </cacheField>
    <cacheField name="SAP Code" numFmtId="0">
      <sharedItems/>
    </cacheField>
    <cacheField name="Invoice No" numFmtId="0">
      <sharedItems containsBlank="1"/>
    </cacheField>
    <cacheField name="Invoice Date" numFmtId="0">
      <sharedItems containsNonDate="0" containsDate="1" containsString="0" containsBlank="1" minDate="2026-03-18T00:00:00" maxDate="2026-03-29T00:00:00"/>
    </cacheField>
    <cacheField name="Rate" numFmtId="0">
      <sharedItems containsSemiMixedTypes="0" containsString="0" containsNumber="1" containsInteger="1" minValue="44" maxValue="12500"/>
    </cacheField>
    <cacheField name="Basic" numFmtId="0">
      <sharedItems containsString="0" containsBlank="1" containsNumber="1" containsInteger="1" minValue="44" maxValue="12500"/>
    </cacheField>
    <cacheField name="GST" numFmtId="0">
      <sharedItems containsSemiMixedTypes="0" containsString="0" containsNumber="1" minValue="7.92" maxValue="2250"/>
    </cacheField>
    <cacheField name="Total" numFmtId="0">
      <sharedItems containsSemiMixedTypes="0" containsString="0" containsNumber="1" minValue="51.92" maxValue="14750"/>
    </cacheField>
    <cacheField name="Recoverable" numFmtId="0">
      <sharedItems containsBlank="1"/>
    </cacheField>
    <cacheField name="Remarks2" numFmtId="0">
      <sharedItems containsBlank="1"/>
    </cacheField>
    <cacheField name="Recovery Remark" numFmtId="0">
      <sharedItems containsBlank="1" count="5">
        <s v="Yes"/>
        <s v="REcovery"/>
        <m/>
        <s v="No"/>
        <s v="Under Warren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31-01-2026 15:41:26"/>
    <s v="Jan-26"/>
    <x v="0"/>
    <s v="MPG"/>
    <x v="0"/>
    <d v="2026-01-31T00:00:00"/>
    <n v="0.653773148151231"/>
    <s v="GOMUKH MISROLIYA"/>
    <m/>
    <s v="vinay kumar "/>
    <n v="7082651043"/>
    <s v="EKOMILK ULTRA PRO ANALYSER"/>
    <n v="277509"/>
    <s v="Ekomilk Sieringe With Plunger"/>
    <s v="RM00530"/>
    <s v="AR2526E4580"/>
    <d v="2026-03-18T00:00:00"/>
    <n v="70"/>
    <n v="70"/>
    <n v="12.6"/>
    <n v="82.6"/>
    <s v="Running"/>
    <s v="Running"/>
    <x v="0"/>
  </r>
  <r>
    <s v="31-01-2026 15:41:26"/>
    <s v="Jan-26"/>
    <x v="0"/>
    <s v="MPG"/>
    <x v="0"/>
    <d v="2026-01-31T00:00:00"/>
    <n v="0.653773148151231"/>
    <s v="GOMUKH MISROLIYA"/>
    <m/>
    <s v="vinay kumar "/>
    <n v="7082651043"/>
    <s v="EKOMILK ULTRA PRO ANALYSER"/>
    <n v="277509"/>
    <s v="Ekomilk Sieringe With Plunger"/>
    <s v="RM00530"/>
    <s v="AR2526E4580"/>
    <d v="2026-03-18T00:00:00"/>
    <n v="70"/>
    <n v="70"/>
    <n v="12.6"/>
    <n v="82.6"/>
    <s v="Running"/>
    <s v="Running"/>
    <x v="0"/>
  </r>
  <r>
    <s v="29-01-2026 17:26:08"/>
    <s v="Jan-26"/>
    <x v="0"/>
    <s v="BMC"/>
    <x v="1"/>
    <s v=""/>
    <m/>
    <s v="musrigharai store"/>
    <s v="Musrigharari"/>
    <s v="prakash"/>
    <n v="9608956246"/>
    <s v="WEIGHING SCALE 60 KG"/>
    <s v="E-17127304"/>
    <s v="EWS Battery Backup SMPS (BBLC)"/>
    <s v="RM00241"/>
    <s v="AR2526E4580"/>
    <d v="2026-03-18T00:00:00"/>
    <n v="825"/>
    <n v="825"/>
    <n v="148.5"/>
    <n v="973.5"/>
    <s v="NA"/>
    <s v="NA"/>
    <x v="0"/>
  </r>
  <r>
    <s v="29-01-2026 17:26:08"/>
    <s v="Jan-26"/>
    <x v="0"/>
    <s v="BMC"/>
    <x v="1"/>
    <s v=""/>
    <m/>
    <s v="musrigharai store"/>
    <s v="Musrigharari"/>
    <s v="prakash"/>
    <n v="9608956246"/>
    <s v="WEIGHING SCALE 60 KG"/>
    <s v="E-17127304"/>
    <s v="Connector 5 Pin Metal M/F"/>
    <s v="RM00727"/>
    <s v="AR2526E4580"/>
    <d v="2026-03-18T00:00:00"/>
    <n v="225"/>
    <n v="225"/>
    <n v="40.5"/>
    <n v="265.5"/>
    <s v="NA"/>
    <s v="NA"/>
    <x v="0"/>
  </r>
  <r>
    <s v="29-01-2026 16:40:42"/>
    <s v="Jan-26"/>
    <x v="0"/>
    <s v="BMC"/>
    <x v="1"/>
    <s v=""/>
    <m/>
    <s v="musrigharai store"/>
    <s v="Musrigharari"/>
    <s v="prakash"/>
    <n v="9608956246"/>
    <s v="Everest Smart Tab-based Android Terminal (Table-top) with Inbuilt Printer"/>
    <s v="GTD-23060367"/>
    <s v="DPU DC To DC Converter 12V To 5V"/>
    <s v="RM00493"/>
    <s v="AR2526E4580"/>
    <d v="2026-03-18T00:00:00"/>
    <n v="780"/>
    <n v="780"/>
    <n v="140.4"/>
    <n v="920.4"/>
    <s v="NA"/>
    <s v="NA"/>
    <x v="0"/>
  </r>
  <r>
    <s v="29-01-2026 16:40:42"/>
    <s v="Jan-26"/>
    <x v="0"/>
    <s v="BMC"/>
    <x v="1"/>
    <s v=""/>
    <m/>
    <s v="musrigharai store"/>
    <s v="Musrigharari"/>
    <s v="prakash"/>
    <n v="9608956246"/>
    <s v="Everest Smart Tab-based Android Terminal (Table-top) with Inbuilt Printer"/>
    <s v="GTD-23060367"/>
    <s v="Battery 3.7V/2600Mah"/>
    <s v="RM00980"/>
    <s v="AR2526E4580"/>
    <d v="2026-03-18T00:00:00"/>
    <n v="350"/>
    <n v="350"/>
    <n v="63"/>
    <n v="413"/>
    <s v="NA"/>
    <s v="NA"/>
    <x v="0"/>
  </r>
  <r>
    <s v="27-01-2026 14:29:49"/>
    <s v="Jan-26"/>
    <x v="0"/>
    <s v="MPG"/>
    <x v="2"/>
    <d v="2025-01-09T00:00:00"/>
    <n v="383.60403935184877"/>
    <s v="Gomukh Bochaha"/>
    <s v="DalsinghSarai"/>
    <s v=" sopander ray"/>
    <n v="9939074043"/>
    <s v="WEIGHING SCALE 60 KG"/>
    <s v="GE-19122123"/>
    <s v="Connector 5 Pin Metal M/F"/>
    <s v="RM00727"/>
    <s v="AR2526E4580"/>
    <d v="2026-03-18T00:00:00"/>
    <n v="225"/>
    <n v="225"/>
    <n v="40.5"/>
    <n v="265.5"/>
    <s v="Running"/>
    <s v="Running"/>
    <x v="1"/>
  </r>
  <r>
    <s v="27-01-2026 15:47:34"/>
    <s v="Jan-26"/>
    <x v="1"/>
    <s v="MPG"/>
    <x v="3"/>
    <s v=""/>
    <m/>
    <s v="Pandra"/>
    <m/>
    <s v="Ravi Gop"/>
    <n v="6206527757"/>
    <s v="Everest Smart Tab-based Android Terminal (Table-top) with Inbuilt Printer"/>
    <s v="GTD-23060338"/>
    <s v="Battery 3.7V/2600Mah"/>
    <s v="RM00980"/>
    <s v="AR2526E4579"/>
    <d v="2026-03-18T00:00:00"/>
    <n v="350"/>
    <n v="350"/>
    <n v="63"/>
    <n v="413"/>
    <s v="Running"/>
    <s v="Running"/>
    <x v="0"/>
  </r>
  <r>
    <s v="24-01-2026 16:09:31"/>
    <s v="Jan-26"/>
    <x v="1"/>
    <s v="MPG"/>
    <x v="4"/>
    <s v=""/>
    <m/>
    <s v="Itki"/>
    <m/>
    <s v="Amit Tiwari "/>
    <n v="8210761749"/>
    <s v="Everest Smart Tab-based Android Terminal (Table-top) with Inbuilt Printer"/>
    <s v="GTD-23060345"/>
    <s v="Battery 3.7V/2600Mah"/>
    <s v="RM00980"/>
    <s v="AR2526E4579"/>
    <d v="2026-03-18T00:00:00"/>
    <n v="350"/>
    <n v="350"/>
    <n v="63"/>
    <n v="413"/>
    <s v="Running"/>
    <s v="Running"/>
    <x v="0"/>
  </r>
  <r>
    <s v="21-01-2026 13:53:34"/>
    <s v="Jan-26"/>
    <x v="0"/>
    <s v="MPG"/>
    <x v="5"/>
    <s v=""/>
    <m/>
    <s v="aure "/>
    <m/>
    <s v="Raushan Kumar "/>
    <n v="8877986410"/>
    <s v="EKOMILK ULTRA PRO ANALYSER"/>
    <n v="362915"/>
    <s v="Fatscan Motor Pump Pipe"/>
    <s v="SF00147"/>
    <s v="AR2526E4580"/>
    <d v="2026-03-18T00:00:00"/>
    <n v="125"/>
    <n v="125"/>
    <n v="22.5"/>
    <n v="147.5"/>
    <s v="Running"/>
    <s v="Running"/>
    <x v="0"/>
  </r>
  <r>
    <s v="21-01-2026 13:53:34"/>
    <s v="Jan-26"/>
    <x v="0"/>
    <s v="MPG"/>
    <x v="5"/>
    <s v=""/>
    <m/>
    <s v="aure "/>
    <m/>
    <s v="Raushan Kumar "/>
    <n v="8877986410"/>
    <s v="EKOMILK ULTRA PRO ANALYSER"/>
    <n v="362915"/>
    <s v="Fatscan Motor Pump Pipe"/>
    <s v="SF00147"/>
    <s v="AR2526E4580"/>
    <d v="2026-03-18T00:00:00"/>
    <n v="125"/>
    <n v="125"/>
    <n v="22.5"/>
    <n v="147.5"/>
    <s v="Running"/>
    <s v="Running"/>
    <x v="0"/>
  </r>
  <r>
    <s v="19-01-2026 16:00:35"/>
    <s v="Jan-26"/>
    <x v="0"/>
    <s v="MPG"/>
    <x v="6"/>
    <d v="2020-12-19T00:00:00"/>
    <n v="1857.6670717592569"/>
    <s v="Jounapur"/>
    <s v="DalsinghSarai"/>
    <s v="Lalan singh"/>
    <n v="9973808926"/>
    <s v="EKOMILK ULTRA PRO ANALYSER"/>
    <n v="322529"/>
    <s v="Ekomilk Keyboard"/>
    <s v="RM00512"/>
    <s v="AR2526E4580"/>
    <d v="2026-03-18T00:00:00"/>
    <n v="770"/>
    <n v="770"/>
    <n v="138.6"/>
    <n v="908.6"/>
    <s v="Running"/>
    <s v="Running"/>
    <x v="1"/>
  </r>
  <r>
    <s v="19-01-2026 10:30:18"/>
    <s v="Jan-26"/>
    <x v="0"/>
    <s v="MPG"/>
    <x v="7"/>
    <d v="2019-06-06T00:00:00"/>
    <n v="2419.4377083333311"/>
    <s v="kishanpur "/>
    <m/>
    <s v="surendu bhaskar"/>
    <n v="9504393173"/>
    <s v="WEIGHING SCALE 60 KG"/>
    <s v="E-17116790"/>
    <s v="Keyboard For Weighing Scale (Repaired)"/>
    <s v="SF00048"/>
    <s v="AR2526E4580"/>
    <d v="2026-03-18T00:00:00"/>
    <n v="360"/>
    <n v="360"/>
    <n v="64.8"/>
    <n v="424.8"/>
    <s v="Running"/>
    <s v="Running"/>
    <x v="1"/>
  </r>
  <r>
    <s v="19-01-2026 15:55:34"/>
    <s v="Jan-26"/>
    <x v="0"/>
    <s v="MPG"/>
    <x v="8"/>
    <d v="2025-11-26T00:00:00"/>
    <n v="54.663587962961174"/>
    <s v="pahlampur"/>
    <m/>
    <s v="bhavesh kumar"/>
    <n v="9546351286"/>
    <s v="STIRRER UNIT EV5600"/>
    <s v="GS-23104583"/>
    <s v="Stirrer Timer PCB"/>
    <s v="RM00478"/>
    <s v="AR2526E4580"/>
    <d v="2026-03-18T00:00:00"/>
    <n v="900"/>
    <n v="900"/>
    <n v="162"/>
    <n v="1062"/>
    <s v="Running"/>
    <s v="Running"/>
    <x v="0"/>
  </r>
  <r>
    <s v="17-01-2026 14:32:26"/>
    <s v="Jan-26"/>
    <x v="0"/>
    <s v="MPG"/>
    <x v="9"/>
    <d v="2023-12-07T00:00:00"/>
    <n v="772.60585648148117"/>
    <s v="maliya "/>
    <s v="Sonvarsha"/>
    <s v="Ram bachan yadav "/>
    <n v="9693036091"/>
    <s v="EKOMILK ULTRA PRO ANALYSER"/>
    <s v="SN/E00384723"/>
    <s v="Fatscan Sensor to Syringe Pipe"/>
    <s v="SF00146"/>
    <s v="AR2526E4580"/>
    <d v="2026-03-18T00:00:00"/>
    <n v="44"/>
    <n v="44"/>
    <n v="7.92"/>
    <n v="51.92"/>
    <s v="Running"/>
    <s v="Running"/>
    <x v="1"/>
  </r>
  <r>
    <s v="17-01-2026 14:32:26"/>
    <s v="Jan-26"/>
    <x v="0"/>
    <s v="MPG"/>
    <x v="9"/>
    <d v="2023-12-07T00:00:00"/>
    <n v="772.60585648148117"/>
    <s v="maliya "/>
    <s v="Sonvarsha"/>
    <s v="Ram bachan yadav "/>
    <n v="9693036091"/>
    <s v="EKOMILK ULTRA PRO ANALYSER"/>
    <s v="SN/E00384723"/>
    <s v="Fatscan Sensor to Syringe Pipe"/>
    <s v="SF00146"/>
    <s v="AR2526E4580"/>
    <d v="2026-03-18T00:00:00"/>
    <n v="44"/>
    <n v="44"/>
    <n v="7.92"/>
    <n v="51.92"/>
    <s v="Running"/>
    <s v="Running"/>
    <x v="1"/>
  </r>
  <r>
    <s v="17-01-2026 14:01:41"/>
    <s v="Jan-26"/>
    <x v="0"/>
    <s v="MPG"/>
    <x v="10"/>
    <d v="2024-12-05T00:00:00"/>
    <n v="408.58450231481402"/>
    <s v="Gomukh Akaha"/>
    <m/>
    <s v="chandan"/>
    <n v="9891852345"/>
    <s v="STIRRER UNIT EV5600"/>
    <s v="s-17095698"/>
    <s v="Stirrer Timer PCB"/>
    <s v="RM00478"/>
    <s v="AR2526E4580"/>
    <d v="2026-03-18T00:00:00"/>
    <n v="900"/>
    <n v="900"/>
    <n v="162"/>
    <n v="1062"/>
    <s v="Running"/>
    <s v="Running"/>
    <x v="1"/>
  </r>
  <r>
    <s v="16-01-2026 16:18:19"/>
    <s v="Jan-26"/>
    <x v="0"/>
    <s v="MPG"/>
    <x v="11"/>
    <d v="2022-06-17T00:00:00"/>
    <n v="1309.6793865740765"/>
    <s v="Ramanath pur"/>
    <s v="DalsinghSarai"/>
    <s v="Birjnandan thakur "/>
    <n v="9304265355"/>
    <s v="WEIGHING SCALE 60 KG"/>
    <s v="GNE-22102070"/>
    <s v="Connector 5 Pin Metal M/F"/>
    <s v="RM00727"/>
    <s v="AR2526E4580"/>
    <d v="2026-03-18T00:00:00"/>
    <n v="225"/>
    <n v="225"/>
    <n v="40.5"/>
    <n v="265.5"/>
    <s v="Running"/>
    <s v="Running"/>
    <x v="1"/>
  </r>
  <r>
    <s v="13-01-2026 13:36:23"/>
    <s v="Jan-26"/>
    <x v="1"/>
    <s v="MPG"/>
    <x v="12"/>
    <s v=""/>
    <m/>
    <s v="Dighiya"/>
    <m/>
    <s v="Sohel Ansari"/>
    <n v="8709453609"/>
    <s v="EKOMILK ULTRA PRO ANALYSER"/>
    <n v="390572"/>
    <s v="Ekomilk Sieringe With Plunger"/>
    <s v="RM00530"/>
    <s v="AR2526E4579"/>
    <d v="2026-03-18T00:00:00"/>
    <n v="70"/>
    <n v="70"/>
    <n v="12.6"/>
    <n v="82.6"/>
    <s v="Running"/>
    <s v="Running"/>
    <x v="0"/>
  </r>
  <r>
    <s v="12-01-2026 16:50:04"/>
    <s v="Jan-26"/>
    <x v="0"/>
    <s v="MPG"/>
    <x v="13"/>
    <d v="2024-12-23T00:00:00"/>
    <n v="385.70143518518307"/>
    <s v=" jhaura tabhak"/>
    <s v="DalsinghSarai"/>
    <s v="Adita Kumar "/>
    <n v="8340433254"/>
    <s v="EKOMILK ULTRA PRO ANALYSER"/>
    <n v="310512"/>
    <s v="Fatscan &quot; Y &quot; Pipe"/>
    <s v="SF00145"/>
    <s v="AR2526E4580"/>
    <d v="2026-03-18T00:00:00"/>
    <n v="84"/>
    <n v="84"/>
    <n v="15.12"/>
    <n v="99.12"/>
    <s v="Running"/>
    <s v="Running"/>
    <x v="1"/>
  </r>
  <r>
    <s v="12-01-2026 16:50:04"/>
    <s v="Jan-26"/>
    <x v="0"/>
    <s v="MPG"/>
    <x v="13"/>
    <d v="2024-12-23T00:00:00"/>
    <n v="385.70143518518307"/>
    <s v=" jhaura tabhak"/>
    <s v="DalsinghSarai"/>
    <s v="Adita Kumar "/>
    <n v="8340433254"/>
    <s v="EKOMILK ULTRA PRO ANALYSER"/>
    <n v="310512"/>
    <s v="Ekomilk Air Bubble"/>
    <s v="RM00509"/>
    <s v="AR2526E4580"/>
    <d v="2026-03-18T00:00:00"/>
    <n v="62"/>
    <n v="62"/>
    <n v="11.16"/>
    <n v="73.16"/>
    <s v="Running"/>
    <s v="Running"/>
    <x v="1"/>
  </r>
  <r>
    <s v="12-01-2026 10:37:50"/>
    <s v="Jan-26"/>
    <x v="0"/>
    <s v="MPG"/>
    <x v="14"/>
    <d v="2022-11-01T00:00:00"/>
    <n v="1168.4429398148131"/>
    <s v="jakhaur "/>
    <m/>
    <s v="Niraj Singh "/>
    <n v="6202734219"/>
    <s v="WEIGHING SCALE 60 KG"/>
    <s v="E-17116788"/>
    <s v="EWS Battery Backup SMPS (BBLC)"/>
    <s v="RM00241"/>
    <s v="AR2526E4580"/>
    <d v="2026-03-18T00:00:00"/>
    <n v="825"/>
    <n v="825"/>
    <n v="148.5"/>
    <n v="973.5"/>
    <s v="Running"/>
    <s v="Running"/>
    <x v="1"/>
  </r>
  <r>
    <s v="07-01-2026 16:22:20"/>
    <s v="Jan-26"/>
    <x v="0"/>
    <s v="MPG"/>
    <x v="15"/>
    <d v="2019-06-06T00:00:00"/>
    <n v="2407.6821759259255"/>
    <s v="Subhanipur"/>
    <m/>
    <s v="Anik kumar"/>
    <n v="7545865422"/>
    <s v="STIRRER UNIT EV5600"/>
    <s v="S-17106422"/>
    <s v="Stirrer Timer PCB"/>
    <s v="RM00478"/>
    <s v="AR2526E4580"/>
    <d v="2026-03-18T00:00:00"/>
    <n v="900"/>
    <n v="900"/>
    <n v="162"/>
    <n v="1062"/>
    <s v="Running"/>
    <s v="Running"/>
    <x v="1"/>
  </r>
  <r>
    <s v="07-01-2026 17:16:52"/>
    <s v="Jan-26"/>
    <x v="0"/>
    <s v="BMC"/>
    <x v="16"/>
    <s v=""/>
    <m/>
    <s v="BMC asarganj"/>
    <m/>
    <s v="Dheeraj Kumar"/>
    <n v="6201859567"/>
    <s v="EKOMILK ULTRA PRO ANALYSER"/>
    <n v="183572"/>
    <s v="Ekomilk Transformer"/>
    <s v="RM00508"/>
    <s v="AR2526E4580"/>
    <d v="2026-03-18T00:00:00"/>
    <n v="2850"/>
    <n v="2850"/>
    <n v="513"/>
    <n v="3363"/>
    <s v="NA"/>
    <s v="NA"/>
    <x v="0"/>
  </r>
  <r>
    <s v="07-01-2026 16:29:42"/>
    <s v="Jan-26"/>
    <x v="0"/>
    <s v="MPG"/>
    <x v="17"/>
    <d v="2026-01-07T00:00:00"/>
    <n v="0.68729166666889796"/>
    <s v="GOMUKH BANGHARA"/>
    <s v="DalsinghSarai"/>
    <s v="DHARAMVIR "/>
    <n v="9004074976"/>
    <s v="WEIGHING SCALE 60 KG"/>
    <s v="e-17127306"/>
    <s v="EWS Battery Backup SMPS (BBLC)"/>
    <s v="RM00241"/>
    <s v="AR2526E4580"/>
    <d v="2026-03-18T00:00:00"/>
    <n v="825"/>
    <n v="825"/>
    <n v="148.5"/>
    <n v="973.5"/>
    <s v="Running"/>
    <s v="Running"/>
    <x v="0"/>
  </r>
  <r>
    <s v="07-01-2026 21:25:50"/>
    <s v="Jan-26"/>
    <x v="0"/>
    <s v="MPG"/>
    <x v="18"/>
    <d v="2025-05-09T00:00:00"/>
    <n v="243.89293981481751"/>
    <s v="GAMHARIYA"/>
    <m/>
    <s v="BHUSAN KUMAR"/>
    <n v="9570352603"/>
    <s v="EKOMILK ULTRA PRO ANALYSER"/>
    <n v="277504"/>
    <s v="Ekomilk Sieringe With Plunger"/>
    <s v="RM00530"/>
    <s v="AR2526E4580"/>
    <d v="2026-03-18T00:00:00"/>
    <n v="70"/>
    <n v="70"/>
    <n v="12.6"/>
    <n v="82.6"/>
    <s v="Status not confirmed"/>
    <s v="Status not confirmed"/>
    <x v="2"/>
  </r>
  <r>
    <s v="05-01-2026 17:13:45"/>
    <s v="Jan-26"/>
    <x v="0"/>
    <s v="MPG"/>
    <x v="19"/>
    <d v="2023-06-05T00:00:00"/>
    <n v="945.71788194444525"/>
    <s v="gomukh Muskipur"/>
    <m/>
    <s v="Bablu yadav "/>
    <n v="7050069650"/>
    <s v="EKOMILK ULTRA PRO ANALYSER"/>
    <n v="388118"/>
    <s v="Ekomilk Sieringe With Plunger"/>
    <s v="RM00530"/>
    <s v="AR2526E4580"/>
    <d v="2026-03-18T00:00:00"/>
    <n v="70"/>
    <n v="70"/>
    <n v="12.6"/>
    <n v="82.6"/>
    <s v="Running"/>
    <s v="Running"/>
    <x v="1"/>
  </r>
  <r>
    <s v="05-01-2026 17:13:45"/>
    <s v="Jan-26"/>
    <x v="0"/>
    <s v="MPG"/>
    <x v="19"/>
    <d v="2023-06-05T00:00:00"/>
    <n v="945.71788194444525"/>
    <s v="gomukh Muskipur"/>
    <m/>
    <s v="Bablu yadav "/>
    <n v="7050069650"/>
    <s v="EKOMILK ULTRA PRO ANALYSER"/>
    <n v="388118"/>
    <s v="Ekomilk Sieringe With Plunger"/>
    <s v="RM00530"/>
    <s v="AR2526E4580"/>
    <d v="2026-03-18T00:00:00"/>
    <n v="70"/>
    <n v="70"/>
    <n v="12.6"/>
    <n v="82.6"/>
    <s v="Running"/>
    <s v="Running"/>
    <x v="1"/>
  </r>
  <r>
    <s v="05-01-2026 16:00:45"/>
    <s v="Jan-26"/>
    <x v="0"/>
    <s v="MPG"/>
    <x v="20"/>
    <d v="2020-04-03T00:00:00"/>
    <n v="2103.6671875000029"/>
    <s v="Satogachi"/>
    <s v="DalsinghSarai"/>
    <s v="Mithun Kumar"/>
    <n v="8651295402"/>
    <s v="WEIGHING SCALE 60 KG"/>
    <s v="E-17127228"/>
    <s v="Connector 5 Pin Metal M/F"/>
    <s v="RM00727"/>
    <s v="AR2526E4580"/>
    <d v="2026-03-18T00:00:00"/>
    <n v="225"/>
    <n v="225"/>
    <n v="40.5"/>
    <n v="265.5"/>
    <s v="Running"/>
    <s v="Running"/>
    <x v="1"/>
  </r>
  <r>
    <s v="05-01-2026 16:00:45"/>
    <s v="Jan-26"/>
    <x v="0"/>
    <s v="MPG"/>
    <x v="20"/>
    <d v="2020-04-03T00:00:00"/>
    <n v="2103.6671875000029"/>
    <s v="Satogachi"/>
    <s v="DalsinghSarai"/>
    <s v="Mithun Kumar"/>
    <n v="8651295402"/>
    <s v="WEIGHING SCALE 60 KG"/>
    <s v="E-17127228"/>
    <s v="EWS Battery Backup SMPS (BBLC)"/>
    <s v="RM00241"/>
    <s v="AR2526E4580"/>
    <d v="2026-03-18T00:00:00"/>
    <n v="825"/>
    <n v="825"/>
    <n v="148.5"/>
    <n v="973.5"/>
    <s v="Running"/>
    <s v="Running"/>
    <x v="1"/>
  </r>
  <r>
    <s v="05-01-2026 16:05:54"/>
    <s v="Jan-26"/>
    <x v="1"/>
    <s v="MPG"/>
    <x v="21"/>
    <s v=""/>
    <m/>
    <s v="Jaadi"/>
    <m/>
    <s v="shushila devi"/>
    <n v="7061476343"/>
    <s v="Everest Smart Tab-based Android Terminal (Table-top) with Inbuilt Printer"/>
    <s v="GTD-23060341"/>
    <s v="Battery 3.7V/2600Mah"/>
    <s v="RM00980"/>
    <s v="AR2526E4579"/>
    <d v="2026-03-18T00:00:00"/>
    <n v="350"/>
    <n v="350"/>
    <n v="63"/>
    <n v="413"/>
    <s v="Running"/>
    <s v="Running"/>
    <x v="0"/>
  </r>
  <r>
    <s v="05-01-2026 16:03:28"/>
    <s v="Jan-26"/>
    <x v="0"/>
    <s v="MPG"/>
    <x v="22"/>
    <d v="2025-10-09T00:00:00"/>
    <n v="88.66907407407416"/>
    <s v="GOMUKH PATHAKTOL"/>
    <s v="DalsinghSarai"/>
    <s v="chandan"/>
    <n v="9631389655"/>
    <s v="Everest Smart Tab-based Android Terminal (Table-top) with Inbuilt Printer"/>
    <s v="GTD-23060369"/>
    <s v="DPU Thermal Printer EPM 207"/>
    <s v="RM00282"/>
    <s v="AR2526E4580"/>
    <d v="2026-03-18T00:00:00"/>
    <n v="2800"/>
    <n v="2800"/>
    <n v="504"/>
    <n v="3304"/>
    <s v="Running"/>
    <s v="Running"/>
    <x v="0"/>
  </r>
  <r>
    <s v="05-01-2026 16:10:29"/>
    <s v="Jan-26"/>
    <x v="0"/>
    <s v="MPG"/>
    <x v="23"/>
    <d v="2019-09-23T00:00:00"/>
    <n v="2296.6739467592561"/>
    <s v="Khajuri"/>
    <s v="DalsinghSarai"/>
    <s v="Anuj Kumar Singh"/>
    <n v="7033197978"/>
    <s v="WEIGHING SCALE 60 KG"/>
    <s v="E-17127324"/>
    <s v="Keyboard For Weighing Scale (Repaired)"/>
    <s v="SF00048"/>
    <s v="AR2526E4580"/>
    <d v="2026-03-18T00:00:00"/>
    <n v="360"/>
    <n v="360"/>
    <n v="64.8"/>
    <n v="424.8"/>
    <s v="Running"/>
    <s v="Running"/>
    <x v="1"/>
  </r>
  <r>
    <s v="03-01-2026 16:10:54"/>
    <s v="Jan-26"/>
    <x v="0"/>
    <s v="BMC"/>
    <x v="24"/>
    <s v=""/>
    <m/>
    <s v="ALAULI BMC"/>
    <m/>
    <s v="AMIT KUMAR"/>
    <n v="9155273222"/>
    <s v="Everest Smart Tab-based Android Terminal (Table-top) with Inbuilt Printer"/>
    <s v="GTD-23111293"/>
    <s v="WI-FI SERIAL DEVICE WITH EXTERNAL POWER SUPPLY (WI-SENSE)"/>
    <s v="SF00082"/>
    <s v="AR2526E4580"/>
    <d v="2026-03-18T00:00:00"/>
    <n v="925"/>
    <n v="925"/>
    <n v="166.5"/>
    <n v="1091.5"/>
    <s v="NA"/>
    <s v="NA"/>
    <x v="0"/>
  </r>
  <r>
    <s v="28-02-2026 11:13:12"/>
    <s v="Feb-26"/>
    <x v="1"/>
    <s v="MPG"/>
    <x v="25"/>
    <s v=""/>
    <m/>
    <s v="Etachildri "/>
    <m/>
    <s v="Sanju devi"/>
    <n v="9263601995"/>
    <s v="Everest Smart Tab-based Android Terminal (Table-top) with Inbuilt Printer"/>
    <s v="GTD-23060317"/>
    <s v="Battery 3.7V/2600Mah"/>
    <s v="RM00980"/>
    <s v="AR2526E5034"/>
    <d v="2026-03-28T00:00:00"/>
    <n v="350"/>
    <n v="350"/>
    <n v="63"/>
    <n v="413"/>
    <s v="Running"/>
    <s v="Running"/>
    <x v="0"/>
  </r>
  <r>
    <s v="27-02-2026 20:07:06"/>
    <s v="Feb-26"/>
    <x v="0"/>
    <s v="MPG"/>
    <x v="26"/>
    <d v="2024-12-27T00:00:00"/>
    <n v="427.83826388888701"/>
    <s v="Gomukh Icharua"/>
    <m/>
    <s v="Ram Ratan Prasad "/>
    <n v="8678086831"/>
    <s v="WEIGHING SCALE 60 KG"/>
    <s v="GNE-23114076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27-02-2026 18:27:19"/>
    <s v="Feb-26"/>
    <x v="0"/>
    <s v="MPG"/>
    <x v="27"/>
    <d v="2025-02-28T00:00:00"/>
    <n v="364.76896990741079"/>
    <s v="gomukh fateha salempur"/>
    <m/>
    <s v="Ramesh kumar"/>
    <n v="7631461027"/>
    <s v="STIRRER UNIT EV5600"/>
    <s v="GS-23033782"/>
    <s v="Stirrer Timer PCB"/>
    <s v="RM00478"/>
    <s v="AR2526E5065"/>
    <d v="2026-03-28T00:00:00"/>
    <n v="900"/>
    <n v="900"/>
    <n v="162"/>
    <n v="1062"/>
    <s v="Running"/>
    <s v="Running"/>
    <x v="0"/>
  </r>
  <r>
    <s v="27-02-2026 18:27:19"/>
    <s v="Feb-26"/>
    <x v="0"/>
    <s v="MPG"/>
    <x v="27"/>
    <d v="2025-02-28T00:00:00"/>
    <n v="364.76896990741079"/>
    <s v="gomukh fateha salempur"/>
    <m/>
    <s v="Ramesh kumar"/>
    <n v="7631461027"/>
    <s v="STIRRER UNIT EV5600"/>
    <s v="GS-23033782"/>
    <s v="Stirrer Power Board"/>
    <s v="RM00477"/>
    <s v="AR2526E5065"/>
    <d v="2026-03-28T00:00:00"/>
    <n v="1750"/>
    <n v="1750"/>
    <n v="315"/>
    <n v="2065"/>
    <s v="Running"/>
    <s v="Running"/>
    <x v="0"/>
  </r>
  <r>
    <s v="27-02-2026 17:21:16"/>
    <s v="Feb-26"/>
    <x v="0"/>
    <s v="MPG"/>
    <x v="28"/>
    <d v="2026-02-27T00:00:00"/>
    <n v="0.72310185185051523"/>
    <s v="Mahida sahpur "/>
    <m/>
    <s v="Aaryan kumar "/>
    <n v="8271775736"/>
    <s v="WEIGHING SCALE 60 KG"/>
    <s v="GNE-23024408"/>
    <s v="Keyboard For Weighing Scale New Design"/>
    <s v="RM01176"/>
    <s v="AR2526E5065"/>
    <d v="2026-03-28T00:00:00"/>
    <n v="1266"/>
    <n v="1266"/>
    <n v="227.88"/>
    <n v="1493.88"/>
    <s v="Status not confirmed"/>
    <s v="Status not confirmed"/>
    <x v="2"/>
  </r>
  <r>
    <s v="26-02-2026 16:02:09"/>
    <s v="Feb-26"/>
    <x v="0"/>
    <s v="MPG"/>
    <x v="29"/>
    <d v="2025-07-30T00:00:00"/>
    <n v="211.66815972221957"/>
    <s v="Gomukh Jagdishpur"/>
    <m/>
    <s v="Ajay Tiwari "/>
    <n v="8252882294"/>
    <s v="STIRRER UNIT EV5600"/>
    <s v="gs-22121174"/>
    <s v="Stirrer Timer PCB"/>
    <s v="RM00478"/>
    <s v="AR2526E5065"/>
    <d v="2026-03-28T00:00:00"/>
    <n v="900"/>
    <n v="900"/>
    <n v="162"/>
    <n v="1062"/>
    <s v="Running"/>
    <s v="Running"/>
    <x v="3"/>
  </r>
  <r>
    <s v="26-02-2026 16:02:09"/>
    <s v="Feb-26"/>
    <x v="0"/>
    <s v="MPG"/>
    <x v="29"/>
    <d v="2025-07-30T00:00:00"/>
    <n v="211.66815972221957"/>
    <s v="Gomukh Jagdishpur"/>
    <m/>
    <s v="Ajay Tiwari "/>
    <n v="8252882294"/>
    <s v="STIRRER UNIT EV5600"/>
    <s v="gs-22121174"/>
    <s v="Stirrer Pencil Type Sensor"/>
    <s v="RM00479"/>
    <s v="AR2526E5065"/>
    <d v="2026-03-28T00:00:00"/>
    <n v="2500"/>
    <n v="2500"/>
    <n v="450"/>
    <n v="2950"/>
    <s v="Running"/>
    <s v="Running"/>
    <x v="3"/>
  </r>
  <r>
    <s v="26-02-2026 14:28:48"/>
    <s v="Feb-26"/>
    <x v="0"/>
    <s v="MPG"/>
    <x v="30"/>
    <d v="2024-08-26T00:00:00"/>
    <n v="549.60333333333256"/>
    <s v="Beri"/>
    <s v="DalsinghSarai"/>
    <s v="pavan ray"/>
    <n v="9262776421"/>
    <s v="STIRRER UNIT EV5600"/>
    <s v="GS-23011720"/>
    <s v="Stirrer Timer PCB"/>
    <s v="RM00478"/>
    <s v="AR2526E5065"/>
    <d v="2026-03-28T00:00:00"/>
    <n v="900"/>
    <n v="900"/>
    <n v="162"/>
    <n v="1062"/>
    <s v="Running"/>
    <s v="Running"/>
    <x v="1"/>
  </r>
  <r>
    <s v="25-02-2026 16:13:09"/>
    <s v="Feb-26"/>
    <x v="0"/>
    <s v="MPG"/>
    <x v="31"/>
    <d v="2022-07-24T00:00:00"/>
    <n v="1312.6757986111115"/>
    <s v="RAJAPUR "/>
    <m/>
    <s v="Birbal Rai "/>
    <n v="9555317230"/>
    <s v="EKOMILK ULTRA PRO ANALYSER"/>
    <n v="351158"/>
    <s v="Ekomilk Motorpump Set New"/>
    <s v="TR00181"/>
    <s v="AR2526E5065"/>
    <d v="2026-03-28T00:00:00"/>
    <n v="2000"/>
    <n v="2000"/>
    <n v="360"/>
    <n v="2360"/>
    <s v="Running"/>
    <s v="Running"/>
    <x v="1"/>
  </r>
  <r>
    <s v="24-02-2026 16:15:09"/>
    <s v="Feb-26"/>
    <x v="0"/>
    <s v="MPG"/>
    <x v="32"/>
    <d v="2024-12-31T00:00:00"/>
    <n v="420.67718749999767"/>
    <s v="thebhay"/>
    <m/>
    <s v="saurabh kumar "/>
    <n v="7858955413"/>
    <s v="EKOMILK ULTRA PRO ANALYSER"/>
    <s v="SN/E00396092"/>
    <s v="Fatscan &quot; Y &quot; Pipe"/>
    <s v="SF00145"/>
    <s v="AR2526E5065"/>
    <d v="2026-03-28T00:00:00"/>
    <n v="84"/>
    <n v="84"/>
    <n v="15.12"/>
    <n v="99.12"/>
    <s v="Running"/>
    <s v="Running"/>
    <x v="1"/>
  </r>
  <r>
    <s v="23-02-2026 16:20:34"/>
    <s v="Feb-26"/>
    <x v="0"/>
    <s v="MPG"/>
    <x v="33"/>
    <d v="2017-09-01T00:00:00"/>
    <n v="3097.6809490740707"/>
    <s v="MSK chatmadih"/>
    <s v="Asarganj"/>
    <s v="Vidya prasad singh"/>
    <n v="9931439978"/>
    <s v="Everest Smart Tab-based Android Terminal (Table-top) with Inbuilt Printer"/>
    <s v="GTD-23014085"/>
    <s v="Battery 3.7V/2600Mah"/>
    <s v="RM00980"/>
    <s v="AR2526E5065"/>
    <d v="2026-03-28T00:00:00"/>
    <n v="350"/>
    <n v="350"/>
    <n v="63"/>
    <n v="413"/>
    <s v="Running"/>
    <s v="Running"/>
    <x v="1"/>
  </r>
  <r>
    <s v="20-02-2026 16:21:40"/>
    <s v="Feb-26"/>
    <x v="0"/>
    <s v="MPG"/>
    <x v="34"/>
    <d v="2024-02-01T00:00:00"/>
    <n v="750.6817129629635"/>
    <s v="Gomukh Jhajha"/>
    <m/>
    <s v="Bishekha"/>
    <n v="9934836887"/>
    <s v="EKOMILK ULTRA PRO ANALYSER"/>
    <s v="SN/E00399034"/>
    <s v="Fatscan &quot; Y &quot; Pipe"/>
    <s v="SF00145"/>
    <s v="AR2526E5065"/>
    <d v="2026-03-28T00:00:00"/>
    <n v="84"/>
    <n v="84"/>
    <n v="15.12"/>
    <n v="99.12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Ekomilk Sieringe With Plunger"/>
    <s v="RM00530"/>
    <s v="AR2526E5065"/>
    <d v="2026-03-28T00:00:00"/>
    <n v="70"/>
    <n v="70"/>
    <n v="12.6"/>
    <n v="82.6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Fatscan &quot; Y &quot; Pipe"/>
    <s v="SF00145"/>
    <s v="AR2526E5065"/>
    <d v="2026-03-28T00:00:00"/>
    <n v="84"/>
    <n v="84"/>
    <n v="15.12"/>
    <n v="99.12"/>
    <s v="Running"/>
    <s v="Running"/>
    <x v="1"/>
  </r>
  <r>
    <s v="19-02-2026 15:28:36"/>
    <s v="Feb-26"/>
    <x v="0"/>
    <s v="MPG"/>
    <x v="35"/>
    <d v="2021-03-01T00:00:00"/>
    <n v="1816.6448611111118"/>
    <s v="Khesrahiya"/>
    <s v="Musrigharari"/>
    <s v="Nitesh Kumar"/>
    <n v="7654339470"/>
    <s v="EKOMILK ULTRA PRO ANALYSER"/>
    <n v="312377"/>
    <s v="Ekomilk Sieringe With Plunger"/>
    <s v="RM00530"/>
    <s v="AR2526E5065"/>
    <d v="2026-03-28T00:00:00"/>
    <n v="70"/>
    <n v="70"/>
    <n v="12.6"/>
    <n v="82.6"/>
    <s v="Running"/>
    <s v="Running"/>
    <x v="1"/>
  </r>
  <r>
    <s v="19-02-2026 15:17:00"/>
    <s v="Feb-26"/>
    <x v="0"/>
    <s v="MPG"/>
    <x v="36"/>
    <d v="2026-01-31T00:00:00"/>
    <n v="19.636805555557657"/>
    <s v="GOMUKH CHAKIRDI"/>
    <m/>
    <s v="kamni kumari"/>
    <n v="7296048538"/>
    <s v="Everest Smart Tab-based Android Terminal (Table-top) with Inbuilt Printer"/>
    <s v="GTD-23060367"/>
    <s v="DPU DC To DC Converter 12V To 5V"/>
    <s v="RM00493"/>
    <s v="AR2526E5065"/>
    <d v="2026-03-28T00:00:00"/>
    <n v="780"/>
    <n v="780"/>
    <n v="140.4"/>
    <n v="920.4"/>
    <s v="Running"/>
    <s v="Running"/>
    <x v="0"/>
  </r>
  <r>
    <s v="18-02-2026 17:06:45"/>
    <s v="Feb-26"/>
    <x v="0"/>
    <s v="MPG"/>
    <x v="37"/>
    <d v="2025-05-16T00:00:00"/>
    <n v="278.71302083333285"/>
    <s v="Mordiwa east"/>
    <s v="DalsinghSarai"/>
    <s v=" vivek "/>
    <n v="7079418432"/>
    <s v="WEIGHING SCALE 60 KG"/>
    <s v="ge-20033997"/>
    <s v="Connector 5 Pin Metal M/F"/>
    <s v="RM00727"/>
    <s v="AR2526E5065"/>
    <d v="2026-03-28T00:00:00"/>
    <n v="225"/>
    <n v="225"/>
    <n v="40.5"/>
    <n v="265.5"/>
    <s v="Running"/>
    <s v="Running"/>
    <x v="0"/>
  </r>
  <r>
    <s v="17-02-2026 18:47:39"/>
    <s v="Feb-26"/>
    <x v="0"/>
    <s v="MPG"/>
    <x v="38"/>
    <d v="2017-09-01T00:00:00"/>
    <n v="3091.7830902777787"/>
    <s v="sabikpur"/>
    <s v="Laldiyara"/>
    <s v="vikash Kumar"/>
    <n v="7764922168"/>
    <s v="STIRRER UNIT EV5600"/>
    <s v="S-22033322"/>
    <s v="Stirrer Timer PCB"/>
    <s v="RM00478"/>
    <s v="AR2526E5065"/>
    <d v="2026-03-28T00:00:00"/>
    <n v="900"/>
    <n v="900"/>
    <n v="162"/>
    <n v="1062"/>
    <s v="Running"/>
    <s v="Running"/>
    <x v="1"/>
  </r>
  <r>
    <s v="17-02-2026 15:31:32"/>
    <s v="Feb-26"/>
    <x v="0"/>
    <s v="MPG"/>
    <x v="39"/>
    <d v="2025-07-31T00:00:00"/>
    <n v="201.64689814814483"/>
    <s v="pacham"/>
    <s v="Laldiyara"/>
    <s v="ramdayal yadav "/>
    <n v="9777250343"/>
    <s v="Everest Smart Tab-based Android Terminal (Table-top) with Inbuilt Printer"/>
    <s v="gtd-23024210"/>
    <s v="Battery 3.7V/2600Mah"/>
    <s v="RM00980"/>
    <s v="AR2526E5065"/>
    <d v="2026-03-28T00:00:00"/>
    <n v="350"/>
    <n v="350"/>
    <n v="63"/>
    <n v="413"/>
    <s v="Running"/>
    <s v="Running"/>
    <x v="0"/>
  </r>
  <r>
    <s v="16-02-2026 15:53:19"/>
    <s v="Feb-26"/>
    <x v="0"/>
    <s v="MPG"/>
    <x v="40"/>
    <d v="2025-03-24T00:00:00"/>
    <n v="329.66202546295972"/>
    <s v="sherpur narsari east"/>
    <m/>
    <s v="girdhari jha"/>
    <n v="7250834304"/>
    <s v="WEIGHING SCALE 60 KG"/>
    <s v="E-17116770"/>
    <s v="Connector 5 Pin Metal M/F"/>
    <s v="RM00727"/>
    <s v="AR2526E5065"/>
    <d v="2026-03-28T00:00:00"/>
    <n v="225"/>
    <n v="225"/>
    <n v="40.5"/>
    <n v="265.5"/>
    <s v="Running"/>
    <s v="Running"/>
    <x v="0"/>
  </r>
  <r>
    <s v="16-02-2026 15:53:19"/>
    <s v="Feb-26"/>
    <x v="0"/>
    <s v="MPG"/>
    <x v="40"/>
    <d v="2025-03-24T00:00:00"/>
    <n v="329.66202546295972"/>
    <s v="sherpur narsari east"/>
    <m/>
    <s v="girdhari jha"/>
    <n v="7250834304"/>
    <s v="WEIGHING SCALE 60 KG"/>
    <s v="E-17116770"/>
    <s v="EWS Battery Backup SMPS (BBLC)"/>
    <s v="RM00241"/>
    <s v="AR2526E5065"/>
    <d v="2026-03-28T00:00:00"/>
    <n v="825"/>
    <n v="825"/>
    <n v="148.5"/>
    <n v="973.5"/>
    <s v="Running"/>
    <s v="Running"/>
    <x v="0"/>
  </r>
  <r>
    <s v="16-02-2026 15:51:36"/>
    <s v="Feb-26"/>
    <x v="0"/>
    <s v="MPG"/>
    <x v="41"/>
    <d v="2023-11-08T00:00:00"/>
    <n v="831.66083333333518"/>
    <s v="jahagirpur salkhanni"/>
    <m/>
    <s v="piriyanka"/>
    <n v="9117336756"/>
    <s v="EKOMILK ULTRA PRO ANALYSER"/>
    <n v="2352040"/>
    <s v="Ekomilk Keyboard"/>
    <s v="RM00512"/>
    <s v="AR2526E5065"/>
    <d v="2026-03-28T00:00:00"/>
    <n v="770"/>
    <n v="770"/>
    <n v="138.6"/>
    <n v="908.6"/>
    <s v="Running"/>
    <s v="Running"/>
    <x v="1"/>
  </r>
  <r>
    <s v="14-02-2026 14:21:23"/>
    <s v="Feb-26"/>
    <x v="0"/>
    <s v="MPG"/>
    <x v="42"/>
    <d v="2017-09-01T00:00:00"/>
    <n v="3088.5981828703734"/>
    <s v="sondahi"/>
    <m/>
    <s v="ranjeeb singh"/>
    <n v="9934773781"/>
    <s v="Everest Smart Tab-based Android Terminal (Table-top) with Inbuilt Printer"/>
    <s v="GTD-23014018"/>
    <s v="Battery 3.7V/2600Mah"/>
    <s v="RM00980"/>
    <s v="AR2526E5065"/>
    <d v="2026-03-28T00:00:00"/>
    <n v="350"/>
    <n v="350"/>
    <n v="63"/>
    <n v="413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Sensor to Syringe Pipe"/>
    <s v="SF00146"/>
    <s v="AR2526E5065"/>
    <d v="2026-03-28T00:00:00"/>
    <n v="44"/>
    <n v="44"/>
    <n v="7.92"/>
    <n v="51.92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Sensor to Syringe Pipe"/>
    <s v="SF00146"/>
    <s v="AR2526E5065"/>
    <d v="2026-03-28T00:00:00"/>
    <n v="44"/>
    <n v="44"/>
    <n v="7.92"/>
    <n v="51.92"/>
    <s v="Running"/>
    <s v="Running"/>
    <x v="1"/>
  </r>
  <r>
    <s v="14-02-2026 15:29:31"/>
    <s v="Feb-26"/>
    <x v="0"/>
    <s v="MPG"/>
    <x v="43"/>
    <d v="2020-12-25T00:00:00"/>
    <n v="1877.6454976851819"/>
    <s v="Badiya"/>
    <s v="DalsinghSarai"/>
    <s v="Pinkesh kumar"/>
    <n v="7631417133"/>
    <s v="EKOMILK ULTRA PRO ANALYSER"/>
    <n v="329072"/>
    <s v="Fatscan &quot; Y &quot; Pipe"/>
    <s v="SF00145"/>
    <s v="AR2526E5065"/>
    <d v="2026-03-28T00:00:00"/>
    <n v="84"/>
    <n v="84"/>
    <n v="15.12"/>
    <n v="99.12"/>
    <s v="Running"/>
    <s v="Running"/>
    <x v="1"/>
  </r>
  <r>
    <s v="14-02-2026 11:52:30"/>
    <s v="Feb-26"/>
    <x v="0"/>
    <s v="MPG"/>
    <x v="44"/>
    <d v="2023-10-27T00:00:00"/>
    <n v="841.49479166666424"/>
    <s v="Narayanpur"/>
    <s v="DalsinghSarai"/>
    <s v="chandan"/>
    <n v="7488826293"/>
    <s v="EKOMILK ULTRA PRO ANALYSER"/>
    <n v="2352038"/>
    <s v="Ekomilk Sieringe With Plunger"/>
    <s v="RM00530"/>
    <s v="AR2526E5065"/>
    <d v="2026-03-28T00:00:00"/>
    <n v="70"/>
    <n v="70"/>
    <n v="12.6"/>
    <n v="82.6"/>
    <s v="Running"/>
    <s v="Running"/>
    <x v="1"/>
  </r>
  <r>
    <s v="14-02-2026 11:52:30"/>
    <s v="Feb-26"/>
    <x v="0"/>
    <s v="MPG"/>
    <x v="44"/>
    <d v="2023-10-27T00:00:00"/>
    <n v="841.49479166666424"/>
    <s v="Narayanpur"/>
    <s v="DalsinghSarai"/>
    <s v="chandan"/>
    <n v="7488826293"/>
    <s v="EKOMILK ULTRA PRO ANALYSER"/>
    <n v="2352038"/>
    <s v="Ekomilk Sieringe With Plunger"/>
    <s v="RM00530"/>
    <s v="AR2526E5065"/>
    <d v="2026-03-28T00:00:00"/>
    <n v="70"/>
    <n v="70"/>
    <n v="12.6"/>
    <n v="82.6"/>
    <s v="Running"/>
    <s v="Running"/>
    <x v="1"/>
  </r>
  <r>
    <s v="13-02-2026 17:14:26"/>
    <s v="Feb-26"/>
    <x v="0"/>
    <s v="MPG"/>
    <x v="45"/>
    <d v="2025-07-31T00:00:00"/>
    <n v="197.71835648148408"/>
    <s v="singarpur"/>
    <s v="Laldiyara"/>
    <s v="yogesh yadav "/>
    <n v="9113404461"/>
    <s v="Everest Smart Tab-based Android Terminal (Table-top) with Inbuilt Printer"/>
    <s v="GTD-23014057"/>
    <s v="Battery 3.7V/2600Mah"/>
    <s v="RM00980"/>
    <s v="AR2526E5065"/>
    <d v="2026-03-28T00:00:00"/>
    <n v="350"/>
    <n v="350"/>
    <n v="63"/>
    <n v="413"/>
    <s v="Running"/>
    <s v="Running"/>
    <x v="0"/>
  </r>
  <r>
    <s v="12-02-2026 15:54:49"/>
    <s v="Feb-26"/>
    <x v="0"/>
    <s v="MPG"/>
    <x v="46"/>
    <d v="2025-02-14T00:00:00"/>
    <n v="363.66306712962978"/>
    <s v="sangrampur"/>
    <s v="Sonvarsha"/>
    <s v="Arun kumar"/>
    <n v="9472899022"/>
    <s v="WEIGHING SCALE 60 KG"/>
    <s v="GNE-23114072"/>
    <s v="SWS Motherboard (Version 1.1)"/>
    <s v="RM00973"/>
    <s v="AR2526E5065"/>
    <d v="2026-03-28T00:00:00"/>
    <n v="2080"/>
    <n v="2080"/>
    <n v="374.4"/>
    <n v="2454.4"/>
    <s v="Running"/>
    <s v="Running"/>
    <x v="3"/>
  </r>
  <r>
    <s v="12-02-2026 14:34:29"/>
    <s v="Feb-26"/>
    <x v="0"/>
    <s v="MPG"/>
    <x v="47"/>
    <d v="2023-05-03T00:00:00"/>
    <n v="1016.6072800925904"/>
    <s v="batta rampur "/>
    <s v="Sonvarsha"/>
    <s v="kanhaiya kumar "/>
    <n v="8051647327"/>
    <s v="EKOMILK ULTRA PRO ANALYSER"/>
    <n v="378198"/>
    <s v="Ekomilk Sieringe With Plunger"/>
    <s v="RM00530"/>
    <s v="AR2526E5065"/>
    <d v="2026-03-28T00:00:00"/>
    <n v="70"/>
    <n v="70"/>
    <n v="12.6"/>
    <n v="82.6"/>
    <s v="Running"/>
    <s v="Running"/>
    <x v="1"/>
  </r>
  <r>
    <s v="12-02-2026 14:34:29"/>
    <s v="Feb-26"/>
    <x v="0"/>
    <s v="MPG"/>
    <x v="47"/>
    <d v="2023-05-03T00:00:00"/>
    <n v="1016.6072800925904"/>
    <s v="batta rampur "/>
    <s v="Sonvarsha"/>
    <s v="kanhaiya kumar "/>
    <n v="8051647327"/>
    <s v="EKOMILK ULTRA PRO ANALYSER"/>
    <n v="378198"/>
    <s v="Ekomilk Sieringe With Plunger"/>
    <s v="RM00530"/>
    <s v="AR2526E5065"/>
    <d v="2026-03-28T00:00:00"/>
    <n v="70"/>
    <n v="70"/>
    <n v="12.6"/>
    <n v="82.6"/>
    <s v="Running"/>
    <s v="Running"/>
    <x v="1"/>
  </r>
  <r>
    <s v="11-02-2026 15:36:34"/>
    <s v="Feb-26"/>
    <x v="0"/>
    <s v="BMC"/>
    <x v="48"/>
    <s v=""/>
    <m/>
    <s v="In Bmc Halsi"/>
    <s v="Halsi"/>
    <s v="kunal kumar dev"/>
    <n v="7488561001"/>
    <s v="Everest Smart Tab-based Android Terminal (Table-top) with Inbuilt Printer"/>
    <s v="GTD-23014089"/>
    <s v="Battery 3.7V/2600Mah"/>
    <s v="RM00980"/>
    <s v="AR2526E5065"/>
    <d v="2026-03-28T00:00:00"/>
    <n v="350"/>
    <n v="350"/>
    <n v="63"/>
    <n v="413"/>
    <s v="NA"/>
    <s v="NA"/>
    <x v="0"/>
  </r>
  <r>
    <s v="10-02-2026 18:04:47"/>
    <s v="Feb-26"/>
    <x v="0"/>
    <s v="MPG"/>
    <x v="49"/>
    <d v="2024-02-01T00:00:00"/>
    <n v="740.75332175925723"/>
    <s v="Salemabad S kamal bmc"/>
    <s v="Sahibpur Kamal"/>
    <s v="Sushila devi "/>
    <n v="7061227705"/>
    <s v="WEIGHING SCALE 60 KG"/>
    <s v="GNE-23061058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10-02-2026 18:08:53"/>
    <s v="Feb-26"/>
    <x v="0"/>
    <s v="MPG"/>
    <x v="50"/>
    <s v=""/>
    <m/>
    <s v="Phulwariya S Kamal "/>
    <s v="Sahibpur Kamal"/>
    <s v="SAROJ DEVI"/>
    <n v="9570938861"/>
    <s v="WEIGHING SCALE 60 KG"/>
    <s v="GNE-23024440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10-02-2026 15:15:26"/>
    <s v="Feb-26"/>
    <x v="0"/>
    <s v="MPG"/>
    <x v="51"/>
    <d v="2025-02-17T00:00:00"/>
    <n v="358.63571759259503"/>
    <s v=" tirgunj"/>
    <s v="DalsinghSarai"/>
    <s v="Muna"/>
    <n v="8434449379"/>
    <s v="Everest Smart Tab-based Android Terminal (Table-top) with Inbuilt Printer"/>
    <s v="GTD-23060378"/>
    <s v="Battery 3.7V/2600Mah"/>
    <s v="RM00980"/>
    <s v="AR2526E5065"/>
    <d v="2026-03-28T00:00:00"/>
    <n v="350"/>
    <n v="350"/>
    <n v="63"/>
    <n v="413"/>
    <s v="Running"/>
    <s v="Running"/>
    <x v="0"/>
  </r>
  <r>
    <s v="07-02-2026 13:11:33"/>
    <s v="Feb-26"/>
    <x v="0"/>
    <s v="MPG"/>
    <x v="52"/>
    <d v="2025-02-10T00:00:00"/>
    <n v="362.54968750000262"/>
    <s v="Gomukh nirpur"/>
    <s v="Musrigharari"/>
    <s v="Vijay ray"/>
    <n v="9801495461"/>
    <s v="EKOMILK ULTRA PRO ANALYSER"/>
    <s v="SN/E00390594"/>
    <s v="Fatscan Pro Transformer"/>
    <s v="RM01625"/>
    <s v="AR2526E5065"/>
    <d v="2026-03-28T00:00:00"/>
    <n v="2850"/>
    <n v="2850"/>
    <n v="513"/>
    <n v="3363"/>
    <s v="Running"/>
    <s v="Running"/>
    <x v="0"/>
  </r>
  <r>
    <s v="05-02-2026 14:18:17"/>
    <s v="Feb-26"/>
    <x v="1"/>
    <s v="MPG"/>
    <x v="53"/>
    <s v=""/>
    <m/>
    <s v="Bero"/>
    <s v="Itki"/>
    <s v="Ganesh Mahtha "/>
    <n v="6205711535"/>
    <s v="EKOMILK ULTRA PRO ANALYSER"/>
    <n v="384298"/>
    <s v="Fatscan Motor Pump Pipe"/>
    <s v="SF00147"/>
    <s v="AR2526E5034"/>
    <d v="2026-03-28T00:00:00"/>
    <n v="125"/>
    <n v="125"/>
    <n v="22.5"/>
    <n v="147.5"/>
    <s v="Running"/>
    <s v="Running"/>
    <x v="0"/>
  </r>
  <r>
    <s v="05-02-2026 14:18:17"/>
    <s v="Feb-26"/>
    <x v="1"/>
    <s v="MPG"/>
    <x v="53"/>
    <s v=""/>
    <m/>
    <s v="Bero"/>
    <s v="Itki"/>
    <s v="Ganesh Mahtha "/>
    <n v="6205711535"/>
    <s v="EKOMILK ULTRA PRO ANALYSER"/>
    <n v="384298"/>
    <s v="Fatscan Motor Pump Pipe"/>
    <s v="SF00147"/>
    <s v="AR2526E5034"/>
    <d v="2026-03-28T00:00:00"/>
    <n v="125"/>
    <n v="125"/>
    <n v="22.5"/>
    <n v="147.5"/>
    <s v="Running"/>
    <s v="Running"/>
    <x v="0"/>
  </r>
  <r>
    <s v="05-02-2026 16:15:54"/>
    <s v="Feb-26"/>
    <x v="0"/>
    <s v="MPG"/>
    <x v="54"/>
    <d v="2025-01-30T00:00:00"/>
    <n v="371.67770833333634"/>
    <s v="Gomukh Kaudesari"/>
    <s v="Dumraon"/>
    <s v="Ramakant Singh "/>
    <n v="9931256142"/>
    <s v="EKOMILK ULTRA PRO ANALYSER"/>
    <n v="36024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2:30"/>
    <s v="Feb-26"/>
    <x v="0"/>
    <s v="MPG"/>
    <x v="55"/>
    <d v="2023-03-31T00:00:00"/>
    <n v="1041.425347222219"/>
    <s v="Gomukh Dumariya  Bujura Madhay"/>
    <s v="Parbatta"/>
    <s v="Aanand Shankar"/>
    <n v="7091746454"/>
    <s v="WEIGHING SCALE 60 KG"/>
    <s v="GNE-23024458"/>
    <s v="EWZ MOTHERBOARD FOR WS"/>
    <s v="RM01596"/>
    <s v="AR2526E5065"/>
    <d v="2026-03-28T00:00:00"/>
    <n v="2080"/>
    <n v="2080"/>
    <n v="374.4"/>
    <n v="2454.4"/>
    <s v="Running"/>
    <s v="Running"/>
    <x v="1"/>
  </r>
  <r>
    <s v="04-02-2026 10:12:30"/>
    <s v="Feb-26"/>
    <x v="0"/>
    <s v="MPG"/>
    <x v="55"/>
    <d v="2023-03-31T00:00:00"/>
    <n v="1041.425347222219"/>
    <s v="Gomukh Dumariya  Bujura Madhay"/>
    <s v="Parbatta"/>
    <s v="Aanand Shankar"/>
    <n v="7091746454"/>
    <s v="WEIGHING SCALE 60 KG"/>
    <s v="GNE-23024458"/>
    <s v="Load Cell 100 Kg 60310"/>
    <s v="RM00006"/>
    <s v="AR2526E5065"/>
    <d v="2026-03-28T00:00:00"/>
    <n v="2800"/>
    <n v="2800"/>
    <n v="504"/>
    <n v="3304"/>
    <s v="Running"/>
    <s v="Running"/>
    <x v="1"/>
  </r>
  <r>
    <s v="04-02-2026 16:46:03"/>
    <s v="Feb-26"/>
    <x v="0"/>
    <s v="MPG"/>
    <x v="30"/>
    <d v="2024-08-26T00:00:00"/>
    <n v="527.69864583333401"/>
    <s v="Beri"/>
    <s v="DalsinghSarai"/>
    <s v="pavan ray"/>
    <n v="9262776421"/>
    <s v="EKOMILK ULTRA PRO ANALYSER"/>
    <n v="3873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6:46:03"/>
    <s v="Feb-26"/>
    <x v="0"/>
    <s v="MPG"/>
    <x v="30"/>
    <d v="2024-08-26T00:00:00"/>
    <n v="527.69864583333401"/>
    <s v="Beri"/>
    <s v="DalsinghSarai"/>
    <s v="pavan ray"/>
    <n v="9262776421"/>
    <s v="EKOMILK ULTRA PRO ANALYSER"/>
    <n v="3873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7:55"/>
    <s v="Feb-26"/>
    <x v="0"/>
    <s v="MPG"/>
    <x v="56"/>
    <d v="2023-12-08T00:00:00"/>
    <n v="789.61660879629926"/>
    <s v="gangasarai "/>
    <s v="Laldiyara"/>
    <s v="amarjit kumar "/>
    <n v="9135466492"/>
    <s v="WEIGHING SCALE 60 KG"/>
    <s v="GNE-23114035"/>
    <s v="SWS Motherboard (Version 1.1)"/>
    <s v="RM00973"/>
    <s v="AR2526E5065"/>
    <d v="2026-03-28T00:00:00"/>
    <n v="2080"/>
    <n v="2080"/>
    <n v="374.4"/>
    <n v="2454.4"/>
    <s v="Running"/>
    <s v="Running"/>
    <x v="1"/>
  </r>
  <r>
    <s v="04-02-2026 16:39:36"/>
    <s v="Feb-26"/>
    <x v="0"/>
    <s v="BMC"/>
    <x v="57"/>
    <s v=""/>
    <m/>
    <s v="simri BMC"/>
    <s v="DalsinghSarai"/>
    <s v="Ankit Kumar"/>
    <n v="9060744847"/>
    <s v="WEIGHING SCALE 60 KG"/>
    <s v="E-17116836"/>
    <s v="Weighing Scale Motherboard Old"/>
    <s v="RM00420"/>
    <s v="AR2526E5065"/>
    <d v="2026-03-28T00:00:00"/>
    <n v="2080"/>
    <n v="2080"/>
    <n v="374.4"/>
    <n v="2454.4"/>
    <s v="NA"/>
    <s v="NA"/>
    <x v="0"/>
  </r>
  <r>
    <s v="04-02-2026 14:46:54"/>
    <s v="Feb-26"/>
    <x v="0"/>
    <s v="MPG"/>
    <x v="58"/>
    <d v="2022-11-01T00:00:00"/>
    <n v="1191.6159027777758"/>
    <s v="dumari "/>
    <s v="Laldiyara"/>
    <s v="shiv kumar "/>
    <n v="8298525819"/>
    <s v="EKOMILK ULTRA PRO ANALYSER"/>
    <n v="3869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6:54"/>
    <s v="Feb-26"/>
    <x v="0"/>
    <s v="MPG"/>
    <x v="58"/>
    <d v="2022-11-01T00:00:00"/>
    <n v="1191.6159027777758"/>
    <s v="dumari "/>
    <s v="Laldiyara"/>
    <s v="shiv kumar "/>
    <n v="8298525819"/>
    <s v="EKOMILK ULTRA PRO ANALYSER"/>
    <n v="386944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3:57"/>
    <s v="Feb-26"/>
    <x v="0"/>
    <s v="MPG"/>
    <x v="59"/>
    <d v="2019-10-18T00:00:00"/>
    <n v="2301.426354166666"/>
    <s v="prashpur kadwa gomukh"/>
    <s v="Jhandapur"/>
    <s v="Nawal kishor rai"/>
    <n v="9801450809"/>
    <s v="WEIGHING SCALE 60 KG"/>
    <s v="GNE-22102066"/>
    <s v="SWS Motherboard (Version 1.1)"/>
    <s v="RM00973"/>
    <s v="AR2526E5065"/>
    <d v="2026-03-28T00:00:00"/>
    <n v="2080"/>
    <n v="2080"/>
    <n v="374.4"/>
    <n v="2454.4"/>
    <s v="Running"/>
    <s v="Running"/>
    <x v="1"/>
  </r>
  <r>
    <s v="04-02-2026 14:46:14"/>
    <s v="Feb-26"/>
    <x v="0"/>
    <s v="MPG"/>
    <x v="60"/>
    <d v="2022-12-04T00:00:00"/>
    <n v="1158.6154398148137"/>
    <s v="virupur "/>
    <s v="Laldiyara"/>
    <s v="Manish Kumar "/>
    <n v="9430695671"/>
    <s v="EKOMILK ULTRA PRO ANALYSER"/>
    <n v="32896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4:46:14"/>
    <s v="Feb-26"/>
    <x v="0"/>
    <s v="MPG"/>
    <x v="60"/>
    <d v="2022-12-04T00:00:00"/>
    <n v="1158.6154398148137"/>
    <s v="virupur "/>
    <s v="Laldiyara"/>
    <s v="Manish Kumar "/>
    <n v="9430695671"/>
    <s v="EKOMILK ULTRA PRO ANALYSER"/>
    <n v="328963"/>
    <s v="Ekomilk Sieringe With Plunger"/>
    <s v="RM00530"/>
    <s v="AR2526E5065"/>
    <d v="2026-03-28T00:00:00"/>
    <n v="70"/>
    <n v="70"/>
    <n v="12.6"/>
    <n v="82.6"/>
    <s v="Running"/>
    <s v="Running"/>
    <x v="1"/>
  </r>
  <r>
    <s v="04-02-2026 10:16:50"/>
    <s v="Feb-26"/>
    <x v="0"/>
    <s v="MPG"/>
    <x v="61"/>
    <d v="2017-09-01T00:00:00"/>
    <n v="3078.4283564814832"/>
    <s v="MSK MPG gauripur"/>
    <s v="Jhandapur"/>
    <s v="Chandan Kumar"/>
    <n v="6299652936"/>
    <s v="WEIGHING SCALE 60 KG"/>
    <s v="E-214082361"/>
    <s v="Load Cell 100 Kg 60310"/>
    <s v="RM00006"/>
    <s v="AR2526E5065"/>
    <d v="2026-03-28T00:00:00"/>
    <n v="2800"/>
    <n v="2800"/>
    <n v="504"/>
    <n v="3304"/>
    <s v="Running"/>
    <s v="Running"/>
    <x v="1"/>
  </r>
  <r>
    <s v="04-02-2026 16:52:57"/>
    <s v="Feb-26"/>
    <x v="0"/>
    <s v="MPG"/>
    <x v="62"/>
    <d v="2025-07-31T00:00:00"/>
    <n v="188.70343750000029"/>
    <s v="katahra"/>
    <s v="Asarganj"/>
    <s v="sanjiv Kumar "/>
    <n v="6203636473"/>
    <s v="EKOMILK ULTRA PRO ANALYSER"/>
    <n v="2349697"/>
    <s v="Fatscan &quot; Y &quot; Pipe"/>
    <s v="SF00145"/>
    <s v="AR2526E5065"/>
    <d v="2026-03-28T00:00:00"/>
    <n v="84"/>
    <n v="84"/>
    <n v="15.12"/>
    <n v="99.12"/>
    <s v="Running"/>
    <s v="Running"/>
    <x v="3"/>
  </r>
  <r>
    <s v="04-02-2026 16:18:59"/>
    <s v="Feb-26"/>
    <x v="0"/>
    <s v="MPG"/>
    <x v="63"/>
    <d v="2022-08-06T00:00:00"/>
    <n v="1278.6798495370385"/>
    <s v="juwsh"/>
    <s v="Laldiyara"/>
    <s v="mairtyumjay Kumar "/>
    <n v="7979912299"/>
    <s v="Everest Smart Tab-based Android Terminal (Table-top) with Inbuilt Printer"/>
    <s v="GTD-23013855"/>
    <s v="Battery 3.7V/2600Mah"/>
    <s v="RM00980"/>
    <s v="AR2526E5065"/>
    <d v="2026-03-28T00:00:00"/>
    <n v="350"/>
    <n v="350"/>
    <n v="63"/>
    <n v="413"/>
    <s v="Running"/>
    <s v="Running"/>
    <x v="1"/>
  </r>
  <r>
    <s v="04-02-2026 10:32:29"/>
    <s v="Feb-26"/>
    <x v="0"/>
    <s v="MPG"/>
    <x v="64"/>
    <d v="2023-11-30T00:00:00"/>
    <n v="797.43922453703999"/>
    <s v="Gomukh Arariya Ward No 9"/>
    <s v="Parbatta"/>
    <s v="Shard kumar"/>
    <n v="7321047297"/>
    <s v="EKOMILK ULTRA PRO ANALYSER"/>
    <n v="387787"/>
    <s v="Ekomilk LCD Display"/>
    <s v="RM00511"/>
    <s v="AR2526E5065"/>
    <d v="2026-03-28T00:00:00"/>
    <n v="790"/>
    <n v="790"/>
    <n v="142.19999999999999"/>
    <n v="932.2"/>
    <s v="Status not confirmed"/>
    <s v="Status not confirmed"/>
    <x v="2"/>
  </r>
  <r>
    <s v="03-02-2026 16:19:06"/>
    <s v="Feb-26"/>
    <x v="0"/>
    <s v="MPG"/>
    <x v="65"/>
    <d v="2025-08-30T00:00:00"/>
    <n v="157.67993055555417"/>
    <s v="losghani"/>
    <s v="Sonvarsha"/>
    <s v="Rinku devi"/>
    <n v="9279868783"/>
    <s v="WEIGHING SCALE 60 KG"/>
    <s v="GNE-23061081"/>
    <s v="SWS Motherboard (Version 1.1)"/>
    <s v="RM00973"/>
    <s v="AR2526E5065"/>
    <d v="2026-03-28T00:00:00"/>
    <n v="2080"/>
    <n v="2080"/>
    <n v="374.4"/>
    <n v="2454.4"/>
    <s v="Running"/>
    <s v="Running"/>
    <x v="3"/>
  </r>
  <r>
    <s v="03-02-2026 16:18:44"/>
    <s v="Feb-26"/>
    <x v="0"/>
    <s v="MPG"/>
    <x v="66"/>
    <d v="2024-02-01T00:00:00"/>
    <n v="733.67967592592322"/>
    <s v="Nista tol"/>
    <s v="Laldiyara"/>
    <s v="vakil yadav"/>
    <n v="7549402232"/>
    <s v="WEIGHING SCALE 60 KG"/>
    <s v="GNE-23024441"/>
    <s v="SWS Motherboard (Version 1.1)"/>
    <s v="RM00973"/>
    <s v="AR2526E5065"/>
    <d v="2026-03-28T00:00:00"/>
    <n v="2080"/>
    <n v="2080"/>
    <n v="374.4"/>
    <n v="2454.4"/>
    <s v="Status not confirmed"/>
    <s v="Status not confirmed"/>
    <x v="2"/>
  </r>
  <r>
    <s v="02-02-2026 16:29:31"/>
    <s v="Feb-26"/>
    <x v="0"/>
    <s v="MPG"/>
    <x v="51"/>
    <d v="2025-02-17T00:00:00"/>
    <n v="350.68716435185343"/>
    <s v=" tirgunj"/>
    <s v="DalsinghSarai"/>
    <s v="Muna"/>
    <n v="8434449379"/>
    <s v="EKOMILK ULTRA PRO ANALYSER"/>
    <n v="2352041"/>
    <s v="Ekomilk Sieringe With Plunger"/>
    <s v="RM00530"/>
    <s v="AR2526E5065"/>
    <d v="2026-03-28T00:00:00"/>
    <n v="70"/>
    <n v="70"/>
    <n v="12.6"/>
    <n v="82.6"/>
    <s v="Running"/>
    <s v="Running"/>
    <x v="0"/>
  </r>
  <r>
    <s v="02-02-2026 16:29:31"/>
    <s v="Feb-26"/>
    <x v="0"/>
    <s v="MPG"/>
    <x v="51"/>
    <d v="2025-02-17T00:00:00"/>
    <n v="350.68716435185343"/>
    <s v=" tirgunj"/>
    <s v="DalsinghSarai"/>
    <s v="Muna"/>
    <n v="8434449379"/>
    <s v="EKOMILK ULTRA PRO ANALYSER"/>
    <n v="2352041"/>
    <s v="Ekomilk Sieringe With Plunger"/>
    <s v="RM00530"/>
    <s v="AR2526E5065"/>
    <d v="2026-03-28T00:00:00"/>
    <n v="70"/>
    <n v="70"/>
    <n v="12.6"/>
    <n v="82.6"/>
    <s v="Running"/>
    <s v="Running"/>
    <x v="0"/>
  </r>
  <r>
    <s v="24-03-2026 12:28:41"/>
    <d v="2026-03-01T00:00:00"/>
    <x v="0"/>
    <s v="MPG"/>
    <x v="67"/>
    <d v="2025-02-04T00:00:00"/>
    <n v="413.51991898148117"/>
    <s v="RAHIMPUR DAKSHIN"/>
    <m/>
    <s v="KASISH"/>
    <n v="7542880079"/>
    <s v="EKOMILK ULTRA PRO ANALYSER"/>
    <n v="386973"/>
    <s v="Ekomilk LCD Display"/>
    <s v="RM00511"/>
    <m/>
    <m/>
    <n v="790"/>
    <m/>
    <n v="142.19999999999999"/>
    <n v="932.2"/>
    <m/>
    <m/>
    <x v="1"/>
  </r>
  <r>
    <s v="24-03-2026 12:28:41"/>
    <d v="2026-03-01T00:00:00"/>
    <x v="0"/>
    <s v="MPG"/>
    <x v="67"/>
    <d v="2025-02-04T00:00:00"/>
    <n v="413.51991898148117"/>
    <s v="RAHIMPUR DAKSHIN"/>
    <m/>
    <s v="KASISH"/>
    <n v="7542880079"/>
    <s v="EKOMILK ULTRA PRO ANALYSER"/>
    <n v="386973"/>
    <s v="Ekomilk Motorpump Set New"/>
    <s v="TR00181"/>
    <m/>
    <m/>
    <n v="2000"/>
    <m/>
    <n v="360"/>
    <n v="2360"/>
    <m/>
    <m/>
    <x v="1"/>
  </r>
  <r>
    <s v="24-03-2026 15:04:55"/>
    <d v="2026-03-01T00:00:00"/>
    <x v="0"/>
    <s v="MPG"/>
    <x v="68"/>
    <d v="2022-04-13T00:00:00"/>
    <n v="1441.6284143518496"/>
    <s v="ENGLISH DUBAULI"/>
    <m/>
    <s v="Akshay kumar Yadav"/>
    <n v="8651703765"/>
    <s v="EKOMILK ULTRA PRO ANALYSER"/>
    <n v="360147"/>
    <s v="Ekomilk Sieringe With Plunger"/>
    <s v="RM00530"/>
    <m/>
    <m/>
    <n v="70"/>
    <m/>
    <n v="12.6"/>
    <n v="82.6"/>
    <m/>
    <m/>
    <x v="1"/>
  </r>
  <r>
    <s v="23-03-2026 18:26:45"/>
    <d v="2026-03-01T00:00:00"/>
    <x v="0"/>
    <s v="MPG"/>
    <x v="18"/>
    <d v="2025-05-09T00:00:00"/>
    <n v="318.7685763888876"/>
    <s v="GAMHARIYA"/>
    <m/>
    <s v="BHUSAN KUMAR"/>
    <n v="9570352603"/>
    <s v="EKOMILK ULTRA PRO ANALYSER"/>
    <n v="277504"/>
    <s v="Fatscan ABS Body Plunger"/>
    <s v="RM01811"/>
    <m/>
    <m/>
    <n v="70"/>
    <m/>
    <n v="12.6"/>
    <n v="82.6"/>
    <m/>
    <m/>
    <x v="0"/>
  </r>
  <r>
    <s v="23-03-2026 18:26:45"/>
    <d v="2026-03-01T00:00:00"/>
    <x v="0"/>
    <s v="MPG"/>
    <x v="18"/>
    <d v="2025-05-09T00:00:00"/>
    <n v="318.7685763888876"/>
    <s v="GAMHARIYA"/>
    <m/>
    <s v="BHUSAN KUMAR"/>
    <n v="9570352603"/>
    <s v="EKOMILK ULTRA PRO ANALYSER"/>
    <n v="277504"/>
    <s v="Fatscan ABS Body Plunger"/>
    <s v="RM01811"/>
    <m/>
    <m/>
    <n v="70"/>
    <m/>
    <n v="12.6"/>
    <n v="82.6"/>
    <m/>
    <m/>
    <x v="0"/>
  </r>
  <r>
    <s v="21-03-2026 17:02:25"/>
    <d v="2026-03-01T00:00:00"/>
    <x v="0"/>
    <s v="MPG"/>
    <x v="69"/>
    <d v="2024-02-01T00:00:00"/>
    <n v="779.71001157407591"/>
    <s v="Mathar word 10 bmc S kamal"/>
    <m/>
    <s v="Manish Kumar "/>
    <n v="6204172365"/>
    <s v="EKOMILK ULTRA PRO ANALYSER"/>
    <n v="386970"/>
    <s v="Ekomilk Keyboard"/>
    <s v="RM00512"/>
    <m/>
    <m/>
    <n v="770"/>
    <m/>
    <n v="138.6"/>
    <n v="908.6"/>
    <m/>
    <m/>
    <x v="1"/>
  </r>
  <r>
    <s v="16-03-2026 11:33:57"/>
    <d v="2026-03-01T00:00:00"/>
    <x v="0"/>
    <s v="MPG"/>
    <x v="70"/>
    <d v="2022-04-13T00:00:00"/>
    <n v="1433.4819097222207"/>
    <s v="SAHIYAR"/>
    <m/>
    <s v="Satish Kumar Thakur"/>
    <n v="8709513821"/>
    <s v="EKOMILK ULTRA PRO ANALYSER"/>
    <n v="359707"/>
    <s v="Ekomilk Sieringe With Plunger"/>
    <s v="RM00530"/>
    <m/>
    <m/>
    <n v="70"/>
    <m/>
    <n v="12.6"/>
    <n v="82.6"/>
    <m/>
    <m/>
    <x v="1"/>
  </r>
  <r>
    <s v="16-03-2026 17:00:51"/>
    <d v="2026-03-01T00:00:00"/>
    <x v="0"/>
    <s v="MPG"/>
    <x v="71"/>
    <d v="2026-01-02T00:00:00"/>
    <n v="73.708923611113278"/>
    <s v="saidpur"/>
    <m/>
    <s v="rambaran yadav"/>
    <n v="6202078377"/>
    <s v="Everest Smart Tab-based Android Terminal (Table-top) with Inbuilt Printer"/>
    <s v="GTD-23013979"/>
    <s v="WI-FI SERIAL DEVICE WITH EXTERNAL POWER SUPPLY (WI-SENSE)"/>
    <s v="SF00082"/>
    <m/>
    <m/>
    <n v="925"/>
    <m/>
    <n v="166.5"/>
    <n v="1091.5"/>
    <m/>
    <m/>
    <x v="0"/>
  </r>
  <r>
    <s v="12-03-2026 12:55:40"/>
    <d v="2026-03-01T00:00:00"/>
    <x v="0"/>
    <s v="MPG"/>
    <x v="72"/>
    <d v="2024-04-10T00:00:00"/>
    <n v="701.5386574074073"/>
    <s v="songar"/>
    <m/>
    <s v="reena"/>
    <n v="9801941019"/>
    <s v="EKOMILK ULTRA PRO ANALYSER"/>
    <s v="SN/E00389865"/>
    <s v="Ekomilk LCD Display"/>
    <s v="RM00511"/>
    <m/>
    <m/>
    <n v="790"/>
    <m/>
    <n v="142.19999999999999"/>
    <n v="932.2"/>
    <m/>
    <m/>
    <x v="1"/>
  </r>
  <r>
    <s v="12-03-2026 16:28:12"/>
    <d v="2026-03-01T00:00:00"/>
    <x v="0"/>
    <s v="MPG"/>
    <x v="73"/>
    <d v="2026-01-24T00:00:00"/>
    <n v="47.686249999998836"/>
    <s v="GOMUKH BELAUR"/>
    <m/>
    <s v="INDRAJEET YADAV"/>
    <n v="8235366514"/>
    <s v="FatScan Pro Analyzer (4 para) with Standard Accessories (AISI 304 0.75 mm thickness)"/>
    <s v="AD-25100819"/>
    <s v="Ekomilk Bush"/>
    <s v="RM00510"/>
    <m/>
    <m/>
    <n v="49"/>
    <m/>
    <n v="8.82"/>
    <n v="57.82"/>
    <m/>
    <m/>
    <x v="0"/>
  </r>
  <r>
    <s v="12-03-2026 16:28:12"/>
    <d v="2026-03-01T00:00:00"/>
    <x v="0"/>
    <s v="MPG"/>
    <x v="73"/>
    <d v="2026-01-24T00:00:00"/>
    <n v="47.686249999998836"/>
    <s v="GOMUKH BELAUR"/>
    <m/>
    <s v="INDRAJEET YADAV"/>
    <n v="8235366514"/>
    <s v="FatScan Pro Analyzer (4 para) with Standard Accessories (AISI 304 0.75 mm thickness)"/>
    <s v="AD-25100819"/>
    <s v="Ekomilk Bush"/>
    <s v="RM00510"/>
    <m/>
    <m/>
    <n v="49"/>
    <m/>
    <n v="8.82"/>
    <n v="57.82"/>
    <m/>
    <m/>
    <x v="0"/>
  </r>
  <r>
    <s v="11-03-2026 14:03:43"/>
    <d v="2026-03-01T00:00:00"/>
    <x v="0"/>
    <s v="MPG"/>
    <x v="74"/>
    <d v="2023-02-22T00:00:00"/>
    <n v="1113.5859143518537"/>
    <s v="SIMARI RAMPATTI "/>
    <m/>
    <s v="Amit Kumar Pandey "/>
    <n v="7277905756"/>
    <s v="Everest Smart Tab-based Android Terminal (Table-top) with Inbuilt Printer"/>
    <s v="GTD-23013854"/>
    <s v="DPU DC To DC Converter 12V To 5V"/>
    <s v="RM00493"/>
    <m/>
    <m/>
    <n v="780"/>
    <m/>
    <n v="140.4"/>
    <n v="920.4"/>
    <m/>
    <m/>
    <x v="1"/>
  </r>
  <r>
    <s v="11-03-2026 14:03:43"/>
    <d v="2026-03-01T00:00:00"/>
    <x v="0"/>
    <s v="MPG"/>
    <x v="74"/>
    <d v="2023-02-22T00:00:00"/>
    <n v="1113.5859143518537"/>
    <s v="SIMARI RAMPATTI "/>
    <m/>
    <s v="Amit Kumar Pandey "/>
    <n v="7277905756"/>
    <s v="Everest Smart Tab-based Android Terminal (Table-top) with Inbuilt Printer"/>
    <s v="GTD-23013854"/>
    <s v="DPU DC To DC Converter 12V To 5V"/>
    <s v="RM00493"/>
    <m/>
    <m/>
    <n v="780"/>
    <m/>
    <n v="140.4"/>
    <n v="920.4"/>
    <m/>
    <m/>
    <x v="1"/>
  </r>
  <r>
    <s v="11-03-2026 15:46:41"/>
    <d v="2026-03-01T00:00:00"/>
    <x v="0"/>
    <s v="MPG"/>
    <x v="75"/>
    <d v="2017-09-01T00:00:00"/>
    <n v="3113.6574189814783"/>
    <s v="mahdatpur"/>
    <m/>
    <s v="Sunil Kumar"/>
    <n v="9199843014"/>
    <s v="EKOMILK ULTRA PRO ANALYSER"/>
    <n v="195792"/>
    <s v="FatScan Double Sensor Measuring Mini PCB (4 para) with Sensor (Repaired)"/>
    <s v="SF00130"/>
    <m/>
    <m/>
    <n v="8000"/>
    <m/>
    <n v="1440"/>
    <n v="9440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Fatscan Motor Pump Pipe"/>
    <s v="SF00147"/>
    <m/>
    <m/>
    <n v="125"/>
    <m/>
    <n v="22.5"/>
    <n v="147.5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Fatscan Motor Pump Pipe"/>
    <s v="SF00147"/>
    <m/>
    <m/>
    <n v="125"/>
    <m/>
    <n v="22.5"/>
    <n v="147.5"/>
    <m/>
    <m/>
    <x v="1"/>
  </r>
  <r>
    <s v="07-03-2026 13:51:14"/>
    <d v="2026-03-01T00:00:00"/>
    <x v="0"/>
    <s v="MPG"/>
    <x v="76"/>
    <d v="2024-02-01T00:00:00"/>
    <n v="765.57724537036847"/>
    <s v="Ghatoh east"/>
    <m/>
    <s v="Pinki Kumari"/>
    <n v="6204070405"/>
    <s v="EKOMILK ULTRA PRO ANALYSER"/>
    <n v="2349717"/>
    <s v="Ekomilk Air Bubble"/>
    <s v="RM00509"/>
    <m/>
    <m/>
    <n v="62"/>
    <m/>
    <n v="11.16"/>
    <n v="73.16"/>
    <m/>
    <m/>
    <x v="1"/>
  </r>
  <r>
    <s v="06-03-2026 20:30:26"/>
    <d v="2026-03-01T00:00:00"/>
    <x v="0"/>
    <s v="MPG"/>
    <x v="77"/>
    <d v="2017-09-01T00:00:00"/>
    <n v="3108.854467592595"/>
    <s v="M S K Manikpur"/>
    <m/>
    <s v="Pritam kumar"/>
    <n v="8544100990"/>
    <s v="EKOMILK ULTRA PRO ANALYSER"/>
    <n v="277532"/>
    <s v="Ekomilk Bush"/>
    <s v="RM00510"/>
    <m/>
    <m/>
    <n v="49"/>
    <m/>
    <n v="8.82"/>
    <n v="57.82"/>
    <m/>
    <m/>
    <x v="1"/>
  </r>
  <r>
    <s v="06-03-2026 20:30:26"/>
    <d v="2026-03-01T00:00:00"/>
    <x v="0"/>
    <s v="MPG"/>
    <x v="77"/>
    <d v="2017-09-01T00:00:00"/>
    <n v="3108.854467592595"/>
    <s v="M S K Manikpur"/>
    <m/>
    <s v="Pritam kumar"/>
    <n v="8544100990"/>
    <s v="EKOMILK ULTRA PRO ANALYSER"/>
    <n v="277532"/>
    <s v="Ekomilk Bush"/>
    <s v="RM00510"/>
    <m/>
    <m/>
    <n v="49"/>
    <m/>
    <n v="8.82"/>
    <n v="57.82"/>
    <m/>
    <m/>
    <x v="1"/>
  </r>
  <r>
    <s v="02-03-2026 16:40:03"/>
    <d v="2026-03-01T00:00:00"/>
    <x v="0"/>
    <s v="MPG"/>
    <x v="78"/>
    <d v="2023-03-27T00:00:00"/>
    <n v="1071.6944791666683"/>
    <s v="Gomukh Kanhaiyachak pachhim "/>
    <m/>
    <s v="Sanjeev Kumar"/>
    <n v="9122191559"/>
    <s v="Everest Smart Tab-based Android Terminal (Table-top) with Inbuilt Printer"/>
    <s v="GTD-23024195"/>
    <s v="WiFi Serial Device (Wysence)"/>
    <s v="SF00056"/>
    <m/>
    <m/>
    <n v="925"/>
    <m/>
    <n v="166.5"/>
    <n v="1091.5"/>
    <m/>
    <m/>
    <x v="1"/>
  </r>
  <r>
    <s v="02-03-2026 17:09:11"/>
    <d v="2026-03-01T00:00:00"/>
    <x v="0"/>
    <s v="MPG"/>
    <x v="79"/>
    <d v="2024-10-25T00:00:00"/>
    <n v="493.71471064814978"/>
    <s v="Gomukh Pahadpur"/>
    <m/>
    <s v="Arvind Pal"/>
    <n v="9931327599"/>
    <s v="STIRRER UNIT EV5600"/>
    <s v="s-22040031"/>
    <s v="Stirrer Power Board"/>
    <s v="RM00477"/>
    <m/>
    <m/>
    <n v="1750"/>
    <m/>
    <n v="315"/>
    <n v="2065"/>
    <m/>
    <m/>
    <x v="1"/>
  </r>
  <r>
    <s v="28-02-2026 17:08:34"/>
    <d v="2026-03-01T00:00:00"/>
    <x v="0"/>
    <s v="MPG"/>
    <x v="80"/>
    <d v="2023-10-06T00:00:00"/>
    <n v="876.71428240741079"/>
    <s v="Gomukh Fatepur"/>
    <m/>
    <s v="GAUTAM KUMAR "/>
    <n v="8789901453"/>
    <s v="WEIGHING SCALE 60 KG"/>
    <s v="GNE-23024403"/>
    <s v="Keyboard For Weighing Scale New Design"/>
    <s v="RM01176"/>
    <m/>
    <m/>
    <n v="1266"/>
    <m/>
    <n v="227.88"/>
    <n v="1493.88"/>
    <m/>
    <m/>
    <x v="1"/>
  </r>
  <r>
    <s v="28-02-2026 17:02:50"/>
    <d v="2026-03-01T00:00:00"/>
    <x v="0"/>
    <s v="MPG"/>
    <x v="71"/>
    <d v="2026-01-02T00:00:00"/>
    <n v="57.710300925922638"/>
    <s v="saidpur"/>
    <m/>
    <s v="rambaran yadav"/>
    <n v="6202078377"/>
    <s v="Everest Smart Tab-based Android Terminal (Table-top) with Inbuilt Printer"/>
    <s v="GTD-23013979"/>
    <s v="DPU Thermal Printer EPM 207"/>
    <s v="RM00282"/>
    <m/>
    <m/>
    <n v="2800"/>
    <m/>
    <n v="504"/>
    <n v="3304"/>
    <m/>
    <m/>
    <x v="0"/>
  </r>
  <r>
    <s v="28-02-2026 17:23:53"/>
    <d v="2026-03-01T00:00:00"/>
    <x v="0"/>
    <s v="MPG"/>
    <x v="81"/>
    <d v="2023-05-03T00:00:00"/>
    <n v="1032.7249189814829"/>
    <s v="ANANDPUR"/>
    <m/>
    <s v="rabit kumar "/>
    <n v="9570500064"/>
    <s v="Everest Smart Tab-based Android Terminal (Table-top) with Inbuilt Printer"/>
    <s v="GTD-23024135"/>
    <s v="Battery 3.7V/2600Mah"/>
    <s v="RM00980"/>
    <m/>
    <m/>
    <n v="350"/>
    <m/>
    <n v="63"/>
    <n v="413"/>
    <m/>
    <m/>
    <x v="1"/>
  </r>
  <r>
    <d v="2026-04-30T16:13:32"/>
    <d v="2026-04-01T00:00:00"/>
    <x v="0"/>
    <s v="MPG"/>
    <x v="82"/>
    <d v="2025-03-29T00:00:00"/>
    <n v="397.67606481481198"/>
    <s v="BIHRAURA"/>
    <m/>
    <m/>
    <m/>
    <m/>
    <m/>
    <s v="Ekomilk Air Bubble"/>
    <s v="RM00509"/>
    <m/>
    <m/>
    <n v="62"/>
    <n v="124"/>
    <n v="22.32"/>
    <n v="146.32"/>
    <m/>
    <m/>
    <x v="1"/>
  </r>
  <r>
    <d v="2026-04-30T16:12:51"/>
    <d v="2026-04-01T00:00:00"/>
    <x v="0"/>
    <s v="MPG"/>
    <x v="9"/>
    <d v="2023-12-07T00:00:00"/>
    <n v="875.67559027778043"/>
    <s v="MALIYA"/>
    <m/>
    <m/>
    <m/>
    <m/>
    <m/>
    <s v="Ekomilk Motorpump Set New"/>
    <s v="TR00182"/>
    <m/>
    <m/>
    <n v="2000"/>
    <n v="2000"/>
    <n v="360"/>
    <n v="2360"/>
    <m/>
    <m/>
    <x v="1"/>
  </r>
  <r>
    <d v="2026-04-30T16:11:55"/>
    <d v="2026-04-01T00:00:00"/>
    <x v="0"/>
    <s v="MPG"/>
    <x v="9"/>
    <d v="2023-12-07T00:00:00"/>
    <n v="875.67494212962629"/>
    <s v="MALIYA"/>
    <m/>
    <m/>
    <m/>
    <m/>
    <m/>
    <s v="SWS Motherboard (Version 1.1)"/>
    <s v="RM01371"/>
    <m/>
    <m/>
    <n v="2080"/>
    <n v="2080"/>
    <n v="374.4"/>
    <n v="2454.4"/>
    <m/>
    <m/>
    <x v="1"/>
  </r>
  <r>
    <d v="2026-04-30T15:57:36"/>
    <d v="2026-04-01T00:00:00"/>
    <x v="0"/>
    <s v="MPG"/>
    <x v="74"/>
    <d v="2023-02-22T00:00:00"/>
    <n v="1163.6650000000009"/>
    <s v="RAMO PATTI"/>
    <m/>
    <m/>
    <m/>
    <m/>
    <m/>
    <s v="Battery 3.7V/2600Mah"/>
    <s v="RM01787"/>
    <m/>
    <m/>
    <n v="350"/>
    <n v="350"/>
    <n v="63"/>
    <n v="413"/>
    <m/>
    <m/>
    <x v="1"/>
  </r>
  <r>
    <d v="2026-04-15T11:25:20"/>
    <d v="2026-04-01T00:00:00"/>
    <x v="0"/>
    <s v="MPG"/>
    <x v="15"/>
    <d v="2019-06-06T00:00:00"/>
    <n v="2505.4759259259226"/>
    <s v="SUHANIPUR"/>
    <m/>
    <m/>
    <m/>
    <m/>
    <m/>
    <s v="Ekomilk Bush"/>
    <s v="RM00510"/>
    <m/>
    <m/>
    <n v="49"/>
    <n v="98"/>
    <n v="17.64"/>
    <n v="115.64"/>
    <m/>
    <m/>
    <x v="1"/>
  </r>
  <r>
    <d v="2026-04-15T11:25:20"/>
    <d v="2026-04-01T00:00:00"/>
    <x v="0"/>
    <s v="MPG"/>
    <x v="15"/>
    <d v="2019-06-06T00:00:00"/>
    <n v="2505.4759259259226"/>
    <s v="SUHANIPUR"/>
    <m/>
    <m/>
    <m/>
    <m/>
    <m/>
    <s v="Fatscan Motor Pump Pipe"/>
    <s v="SF00147"/>
    <m/>
    <m/>
    <n v="125"/>
    <n v="250"/>
    <n v="45"/>
    <n v="295"/>
    <m/>
    <m/>
    <x v="1"/>
  </r>
  <r>
    <d v="2026-04-16T10:58:10"/>
    <d v="2026-04-01T00:00:00"/>
    <x v="0"/>
    <s v="MPG"/>
    <x v="74"/>
    <d v="2023-02-22T00:00:00"/>
    <n v="1149.4570601851883"/>
    <s v="RAMO PATTI"/>
    <m/>
    <m/>
    <m/>
    <m/>
    <m/>
    <s v="EKO SYRINGE WITH PLUNGER (EACH)"/>
    <s v="RM00530"/>
    <m/>
    <m/>
    <n v="70"/>
    <n v="140"/>
    <n v="25.2"/>
    <n v="165.2"/>
    <m/>
    <m/>
    <x v="1"/>
  </r>
  <r>
    <d v="2026-04-28T18:03:42"/>
    <d v="2026-04-01T00:00:00"/>
    <x v="0"/>
    <s v="MPG"/>
    <x v="83"/>
    <d v="2017-09-01T00:00:00"/>
    <n v="3161.7525694444412"/>
    <s v="NAUWAGARHI"/>
    <m/>
    <m/>
    <m/>
    <m/>
    <m/>
    <s v="DPU DC To DC Converter 12V To 5V"/>
    <s v="RM00493"/>
    <m/>
    <m/>
    <n v="780"/>
    <n v="780"/>
    <n v="140.4"/>
    <n v="920.4"/>
    <m/>
    <m/>
    <x v="1"/>
  </r>
  <r>
    <d v="2026-04-17T15:40:11"/>
    <d v="2026-04-01T00:00:00"/>
    <x v="0"/>
    <s v="MPG"/>
    <x v="84"/>
    <d v="2025-07-31T00:00:00"/>
    <n v="260.65290509258921"/>
    <s v="JANGALI TOL"/>
    <m/>
    <m/>
    <m/>
    <m/>
    <m/>
    <s v="SWS Motherboard (Version 1.1)"/>
    <s v="RM01371"/>
    <m/>
    <m/>
    <n v="2080"/>
    <n v="2080"/>
    <n v="374.4"/>
    <n v="2454.4"/>
    <m/>
    <m/>
    <x v="4"/>
  </r>
  <r>
    <d v="2026-04-17T15:41:01"/>
    <d v="2026-04-01T00:00:00"/>
    <x v="0"/>
    <s v="MPG"/>
    <x v="84"/>
    <d v="2025-07-31T00:00:00"/>
    <n v="260.65348379629722"/>
    <s v="JANGALI TOL"/>
    <m/>
    <m/>
    <m/>
    <m/>
    <m/>
    <s v="SWS Motherboard (Version 1.1)"/>
    <s v="RM01371"/>
    <m/>
    <m/>
    <n v="2080"/>
    <n v="2080"/>
    <n v="374.4"/>
    <n v="2454.4"/>
    <m/>
    <m/>
    <x v="4"/>
  </r>
  <r>
    <d v="2026-04-20T12:59:15"/>
    <d v="2026-04-01T00:00:00"/>
    <x v="0"/>
    <s v="MPG"/>
    <x v="74"/>
    <d v="2023-02-22T00:00:00"/>
    <n v="1153.5411458333328"/>
    <s v="RAMO PATTI"/>
    <m/>
    <m/>
    <m/>
    <m/>
    <m/>
    <s v="EKO SYRINGE WITH PLUNGER (EACH)"/>
    <s v="RM00530"/>
    <m/>
    <m/>
    <n v="70"/>
    <n v="70"/>
    <n v="12.6"/>
    <n v="82.6"/>
    <m/>
    <m/>
    <x v="1"/>
  </r>
  <r>
    <d v="2026-04-20T15:32:30"/>
    <d v="2026-04-01T00:00:00"/>
    <x v="0"/>
    <s v="MPG"/>
    <x v="41"/>
    <d v="2023-11-08T00:00:00"/>
    <n v="894.64756944444525"/>
    <s v="JAHAGIRPUR"/>
    <m/>
    <m/>
    <m/>
    <m/>
    <m/>
    <s v="FATSCAN &quot;Y&quot; PIPE"/>
    <s v="SF00145"/>
    <m/>
    <m/>
    <n v="84"/>
    <n v="84"/>
    <n v="15.12"/>
    <n v="99.12"/>
    <m/>
    <m/>
    <x v="1"/>
  </r>
  <r>
    <d v="2026-04-20T15:32:30"/>
    <d v="2026-04-01T00:00:00"/>
    <x v="0"/>
    <s v="MPG"/>
    <x v="41"/>
    <d v="2023-11-08T00:00:00"/>
    <n v="894.64756944444525"/>
    <s v="JAHAGIRPUR"/>
    <m/>
    <m/>
    <m/>
    <m/>
    <m/>
    <s v="EKO SYRINGE WITH PLUNGER (EACH)"/>
    <s v="RM00530"/>
    <m/>
    <m/>
    <n v="70"/>
    <n v="140"/>
    <n v="25.2"/>
    <n v="165.2"/>
    <m/>
    <m/>
    <x v="1"/>
  </r>
  <r>
    <d v="2026-04-22T11:24:33"/>
    <d v="2026-04-01T00:00:00"/>
    <x v="0"/>
    <s v="MPG"/>
    <x v="15"/>
    <d v="2019-06-06T00:00:00"/>
    <n v="2512.475381944445"/>
    <s v="SUHANIPUR"/>
    <m/>
    <m/>
    <m/>
    <m/>
    <m/>
    <s v="FATSCAN &quot;Y&quot; PIPE"/>
    <s v="SF00145"/>
    <m/>
    <m/>
    <n v="84"/>
    <n v="84"/>
    <n v="15.12"/>
    <n v="99.12"/>
    <m/>
    <m/>
    <x v="1"/>
  </r>
  <r>
    <d v="2026-04-23T11:17:18"/>
    <d v="2026-04-01T00:00:00"/>
    <x v="2"/>
    <s v="MPG"/>
    <x v="85"/>
    <s v=""/>
    <m/>
    <s v="FATIKA RMC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4-23T14:08:27"/>
    <d v="2026-04-01T00:00:00"/>
    <x v="2"/>
    <s v="MPG"/>
    <x v="86"/>
    <s v=""/>
    <m/>
    <s v="PAHALANPUR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4-27T15:57:08"/>
    <d v="2026-04-01T00:00:00"/>
    <x v="0"/>
    <s v="MPG"/>
    <x v="74"/>
    <d v="2023-02-22T00:00:00"/>
    <n v="1160.6646759259238"/>
    <s v="RAMO PATTI"/>
    <m/>
    <m/>
    <m/>
    <m/>
    <m/>
    <s v="KEYBOARD FOR WEIGHING SCALE NEW DESIGN (VER.2)"/>
    <s v="RM01176"/>
    <m/>
    <m/>
    <n v="1266"/>
    <n v="1266"/>
    <n v="227.88"/>
    <n v="1493.88"/>
    <m/>
    <m/>
    <x v="1"/>
  </r>
  <r>
    <d v="2026-05-06T12:42:46"/>
    <d v="2026-05-01T00:00:00"/>
    <x v="2"/>
    <s v="MPG"/>
    <x v="87"/>
    <s v=""/>
    <m/>
    <s v="SITAPUR"/>
    <s v="RADHANAGAR"/>
    <m/>
    <m/>
    <m/>
    <m/>
    <s v="DPU Thermal Printer EPM 207"/>
    <s v="RM00282"/>
    <m/>
    <m/>
    <n v="2800"/>
    <n v="2800"/>
    <n v="504"/>
    <n v="3304"/>
    <m/>
    <m/>
    <x v="0"/>
  </r>
  <r>
    <d v="2026-05-30T14:53:27"/>
    <d v="2026-05-01T00:00:00"/>
    <x v="0"/>
    <s v="MPG"/>
    <x v="88"/>
    <d v="2022-05-22T00:00:00"/>
    <n v="1469.6204513888879"/>
    <s v="GOMUKH GANGAULI"/>
    <s v="Dumraon"/>
    <m/>
    <m/>
    <m/>
    <m/>
    <s v="SWS Motherboard (Version 1.1)"/>
    <s v="RM00973"/>
    <m/>
    <m/>
    <n v="2080"/>
    <n v="2080"/>
    <n v="374.4"/>
    <n v="2454.4"/>
    <m/>
    <m/>
    <x v="1"/>
  </r>
  <r>
    <d v="2026-05-06T16:48:15"/>
    <d v="2026-05-01T00:00:00"/>
    <x v="0"/>
    <s v="MPG"/>
    <x v="89"/>
    <d v="2024-04-26T00:00:00"/>
    <n v="740.7001736111124"/>
    <s v="DHAKAICH"/>
    <s v="Dumraon"/>
    <m/>
    <m/>
    <m/>
    <m/>
    <s v="FATSCAN ABS BODY SYRINGE"/>
    <s v="RM01810"/>
    <m/>
    <m/>
    <n v="70"/>
    <n v="140"/>
    <n v="25.2"/>
    <n v="165.2"/>
    <m/>
    <m/>
    <x v="1"/>
  </r>
  <r>
    <d v="2026-05-06T17:41:22"/>
    <d v="2026-05-01T00:00:00"/>
    <x v="0"/>
    <s v="MPG"/>
    <x v="90"/>
    <d v="2022-11-01T00:00:00"/>
    <n v="1282.7370601851871"/>
    <s v="GOMUKH ARMA"/>
    <s v="Sonvarsha"/>
    <m/>
    <m/>
    <m/>
    <m/>
    <s v="SWS Motherboard (Version 1.1)"/>
    <s v="RM00973"/>
    <m/>
    <m/>
    <n v="2080"/>
    <n v="2080"/>
    <n v="374.4"/>
    <n v="2454.4"/>
    <m/>
    <m/>
    <x v="1"/>
  </r>
  <r>
    <d v="2026-05-29T11:38:12"/>
    <d v="2026-05-01T00:00:00"/>
    <x v="0"/>
    <s v="BMC"/>
    <x v="57"/>
    <s v=""/>
    <m/>
    <s v="SIMRI"/>
    <s v="SIMRI"/>
    <m/>
    <m/>
    <m/>
    <m/>
    <s v="KEYBOARD FOR WEIGHING SCALE NEW DESIGN (VER.2)"/>
    <s v="RM01176"/>
    <m/>
    <m/>
    <n v="1266"/>
    <n v="1266"/>
    <n v="227.88"/>
    <n v="1493.88"/>
    <m/>
    <m/>
    <x v="0"/>
  </r>
  <r>
    <d v="2026-05-29T11:38:12"/>
    <d v="2026-05-01T00:00:00"/>
    <x v="0"/>
    <s v="BMC"/>
    <x v="57"/>
    <s v=""/>
    <m/>
    <s v="SIMRI"/>
    <s v="SIMRI"/>
    <m/>
    <m/>
    <m/>
    <m/>
    <s v="SWS DISPLAY 2*16 BIG"/>
    <s v="RM01090"/>
    <m/>
    <m/>
    <n v="1150"/>
    <n v="1150"/>
    <n v="207"/>
    <n v="1357"/>
    <m/>
    <m/>
    <x v="0"/>
  </r>
  <r>
    <d v="2026-05-06T18:25:38"/>
    <d v="2026-05-01T00:00:00"/>
    <x v="1"/>
    <s v="MPG"/>
    <x v="91"/>
    <s v=""/>
    <m/>
    <s v="SAHED"/>
    <s v="PIRAGUTU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8T16:55:16"/>
    <d v="2026-05-01T00:00:00"/>
    <x v="0"/>
    <s v="MPG"/>
    <x v="92"/>
    <d v="2023-07-21T00:00:00"/>
    <n v="1042.7050462962943"/>
    <s v="GORIYARI"/>
    <s v="MANJHAUL"/>
    <m/>
    <m/>
    <m/>
    <m/>
    <s v="Battery 3.7V/2600Mah"/>
    <s v="RM01787"/>
    <m/>
    <m/>
    <n v="350"/>
    <n v="350"/>
    <n v="63"/>
    <n v="413"/>
    <m/>
    <m/>
    <x v="1"/>
  </r>
  <r>
    <d v="2026-05-28T16:49:05"/>
    <d v="2026-05-01T00:00:00"/>
    <x v="0"/>
    <s v="MPG"/>
    <x v="93"/>
    <d v="2026-03-31T00:00:00"/>
    <n v="58.700752314813144"/>
    <s v="MAIDA"/>
    <s v="MANJHAUL"/>
    <m/>
    <m/>
    <m/>
    <m/>
    <s v="Battery 3.7V/2600Mah"/>
    <s v="RM01787"/>
    <m/>
    <m/>
    <n v="350"/>
    <n v="350"/>
    <n v="63"/>
    <n v="413"/>
    <m/>
    <m/>
    <x v="0"/>
  </r>
  <r>
    <d v="2026-05-28T16:47:48"/>
    <d v="2026-05-01T00:00:00"/>
    <x v="0"/>
    <s v="MPG"/>
    <x v="94"/>
    <d v="2026-03-31T00:00:00"/>
    <n v="58.699861111112114"/>
    <s v="MEGHAUL -2"/>
    <s v="MANJHAUL"/>
    <m/>
    <m/>
    <m/>
    <m/>
    <s v="Battery 3.7V/2600Mah"/>
    <s v="RM01787"/>
    <m/>
    <m/>
    <n v="350"/>
    <n v="350"/>
    <n v="63"/>
    <n v="413"/>
    <m/>
    <m/>
    <x v="0"/>
  </r>
  <r>
    <d v="2026-05-28T16:46:19"/>
    <d v="2026-05-01T00:00:00"/>
    <x v="0"/>
    <s v="MPG"/>
    <x v="95"/>
    <d v="2025-12-05T00:00:00"/>
    <n v="174.69883101851883"/>
    <s v="SHRI BHAIRAB"/>
    <s v="MANJHAUL"/>
    <m/>
    <m/>
    <m/>
    <m/>
    <s v="Battery 3.7V/2600Mah"/>
    <s v="RM01787"/>
    <m/>
    <m/>
    <n v="350"/>
    <n v="350"/>
    <n v="63"/>
    <n v="413"/>
    <m/>
    <m/>
    <x v="0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Ekomilk LCD Display"/>
    <s v="RM00511"/>
    <m/>
    <m/>
    <n v="790"/>
    <n v="790"/>
    <n v="142.19999999999999"/>
    <n v="932.2"/>
    <m/>
    <m/>
    <x v="1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DONGLE WITH WIFI 12V (WYSENSE)"/>
    <s v="RM01543"/>
    <m/>
    <m/>
    <n v="770"/>
    <n v="770"/>
    <n v="138.6"/>
    <n v="908.6"/>
    <m/>
    <m/>
    <x v="1"/>
  </r>
  <r>
    <d v="2026-05-28T14:42:28"/>
    <d v="2026-05-01T00:00:00"/>
    <x v="0"/>
    <s v="MPG"/>
    <x v="33"/>
    <d v="2017-09-01T00:00:00"/>
    <n v="3191.6128240740727"/>
    <s v="CHATMADIH"/>
    <s v="Asarganj"/>
    <m/>
    <m/>
    <m/>
    <m/>
    <s v="EKO SYRINGE WITH PLUNGER (EACH)"/>
    <s v="RM00530"/>
    <m/>
    <m/>
    <n v="70"/>
    <n v="70"/>
    <n v="12.6"/>
    <n v="82.6"/>
    <m/>
    <m/>
    <x v="1"/>
  </r>
  <r>
    <d v="2026-05-07T11:23:11"/>
    <d v="2026-05-01T00:00:00"/>
    <x v="0"/>
    <s v="BMC"/>
    <x v="57"/>
    <s v=""/>
    <m/>
    <s v="SIMRI"/>
    <s v="SIMRI"/>
    <m/>
    <m/>
    <m/>
    <m/>
    <s v="EKO SYRINGE WITH PLUNGER (EACH)"/>
    <s v="RM00530"/>
    <m/>
    <m/>
    <n v="70"/>
    <n v="140"/>
    <n v="25.2"/>
    <n v="165.2"/>
    <m/>
    <m/>
    <x v="0"/>
  </r>
  <r>
    <d v="2026-05-07T11:23:11"/>
    <d v="2026-05-01T00:00:00"/>
    <x v="0"/>
    <s v="BMC"/>
    <x v="57"/>
    <s v=""/>
    <m/>
    <s v="SIMRI"/>
    <s v="SIMRI"/>
    <m/>
    <m/>
    <m/>
    <m/>
    <s v="Ekomilk Keyboard"/>
    <s v="RM00512"/>
    <m/>
    <m/>
    <n v="770"/>
    <n v="770"/>
    <n v="138.6"/>
    <n v="908.6"/>
    <m/>
    <m/>
    <x v="0"/>
  </r>
  <r>
    <d v="2026-05-07T14:09:40"/>
    <d v="2026-05-01T00:00:00"/>
    <x v="0"/>
    <s v="MPG"/>
    <x v="96"/>
    <d v="2024-05-01T00:00:00"/>
    <n v="736.59004629629635"/>
    <s v="SURATPUR"/>
    <s v="SIMRI"/>
    <m/>
    <m/>
    <m/>
    <m/>
    <s v="Battery 3.7V/2600Mah"/>
    <s v="RM01787"/>
    <m/>
    <m/>
    <n v="350"/>
    <n v="350"/>
    <n v="63"/>
    <n v="413"/>
    <m/>
    <m/>
    <x v="1"/>
  </r>
  <r>
    <d v="2026-05-07T16:30:58"/>
    <d v="2026-05-01T00:00:00"/>
    <x v="1"/>
    <s v="MPG"/>
    <x v="97"/>
    <s v=""/>
    <m/>
    <s v="BASKI"/>
    <s v="PALI"/>
    <m/>
    <m/>
    <m/>
    <m/>
    <s v="Load Cell 100 Kg 60310"/>
    <s v="RM00006"/>
    <m/>
    <m/>
    <n v="2800"/>
    <n v="2800"/>
    <n v="504"/>
    <n v="3304"/>
    <m/>
    <m/>
    <x v="0"/>
  </r>
  <r>
    <d v="2026-05-27T16:38:45"/>
    <d v="2026-05-01T00:00:00"/>
    <x v="1"/>
    <s v="MPG"/>
    <x v="21"/>
    <s v=""/>
    <m/>
    <s v="JARI"/>
    <s v="PALI"/>
    <m/>
    <m/>
    <m/>
    <m/>
    <s v="DPU DC To DC Converter 12V To 5V"/>
    <s v="RM00493"/>
    <m/>
    <m/>
    <n v="780"/>
    <n v="780"/>
    <n v="140.4"/>
    <n v="920.4"/>
    <m/>
    <m/>
    <x v="0"/>
  </r>
  <r>
    <d v="2026-05-07T16:30:58"/>
    <d v="2026-05-01T00:00:00"/>
    <x v="1"/>
    <s v="MPG"/>
    <x v="97"/>
    <s v=""/>
    <m/>
    <s v="BASKI"/>
    <s v="PALI"/>
    <m/>
    <m/>
    <m/>
    <m/>
    <s v="SWS Motherboard (Version 1.1)"/>
    <s v="RM00973"/>
    <m/>
    <m/>
    <n v="2080"/>
    <n v="2080"/>
    <n v="374.4"/>
    <n v="2454.4"/>
    <m/>
    <m/>
    <x v="0"/>
  </r>
  <r>
    <d v="2026-05-07T17:24:11"/>
    <d v="2026-05-01T00:00:00"/>
    <x v="0"/>
    <s v="BMC"/>
    <x v="98"/>
    <s v=""/>
    <m/>
    <s v="CHAUTHAM"/>
    <s v="CHAUTHAM"/>
    <m/>
    <m/>
    <m/>
    <m/>
    <s v="Ekomilk LCD Display"/>
    <s v="RM00511"/>
    <m/>
    <m/>
    <n v="790"/>
    <n v="790"/>
    <n v="142.19999999999999"/>
    <n v="932.2"/>
    <m/>
    <m/>
    <x v="0"/>
  </r>
  <r>
    <d v="2026-05-07T17:24:11"/>
    <d v="2026-05-01T00:00:00"/>
    <x v="0"/>
    <s v="BMC"/>
    <x v="98"/>
    <s v=""/>
    <m/>
    <s v="CHAUTHAM"/>
    <s v="CHAUTHAM"/>
    <m/>
    <m/>
    <m/>
    <m/>
    <s v="Ekomilk Motorpump Set New"/>
    <s v="TR00181"/>
    <m/>
    <m/>
    <n v="2000"/>
    <n v="2000"/>
    <n v="360"/>
    <n v="2360"/>
    <m/>
    <m/>
    <x v="0"/>
  </r>
  <r>
    <d v="2026-05-27T12:49:01"/>
    <d v="2026-05-01T00:00:00"/>
    <x v="0"/>
    <s v="MPG"/>
    <x v="99"/>
    <d v="2022-12-20T00:00:00"/>
    <n v="1254.5340393518491"/>
    <s v="LAXMIPUR"/>
    <s v="Musrigharari"/>
    <m/>
    <m/>
    <m/>
    <m/>
    <s v="EKO SYRINGE WITH PLUNGER (EACH)"/>
    <s v="RM00530"/>
    <m/>
    <m/>
    <n v="70"/>
    <n v="140"/>
    <n v="25.2"/>
    <n v="165.2"/>
    <m/>
    <m/>
    <x v="1"/>
  </r>
  <r>
    <d v="2026-05-27T12:49:01"/>
    <d v="2026-05-01T00:00:00"/>
    <x v="0"/>
    <s v="MPG"/>
    <x v="99"/>
    <d v="2022-12-20T00:00:00"/>
    <n v="1254.5340393518491"/>
    <s v="LAXMIPUR"/>
    <s v="Musrigharari"/>
    <m/>
    <m/>
    <m/>
    <m/>
    <s v="Fatscan Sensor to Syringe Pipe"/>
    <s v="SF00146"/>
    <m/>
    <m/>
    <n v="44"/>
    <n v="88"/>
    <n v="15.84"/>
    <n v="103.84"/>
    <m/>
    <m/>
    <x v="1"/>
  </r>
  <r>
    <d v="2026-05-27T12:22:10"/>
    <d v="2026-05-01T00:00:00"/>
    <x v="0"/>
    <s v="MPG"/>
    <x v="100"/>
    <d v="2020-03-23T00:00:00"/>
    <n v="2256.5153935185153"/>
    <s v="RAHUAA"/>
    <s v="Musrigharari"/>
    <m/>
    <m/>
    <m/>
    <m/>
    <s v="EKO SYRINGE WITH PLUNGER (EACH)"/>
    <s v="RM00530"/>
    <m/>
    <m/>
    <n v="70"/>
    <n v="140"/>
    <n v="25.2"/>
    <n v="165.2"/>
    <m/>
    <m/>
    <x v="1"/>
  </r>
  <r>
    <d v="2026-05-27T12:22:10"/>
    <d v="2026-05-01T00:00:00"/>
    <x v="0"/>
    <s v="MPG"/>
    <x v="100"/>
    <d v="2020-03-23T00:00:00"/>
    <n v="2256.5153935185153"/>
    <s v="RAHUAA"/>
    <s v="Musrigharari"/>
    <m/>
    <m/>
    <m/>
    <m/>
    <s v="Ekomilk Bush"/>
    <s v="RM00510"/>
    <m/>
    <m/>
    <n v="49"/>
    <n v="98"/>
    <n v="17.64"/>
    <n v="115.64"/>
    <m/>
    <m/>
    <x v="1"/>
  </r>
  <r>
    <d v="2026-05-07T17:26:23"/>
    <d v="2026-05-01T00:00:00"/>
    <x v="0"/>
    <s v="BMC"/>
    <x v="98"/>
    <s v=""/>
    <m/>
    <s v="CHAUTHAM STORE"/>
    <s v="CHAUTHAM"/>
    <m/>
    <m/>
    <m/>
    <m/>
    <s v="Ekomilk Motorpump Set New"/>
    <s v="TR00181"/>
    <m/>
    <m/>
    <n v="2000"/>
    <n v="2000"/>
    <n v="360"/>
    <n v="2360"/>
    <m/>
    <m/>
    <x v="0"/>
  </r>
  <r>
    <d v="2026-05-07T17:42:44"/>
    <d v="2026-05-01T00:00:00"/>
    <x v="1"/>
    <s v="MPG"/>
    <x v="101"/>
    <s v=""/>
    <m/>
    <s v="BARGARI"/>
    <s v="PALI"/>
    <m/>
    <m/>
    <m/>
    <m/>
    <s v="Weighing Scale Motherboard Old"/>
    <s v="RM00420"/>
    <m/>
    <m/>
    <n v="2080"/>
    <n v="2080"/>
    <n v="374.4"/>
    <n v="2454.4"/>
    <m/>
    <m/>
    <x v="0"/>
  </r>
  <r>
    <d v="2026-05-27T11:58:32"/>
    <d v="2026-05-01T00:00:00"/>
    <x v="0"/>
    <s v="MPG"/>
    <x v="102"/>
    <d v="2025-04-18T00:00:00"/>
    <n v="404.4989814814835"/>
    <s v="GAWPUR"/>
    <s v="Musrigharari"/>
    <m/>
    <m/>
    <m/>
    <m/>
    <s v="EKO SYRINGE WITH PLUNGER (EACH)"/>
    <s v="RM00530"/>
    <m/>
    <m/>
    <n v="70"/>
    <n v="70"/>
    <n v="12.6"/>
    <n v="82.6"/>
    <m/>
    <m/>
    <x v="1"/>
  </r>
  <r>
    <d v="2026-05-27T11:58:32"/>
    <d v="2026-05-01T00:00:00"/>
    <x v="0"/>
    <s v="MPG"/>
    <x v="102"/>
    <d v="2025-04-18T00:00:00"/>
    <n v="404.4989814814835"/>
    <s v="GAWPUR"/>
    <s v="Musrigharari"/>
    <m/>
    <m/>
    <m/>
    <m/>
    <s v="FATSCAN &quot;Y&quot; PIPE"/>
    <s v="SF00145"/>
    <m/>
    <m/>
    <n v="84"/>
    <n v="84"/>
    <n v="15.12"/>
    <n v="99.12"/>
    <m/>
    <m/>
    <x v="1"/>
  </r>
  <r>
    <d v="2026-05-08T22:54:51"/>
    <d v="2026-05-01T00:00:00"/>
    <x v="1"/>
    <s v="MPG"/>
    <x v="103"/>
    <s v=""/>
    <m/>
    <s v="MURTO"/>
    <s v="Itk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8T22:56:45"/>
    <d v="2026-05-01T00:00:00"/>
    <x v="1"/>
    <s v="MPG"/>
    <x v="21"/>
    <s v=""/>
    <m/>
    <s v="JARI"/>
    <s v="P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8T23:01:01"/>
    <d v="2026-05-01T00:00:00"/>
    <x v="1"/>
    <s v="MPG"/>
    <x v="104"/>
    <s v=""/>
    <m/>
    <s v="PALI"/>
    <s v="P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1:20:57"/>
    <d v="2026-05-01T00:00:00"/>
    <x v="0"/>
    <s v="MPG"/>
    <x v="105"/>
    <d v="2017-09-01T00:00:00"/>
    <n v="3172.4728819444426"/>
    <s v="DANDARI"/>
    <s v="SAHEBPURKAMAL"/>
    <m/>
    <m/>
    <m/>
    <m/>
    <s v="EWS BATTERY BACKUP SMPS(BBLC)"/>
    <s v="RM01040"/>
    <m/>
    <m/>
    <n v="825"/>
    <n v="825"/>
    <n v="148.5"/>
    <n v="973.5"/>
    <m/>
    <m/>
    <x v="1"/>
  </r>
  <r>
    <d v="2026-05-26T12:57:08"/>
    <d v="2026-05-01T00:00:00"/>
    <x v="0"/>
    <s v="MPG"/>
    <x v="106"/>
    <d v="2024-12-03T00:00:00"/>
    <n v="539.5396759259238"/>
    <s v="LAXMIPUR"/>
    <s v="SAHEBPURKAMAL"/>
    <m/>
    <m/>
    <m/>
    <m/>
    <s v="Fatscan Sensor to Syringe Pipe"/>
    <s v="SF00146"/>
    <m/>
    <m/>
    <n v="44"/>
    <n v="88"/>
    <n v="15.84"/>
    <n v="103.84"/>
    <m/>
    <m/>
    <x v="1"/>
  </r>
  <r>
    <d v="2026-05-26T12:57:08"/>
    <d v="2026-05-01T00:00:00"/>
    <x v="0"/>
    <s v="MPG"/>
    <x v="106"/>
    <d v="2024-12-03T00:00:00"/>
    <n v="539.5396759259238"/>
    <s v="LAXMIPUR"/>
    <s v="SAHEBPURKAMAL"/>
    <m/>
    <m/>
    <m/>
    <m/>
    <s v="FATSCAN &quot;Y&quot; PIPE"/>
    <s v="SF00145"/>
    <m/>
    <m/>
    <n v="84"/>
    <n v="84"/>
    <n v="15.12"/>
    <n v="99.12"/>
    <m/>
    <m/>
    <x v="1"/>
  </r>
  <r>
    <d v="2026-05-09T13:17:05"/>
    <d v="2026-05-01T00:00:00"/>
    <x v="0"/>
    <s v="MPG"/>
    <x v="0"/>
    <d v="2026-02-01T00:00:00"/>
    <n v="97.553530092591245"/>
    <s v="MISROLIYA"/>
    <s v="Musrigharari"/>
    <m/>
    <m/>
    <m/>
    <m/>
    <s v="Ekomilk Keyboard"/>
    <s v="RM00512"/>
    <m/>
    <m/>
    <n v="770"/>
    <n v="770"/>
    <n v="138.6"/>
    <n v="908.6"/>
    <m/>
    <m/>
    <x v="0"/>
  </r>
  <r>
    <d v="2026-05-09T13:47:26"/>
    <d v="2026-05-01T00:00:00"/>
    <x v="1"/>
    <s v="MPG"/>
    <x v="107"/>
    <s v=""/>
    <m/>
    <s v="GHAGRA"/>
    <s v="Itki"/>
    <m/>
    <m/>
    <m/>
    <m/>
    <s v="FATSCAN 4PIN FEMALE CONNECTOR WITH 6&quot; CABLE"/>
    <s v="RM01658"/>
    <m/>
    <m/>
    <n v="120"/>
    <n v="120"/>
    <n v="21.6"/>
    <n v="141.6"/>
    <m/>
    <m/>
    <x v="0"/>
  </r>
  <r>
    <d v="2026-05-25T11:39:10"/>
    <d v="2026-05-01T00:00:00"/>
    <x v="0"/>
    <s v="MPG"/>
    <x v="44"/>
    <d v="2023-10-27T00:00:00"/>
    <n v="941.48553240740875"/>
    <s v="NARAYANA PUR"/>
    <s v="SIMRI"/>
    <m/>
    <m/>
    <m/>
    <m/>
    <s v="Ekomilk Air Bubble"/>
    <s v="RM00509"/>
    <m/>
    <m/>
    <n v="62"/>
    <n v="124"/>
    <n v="22.32"/>
    <n v="146.32"/>
    <m/>
    <m/>
    <x v="1"/>
  </r>
  <r>
    <d v="2026-05-25T11:39:10"/>
    <d v="2026-05-01T00:00:00"/>
    <x v="0"/>
    <s v="MPG"/>
    <x v="44"/>
    <d v="2023-10-27T00:00:00"/>
    <n v="941.48553240740875"/>
    <s v="NARAYANA PUR"/>
    <s v="SIMRI"/>
    <m/>
    <m/>
    <m/>
    <m/>
    <s v="Fatscan Motor Pump Pipe"/>
    <s v="SF00147"/>
    <m/>
    <m/>
    <n v="125"/>
    <n v="250"/>
    <n v="45"/>
    <n v="295"/>
    <m/>
    <m/>
    <x v="1"/>
  </r>
  <r>
    <d v="2026-05-24T22:33:16"/>
    <d v="2026-05-01T00:00:00"/>
    <x v="2"/>
    <s v="MPG"/>
    <x v="108"/>
    <s v=""/>
    <m/>
    <s v="DESHRA"/>
    <m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4T22:33:16"/>
    <d v="2026-05-01T00:00:00"/>
    <x v="2"/>
    <s v="MPG"/>
    <x v="108"/>
    <s v=""/>
    <m/>
    <s v="DESHRA"/>
    <m/>
    <m/>
    <m/>
    <m/>
    <m/>
    <s v="FATSCAN &quot;Y&quot; PIPE"/>
    <s v="SF00145"/>
    <m/>
    <m/>
    <n v="84"/>
    <n v="84"/>
    <n v="15.12"/>
    <n v="99.12"/>
    <m/>
    <m/>
    <x v="0"/>
  </r>
  <r>
    <d v="2026-05-23T17:07:27"/>
    <d v="2026-05-01T00:00:00"/>
    <x v="0"/>
    <s v="MPG"/>
    <x v="109"/>
    <d v="2023-03-24T00:00:00"/>
    <n v="1156.7135069444412"/>
    <s v="BHNPUR"/>
    <s v="LALDIYRA"/>
    <m/>
    <m/>
    <m/>
    <m/>
    <s v="SWS Motherboard (Version 1.1)"/>
    <s v="RM00973"/>
    <m/>
    <m/>
    <n v="2080"/>
    <n v="2080"/>
    <n v="374.4"/>
    <n v="2454.4"/>
    <m/>
    <m/>
    <x v="1"/>
  </r>
  <r>
    <d v="2026-05-09T16:27:20"/>
    <d v="2026-05-01T00:00:00"/>
    <x v="2"/>
    <s v="MPG"/>
    <x v="110"/>
    <s v=""/>
    <m/>
    <s v="FATIKGRAM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6:30:52"/>
    <d v="2026-05-01T00:00:00"/>
    <x v="1"/>
    <s v="MPG"/>
    <x v="111"/>
    <s v=""/>
    <m/>
    <s v="TERO"/>
    <s v="Itki"/>
    <m/>
    <m/>
    <m/>
    <m/>
    <s v="DPU DC To DC Converter 12V To 5V"/>
    <s v="RM00493"/>
    <m/>
    <m/>
    <n v="780"/>
    <n v="780"/>
    <n v="140.4"/>
    <n v="920.4"/>
    <m/>
    <m/>
    <x v="0"/>
  </r>
  <r>
    <d v="2026-05-11T09:55:44"/>
    <d v="2026-05-01T00:00:00"/>
    <x v="0"/>
    <s v="MPG"/>
    <x v="112"/>
    <d v="2017-09-01T00:00:00"/>
    <n v="3174.4137037037071"/>
    <s v="BISBASPUR"/>
    <s v="Asarganj"/>
    <m/>
    <m/>
    <m/>
    <m/>
    <s v="Keyboard For Weighing Scale (Repaired)"/>
    <s v="SF00048"/>
    <m/>
    <m/>
    <n v="360"/>
    <n v="360"/>
    <n v="64.8"/>
    <n v="424.8"/>
    <m/>
    <m/>
    <x v="1"/>
  </r>
  <r>
    <d v="2026-05-11T09:55:44"/>
    <d v="2026-05-01T00:00:00"/>
    <x v="0"/>
    <s v="MPG"/>
    <x v="112"/>
    <d v="2017-09-01T00:00:00"/>
    <n v="3174.4137037037071"/>
    <s v="BISBASPUR"/>
    <s v="Asarganj"/>
    <m/>
    <m/>
    <m/>
    <m/>
    <s v="EWS Battery Backup SMPS (BBLC)"/>
    <s v="RM00241"/>
    <m/>
    <m/>
    <n v="825"/>
    <n v="825"/>
    <n v="148.5"/>
    <n v="973.5"/>
    <m/>
    <m/>
    <x v="1"/>
  </r>
  <r>
    <d v="2026-05-11T13:41:53"/>
    <d v="2026-05-01T00:00:00"/>
    <x v="2"/>
    <s v="MPG"/>
    <x v="113"/>
    <s v=""/>
    <m/>
    <s v="ARUNDA"/>
    <s v="RADHANAGAR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3T14:10:44"/>
    <d v="2026-05-01T00:00:00"/>
    <x v="1"/>
    <s v="MPG"/>
    <x v="21"/>
    <s v=""/>
    <m/>
    <s v="JARI"/>
    <s v="PALI"/>
    <m/>
    <m/>
    <m/>
    <m/>
    <s v="SWS Motherboard (Version 1.1)"/>
    <s v="RM00973"/>
    <m/>
    <m/>
    <n v="2080"/>
    <n v="2080"/>
    <n v="374.4"/>
    <n v="2454.4"/>
    <m/>
    <m/>
    <x v="0"/>
  </r>
  <r>
    <d v="2026-05-11T17:11:30"/>
    <d v="2026-05-01T00:00:00"/>
    <x v="1"/>
    <s v="MPG"/>
    <x v="111"/>
    <s v=""/>
    <m/>
    <s v="TERO"/>
    <s v="Itki"/>
    <m/>
    <m/>
    <m/>
    <m/>
    <s v="Battery 3.7V/2600Mah"/>
    <s v="RM01787"/>
    <m/>
    <m/>
    <n v="350"/>
    <n v="350"/>
    <n v="63"/>
    <n v="413"/>
    <m/>
    <m/>
    <x v="0"/>
  </r>
  <r>
    <d v="2026-05-12T12:10:47"/>
    <d v="2026-05-01T00:00:00"/>
    <x v="2"/>
    <s v="MPG"/>
    <x v="114"/>
    <s v=""/>
    <m/>
    <s v="SRIKRISHNAPUR"/>
    <s v="ARASUL"/>
    <m/>
    <m/>
    <m/>
    <m/>
    <s v="DPU Thermal Printer EPM 207"/>
    <s v="RM00282"/>
    <m/>
    <m/>
    <n v="2800"/>
    <n v="2800"/>
    <n v="504"/>
    <n v="3304"/>
    <m/>
    <m/>
    <x v="0"/>
  </r>
  <r>
    <d v="2026-05-12T16:37:01"/>
    <d v="2026-05-01T00:00:00"/>
    <x v="2"/>
    <s v="MPG"/>
    <x v="115"/>
    <s v=""/>
    <m/>
    <s v="TARANAGAR"/>
    <s v="BACHRA"/>
    <m/>
    <m/>
    <m/>
    <m/>
    <s v="Stirrer Timer PCB"/>
    <s v="RM00478"/>
    <m/>
    <m/>
    <n v="900"/>
    <n v="900"/>
    <n v="162"/>
    <n v="1062"/>
    <m/>
    <m/>
    <x v="0"/>
  </r>
  <r>
    <d v="2026-05-12T18:00:03"/>
    <d v="2026-05-01T00:00:00"/>
    <x v="2"/>
    <s v="MPG"/>
    <x v="116"/>
    <s v=""/>
    <m/>
    <s v="DAMMINA"/>
    <s v="UCHALAN"/>
    <m/>
    <m/>
    <m/>
    <m/>
    <s v="DPU Thermal Printer EPM 207"/>
    <s v="RM00282"/>
    <m/>
    <m/>
    <n v="2800"/>
    <n v="2800"/>
    <n v="504"/>
    <n v="3304"/>
    <m/>
    <m/>
    <x v="0"/>
  </r>
  <r>
    <d v="2026-05-12T18:02:12"/>
    <d v="2026-05-01T00:00:00"/>
    <x v="2"/>
    <s v="MPG"/>
    <x v="117"/>
    <s v=""/>
    <m/>
    <s v="ALAMPUR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23T11:36:19"/>
    <d v="2026-05-01T00:00:00"/>
    <x v="0"/>
    <s v="MPG"/>
    <x v="75"/>
    <d v="2017-09-01T00:00:00"/>
    <n v="3186.4835532407378"/>
    <s v="MAHDATPUR"/>
    <s v="ARARIA"/>
    <m/>
    <m/>
    <m/>
    <m/>
    <s v="Ekomilk LCD Display"/>
    <s v="RM00511"/>
    <m/>
    <m/>
    <n v="790"/>
    <n v="790"/>
    <n v="142.19999999999999"/>
    <n v="932.2"/>
    <m/>
    <m/>
    <x v="1"/>
  </r>
  <r>
    <d v="2026-05-23T11:36:19"/>
    <d v="2026-05-01T00:00:00"/>
    <x v="0"/>
    <s v="MPG"/>
    <x v="75"/>
    <d v="2017-09-01T00:00:00"/>
    <n v="3186.4835532407378"/>
    <s v="MAHDATPUR"/>
    <s v="ARARIA"/>
    <m/>
    <m/>
    <m/>
    <m/>
    <s v="Ekomilk Keyboard"/>
    <s v="RM00512"/>
    <m/>
    <m/>
    <n v="770"/>
    <n v="770"/>
    <n v="138.6"/>
    <n v="908.6"/>
    <m/>
    <m/>
    <x v="1"/>
  </r>
  <r>
    <d v="2026-05-13T12:01:54"/>
    <d v="2026-05-01T00:00:00"/>
    <x v="0"/>
    <s v="MPG"/>
    <x v="118"/>
    <d v="2025-02-18T00:00:00"/>
    <n v="449.50131944444729"/>
    <s v="MPG NAME :-"/>
    <s v="CHAUTHAM"/>
    <m/>
    <m/>
    <m/>
    <m/>
    <s v="Battery 3.7V/2600Mah"/>
    <s v="RM01787"/>
    <m/>
    <m/>
    <n v="350"/>
    <n v="350"/>
    <n v="63"/>
    <n v="413"/>
    <m/>
    <m/>
    <x v="1"/>
  </r>
  <r>
    <d v="2026-05-13T12:05:06"/>
    <d v="2026-05-01T00:00:00"/>
    <x v="0"/>
    <s v="MPG"/>
    <x v="118"/>
    <d v="2025-02-18T00:00:00"/>
    <n v="449.50354166666511"/>
    <s v="SARAIYA"/>
    <n v="1056"/>
    <m/>
    <m/>
    <m/>
    <m/>
    <s v="EKOMILK SIERINGE ONLY"/>
    <s v="RM00529"/>
    <m/>
    <m/>
    <n v="70"/>
    <n v="140"/>
    <n v="25.2"/>
    <n v="165.2"/>
    <m/>
    <m/>
    <x v="1"/>
  </r>
  <r>
    <d v="2026-05-22T14:57:09"/>
    <d v="2026-05-01T00:00:00"/>
    <x v="0"/>
    <s v="MPG"/>
    <x v="119"/>
    <d v="2017-09-01T00:00:00"/>
    <n v="3185.6230208333363"/>
    <s v="MAHENDARPUR"/>
    <s v="RAMPUR MATIHANI"/>
    <m/>
    <m/>
    <m/>
    <m/>
    <s v="FATSCAN 9 PIN CONNECTOR WITH CABLE"/>
    <s v="SF00144"/>
    <m/>
    <m/>
    <n v="120"/>
    <n v="120"/>
    <n v="21.6"/>
    <n v="141.6"/>
    <m/>
    <m/>
    <x v="1"/>
  </r>
  <r>
    <d v="2026-05-22T14:57:09"/>
    <d v="2026-05-01T00:00:00"/>
    <x v="0"/>
    <s v="MPG"/>
    <x v="119"/>
    <d v="2017-09-01T00:00:00"/>
    <n v="3185.6230208333363"/>
    <s v="MAHENDARPUR"/>
    <s v="RAMPUR MATIHANI"/>
    <m/>
    <m/>
    <m/>
    <m/>
    <s v="FATSCAN 4PIN FEMALE CONNECTOR WITH 6&quot; CABLE"/>
    <s v="RM01658"/>
    <m/>
    <m/>
    <n v="120"/>
    <n v="120"/>
    <n v="21.6"/>
    <n v="141.6"/>
    <m/>
    <m/>
    <x v="1"/>
  </r>
  <r>
    <d v="2026-05-22T13:39:14"/>
    <d v="2026-05-01T00:00:00"/>
    <x v="0"/>
    <s v="MPG"/>
    <x v="120"/>
    <d v="2024-12-26T00:00:00"/>
    <n v="512.56891203703708"/>
    <s v="BACHAUTA"/>
    <s v="ALAULI"/>
    <m/>
    <m/>
    <m/>
    <m/>
    <s v="Battery 3.7V/2600Mah"/>
    <s v="RM01787"/>
    <m/>
    <m/>
    <n v="350"/>
    <n v="350"/>
    <n v="63"/>
    <n v="413"/>
    <m/>
    <m/>
    <x v="1"/>
  </r>
  <r>
    <d v="2026-05-13T15:31:01"/>
    <d v="2026-05-01T00:00:00"/>
    <x v="0"/>
    <s v="MPG"/>
    <x v="121"/>
    <d v="2023-09-29T00:00:00"/>
    <n v="957.64653935185197"/>
    <s v="LAHUARA"/>
    <s v="Halsi"/>
    <m/>
    <m/>
    <m/>
    <m/>
    <s v="Ekomilk Bush"/>
    <s v="RM00510"/>
    <m/>
    <m/>
    <n v="49"/>
    <n v="98"/>
    <n v="17.64"/>
    <n v="115.64"/>
    <m/>
    <m/>
    <x v="1"/>
  </r>
  <r>
    <d v="2026-05-22T11:22:42"/>
    <d v="2026-05-01T00:00:00"/>
    <x v="0"/>
    <s v="MPG"/>
    <x v="122"/>
    <d v="2025-11-28T00:00:00"/>
    <n v="175.47409722222073"/>
    <s v="MATHURAPUR"/>
    <s v="ALAULI"/>
    <m/>
    <m/>
    <m/>
    <m/>
    <s v="Battery 3.7V/2600Mah"/>
    <s v="RM01787"/>
    <m/>
    <m/>
    <n v="350"/>
    <n v="350"/>
    <n v="63"/>
    <n v="413"/>
    <m/>
    <m/>
    <x v="0"/>
  </r>
  <r>
    <d v="2026-05-13T15:32:08"/>
    <d v="2026-05-01T00:00:00"/>
    <x v="0"/>
    <s v="MPG"/>
    <x v="123"/>
    <d v="2023-07-01T00:00:00"/>
    <n v="1047.6473148148143"/>
    <s v="DHIRA"/>
    <s v="Halsi"/>
    <m/>
    <m/>
    <m/>
    <m/>
    <s v="Ekomilk Air Bubble"/>
    <s v="RM00509"/>
    <m/>
    <m/>
    <n v="62"/>
    <n v="124"/>
    <n v="22.32"/>
    <n v="146.32"/>
    <m/>
    <m/>
    <x v="1"/>
  </r>
  <r>
    <d v="2026-05-15T10:57:13"/>
    <d v="2026-05-01T00:00:00"/>
    <x v="2"/>
    <s v="MPG"/>
    <x v="124"/>
    <s v=""/>
    <m/>
    <s v="SHIAPUR"/>
    <s v="KOACHMALI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5T11:03:52"/>
    <d v="2026-05-01T00:00:00"/>
    <x v="0"/>
    <s v="BMC"/>
    <x v="1"/>
    <s v=""/>
    <m/>
    <s v="MUSRIGHARARI"/>
    <s v="Musrigharari"/>
    <m/>
    <m/>
    <m/>
    <m/>
    <s v="FATSCAN &quot;Y&quot; PIPE"/>
    <s v="SF00145"/>
    <m/>
    <m/>
    <n v="84"/>
    <n v="84"/>
    <n v="15.12"/>
    <n v="99.12"/>
    <m/>
    <m/>
    <x v="0"/>
  </r>
  <r>
    <d v="2026-05-20T16:02:51"/>
    <d v="2026-05-01T00:00:00"/>
    <x v="0"/>
    <s v="MPG"/>
    <x v="125"/>
    <d v="2024-11-20T00:00:00"/>
    <n v="546.66864583333518"/>
    <s v="GOMUKH RAKSHANAGAR TOLA"/>
    <s v="Dumraon"/>
    <m/>
    <m/>
    <m/>
    <m/>
    <s v="FATSCAN ABS BODY SYRINGE"/>
    <s v="RM01810"/>
    <m/>
    <m/>
    <n v="70"/>
    <n v="70"/>
    <n v="12.6"/>
    <n v="82.6"/>
    <m/>
    <m/>
    <x v="1"/>
  </r>
  <r>
    <d v="2026-05-20T16:02:51"/>
    <d v="2026-05-01T00:00:00"/>
    <x v="0"/>
    <s v="MPG"/>
    <x v="125"/>
    <d v="2024-11-20T00:00:00"/>
    <n v="546.66864583333518"/>
    <s v="GOMUKH RAKSHANAGAR TOLA"/>
    <s v="Dumraon"/>
    <m/>
    <m/>
    <m/>
    <m/>
    <s v="Fatscan ABS Body Plunger"/>
    <s v="RM01811"/>
    <m/>
    <m/>
    <n v="70"/>
    <n v="70"/>
    <n v="12.6"/>
    <n v="82.6"/>
    <m/>
    <m/>
    <x v="1"/>
  </r>
  <r>
    <d v="2026-05-15T11:03:52"/>
    <d v="2026-05-01T00:00:00"/>
    <x v="0"/>
    <s v="BMC"/>
    <x v="1"/>
    <s v=""/>
    <m/>
    <s v="MUSRIGHARARI"/>
    <s v="Musrigharari"/>
    <m/>
    <m/>
    <m/>
    <m/>
    <s v="EKO SYRINGE WITH PLUNGER (EACH)"/>
    <s v="RM00530"/>
    <m/>
    <m/>
    <n v="70"/>
    <n v="140"/>
    <n v="25.2"/>
    <n v="165.2"/>
    <m/>
    <m/>
    <x v="0"/>
  </r>
  <r>
    <d v="2026-05-15T11:08:19"/>
    <d v="2026-05-01T00:00:00"/>
    <x v="2"/>
    <s v="MPG"/>
    <x v="126"/>
    <s v=""/>
    <m/>
    <s v="ADAMPPUR"/>
    <s v="ARASUL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5T11:53:51"/>
    <d v="2026-05-01T00:00:00"/>
    <x v="0"/>
    <s v="MPG"/>
    <x v="127"/>
    <d v="2025-05-21T00:00:00"/>
    <n v="359.49572916666511"/>
    <s v="RAMAIYA"/>
    <s v="SIMRI"/>
    <m/>
    <m/>
    <m/>
    <m/>
    <s v="SWS Motherboard (Version 1.1)"/>
    <s v="RM00973"/>
    <m/>
    <m/>
    <n v="2080"/>
    <n v="2080"/>
    <n v="374.4"/>
    <n v="2454.4"/>
    <m/>
    <m/>
    <x v="0"/>
  </r>
  <r>
    <d v="2026-05-16T10:03:20"/>
    <d v="2026-05-01T00:00:00"/>
    <x v="2"/>
    <s v="MPG"/>
    <x v="128"/>
    <s v=""/>
    <m/>
    <s v="HATBELE"/>
    <s v="HATBELE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6T10:16:04"/>
    <d v="2026-05-01T00:00:00"/>
    <x v="2"/>
    <s v="MPG"/>
    <x v="129"/>
    <s v=""/>
    <m/>
    <s v="NARICHA"/>
    <s v="WAINA"/>
    <m/>
    <m/>
    <m/>
    <m/>
    <s v="Fatscan Sensor to Syringe Pipe"/>
    <s v="SF00146"/>
    <m/>
    <m/>
    <n v="44"/>
    <n v="88"/>
    <n v="15.84"/>
    <n v="103.84"/>
    <m/>
    <m/>
    <x v="0"/>
  </r>
  <r>
    <d v="2026-05-16T10:16:04"/>
    <d v="2026-05-01T00:00:00"/>
    <x v="2"/>
    <s v="MPG"/>
    <x v="129"/>
    <s v=""/>
    <m/>
    <s v="NARICHA"/>
    <s v="WAINA"/>
    <m/>
    <m/>
    <m/>
    <m/>
    <s v="FATSCAN &quot;Y&quot; PIPE"/>
    <s v="SF00145"/>
    <m/>
    <m/>
    <n v="84"/>
    <n v="84"/>
    <n v="15.12"/>
    <n v="99.12"/>
    <m/>
    <m/>
    <x v="0"/>
  </r>
  <r>
    <d v="2026-05-16T12:48:07"/>
    <d v="2026-05-01T00:00:00"/>
    <x v="0"/>
    <s v="BMC"/>
    <x v="130"/>
    <s v=""/>
    <m/>
    <s v="KALYANPUR MADHURAPUR"/>
    <s v="KALYANPUR"/>
    <m/>
    <m/>
    <m/>
    <m/>
    <s v="KEYBOARD FOR WEIGHING SCALE NEW DESIGN (VER.2)"/>
    <s v="RM01176"/>
    <m/>
    <m/>
    <n v="1266"/>
    <n v="1266"/>
    <n v="227.88"/>
    <n v="1493.88"/>
    <m/>
    <m/>
    <x v="0"/>
  </r>
  <r>
    <d v="2026-05-16T17:07:38"/>
    <d v="2026-05-01T00:00:00"/>
    <x v="0"/>
    <s v="BMC"/>
    <x v="131"/>
    <s v=""/>
    <m/>
    <s v="HALSI"/>
    <s v="Halsi"/>
    <m/>
    <m/>
    <m/>
    <m/>
    <s v="SWS Motherboard (Version 1.1)"/>
    <s v="RM00973"/>
    <m/>
    <m/>
    <n v="2080"/>
    <n v="2080"/>
    <n v="374.4"/>
    <n v="2454.4"/>
    <m/>
    <m/>
    <x v="0"/>
  </r>
  <r>
    <d v="2026-05-18T16:21:14"/>
    <d v="2026-05-01T00:00:00"/>
    <x v="2"/>
    <s v="MPG"/>
    <x v="132"/>
    <s v=""/>
    <m/>
    <s v="KASIMPUR"/>
    <s v="HATBELE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8T16:20:10"/>
    <d v="2026-05-01T00:00:00"/>
    <x v="2"/>
    <s v="MPG"/>
    <x v="133"/>
    <s v=""/>
    <m/>
    <s v="RANIGANJA"/>
    <s v="SINGRAPUR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18T15:22:07"/>
    <d v="2026-05-01T00:00:00"/>
    <x v="0"/>
    <s v="MPG"/>
    <x v="75"/>
    <d v="2017-09-01T00:00:00"/>
    <n v="3181.6403587962996"/>
    <s v="MAHDATPUR"/>
    <s v="ARARIA"/>
    <m/>
    <m/>
    <m/>
    <m/>
    <s v="Load Cell 100 Kg 60310"/>
    <s v="RM00006"/>
    <m/>
    <m/>
    <n v="2800"/>
    <n v="2800"/>
    <n v="504"/>
    <n v="3304"/>
    <m/>
    <m/>
    <x v="1"/>
  </r>
  <r>
    <d v="2026-05-18T16:18:15"/>
    <d v="2026-05-01T00:00:00"/>
    <x v="2"/>
    <s v="MPG"/>
    <x v="134"/>
    <s v=""/>
    <m/>
    <s v="SHARUA"/>
    <s v="NATUNGRAM"/>
    <m/>
    <m/>
    <m/>
    <m/>
    <s v="FATSCAN DOUBLE SENSOR MEASURING MAIN PCB (4 PARA) WITH SENSOR (NEW)"/>
    <s v="SF00100"/>
    <m/>
    <m/>
    <n v="12500"/>
    <n v="12500"/>
    <n v="2250"/>
    <n v="14750"/>
    <m/>
    <m/>
    <x v="0"/>
  </r>
  <r>
    <d v="2026-05-18T16:17:24"/>
    <d v="2026-05-01T00:00:00"/>
    <x v="2"/>
    <s v="MPG"/>
    <x v="134"/>
    <s v=""/>
    <m/>
    <s v="NATUNGRAM"/>
    <s v="NATUNGRAM"/>
    <m/>
    <m/>
    <m/>
    <m/>
    <s v="FATSCAN DOUBLE SENSOR MEASURING MAIN PCB (4 PARA) WITH SENSOR (NEW)"/>
    <s v="SF00100"/>
    <m/>
    <m/>
    <n v="12500"/>
    <n v="12500"/>
    <n v="2250"/>
    <n v="14750"/>
    <m/>
    <m/>
    <x v="0"/>
  </r>
  <r>
    <d v="2026-05-12T18:04:04"/>
    <d v="2026-05-01T00:00:00"/>
    <x v="2"/>
    <s v="MPG"/>
    <x v="135"/>
    <s v=""/>
    <m/>
    <s v="KUMARPUR"/>
    <s v="UCHALAN"/>
    <m/>
    <m/>
    <m/>
    <m/>
    <s v="FatScan Double Sensor Measuring Mini PCB (4 para) with Sensor (Repaired)"/>
    <s v="SF00130"/>
    <m/>
    <m/>
    <n v="8000"/>
    <n v="8000"/>
    <n v="1440"/>
    <n v="9440"/>
    <m/>
    <m/>
    <x v="0"/>
  </r>
  <r>
    <d v="2026-05-09T13:20:45"/>
    <d v="2026-05-01T00:00:00"/>
    <x v="2"/>
    <s v="MPG"/>
    <x v="136"/>
    <s v=""/>
    <m/>
    <s v="PASHIMMAPUR"/>
    <s v="SINGRAPUR"/>
    <m/>
    <m/>
    <m/>
    <m/>
    <s v="FatScan Double Sensor Measuring Mini PCB (4 para) with Sensor (Repaired)"/>
    <s v="SF00130"/>
    <m/>
    <m/>
    <n v="8000"/>
    <n v="8000"/>
    <n v="1440"/>
    <n v="944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C647B-2E61-464E-9D9F-108F1335B404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B71" firstHeaderRow="2" firstDataRow="2" firstDataCol="1" rowPageCount="2" colPageCount="1"/>
  <pivotFields count="24">
    <pivotField compact="0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/>
    <pivotField axis="axisRow" compact="0" outline="0" showAll="0">
      <items count="138">
        <item x="133"/>
        <item x="114"/>
        <item x="57"/>
        <item x="1"/>
        <item x="5"/>
        <item x="130"/>
        <item x="24"/>
        <item x="98"/>
        <item x="113"/>
        <item x="4"/>
        <item x="115"/>
        <item x="50"/>
        <item x="131"/>
        <item x="92"/>
        <item x="95"/>
        <item x="28"/>
        <item x="94"/>
        <item x="93"/>
        <item x="38"/>
        <item x="63"/>
        <item x="58"/>
        <item x="14"/>
        <item x="60"/>
        <item x="109"/>
        <item x="56"/>
        <item x="39"/>
        <item x="45"/>
        <item x="33"/>
        <item x="19"/>
        <item x="34"/>
        <item x="62"/>
        <item x="8"/>
        <item x="71"/>
        <item x="90"/>
        <item x="81"/>
        <item x="47"/>
        <item x="9"/>
        <item x="46"/>
        <item x="65"/>
        <item x="118"/>
        <item x="27"/>
        <item x="42"/>
        <item x="123"/>
        <item x="121"/>
        <item x="82"/>
        <item x="78"/>
        <item x="55"/>
        <item x="64"/>
        <item x="32"/>
        <item x="119"/>
        <item x="105"/>
        <item x="80"/>
        <item x="69"/>
        <item x="49"/>
        <item x="66"/>
        <item x="106"/>
        <item x="120"/>
        <item x="26"/>
        <item x="67"/>
        <item x="18"/>
        <item x="84"/>
        <item x="15"/>
        <item x="23"/>
        <item x="20"/>
        <item x="6"/>
        <item x="43"/>
        <item x="11"/>
        <item x="44"/>
        <item x="76"/>
        <item x="96"/>
        <item x="30"/>
        <item x="13"/>
        <item x="2"/>
        <item x="51"/>
        <item x="37"/>
        <item x="127"/>
        <item x="22"/>
        <item x="17"/>
        <item x="7"/>
        <item x="100"/>
        <item x="35"/>
        <item x="99"/>
        <item x="41"/>
        <item x="72"/>
        <item x="10"/>
        <item x="52"/>
        <item x="40"/>
        <item x="102"/>
        <item x="0"/>
        <item x="36"/>
        <item x="70"/>
        <item x="68"/>
        <item x="88"/>
        <item x="31"/>
        <item x="74"/>
        <item x="89"/>
        <item x="79"/>
        <item x="125"/>
        <item x="54"/>
        <item x="29"/>
        <item x="112"/>
        <item x="77"/>
        <item x="83"/>
        <item x="75"/>
        <item x="61"/>
        <item x="59"/>
        <item x="122"/>
        <item x="73"/>
        <item x="53"/>
        <item x="25"/>
        <item x="12"/>
        <item x="103"/>
        <item x="107"/>
        <item x="111"/>
        <item x="104"/>
        <item x="21"/>
        <item x="3"/>
        <item x="97"/>
        <item x="101"/>
        <item x="91"/>
        <item x="124"/>
        <item x="135"/>
        <item x="110"/>
        <item x="116"/>
        <item x="126"/>
        <item x="117"/>
        <item x="86"/>
        <item x="85"/>
        <item x="128"/>
        <item x="132"/>
        <item x="108"/>
        <item x="87"/>
        <item x="136"/>
        <item x="129"/>
        <item x="134"/>
        <item x="48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h="1" x="3"/>
        <item x="1"/>
        <item h="1" x="4"/>
        <item h="1" x="0"/>
        <item h="1" x="2"/>
        <item t="default"/>
      </items>
    </pivotField>
  </pivotFields>
  <rowFields count="1">
    <field x="4"/>
  </rowFields>
  <rowItems count="66">
    <i>
      <x v="13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29"/>
    </i>
    <i>
      <x v="33"/>
    </i>
    <i>
      <x v="34"/>
    </i>
    <i>
      <x v="35"/>
    </i>
    <i>
      <x v="36"/>
    </i>
    <i>
      <x v="39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5"/>
    </i>
    <i>
      <x v="56"/>
    </i>
    <i>
      <x v="58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8"/>
    </i>
    <i>
      <x v="79"/>
    </i>
    <i>
      <x v="80"/>
    </i>
    <i>
      <x v="81"/>
    </i>
    <i>
      <x v="82"/>
    </i>
    <i>
      <x v="83"/>
    </i>
    <i>
      <x v="84"/>
    </i>
    <i>
      <x v="87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pageFields count="2">
    <pageField fld="2" hier="-1"/>
    <pageField fld="23" hier="-1"/>
  </pageFields>
  <dataFields count="1">
    <dataField name="Sum of Total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0FF913-480F-4358-A6B7-C29D63D3D4BE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aace1185-9e6d-46df-b4bc-d4b307ba90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0B04-3E42-438A-9747-8B33C6010A03}">
  <dimension ref="A1:F71"/>
  <sheetViews>
    <sheetView tabSelected="1" topLeftCell="A4" workbookViewId="0">
      <selection activeCell="F5" sqref="F5"/>
    </sheetView>
  </sheetViews>
  <sheetFormatPr defaultRowHeight="15" x14ac:dyDescent="0.25"/>
  <cols>
    <col min="1" max="1" width="16.42578125" bestFit="1" customWidth="1"/>
    <col min="2" max="2" width="11.28515625" bestFit="1" customWidth="1"/>
  </cols>
  <sheetData>
    <row r="1" spans="1:6" x14ac:dyDescent="0.25">
      <c r="A1" s="37" t="s">
        <v>73</v>
      </c>
      <c r="B1" t="s">
        <v>75</v>
      </c>
    </row>
    <row r="2" spans="1:6" x14ac:dyDescent="0.25">
      <c r="A2" s="37" t="s">
        <v>538</v>
      </c>
      <c r="B2" t="s">
        <v>547</v>
      </c>
    </row>
    <row r="4" spans="1:6" x14ac:dyDescent="0.25">
      <c r="A4" s="37" t="s">
        <v>549</v>
      </c>
    </row>
    <row r="5" spans="1:6" x14ac:dyDescent="0.25">
      <c r="A5" s="37" t="s">
        <v>79</v>
      </c>
      <c r="B5" t="s">
        <v>341</v>
      </c>
      <c r="E5" s="39" t="s">
        <v>79</v>
      </c>
      <c r="F5" s="39" t="s">
        <v>341</v>
      </c>
    </row>
    <row r="6" spans="1:6" x14ac:dyDescent="0.25">
      <c r="A6">
        <v>10010038</v>
      </c>
      <c r="B6">
        <v>413</v>
      </c>
      <c r="E6">
        <v>10010038</v>
      </c>
      <c r="F6">
        <v>413</v>
      </c>
    </row>
    <row r="7" spans="1:6" x14ac:dyDescent="0.25">
      <c r="A7">
        <v>10020005</v>
      </c>
      <c r="B7">
        <v>1062</v>
      </c>
      <c r="E7">
        <v>10020005</v>
      </c>
      <c r="F7">
        <v>1062</v>
      </c>
    </row>
    <row r="8" spans="1:6" x14ac:dyDescent="0.25">
      <c r="A8">
        <v>10020023</v>
      </c>
      <c r="B8">
        <v>413</v>
      </c>
      <c r="E8">
        <v>10020023</v>
      </c>
      <c r="F8">
        <v>413</v>
      </c>
    </row>
    <row r="9" spans="1:6" x14ac:dyDescent="0.25">
      <c r="A9">
        <v>10020025</v>
      </c>
      <c r="B9">
        <v>165.2</v>
      </c>
      <c r="E9">
        <v>10020025</v>
      </c>
      <c r="F9">
        <v>165.2</v>
      </c>
    </row>
    <row r="10" spans="1:6" x14ac:dyDescent="0.25">
      <c r="A10">
        <v>10020026</v>
      </c>
      <c r="B10">
        <v>973.5</v>
      </c>
      <c r="E10">
        <v>10020026</v>
      </c>
      <c r="F10">
        <v>973.5</v>
      </c>
    </row>
    <row r="11" spans="1:6" x14ac:dyDescent="0.25">
      <c r="A11">
        <v>10020029</v>
      </c>
      <c r="B11">
        <v>165.2</v>
      </c>
      <c r="E11">
        <v>10020029</v>
      </c>
      <c r="F11">
        <v>165.2</v>
      </c>
    </row>
    <row r="12" spans="1:6" x14ac:dyDescent="0.25">
      <c r="A12">
        <v>10020042</v>
      </c>
      <c r="B12">
        <v>2454.4</v>
      </c>
      <c r="E12">
        <v>10020042</v>
      </c>
      <c r="F12">
        <v>2454.4</v>
      </c>
    </row>
    <row r="13" spans="1:6" x14ac:dyDescent="0.25">
      <c r="A13">
        <v>10020059</v>
      </c>
      <c r="B13">
        <v>2454.4</v>
      </c>
      <c r="E13">
        <v>10020059</v>
      </c>
      <c r="F13">
        <v>2454.4</v>
      </c>
    </row>
    <row r="14" spans="1:6" x14ac:dyDescent="0.25">
      <c r="A14">
        <v>10030003</v>
      </c>
      <c r="B14">
        <v>2336.4</v>
      </c>
      <c r="E14">
        <v>10030003</v>
      </c>
      <c r="F14">
        <v>2336.4</v>
      </c>
    </row>
    <row r="15" spans="1:6" x14ac:dyDescent="0.25">
      <c r="A15">
        <v>10030034</v>
      </c>
      <c r="B15">
        <v>165.2</v>
      </c>
      <c r="E15">
        <v>10030034</v>
      </c>
      <c r="F15">
        <v>165.2</v>
      </c>
    </row>
    <row r="16" spans="1:6" x14ac:dyDescent="0.25">
      <c r="A16">
        <v>10030059</v>
      </c>
      <c r="B16">
        <v>99.12</v>
      </c>
      <c r="E16">
        <v>10030059</v>
      </c>
      <c r="F16">
        <v>99.12</v>
      </c>
    </row>
    <row r="17" spans="1:6" x14ac:dyDescent="0.25">
      <c r="A17">
        <v>10060026</v>
      </c>
      <c r="B17">
        <v>2454.4</v>
      </c>
      <c r="E17">
        <v>10060026</v>
      </c>
      <c r="F17">
        <v>2454.4</v>
      </c>
    </row>
    <row r="18" spans="1:6" x14ac:dyDescent="0.25">
      <c r="A18">
        <v>10060031</v>
      </c>
      <c r="B18">
        <v>413</v>
      </c>
      <c r="E18">
        <v>10060031</v>
      </c>
      <c r="F18">
        <v>413</v>
      </c>
    </row>
    <row r="19" spans="1:6" x14ac:dyDescent="0.25">
      <c r="A19">
        <v>10060032</v>
      </c>
      <c r="B19">
        <v>165.2</v>
      </c>
      <c r="E19">
        <v>10060032</v>
      </c>
      <c r="F19">
        <v>165.2</v>
      </c>
    </row>
    <row r="20" spans="1:6" x14ac:dyDescent="0.25">
      <c r="A20">
        <v>10060049</v>
      </c>
      <c r="B20">
        <v>4918.24</v>
      </c>
      <c r="E20">
        <v>10060049</v>
      </c>
      <c r="F20">
        <v>4918.24</v>
      </c>
    </row>
    <row r="21" spans="1:6" x14ac:dyDescent="0.25">
      <c r="A21">
        <v>10070053</v>
      </c>
      <c r="B21">
        <v>578.20000000000005</v>
      </c>
      <c r="E21">
        <v>10070053</v>
      </c>
      <c r="F21">
        <v>578.20000000000005</v>
      </c>
    </row>
    <row r="22" spans="1:6" x14ac:dyDescent="0.25">
      <c r="A22">
        <v>10090009</v>
      </c>
      <c r="B22">
        <v>413</v>
      </c>
      <c r="E22">
        <v>10090009</v>
      </c>
      <c r="F22">
        <v>413</v>
      </c>
    </row>
    <row r="23" spans="1:6" x14ac:dyDescent="0.25">
      <c r="A23">
        <v>10090038</v>
      </c>
      <c r="B23">
        <v>146.32</v>
      </c>
      <c r="E23">
        <v>10090038</v>
      </c>
      <c r="F23">
        <v>146.32</v>
      </c>
    </row>
    <row r="24" spans="1:6" x14ac:dyDescent="0.25">
      <c r="A24">
        <v>10090049</v>
      </c>
      <c r="B24">
        <v>115.64</v>
      </c>
      <c r="E24">
        <v>10090049</v>
      </c>
      <c r="F24">
        <v>115.64</v>
      </c>
    </row>
    <row r="25" spans="1:6" x14ac:dyDescent="0.25">
      <c r="A25">
        <v>10090063</v>
      </c>
      <c r="B25">
        <v>146.32</v>
      </c>
      <c r="E25">
        <v>10090063</v>
      </c>
      <c r="F25">
        <v>146.32</v>
      </c>
    </row>
    <row r="26" spans="1:6" x14ac:dyDescent="0.25">
      <c r="A26">
        <v>10100009</v>
      </c>
      <c r="B26">
        <v>1091.5</v>
      </c>
      <c r="E26">
        <v>10100009</v>
      </c>
      <c r="F26">
        <v>1091.5</v>
      </c>
    </row>
    <row r="27" spans="1:6" x14ac:dyDescent="0.25">
      <c r="A27">
        <v>10100016</v>
      </c>
      <c r="B27">
        <v>5758.4</v>
      </c>
      <c r="E27">
        <v>10100016</v>
      </c>
      <c r="F27">
        <v>5758.4</v>
      </c>
    </row>
    <row r="28" spans="1:6" x14ac:dyDescent="0.25">
      <c r="A28">
        <v>10100054</v>
      </c>
      <c r="B28">
        <v>99.12</v>
      </c>
      <c r="E28">
        <v>10100054</v>
      </c>
      <c r="F28">
        <v>99.12</v>
      </c>
    </row>
    <row r="29" spans="1:6" x14ac:dyDescent="0.25">
      <c r="A29">
        <v>10110001</v>
      </c>
      <c r="B29">
        <v>283.2</v>
      </c>
      <c r="E29">
        <v>10110001</v>
      </c>
      <c r="F29">
        <v>283.2</v>
      </c>
    </row>
    <row r="30" spans="1:6" x14ac:dyDescent="0.25">
      <c r="A30">
        <v>10110007</v>
      </c>
      <c r="B30">
        <v>973.5</v>
      </c>
      <c r="E30">
        <v>10110007</v>
      </c>
      <c r="F30">
        <v>973.5</v>
      </c>
    </row>
    <row r="31" spans="1:6" x14ac:dyDescent="0.25">
      <c r="A31">
        <v>10110050</v>
      </c>
      <c r="B31">
        <v>1493.88</v>
      </c>
      <c r="E31">
        <v>10110050</v>
      </c>
      <c r="F31">
        <v>1493.88</v>
      </c>
    </row>
    <row r="32" spans="1:6" x14ac:dyDescent="0.25">
      <c r="A32">
        <v>10110055</v>
      </c>
      <c r="B32">
        <v>908.6</v>
      </c>
      <c r="E32">
        <v>10110055</v>
      </c>
      <c r="F32">
        <v>908.6</v>
      </c>
    </row>
    <row r="33" spans="1:6" x14ac:dyDescent="0.25">
      <c r="A33">
        <v>10110095</v>
      </c>
      <c r="B33">
        <v>202.96</v>
      </c>
      <c r="E33">
        <v>10110095</v>
      </c>
      <c r="F33">
        <v>202.96</v>
      </c>
    </row>
    <row r="34" spans="1:6" x14ac:dyDescent="0.25">
      <c r="A34">
        <v>10110097</v>
      </c>
      <c r="B34">
        <v>413</v>
      </c>
      <c r="E34">
        <v>10110097</v>
      </c>
      <c r="F34">
        <v>413</v>
      </c>
    </row>
    <row r="35" spans="1:6" x14ac:dyDescent="0.25">
      <c r="A35">
        <v>10110106</v>
      </c>
      <c r="B35">
        <v>3292.2</v>
      </c>
      <c r="E35">
        <v>10110106</v>
      </c>
      <c r="F35">
        <v>3292.2</v>
      </c>
    </row>
    <row r="36" spans="1:6" x14ac:dyDescent="0.25">
      <c r="A36">
        <v>10120001</v>
      </c>
      <c r="B36">
        <v>1571.76</v>
      </c>
      <c r="E36">
        <v>10120001</v>
      </c>
      <c r="F36">
        <v>1571.76</v>
      </c>
    </row>
    <row r="37" spans="1:6" x14ac:dyDescent="0.25">
      <c r="A37">
        <v>10120006</v>
      </c>
      <c r="B37">
        <v>424.8</v>
      </c>
      <c r="E37">
        <v>10120006</v>
      </c>
      <c r="F37">
        <v>424.8</v>
      </c>
    </row>
    <row r="38" spans="1:6" x14ac:dyDescent="0.25">
      <c r="A38">
        <v>10120012</v>
      </c>
      <c r="B38">
        <v>1239</v>
      </c>
      <c r="E38">
        <v>10120012</v>
      </c>
      <c r="F38">
        <v>1239</v>
      </c>
    </row>
    <row r="39" spans="1:6" x14ac:dyDescent="0.25">
      <c r="A39">
        <v>10120022</v>
      </c>
      <c r="B39">
        <v>908.6</v>
      </c>
      <c r="E39">
        <v>10120022</v>
      </c>
      <c r="F39">
        <v>908.6</v>
      </c>
    </row>
    <row r="40" spans="1:6" x14ac:dyDescent="0.25">
      <c r="A40">
        <v>10120024</v>
      </c>
      <c r="B40">
        <v>202.96</v>
      </c>
      <c r="E40">
        <v>10120024</v>
      </c>
      <c r="F40">
        <v>202.96</v>
      </c>
    </row>
    <row r="41" spans="1:6" x14ac:dyDescent="0.25">
      <c r="A41">
        <v>10120029</v>
      </c>
      <c r="B41">
        <v>265.5</v>
      </c>
      <c r="E41">
        <v>10120029</v>
      </c>
      <c r="F41">
        <v>265.5</v>
      </c>
    </row>
    <row r="42" spans="1:6" x14ac:dyDescent="0.25">
      <c r="A42">
        <v>10120051</v>
      </c>
      <c r="B42">
        <v>606.52</v>
      </c>
      <c r="E42">
        <v>10120051</v>
      </c>
      <c r="F42">
        <v>606.52</v>
      </c>
    </row>
    <row r="43" spans="1:6" x14ac:dyDescent="0.25">
      <c r="A43">
        <v>10120065</v>
      </c>
      <c r="B43">
        <v>368.15999999999997</v>
      </c>
      <c r="E43">
        <v>10120065</v>
      </c>
      <c r="F43">
        <v>368.15999999999997</v>
      </c>
    </row>
    <row r="44" spans="1:6" x14ac:dyDescent="0.25">
      <c r="A44">
        <v>10120071</v>
      </c>
      <c r="B44">
        <v>413</v>
      </c>
      <c r="E44">
        <v>10120071</v>
      </c>
      <c r="F44">
        <v>413</v>
      </c>
    </row>
    <row r="45" spans="1:6" x14ac:dyDescent="0.25">
      <c r="A45">
        <v>10120083</v>
      </c>
      <c r="B45">
        <v>1227.1999999999998</v>
      </c>
      <c r="E45">
        <v>10120083</v>
      </c>
      <c r="F45">
        <v>1227.1999999999998</v>
      </c>
    </row>
    <row r="46" spans="1:6" x14ac:dyDescent="0.25">
      <c r="A46">
        <v>10120089</v>
      </c>
      <c r="B46">
        <v>172.28</v>
      </c>
      <c r="E46">
        <v>10120089</v>
      </c>
      <c r="F46">
        <v>172.28</v>
      </c>
    </row>
    <row r="47" spans="1:6" x14ac:dyDescent="0.25">
      <c r="A47">
        <v>10120094</v>
      </c>
      <c r="B47">
        <v>265.5</v>
      </c>
      <c r="E47">
        <v>10120094</v>
      </c>
      <c r="F47">
        <v>265.5</v>
      </c>
    </row>
    <row r="48" spans="1:6" x14ac:dyDescent="0.25">
      <c r="A48">
        <v>10130001</v>
      </c>
      <c r="B48">
        <v>424.8</v>
      </c>
      <c r="E48">
        <v>10130001</v>
      </c>
      <c r="F48">
        <v>424.8</v>
      </c>
    </row>
    <row r="49" spans="1:6" x14ac:dyDescent="0.25">
      <c r="A49">
        <v>10130008</v>
      </c>
      <c r="B49">
        <v>280.83999999999997</v>
      </c>
      <c r="E49">
        <v>10130008</v>
      </c>
      <c r="F49">
        <v>280.83999999999997</v>
      </c>
    </row>
    <row r="50" spans="1:6" x14ac:dyDescent="0.25">
      <c r="A50">
        <v>10130016</v>
      </c>
      <c r="B50">
        <v>264.32</v>
      </c>
      <c r="E50">
        <v>10130016</v>
      </c>
      <c r="F50">
        <v>264.32</v>
      </c>
    </row>
    <row r="51" spans="1:6" x14ac:dyDescent="0.25">
      <c r="A51">
        <v>10130044</v>
      </c>
      <c r="B51">
        <v>269.03999999999996</v>
      </c>
      <c r="E51">
        <v>10130044</v>
      </c>
      <c r="F51">
        <v>269.03999999999996</v>
      </c>
    </row>
    <row r="52" spans="1:6" x14ac:dyDescent="0.25">
      <c r="A52">
        <v>10130046</v>
      </c>
      <c r="B52">
        <v>1172.92</v>
      </c>
      <c r="E52">
        <v>10130046</v>
      </c>
      <c r="F52">
        <v>1172.92</v>
      </c>
    </row>
    <row r="53" spans="1:6" x14ac:dyDescent="0.25">
      <c r="A53">
        <v>10130052</v>
      </c>
      <c r="B53">
        <v>932.2</v>
      </c>
      <c r="E53">
        <v>10130052</v>
      </c>
      <c r="F53">
        <v>932.2</v>
      </c>
    </row>
    <row r="54" spans="1:6" x14ac:dyDescent="0.25">
      <c r="A54">
        <v>10130077</v>
      </c>
      <c r="B54">
        <v>1062</v>
      </c>
      <c r="E54">
        <v>10130077</v>
      </c>
      <c r="F54">
        <v>1062</v>
      </c>
    </row>
    <row r="55" spans="1:6" x14ac:dyDescent="0.25">
      <c r="A55">
        <v>10130098</v>
      </c>
      <c r="B55">
        <v>181.72</v>
      </c>
      <c r="E55">
        <v>10130098</v>
      </c>
      <c r="F55">
        <v>181.72</v>
      </c>
    </row>
    <row r="56" spans="1:6" x14ac:dyDescent="0.25">
      <c r="A56">
        <v>10140003</v>
      </c>
      <c r="B56">
        <v>82.6</v>
      </c>
      <c r="E56">
        <v>10140003</v>
      </c>
      <c r="F56">
        <v>82.6</v>
      </c>
    </row>
    <row r="57" spans="1:6" x14ac:dyDescent="0.25">
      <c r="A57">
        <v>10140007</v>
      </c>
      <c r="B57">
        <v>82.6</v>
      </c>
      <c r="E57">
        <v>10140007</v>
      </c>
      <c r="F57">
        <v>82.6</v>
      </c>
    </row>
    <row r="58" spans="1:6" x14ac:dyDescent="0.25">
      <c r="A58">
        <v>10140012</v>
      </c>
      <c r="B58">
        <v>2454.4</v>
      </c>
      <c r="E58">
        <v>10140012</v>
      </c>
      <c r="F58">
        <v>2454.4</v>
      </c>
    </row>
    <row r="59" spans="1:6" x14ac:dyDescent="0.25">
      <c r="A59">
        <v>10140020</v>
      </c>
      <c r="B59">
        <v>2360</v>
      </c>
      <c r="E59">
        <v>10140020</v>
      </c>
      <c r="F59">
        <v>2360</v>
      </c>
    </row>
    <row r="60" spans="1:6" x14ac:dyDescent="0.25">
      <c r="A60">
        <v>10140041</v>
      </c>
      <c r="B60">
        <v>3995.4800000000005</v>
      </c>
      <c r="E60">
        <v>10140041</v>
      </c>
      <c r="F60">
        <v>3995.4800000000005</v>
      </c>
    </row>
    <row r="61" spans="1:6" x14ac:dyDescent="0.25">
      <c r="A61">
        <v>10140099</v>
      </c>
      <c r="B61">
        <v>165.2</v>
      </c>
      <c r="E61">
        <v>10140099</v>
      </c>
      <c r="F61">
        <v>165.2</v>
      </c>
    </row>
    <row r="62" spans="1:6" x14ac:dyDescent="0.25">
      <c r="A62">
        <v>10140129</v>
      </c>
      <c r="B62">
        <v>2065</v>
      </c>
      <c r="E62">
        <v>10140129</v>
      </c>
      <c r="F62">
        <v>2065</v>
      </c>
    </row>
    <row r="63" spans="1:6" x14ac:dyDescent="0.25">
      <c r="A63">
        <v>10140137</v>
      </c>
      <c r="B63">
        <v>165.2</v>
      </c>
      <c r="E63">
        <v>10140137</v>
      </c>
      <c r="F63">
        <v>165.2</v>
      </c>
    </row>
    <row r="64" spans="1:6" x14ac:dyDescent="0.25">
      <c r="A64">
        <v>10140159</v>
      </c>
      <c r="B64">
        <v>82.6</v>
      </c>
      <c r="E64">
        <v>10140159</v>
      </c>
      <c r="F64">
        <v>82.6</v>
      </c>
    </row>
    <row r="65" spans="1:6" x14ac:dyDescent="0.25">
      <c r="A65">
        <v>10220001</v>
      </c>
      <c r="B65">
        <v>1398.3</v>
      </c>
      <c r="E65">
        <v>10220001</v>
      </c>
      <c r="F65">
        <v>1398.3</v>
      </c>
    </row>
    <row r="66" spans="1:6" x14ac:dyDescent="0.25">
      <c r="A66">
        <v>10310001</v>
      </c>
      <c r="B66">
        <v>115.64</v>
      </c>
      <c r="E66">
        <v>10310001</v>
      </c>
      <c r="F66">
        <v>115.64</v>
      </c>
    </row>
    <row r="67" spans="1:6" x14ac:dyDescent="0.25">
      <c r="A67">
        <v>10350001</v>
      </c>
      <c r="B67">
        <v>920.4</v>
      </c>
      <c r="E67">
        <v>10350001</v>
      </c>
      <c r="F67">
        <v>920.4</v>
      </c>
    </row>
    <row r="68" spans="1:6" x14ac:dyDescent="0.25">
      <c r="A68">
        <v>10360001</v>
      </c>
      <c r="B68">
        <v>14584.8</v>
      </c>
      <c r="E68">
        <v>10360001</v>
      </c>
      <c r="F68">
        <v>14584.8</v>
      </c>
    </row>
    <row r="69" spans="1:6" x14ac:dyDescent="0.25">
      <c r="A69">
        <v>10400001</v>
      </c>
      <c r="B69">
        <v>3304</v>
      </c>
      <c r="E69">
        <v>10400001</v>
      </c>
      <c r="F69">
        <v>3304</v>
      </c>
    </row>
    <row r="70" spans="1:6" x14ac:dyDescent="0.25">
      <c r="A70">
        <v>10480001</v>
      </c>
      <c r="B70">
        <v>2454.4</v>
      </c>
      <c r="E70">
        <v>10480001</v>
      </c>
      <c r="F70">
        <v>2454.4</v>
      </c>
    </row>
    <row r="71" spans="1:6" x14ac:dyDescent="0.25">
      <c r="A71" t="s">
        <v>548</v>
      </c>
      <c r="B71">
        <v>81051.839999999982</v>
      </c>
      <c r="E71" s="38" t="s">
        <v>548</v>
      </c>
      <c r="F71" s="38">
        <v>81051.839999999982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03E5-9883-479C-B24D-03B5DB5CC943}">
  <sheetPr filterMode="1"/>
  <dimension ref="A2:X220"/>
  <sheetViews>
    <sheetView topLeftCell="F133" workbookViewId="0">
      <selection activeCell="U9" sqref="U9:U215"/>
    </sheetView>
  </sheetViews>
  <sheetFormatPr defaultRowHeight="15" x14ac:dyDescent="0.25"/>
  <cols>
    <col min="1" max="1" width="18.28515625" bestFit="1" customWidth="1"/>
    <col min="3" max="3" width="18.7109375" customWidth="1"/>
    <col min="4" max="4" width="19.7109375" customWidth="1"/>
    <col min="5" max="7" width="18.5703125" customWidth="1"/>
    <col min="8" max="8" width="29.140625" bestFit="1" customWidth="1"/>
    <col min="9" max="9" width="19" customWidth="1"/>
    <col min="10" max="10" width="22.28515625" customWidth="1"/>
    <col min="11" max="11" width="16.5703125" customWidth="1"/>
    <col min="12" max="12" width="60.28515625" hidden="1" customWidth="1"/>
    <col min="13" max="13" width="12.7109375" hidden="1" customWidth="1"/>
    <col min="14" max="14" width="51.85546875" hidden="1" customWidth="1"/>
    <col min="15" max="15" width="8.5703125" hidden="1" customWidth="1"/>
    <col min="16" max="16" width="11.85546875" customWidth="1"/>
    <col min="17" max="17" width="10.5703125" customWidth="1"/>
    <col min="18" max="18" width="8.7109375" customWidth="1"/>
    <col min="19" max="19" width="14.7109375" customWidth="1"/>
    <col min="20" max="20" width="13.7109375" customWidth="1"/>
    <col min="21" max="21" width="14.7109375" customWidth="1"/>
    <col min="22" max="23" width="17.5703125" customWidth="1"/>
    <col min="24" max="24" width="17" bestFit="1" customWidth="1"/>
  </cols>
  <sheetData>
    <row r="2" spans="1:24" x14ac:dyDescent="0.25">
      <c r="A2" s="2" t="s">
        <v>1</v>
      </c>
      <c r="B2" s="2" t="s">
        <v>72</v>
      </c>
      <c r="C2" s="2" t="s">
        <v>73</v>
      </c>
      <c r="D2" s="2" t="s">
        <v>74</v>
      </c>
      <c r="E2" s="2" t="s">
        <v>79</v>
      </c>
      <c r="F2" s="2" t="s">
        <v>544</v>
      </c>
      <c r="G2" s="2" t="s">
        <v>546</v>
      </c>
      <c r="H2" s="2" t="s">
        <v>410</v>
      </c>
      <c r="I2" s="2" t="s">
        <v>80</v>
      </c>
      <c r="J2" s="2" t="s">
        <v>160</v>
      </c>
      <c r="K2" s="2" t="s">
        <v>226</v>
      </c>
      <c r="L2" s="2" t="s">
        <v>227</v>
      </c>
      <c r="M2" s="3" t="s">
        <v>232</v>
      </c>
      <c r="N2" s="4" t="s">
        <v>280</v>
      </c>
      <c r="O2" s="4" t="s">
        <v>281</v>
      </c>
      <c r="P2" s="4" t="s">
        <v>282</v>
      </c>
      <c r="Q2" s="4" t="s">
        <v>283</v>
      </c>
      <c r="R2" s="2" t="s">
        <v>338</v>
      </c>
      <c r="S2" s="2" t="s">
        <v>339</v>
      </c>
      <c r="T2" s="2" t="s">
        <v>340</v>
      </c>
      <c r="U2" s="2" t="s">
        <v>341</v>
      </c>
      <c r="V2" s="2" t="s">
        <v>342</v>
      </c>
      <c r="W2" s="2" t="s">
        <v>343</v>
      </c>
      <c r="X2" s="2" t="s">
        <v>538</v>
      </c>
    </row>
    <row r="3" spans="1:24" hidden="1" x14ac:dyDescent="0.25">
      <c r="A3" s="10" t="s">
        <v>2</v>
      </c>
      <c r="B3" s="11" t="str">
        <f t="shared" ref="B3:B66" si="0">TEXT(A3,"mmm-yy")</f>
        <v>Jan-26</v>
      </c>
      <c r="C3" s="12" t="s">
        <v>75</v>
      </c>
      <c r="D3" s="12" t="s">
        <v>76</v>
      </c>
      <c r="E3" s="13">
        <v>10130115</v>
      </c>
      <c r="F3" s="32">
        <v>46053</v>
      </c>
      <c r="G3" s="36">
        <f>+A3-F3</f>
        <v>0.653773148151231</v>
      </c>
      <c r="H3" s="12" t="s">
        <v>81</v>
      </c>
      <c r="I3" s="14"/>
      <c r="J3" s="12" t="s">
        <v>161</v>
      </c>
      <c r="K3" s="12">
        <v>7082651043</v>
      </c>
      <c r="L3" s="12" t="s">
        <v>228</v>
      </c>
      <c r="M3" s="13">
        <v>277509</v>
      </c>
      <c r="N3" s="15" t="s">
        <v>284</v>
      </c>
      <c r="O3" s="15" t="s">
        <v>285</v>
      </c>
      <c r="P3" s="16" t="s">
        <v>286</v>
      </c>
      <c r="Q3" s="27">
        <v>46099</v>
      </c>
      <c r="R3" s="17">
        <v>70</v>
      </c>
      <c r="S3" s="18">
        <v>70</v>
      </c>
      <c r="T3" s="18">
        <v>12.6</v>
      </c>
      <c r="U3" s="18">
        <v>82.6</v>
      </c>
      <c r="V3" s="12" t="s">
        <v>344</v>
      </c>
      <c r="W3" s="12" t="s">
        <v>344</v>
      </c>
      <c r="X3" s="19" t="s">
        <v>539</v>
      </c>
    </row>
    <row r="4" spans="1:24" hidden="1" x14ac:dyDescent="0.25">
      <c r="A4" s="10" t="s">
        <v>2</v>
      </c>
      <c r="B4" s="11" t="str">
        <f t="shared" si="0"/>
        <v>Jan-26</v>
      </c>
      <c r="C4" s="12" t="s">
        <v>75</v>
      </c>
      <c r="D4" s="12" t="s">
        <v>76</v>
      </c>
      <c r="E4" s="13">
        <v>10130115</v>
      </c>
      <c r="F4" s="32">
        <v>46053</v>
      </c>
      <c r="G4" s="36">
        <f t="shared" ref="G4" si="1">+A4-F4</f>
        <v>0.653773148151231</v>
      </c>
      <c r="H4" s="12" t="s">
        <v>81</v>
      </c>
      <c r="I4" s="14"/>
      <c r="J4" s="12" t="s">
        <v>161</v>
      </c>
      <c r="K4" s="12">
        <v>7082651043</v>
      </c>
      <c r="L4" s="12" t="s">
        <v>228</v>
      </c>
      <c r="M4" s="13">
        <v>277509</v>
      </c>
      <c r="N4" s="15" t="s">
        <v>284</v>
      </c>
      <c r="O4" s="15" t="s">
        <v>285</v>
      </c>
      <c r="P4" s="16" t="s">
        <v>286</v>
      </c>
      <c r="Q4" s="27">
        <v>46099</v>
      </c>
      <c r="R4" s="17">
        <v>70</v>
      </c>
      <c r="S4" s="18">
        <v>70</v>
      </c>
      <c r="T4" s="18">
        <v>12.6</v>
      </c>
      <c r="U4" s="18">
        <v>82.6</v>
      </c>
      <c r="V4" s="12" t="s">
        <v>344</v>
      </c>
      <c r="W4" s="12" t="s">
        <v>344</v>
      </c>
      <c r="X4" s="19" t="s">
        <v>539</v>
      </c>
    </row>
    <row r="5" spans="1:24" hidden="1" x14ac:dyDescent="0.25">
      <c r="A5" s="10" t="s">
        <v>3</v>
      </c>
      <c r="B5" s="11" t="str">
        <f t="shared" si="0"/>
        <v>Jan-26</v>
      </c>
      <c r="C5" s="12" t="s">
        <v>75</v>
      </c>
      <c r="D5" s="12" t="s">
        <v>77</v>
      </c>
      <c r="E5" s="13">
        <v>1013</v>
      </c>
      <c r="F5" s="32" t="str">
        <f>IF(D5="MPG",_xlfn.XLOOKUP(E5,Sheet2!$A$2:$A$2104,Sheet2!$B$2:$B$2104,""),"")</f>
        <v/>
      </c>
      <c r="G5" s="32"/>
      <c r="H5" s="12" t="s">
        <v>82</v>
      </c>
      <c r="I5" s="14" t="s">
        <v>83</v>
      </c>
      <c r="J5" s="12" t="s">
        <v>162</v>
      </c>
      <c r="K5" s="12">
        <v>9608956246</v>
      </c>
      <c r="L5" s="12" t="s">
        <v>229</v>
      </c>
      <c r="M5" s="13" t="s">
        <v>233</v>
      </c>
      <c r="N5" s="15" t="s">
        <v>287</v>
      </c>
      <c r="O5" s="15" t="s">
        <v>288</v>
      </c>
      <c r="P5" s="16" t="s">
        <v>286</v>
      </c>
      <c r="Q5" s="27">
        <v>46099</v>
      </c>
      <c r="R5" s="17">
        <v>825</v>
      </c>
      <c r="S5" s="18">
        <v>825</v>
      </c>
      <c r="T5" s="18">
        <v>148.5</v>
      </c>
      <c r="U5" s="18">
        <v>973.5</v>
      </c>
      <c r="V5" s="12" t="s">
        <v>345</v>
      </c>
      <c r="W5" s="12" t="s">
        <v>345</v>
      </c>
      <c r="X5" s="19" t="s">
        <v>539</v>
      </c>
    </row>
    <row r="6" spans="1:24" hidden="1" x14ac:dyDescent="0.25">
      <c r="A6" s="10" t="s">
        <v>3</v>
      </c>
      <c r="B6" s="11" t="str">
        <f t="shared" si="0"/>
        <v>Jan-26</v>
      </c>
      <c r="C6" s="12" t="s">
        <v>75</v>
      </c>
      <c r="D6" s="12" t="s">
        <v>77</v>
      </c>
      <c r="E6" s="13">
        <v>1013</v>
      </c>
      <c r="F6" s="32" t="str">
        <f>IF(D6="MPG",_xlfn.XLOOKUP(E6,Sheet2!$A$2:$A$2104,Sheet2!$B$2:$B$2104,""),"")</f>
        <v/>
      </c>
      <c r="G6" s="32"/>
      <c r="H6" s="12" t="s">
        <v>82</v>
      </c>
      <c r="I6" s="14" t="s">
        <v>83</v>
      </c>
      <c r="J6" s="12" t="s">
        <v>162</v>
      </c>
      <c r="K6" s="12">
        <v>9608956246</v>
      </c>
      <c r="L6" s="12" t="s">
        <v>229</v>
      </c>
      <c r="M6" s="13" t="s">
        <v>233</v>
      </c>
      <c r="N6" s="15" t="s">
        <v>289</v>
      </c>
      <c r="O6" s="15" t="s">
        <v>290</v>
      </c>
      <c r="P6" s="16" t="s">
        <v>286</v>
      </c>
      <c r="Q6" s="27">
        <v>46099</v>
      </c>
      <c r="R6" s="17">
        <v>225</v>
      </c>
      <c r="S6" s="18">
        <v>225</v>
      </c>
      <c r="T6" s="18">
        <v>40.5</v>
      </c>
      <c r="U6" s="18">
        <v>265.5</v>
      </c>
      <c r="V6" s="12" t="s">
        <v>345</v>
      </c>
      <c r="W6" s="12" t="s">
        <v>345</v>
      </c>
      <c r="X6" s="19" t="s">
        <v>539</v>
      </c>
    </row>
    <row r="7" spans="1:24" hidden="1" x14ac:dyDescent="0.25">
      <c r="A7" s="10" t="s">
        <v>4</v>
      </c>
      <c r="B7" s="11" t="str">
        <f t="shared" si="0"/>
        <v>Jan-26</v>
      </c>
      <c r="C7" s="12" t="s">
        <v>75</v>
      </c>
      <c r="D7" s="12" t="s">
        <v>77</v>
      </c>
      <c r="E7" s="13">
        <v>1013</v>
      </c>
      <c r="F7" s="32" t="str">
        <f>IF(D7="MPG",_xlfn.XLOOKUP(E7,Sheet2!$A$2:$A$2104,Sheet2!$B$2:$B$2104,""),"")</f>
        <v/>
      </c>
      <c r="G7" s="32"/>
      <c r="H7" s="12" t="s">
        <v>82</v>
      </c>
      <c r="I7" s="14" t="s">
        <v>83</v>
      </c>
      <c r="J7" s="12" t="s">
        <v>162</v>
      </c>
      <c r="K7" s="12">
        <v>9608956246</v>
      </c>
      <c r="L7" s="12" t="s">
        <v>230</v>
      </c>
      <c r="M7" s="13" t="s">
        <v>234</v>
      </c>
      <c r="N7" s="15" t="s">
        <v>291</v>
      </c>
      <c r="O7" s="15" t="s">
        <v>292</v>
      </c>
      <c r="P7" s="16" t="s">
        <v>286</v>
      </c>
      <c r="Q7" s="27">
        <v>46099</v>
      </c>
      <c r="R7" s="17">
        <v>780</v>
      </c>
      <c r="S7" s="18">
        <v>780</v>
      </c>
      <c r="T7" s="18">
        <v>140.4</v>
      </c>
      <c r="U7" s="18">
        <v>920.4</v>
      </c>
      <c r="V7" s="12" t="s">
        <v>345</v>
      </c>
      <c r="W7" s="12" t="s">
        <v>345</v>
      </c>
      <c r="X7" s="19" t="s">
        <v>539</v>
      </c>
    </row>
    <row r="8" spans="1:24" hidden="1" x14ac:dyDescent="0.25">
      <c r="A8" s="10" t="s">
        <v>4</v>
      </c>
      <c r="B8" s="11" t="str">
        <f t="shared" si="0"/>
        <v>Jan-26</v>
      </c>
      <c r="C8" s="12" t="s">
        <v>75</v>
      </c>
      <c r="D8" s="12" t="s">
        <v>77</v>
      </c>
      <c r="E8" s="13">
        <v>1013</v>
      </c>
      <c r="F8" s="32" t="str">
        <f>IF(D8="MPG",_xlfn.XLOOKUP(E8,Sheet2!$A$2:$A$2104,Sheet2!$B$2:$B$2104,""),"")</f>
        <v/>
      </c>
      <c r="G8" s="32"/>
      <c r="H8" s="12" t="s">
        <v>82</v>
      </c>
      <c r="I8" s="14" t="s">
        <v>83</v>
      </c>
      <c r="J8" s="12" t="s">
        <v>162</v>
      </c>
      <c r="K8" s="12">
        <v>9608956246</v>
      </c>
      <c r="L8" s="12" t="s">
        <v>230</v>
      </c>
      <c r="M8" s="13" t="s">
        <v>234</v>
      </c>
      <c r="N8" s="15" t="s">
        <v>293</v>
      </c>
      <c r="O8" s="15" t="s">
        <v>294</v>
      </c>
      <c r="P8" s="16" t="s">
        <v>286</v>
      </c>
      <c r="Q8" s="27">
        <v>46099</v>
      </c>
      <c r="R8" s="17">
        <v>350</v>
      </c>
      <c r="S8" s="18">
        <v>350</v>
      </c>
      <c r="T8" s="18">
        <v>63</v>
      </c>
      <c r="U8" s="18">
        <v>413</v>
      </c>
      <c r="V8" s="12" t="s">
        <v>345</v>
      </c>
      <c r="W8" s="12" t="s">
        <v>345</v>
      </c>
      <c r="X8" s="19" t="s">
        <v>539</v>
      </c>
    </row>
    <row r="9" spans="1:24" x14ac:dyDescent="0.25">
      <c r="A9" s="10" t="s">
        <v>5</v>
      </c>
      <c r="B9" s="11" t="str">
        <f t="shared" si="0"/>
        <v>Jan-26</v>
      </c>
      <c r="C9" s="12" t="s">
        <v>75</v>
      </c>
      <c r="D9" s="12" t="s">
        <v>76</v>
      </c>
      <c r="E9" s="13">
        <v>10120094</v>
      </c>
      <c r="F9" s="32">
        <f>IF(D9="MPG",_xlfn.XLOOKUP(E9,Sheet2!$A$2:$A$2104,Sheet2!$B$2:$B$2104,""),"")</f>
        <v>45666</v>
      </c>
      <c r="G9" s="36">
        <f>+A9-F9</f>
        <v>383.60403935184877</v>
      </c>
      <c r="H9" s="12" t="s">
        <v>84</v>
      </c>
      <c r="I9" s="14" t="s">
        <v>85</v>
      </c>
      <c r="J9" s="12" t="s">
        <v>163</v>
      </c>
      <c r="K9" s="12">
        <v>9939074043</v>
      </c>
      <c r="L9" s="12" t="s">
        <v>229</v>
      </c>
      <c r="M9" s="13" t="s">
        <v>235</v>
      </c>
      <c r="N9" s="15" t="s">
        <v>289</v>
      </c>
      <c r="O9" s="15" t="s">
        <v>290</v>
      </c>
      <c r="P9" s="16" t="s">
        <v>286</v>
      </c>
      <c r="Q9" s="27">
        <v>46099</v>
      </c>
      <c r="R9" s="17">
        <v>225</v>
      </c>
      <c r="S9" s="18">
        <v>225</v>
      </c>
      <c r="T9" s="18">
        <v>40.5</v>
      </c>
      <c r="U9" s="18">
        <v>265.5</v>
      </c>
      <c r="V9" s="12" t="s">
        <v>344</v>
      </c>
      <c r="W9" s="12" t="s">
        <v>344</v>
      </c>
      <c r="X9" s="19" t="s">
        <v>547</v>
      </c>
    </row>
    <row r="10" spans="1:24" hidden="1" x14ac:dyDescent="0.25">
      <c r="A10" s="10" t="s">
        <v>6</v>
      </c>
      <c r="B10" s="11" t="str">
        <f t="shared" si="0"/>
        <v>Jan-26</v>
      </c>
      <c r="C10" s="12" t="s">
        <v>78</v>
      </c>
      <c r="D10" s="12" t="s">
        <v>76</v>
      </c>
      <c r="E10" s="13">
        <v>20020004</v>
      </c>
      <c r="F10" s="32" t="str">
        <f>IF(D10="MPG",_xlfn.XLOOKUP(E10,Sheet2!$A$2:$A$2104,Sheet2!$B$2:$B$2104,""),"")</f>
        <v/>
      </c>
      <c r="G10" s="32"/>
      <c r="H10" s="12" t="s">
        <v>86</v>
      </c>
      <c r="I10" s="14"/>
      <c r="J10" s="12" t="s">
        <v>164</v>
      </c>
      <c r="K10" s="12">
        <v>6206527757</v>
      </c>
      <c r="L10" s="12" t="s">
        <v>230</v>
      </c>
      <c r="M10" s="13" t="s">
        <v>236</v>
      </c>
      <c r="N10" s="15" t="s">
        <v>293</v>
      </c>
      <c r="O10" s="15" t="s">
        <v>294</v>
      </c>
      <c r="P10" s="16" t="s">
        <v>295</v>
      </c>
      <c r="Q10" s="27">
        <v>46099</v>
      </c>
      <c r="R10" s="17">
        <v>350</v>
      </c>
      <c r="S10" s="18">
        <v>350</v>
      </c>
      <c r="T10" s="18">
        <v>63</v>
      </c>
      <c r="U10" s="18">
        <v>413</v>
      </c>
      <c r="V10" s="12" t="s">
        <v>344</v>
      </c>
      <c r="W10" s="12" t="s">
        <v>344</v>
      </c>
      <c r="X10" s="19" t="s">
        <v>539</v>
      </c>
    </row>
    <row r="11" spans="1:24" hidden="1" x14ac:dyDescent="0.25">
      <c r="A11" s="10" t="s">
        <v>7</v>
      </c>
      <c r="B11" s="11" t="str">
        <f t="shared" si="0"/>
        <v>Jan-26</v>
      </c>
      <c r="C11" s="12" t="s">
        <v>78</v>
      </c>
      <c r="D11" s="12" t="s">
        <v>76</v>
      </c>
      <c r="E11" s="13">
        <v>2001</v>
      </c>
      <c r="F11" s="32" t="str">
        <f>IF(D11="MPG",_xlfn.XLOOKUP(E11,Sheet2!$A$2:$A$2104,Sheet2!$B$2:$B$2104,""),"")</f>
        <v/>
      </c>
      <c r="G11" s="32"/>
      <c r="H11" s="12" t="s">
        <v>87</v>
      </c>
      <c r="I11" s="14"/>
      <c r="J11" s="12" t="s">
        <v>165</v>
      </c>
      <c r="K11" s="12">
        <v>8210761749</v>
      </c>
      <c r="L11" s="12" t="s">
        <v>230</v>
      </c>
      <c r="M11" s="13" t="s">
        <v>237</v>
      </c>
      <c r="N11" s="15" t="s">
        <v>293</v>
      </c>
      <c r="O11" s="15" t="s">
        <v>294</v>
      </c>
      <c r="P11" s="16" t="s">
        <v>295</v>
      </c>
      <c r="Q11" s="27">
        <v>46099</v>
      </c>
      <c r="R11" s="17">
        <v>350</v>
      </c>
      <c r="S11" s="18">
        <v>350</v>
      </c>
      <c r="T11" s="18">
        <v>63</v>
      </c>
      <c r="U11" s="18">
        <v>413</v>
      </c>
      <c r="V11" s="12" t="s">
        <v>344</v>
      </c>
      <c r="W11" s="12" t="s">
        <v>344</v>
      </c>
      <c r="X11" s="19" t="s">
        <v>539</v>
      </c>
    </row>
    <row r="12" spans="1:24" hidden="1" x14ac:dyDescent="0.25">
      <c r="A12" s="10" t="s">
        <v>8</v>
      </c>
      <c r="B12" s="11" t="str">
        <f t="shared" si="0"/>
        <v>Jan-26</v>
      </c>
      <c r="C12" s="12" t="s">
        <v>75</v>
      </c>
      <c r="D12" s="12" t="s">
        <v>76</v>
      </c>
      <c r="E12" s="33">
        <v>1050</v>
      </c>
      <c r="F12" s="32" t="str">
        <f>IF(D12="MPG",_xlfn.XLOOKUP(E12,Sheet2!$A$2:$A$2104,Sheet2!$B$2:$B$2104,""),"")</f>
        <v/>
      </c>
      <c r="G12" s="32"/>
      <c r="H12" s="12" t="s">
        <v>88</v>
      </c>
      <c r="I12" s="14"/>
      <c r="J12" s="12" t="s">
        <v>166</v>
      </c>
      <c r="K12" s="12">
        <v>8877986410</v>
      </c>
      <c r="L12" s="12" t="s">
        <v>228</v>
      </c>
      <c r="M12" s="13">
        <v>362915</v>
      </c>
      <c r="N12" s="15" t="s">
        <v>296</v>
      </c>
      <c r="O12" s="15" t="s">
        <v>297</v>
      </c>
      <c r="P12" s="16" t="s">
        <v>286</v>
      </c>
      <c r="Q12" s="27">
        <v>46099</v>
      </c>
      <c r="R12" s="17">
        <v>125</v>
      </c>
      <c r="S12" s="18">
        <v>125</v>
      </c>
      <c r="T12" s="18">
        <v>22.5</v>
      </c>
      <c r="U12" s="18">
        <v>147.5</v>
      </c>
      <c r="V12" s="12" t="s">
        <v>344</v>
      </c>
      <c r="W12" s="12" t="s">
        <v>344</v>
      </c>
      <c r="X12" s="19" t="s">
        <v>539</v>
      </c>
    </row>
    <row r="13" spans="1:24" hidden="1" x14ac:dyDescent="0.25">
      <c r="A13" s="10" t="s">
        <v>8</v>
      </c>
      <c r="B13" s="11" t="str">
        <f t="shared" si="0"/>
        <v>Jan-26</v>
      </c>
      <c r="C13" s="12" t="s">
        <v>75</v>
      </c>
      <c r="D13" s="12" t="s">
        <v>76</v>
      </c>
      <c r="E13" s="33">
        <v>1050</v>
      </c>
      <c r="F13" s="32" t="str">
        <f>IF(D13="MPG",_xlfn.XLOOKUP(E13,Sheet2!$A$2:$A$2104,Sheet2!$B$2:$B$2104,""),"")</f>
        <v/>
      </c>
      <c r="G13" s="32"/>
      <c r="H13" s="12" t="s">
        <v>88</v>
      </c>
      <c r="I13" s="14"/>
      <c r="J13" s="12" t="s">
        <v>166</v>
      </c>
      <c r="K13" s="12">
        <v>8877986410</v>
      </c>
      <c r="L13" s="12" t="s">
        <v>228</v>
      </c>
      <c r="M13" s="13">
        <v>362915</v>
      </c>
      <c r="N13" s="15" t="s">
        <v>296</v>
      </c>
      <c r="O13" s="15" t="s">
        <v>297</v>
      </c>
      <c r="P13" s="16" t="s">
        <v>286</v>
      </c>
      <c r="Q13" s="27">
        <v>46099</v>
      </c>
      <c r="R13" s="17">
        <v>125</v>
      </c>
      <c r="S13" s="18">
        <v>125</v>
      </c>
      <c r="T13" s="18">
        <v>22.5</v>
      </c>
      <c r="U13" s="18">
        <v>147.5</v>
      </c>
      <c r="V13" s="12" t="s">
        <v>344</v>
      </c>
      <c r="W13" s="12" t="s">
        <v>344</v>
      </c>
      <c r="X13" s="19" t="s">
        <v>539</v>
      </c>
    </row>
    <row r="14" spans="1:24" x14ac:dyDescent="0.25">
      <c r="A14" s="10" t="s">
        <v>9</v>
      </c>
      <c r="B14" s="11" t="str">
        <f t="shared" si="0"/>
        <v>Jan-26</v>
      </c>
      <c r="C14" s="12" t="s">
        <v>75</v>
      </c>
      <c r="D14" s="12" t="s">
        <v>76</v>
      </c>
      <c r="E14" s="13">
        <v>10120022</v>
      </c>
      <c r="F14" s="32">
        <f>IF(D14="MPG",_xlfn.XLOOKUP(E14,Sheet2!$A$2:$A$2104,Sheet2!$B$2:$B$2104,""),"")</f>
        <v>44184</v>
      </c>
      <c r="G14" s="36">
        <f t="shared" ref="G14:G20" si="2">+A14-F14</f>
        <v>1857.6670717592569</v>
      </c>
      <c r="H14" s="12" t="s">
        <v>89</v>
      </c>
      <c r="I14" s="14" t="s">
        <v>85</v>
      </c>
      <c r="J14" s="12" t="s">
        <v>167</v>
      </c>
      <c r="K14" s="12">
        <v>9973808926</v>
      </c>
      <c r="L14" s="12" t="s">
        <v>228</v>
      </c>
      <c r="M14" s="13">
        <v>322529</v>
      </c>
      <c r="N14" s="15" t="s">
        <v>298</v>
      </c>
      <c r="O14" s="15" t="s">
        <v>299</v>
      </c>
      <c r="P14" s="16" t="s">
        <v>286</v>
      </c>
      <c r="Q14" s="27">
        <v>46099</v>
      </c>
      <c r="R14" s="17">
        <v>770</v>
      </c>
      <c r="S14" s="18">
        <v>770</v>
      </c>
      <c r="T14" s="18">
        <v>138.6</v>
      </c>
      <c r="U14" s="18">
        <v>908.6</v>
      </c>
      <c r="V14" s="12" t="s">
        <v>344</v>
      </c>
      <c r="W14" s="12" t="s">
        <v>344</v>
      </c>
      <c r="X14" s="19" t="s">
        <v>547</v>
      </c>
    </row>
    <row r="15" spans="1:24" x14ac:dyDescent="0.25">
      <c r="A15" s="10" t="s">
        <v>10</v>
      </c>
      <c r="B15" s="11" t="str">
        <f t="shared" si="0"/>
        <v>Jan-26</v>
      </c>
      <c r="C15" s="12" t="s">
        <v>75</v>
      </c>
      <c r="D15" s="12" t="s">
        <v>76</v>
      </c>
      <c r="E15" s="29">
        <v>10130001</v>
      </c>
      <c r="F15" s="32">
        <f>IF(D15="MPG",_xlfn.XLOOKUP(E15,Sheet2!$A$2:$A$2104,Sheet2!$B$2:$B$2104,""),"")</f>
        <v>43622</v>
      </c>
      <c r="G15" s="36">
        <f t="shared" si="2"/>
        <v>2419.4377083333311</v>
      </c>
      <c r="H15" s="12" t="s">
        <v>90</v>
      </c>
      <c r="I15" s="14"/>
      <c r="J15" s="12" t="s">
        <v>168</v>
      </c>
      <c r="K15" s="12">
        <v>9504393173</v>
      </c>
      <c r="L15" s="12" t="s">
        <v>229</v>
      </c>
      <c r="M15" s="13" t="s">
        <v>238</v>
      </c>
      <c r="N15" s="15" t="s">
        <v>300</v>
      </c>
      <c r="O15" s="15" t="s">
        <v>301</v>
      </c>
      <c r="P15" s="16" t="s">
        <v>286</v>
      </c>
      <c r="Q15" s="27">
        <v>46099</v>
      </c>
      <c r="R15" s="17">
        <v>360</v>
      </c>
      <c r="S15" s="18">
        <v>360</v>
      </c>
      <c r="T15" s="18">
        <v>64.8</v>
      </c>
      <c r="U15" s="18">
        <v>424.8</v>
      </c>
      <c r="V15" s="12" t="s">
        <v>344</v>
      </c>
      <c r="W15" s="12" t="s">
        <v>344</v>
      </c>
      <c r="X15" s="19" t="s">
        <v>547</v>
      </c>
    </row>
    <row r="16" spans="1:24" hidden="1" x14ac:dyDescent="0.25">
      <c r="A16" s="10" t="s">
        <v>11</v>
      </c>
      <c r="B16" s="11" t="str">
        <f t="shared" si="0"/>
        <v>Jan-26</v>
      </c>
      <c r="C16" s="12" t="s">
        <v>75</v>
      </c>
      <c r="D16" s="12" t="s">
        <v>76</v>
      </c>
      <c r="E16" s="13">
        <v>10030080</v>
      </c>
      <c r="F16" s="32">
        <f>IF(D16="MPG",_xlfn.XLOOKUP(E16,Sheet2!$A$2:$A$2104,Sheet2!$B$2:$B$2104,""),"")</f>
        <v>45987</v>
      </c>
      <c r="G16" s="36">
        <f t="shared" si="2"/>
        <v>54.663587962961174</v>
      </c>
      <c r="H16" s="12" t="s">
        <v>91</v>
      </c>
      <c r="I16" s="14"/>
      <c r="J16" s="12" t="s">
        <v>169</v>
      </c>
      <c r="K16" s="12">
        <v>9546351286</v>
      </c>
      <c r="L16" s="12" t="s">
        <v>231</v>
      </c>
      <c r="M16" s="13" t="s">
        <v>239</v>
      </c>
      <c r="N16" s="15" t="s">
        <v>302</v>
      </c>
      <c r="O16" s="15" t="s">
        <v>303</v>
      </c>
      <c r="P16" s="16" t="s">
        <v>286</v>
      </c>
      <c r="Q16" s="27">
        <v>46099</v>
      </c>
      <c r="R16" s="17">
        <v>900</v>
      </c>
      <c r="S16" s="18">
        <v>900</v>
      </c>
      <c r="T16" s="18">
        <v>162</v>
      </c>
      <c r="U16" s="18">
        <v>1062</v>
      </c>
      <c r="V16" s="12" t="s">
        <v>344</v>
      </c>
      <c r="W16" s="12" t="s">
        <v>344</v>
      </c>
      <c r="X16" s="19" t="s">
        <v>539</v>
      </c>
    </row>
    <row r="17" spans="1:24" x14ac:dyDescent="0.25">
      <c r="A17" s="10" t="s">
        <v>12</v>
      </c>
      <c r="B17" s="11" t="str">
        <f t="shared" si="0"/>
        <v>Jan-26</v>
      </c>
      <c r="C17" s="12" t="s">
        <v>75</v>
      </c>
      <c r="D17" s="12" t="s">
        <v>76</v>
      </c>
      <c r="E17" s="13">
        <v>10060049</v>
      </c>
      <c r="F17" s="32">
        <f>IF(D17="MPG",_xlfn.XLOOKUP(E17,Sheet2!$A$2:$A$2104,Sheet2!$B$2:$B$2104,""),"")</f>
        <v>45267</v>
      </c>
      <c r="G17" s="36">
        <f t="shared" si="2"/>
        <v>772.60585648148117</v>
      </c>
      <c r="H17" s="12" t="s">
        <v>92</v>
      </c>
      <c r="I17" s="20" t="s">
        <v>93</v>
      </c>
      <c r="J17" s="12" t="s">
        <v>170</v>
      </c>
      <c r="K17" s="12">
        <v>9693036091</v>
      </c>
      <c r="L17" s="12" t="s">
        <v>228</v>
      </c>
      <c r="M17" s="13" t="s">
        <v>240</v>
      </c>
      <c r="N17" s="15" t="s">
        <v>304</v>
      </c>
      <c r="O17" s="15" t="s">
        <v>305</v>
      </c>
      <c r="P17" s="16" t="s">
        <v>286</v>
      </c>
      <c r="Q17" s="27">
        <v>46099</v>
      </c>
      <c r="R17" s="17">
        <v>44</v>
      </c>
      <c r="S17" s="18">
        <v>44</v>
      </c>
      <c r="T17" s="18">
        <v>7.92</v>
      </c>
      <c r="U17" s="18">
        <v>51.92</v>
      </c>
      <c r="V17" s="12" t="s">
        <v>344</v>
      </c>
      <c r="W17" s="12" t="s">
        <v>344</v>
      </c>
      <c r="X17" s="19" t="s">
        <v>547</v>
      </c>
    </row>
    <row r="18" spans="1:24" x14ac:dyDescent="0.25">
      <c r="A18" s="10" t="s">
        <v>12</v>
      </c>
      <c r="B18" s="11" t="str">
        <f t="shared" si="0"/>
        <v>Jan-26</v>
      </c>
      <c r="C18" s="12" t="s">
        <v>75</v>
      </c>
      <c r="D18" s="12" t="s">
        <v>76</v>
      </c>
      <c r="E18" s="13">
        <v>10060049</v>
      </c>
      <c r="F18" s="32">
        <f>IF(D18="MPG",_xlfn.XLOOKUP(E18,Sheet2!$A$2:$A$2104,Sheet2!$B$2:$B$2104,""),"")</f>
        <v>45267</v>
      </c>
      <c r="G18" s="36">
        <f t="shared" si="2"/>
        <v>772.60585648148117</v>
      </c>
      <c r="H18" s="12" t="s">
        <v>92</v>
      </c>
      <c r="I18" s="20" t="s">
        <v>93</v>
      </c>
      <c r="J18" s="12" t="s">
        <v>170</v>
      </c>
      <c r="K18" s="12">
        <v>9693036091</v>
      </c>
      <c r="L18" s="12" t="s">
        <v>228</v>
      </c>
      <c r="M18" s="13" t="s">
        <v>240</v>
      </c>
      <c r="N18" s="15" t="s">
        <v>304</v>
      </c>
      <c r="O18" s="15" t="s">
        <v>305</v>
      </c>
      <c r="P18" s="16" t="s">
        <v>286</v>
      </c>
      <c r="Q18" s="27">
        <v>46099</v>
      </c>
      <c r="R18" s="17">
        <v>44</v>
      </c>
      <c r="S18" s="18">
        <v>44</v>
      </c>
      <c r="T18" s="18">
        <v>7.92</v>
      </c>
      <c r="U18" s="18">
        <v>51.92</v>
      </c>
      <c r="V18" s="12" t="s">
        <v>344</v>
      </c>
      <c r="W18" s="12" t="s">
        <v>344</v>
      </c>
      <c r="X18" s="19" t="s">
        <v>547</v>
      </c>
    </row>
    <row r="19" spans="1:24" x14ac:dyDescent="0.25">
      <c r="A19" s="10" t="s">
        <v>13</v>
      </c>
      <c r="B19" s="11" t="str">
        <f t="shared" si="0"/>
        <v>Jan-26</v>
      </c>
      <c r="C19" s="12" t="s">
        <v>75</v>
      </c>
      <c r="D19" s="12" t="s">
        <v>76</v>
      </c>
      <c r="E19" s="13">
        <v>10130077</v>
      </c>
      <c r="F19" s="32">
        <f>IF(D19="MPG",_xlfn.XLOOKUP(E19,Sheet2!$A$2:$A$2104,Sheet2!$B$2:$B$2104,""),"")</f>
        <v>45631</v>
      </c>
      <c r="G19" s="36">
        <f t="shared" si="2"/>
        <v>408.58450231481402</v>
      </c>
      <c r="H19" s="12" t="s">
        <v>94</v>
      </c>
      <c r="I19" s="14"/>
      <c r="J19" s="12" t="s">
        <v>171</v>
      </c>
      <c r="K19" s="12">
        <v>9891852345</v>
      </c>
      <c r="L19" s="12" t="s">
        <v>231</v>
      </c>
      <c r="M19" s="13" t="s">
        <v>241</v>
      </c>
      <c r="N19" s="15" t="s">
        <v>302</v>
      </c>
      <c r="O19" s="15" t="s">
        <v>303</v>
      </c>
      <c r="P19" s="16" t="s">
        <v>286</v>
      </c>
      <c r="Q19" s="27">
        <v>46099</v>
      </c>
      <c r="R19" s="17">
        <v>900</v>
      </c>
      <c r="S19" s="18">
        <v>900</v>
      </c>
      <c r="T19" s="18">
        <v>162</v>
      </c>
      <c r="U19" s="18">
        <v>1062</v>
      </c>
      <c r="V19" s="12" t="s">
        <v>344</v>
      </c>
      <c r="W19" s="12" t="s">
        <v>344</v>
      </c>
      <c r="X19" s="19" t="s">
        <v>547</v>
      </c>
    </row>
    <row r="20" spans="1:24" x14ac:dyDescent="0.25">
      <c r="A20" s="10" t="s">
        <v>14</v>
      </c>
      <c r="B20" s="11" t="str">
        <f t="shared" si="0"/>
        <v>Jan-26</v>
      </c>
      <c r="C20" s="12" t="s">
        <v>75</v>
      </c>
      <c r="D20" s="12" t="s">
        <v>76</v>
      </c>
      <c r="E20" s="13">
        <v>10120029</v>
      </c>
      <c r="F20" s="32">
        <f>IF(D20="MPG",_xlfn.XLOOKUP(E20,Sheet2!$A$2:$A$2104,Sheet2!$B$2:$B$2104,""),"")</f>
        <v>44729</v>
      </c>
      <c r="G20" s="36">
        <f t="shared" si="2"/>
        <v>1309.6793865740765</v>
      </c>
      <c r="H20" s="12" t="s">
        <v>95</v>
      </c>
      <c r="I20" s="14" t="s">
        <v>85</v>
      </c>
      <c r="J20" s="12" t="s">
        <v>172</v>
      </c>
      <c r="K20" s="12">
        <v>9304265355</v>
      </c>
      <c r="L20" s="12" t="s">
        <v>229</v>
      </c>
      <c r="M20" s="13" t="s">
        <v>242</v>
      </c>
      <c r="N20" s="15" t="s">
        <v>289</v>
      </c>
      <c r="O20" s="15" t="s">
        <v>290</v>
      </c>
      <c r="P20" s="16" t="s">
        <v>286</v>
      </c>
      <c r="Q20" s="27">
        <v>46099</v>
      </c>
      <c r="R20" s="17">
        <v>225</v>
      </c>
      <c r="S20" s="18">
        <v>225</v>
      </c>
      <c r="T20" s="18">
        <v>40.5</v>
      </c>
      <c r="U20" s="18">
        <v>265.5</v>
      </c>
      <c r="V20" s="12" t="s">
        <v>344</v>
      </c>
      <c r="W20" s="12" t="s">
        <v>344</v>
      </c>
      <c r="X20" s="19" t="s">
        <v>547</v>
      </c>
    </row>
    <row r="21" spans="1:24" hidden="1" x14ac:dyDescent="0.25">
      <c r="A21" s="10" t="s">
        <v>15</v>
      </c>
      <c r="B21" s="11" t="str">
        <f t="shared" si="0"/>
        <v>Jan-26</v>
      </c>
      <c r="C21" s="12" t="s">
        <v>78</v>
      </c>
      <c r="D21" s="12" t="s">
        <v>76</v>
      </c>
      <c r="E21" s="13">
        <v>20010017</v>
      </c>
      <c r="F21" s="32" t="str">
        <f>IF(D21="MPG",_xlfn.XLOOKUP(E21,Sheet2!$A$2:$A$2104,Sheet2!$B$2:$B$2104,""),"")</f>
        <v/>
      </c>
      <c r="G21" s="32"/>
      <c r="H21" s="12" t="s">
        <v>96</v>
      </c>
      <c r="I21" s="14"/>
      <c r="J21" s="12" t="s">
        <v>173</v>
      </c>
      <c r="K21" s="12">
        <v>8709453609</v>
      </c>
      <c r="L21" s="12" t="s">
        <v>228</v>
      </c>
      <c r="M21" s="13">
        <v>390572</v>
      </c>
      <c r="N21" s="15" t="s">
        <v>284</v>
      </c>
      <c r="O21" s="15" t="s">
        <v>285</v>
      </c>
      <c r="P21" s="16" t="s">
        <v>295</v>
      </c>
      <c r="Q21" s="27">
        <v>46099</v>
      </c>
      <c r="R21" s="17">
        <v>70</v>
      </c>
      <c r="S21" s="18">
        <v>70</v>
      </c>
      <c r="T21" s="18">
        <v>12.6</v>
      </c>
      <c r="U21" s="18">
        <v>82.6</v>
      </c>
      <c r="V21" s="12" t="s">
        <v>344</v>
      </c>
      <c r="W21" s="12" t="s">
        <v>344</v>
      </c>
      <c r="X21" s="19" t="s">
        <v>539</v>
      </c>
    </row>
    <row r="22" spans="1:24" x14ac:dyDescent="0.25">
      <c r="A22" s="10" t="s">
        <v>16</v>
      </c>
      <c r="B22" s="11" t="str">
        <f t="shared" si="0"/>
        <v>Jan-26</v>
      </c>
      <c r="C22" s="12" t="s">
        <v>75</v>
      </c>
      <c r="D22" s="12" t="s">
        <v>76</v>
      </c>
      <c r="E22" s="13">
        <v>10120089</v>
      </c>
      <c r="F22" s="32">
        <f>IF(D22="MPG",_xlfn.XLOOKUP(E22,Sheet2!$A$2:$A$2104,Sheet2!$B$2:$B$2104,""),"")</f>
        <v>45649</v>
      </c>
      <c r="G22" s="36">
        <f t="shared" ref="G22:G25" si="3">+A22-F22</f>
        <v>385.70143518518307</v>
      </c>
      <c r="H22" s="12" t="s">
        <v>97</v>
      </c>
      <c r="I22" s="14" t="s">
        <v>85</v>
      </c>
      <c r="J22" s="12" t="s">
        <v>174</v>
      </c>
      <c r="K22" s="12">
        <v>8340433254</v>
      </c>
      <c r="L22" s="12" t="s">
        <v>228</v>
      </c>
      <c r="M22" s="13">
        <v>310512</v>
      </c>
      <c r="N22" s="15" t="s">
        <v>306</v>
      </c>
      <c r="O22" s="15" t="s">
        <v>307</v>
      </c>
      <c r="P22" s="16" t="s">
        <v>286</v>
      </c>
      <c r="Q22" s="27">
        <v>46099</v>
      </c>
      <c r="R22" s="17">
        <v>84</v>
      </c>
      <c r="S22" s="18">
        <v>84</v>
      </c>
      <c r="T22" s="18">
        <v>15.12</v>
      </c>
      <c r="U22" s="18">
        <v>99.12</v>
      </c>
      <c r="V22" s="12" t="s">
        <v>344</v>
      </c>
      <c r="W22" s="12" t="s">
        <v>344</v>
      </c>
      <c r="X22" s="19" t="s">
        <v>547</v>
      </c>
    </row>
    <row r="23" spans="1:24" x14ac:dyDescent="0.25">
      <c r="A23" s="10" t="s">
        <v>16</v>
      </c>
      <c r="B23" s="11" t="str">
        <f t="shared" si="0"/>
        <v>Jan-26</v>
      </c>
      <c r="C23" s="12" t="s">
        <v>75</v>
      </c>
      <c r="D23" s="12" t="s">
        <v>76</v>
      </c>
      <c r="E23" s="13">
        <v>10120089</v>
      </c>
      <c r="F23" s="32">
        <f>IF(D23="MPG",_xlfn.XLOOKUP(E23,Sheet2!$A$2:$A$2104,Sheet2!$B$2:$B$2104,""),"")</f>
        <v>45649</v>
      </c>
      <c r="G23" s="36">
        <f t="shared" si="3"/>
        <v>385.70143518518307</v>
      </c>
      <c r="H23" s="12" t="s">
        <v>97</v>
      </c>
      <c r="I23" s="14" t="s">
        <v>85</v>
      </c>
      <c r="J23" s="12" t="s">
        <v>174</v>
      </c>
      <c r="K23" s="12">
        <v>8340433254</v>
      </c>
      <c r="L23" s="12" t="s">
        <v>228</v>
      </c>
      <c r="M23" s="13">
        <v>310512</v>
      </c>
      <c r="N23" s="15" t="s">
        <v>308</v>
      </c>
      <c r="O23" s="15" t="s">
        <v>309</v>
      </c>
      <c r="P23" s="16" t="s">
        <v>286</v>
      </c>
      <c r="Q23" s="27">
        <v>46099</v>
      </c>
      <c r="R23" s="17">
        <v>62</v>
      </c>
      <c r="S23" s="18">
        <v>62</v>
      </c>
      <c r="T23" s="18">
        <v>11.16</v>
      </c>
      <c r="U23" s="18">
        <v>73.16</v>
      </c>
      <c r="V23" s="12" t="s">
        <v>344</v>
      </c>
      <c r="W23" s="12" t="s">
        <v>344</v>
      </c>
      <c r="X23" s="19" t="s">
        <v>547</v>
      </c>
    </row>
    <row r="24" spans="1:24" x14ac:dyDescent="0.25">
      <c r="A24" s="10" t="s">
        <v>17</v>
      </c>
      <c r="B24" s="11" t="str">
        <f t="shared" si="0"/>
        <v>Jan-26</v>
      </c>
      <c r="C24" s="12" t="s">
        <v>75</v>
      </c>
      <c r="D24" s="12" t="s">
        <v>76</v>
      </c>
      <c r="E24" s="29">
        <v>10020026</v>
      </c>
      <c r="F24" s="32">
        <f>IF(D24="MPG",_xlfn.XLOOKUP(E24,Sheet2!$A$2:$A$2104,Sheet2!$B$2:$B$2104,""),"")</f>
        <v>44866</v>
      </c>
      <c r="G24" s="36">
        <f t="shared" si="3"/>
        <v>1168.4429398148131</v>
      </c>
      <c r="H24" s="12" t="s">
        <v>98</v>
      </c>
      <c r="I24" s="14"/>
      <c r="J24" s="12" t="s">
        <v>175</v>
      </c>
      <c r="K24" s="12">
        <v>6202734219</v>
      </c>
      <c r="L24" s="12" t="s">
        <v>229</v>
      </c>
      <c r="M24" s="13" t="s">
        <v>243</v>
      </c>
      <c r="N24" s="15" t="s">
        <v>287</v>
      </c>
      <c r="O24" s="15" t="s">
        <v>288</v>
      </c>
      <c r="P24" s="16" t="s">
        <v>286</v>
      </c>
      <c r="Q24" s="27">
        <v>46099</v>
      </c>
      <c r="R24" s="17">
        <v>825</v>
      </c>
      <c r="S24" s="18">
        <v>825</v>
      </c>
      <c r="T24" s="18">
        <v>148.5</v>
      </c>
      <c r="U24" s="18">
        <v>973.5</v>
      </c>
      <c r="V24" s="12" t="s">
        <v>344</v>
      </c>
      <c r="W24" s="12" t="s">
        <v>344</v>
      </c>
      <c r="X24" s="19" t="s">
        <v>547</v>
      </c>
    </row>
    <row r="25" spans="1:24" x14ac:dyDescent="0.25">
      <c r="A25" s="10" t="s">
        <v>18</v>
      </c>
      <c r="B25" s="11" t="str">
        <f t="shared" si="0"/>
        <v>Jan-26</v>
      </c>
      <c r="C25" s="12" t="s">
        <v>75</v>
      </c>
      <c r="D25" s="12" t="s">
        <v>76</v>
      </c>
      <c r="E25" s="29">
        <v>10120001</v>
      </c>
      <c r="F25" s="32">
        <f>IF(D25="MPG",_xlfn.XLOOKUP(E25,Sheet2!$A$2:$A$2104,Sheet2!$B$2:$B$2104,""),"")</f>
        <v>43622</v>
      </c>
      <c r="G25" s="36">
        <f t="shared" si="3"/>
        <v>2407.6821759259255</v>
      </c>
      <c r="H25" s="12" t="s">
        <v>99</v>
      </c>
      <c r="I25" s="14"/>
      <c r="J25" s="12" t="s">
        <v>176</v>
      </c>
      <c r="K25" s="12">
        <v>7545865422</v>
      </c>
      <c r="L25" s="12" t="s">
        <v>231</v>
      </c>
      <c r="M25" s="13" t="s">
        <v>244</v>
      </c>
      <c r="N25" s="15" t="s">
        <v>302</v>
      </c>
      <c r="O25" s="15" t="s">
        <v>303</v>
      </c>
      <c r="P25" s="16" t="s">
        <v>286</v>
      </c>
      <c r="Q25" s="27">
        <v>46099</v>
      </c>
      <c r="R25" s="17">
        <v>900</v>
      </c>
      <c r="S25" s="18">
        <v>900</v>
      </c>
      <c r="T25" s="18">
        <v>162</v>
      </c>
      <c r="U25" s="18">
        <v>1062</v>
      </c>
      <c r="V25" s="12" t="s">
        <v>344</v>
      </c>
      <c r="W25" s="12" t="s">
        <v>344</v>
      </c>
      <c r="X25" s="19" t="s">
        <v>547</v>
      </c>
    </row>
    <row r="26" spans="1:24" hidden="1" x14ac:dyDescent="0.25">
      <c r="A26" s="10" t="s">
        <v>19</v>
      </c>
      <c r="B26" s="11" t="str">
        <f t="shared" si="0"/>
        <v>Jan-26</v>
      </c>
      <c r="C26" s="12" t="s">
        <v>75</v>
      </c>
      <c r="D26" s="12" t="s">
        <v>77</v>
      </c>
      <c r="E26" s="13" t="s">
        <v>100</v>
      </c>
      <c r="F26" s="32" t="str">
        <f>IF(D26="MPG",_xlfn.XLOOKUP(E26,Sheet2!$A$2:$A$2104,Sheet2!$B$2:$B$2104,""),"")</f>
        <v/>
      </c>
      <c r="G26" s="32"/>
      <c r="H26" s="12" t="s">
        <v>101</v>
      </c>
      <c r="I26" s="14"/>
      <c r="J26" s="12" t="s">
        <v>177</v>
      </c>
      <c r="K26" s="12">
        <v>6201859567</v>
      </c>
      <c r="L26" s="12" t="s">
        <v>228</v>
      </c>
      <c r="M26" s="13">
        <v>183572</v>
      </c>
      <c r="N26" s="15" t="s">
        <v>310</v>
      </c>
      <c r="O26" s="15" t="s">
        <v>311</v>
      </c>
      <c r="P26" s="16" t="s">
        <v>286</v>
      </c>
      <c r="Q26" s="27">
        <v>46099</v>
      </c>
      <c r="R26" s="17">
        <v>2850</v>
      </c>
      <c r="S26" s="18">
        <v>2850</v>
      </c>
      <c r="T26" s="18">
        <v>513</v>
      </c>
      <c r="U26" s="18">
        <v>3363</v>
      </c>
      <c r="V26" s="12" t="s">
        <v>345</v>
      </c>
      <c r="W26" s="12" t="s">
        <v>345</v>
      </c>
      <c r="X26" s="19" t="s">
        <v>539</v>
      </c>
    </row>
    <row r="27" spans="1:24" hidden="1" x14ac:dyDescent="0.25">
      <c r="A27" s="10" t="s">
        <v>20</v>
      </c>
      <c r="B27" s="11" t="str">
        <f t="shared" si="0"/>
        <v>Jan-26</v>
      </c>
      <c r="C27" s="12" t="s">
        <v>75</v>
      </c>
      <c r="D27" s="12" t="s">
        <v>76</v>
      </c>
      <c r="E27" s="13">
        <v>10120121</v>
      </c>
      <c r="F27" s="32">
        <f>IF(D27="MPG",_xlfn.XLOOKUP(E27,Sheet2!$A$2:$A$2104,Sheet2!$B$2:$B$2104,""),"")</f>
        <v>46029</v>
      </c>
      <c r="G27" s="36">
        <f t="shared" ref="G27:G32" si="4">+A27-F27</f>
        <v>0.68729166666889796</v>
      </c>
      <c r="H27" s="12" t="s">
        <v>102</v>
      </c>
      <c r="I27" s="14" t="s">
        <v>85</v>
      </c>
      <c r="J27" s="12" t="s">
        <v>178</v>
      </c>
      <c r="K27" s="12">
        <v>9004074976</v>
      </c>
      <c r="L27" s="12" t="s">
        <v>229</v>
      </c>
      <c r="M27" s="13" t="s">
        <v>245</v>
      </c>
      <c r="N27" s="15" t="s">
        <v>287</v>
      </c>
      <c r="O27" s="15" t="s">
        <v>288</v>
      </c>
      <c r="P27" s="16" t="s">
        <v>286</v>
      </c>
      <c r="Q27" s="27">
        <v>46099</v>
      </c>
      <c r="R27" s="17">
        <v>825</v>
      </c>
      <c r="S27" s="18">
        <v>825</v>
      </c>
      <c r="T27" s="18">
        <v>148.5</v>
      </c>
      <c r="U27" s="18">
        <v>973.5</v>
      </c>
      <c r="V27" s="12" t="s">
        <v>344</v>
      </c>
      <c r="W27" s="12" t="s">
        <v>344</v>
      </c>
      <c r="X27" s="19" t="s">
        <v>539</v>
      </c>
    </row>
    <row r="28" spans="1:24" hidden="1" x14ac:dyDescent="0.25">
      <c r="A28" s="10" t="s">
        <v>21</v>
      </c>
      <c r="B28" s="11" t="str">
        <f t="shared" si="0"/>
        <v>Jan-26</v>
      </c>
      <c r="C28" s="12" t="s">
        <v>75</v>
      </c>
      <c r="D28" s="12" t="s">
        <v>76</v>
      </c>
      <c r="E28" s="29">
        <v>10110140</v>
      </c>
      <c r="F28" s="32">
        <f>IF(D28="MPG",_xlfn.XLOOKUP(E28,Sheet2!$A$2:$A$2104,Sheet2!$B$2:$B$2104,""),"")</f>
        <v>45786</v>
      </c>
      <c r="G28" s="36">
        <f t="shared" si="4"/>
        <v>243.89293981481751</v>
      </c>
      <c r="H28" s="12" t="s">
        <v>103</v>
      </c>
      <c r="I28" s="14"/>
      <c r="J28" s="12" t="s">
        <v>179</v>
      </c>
      <c r="K28" s="12">
        <v>9570352603</v>
      </c>
      <c r="L28" s="12" t="s">
        <v>228</v>
      </c>
      <c r="M28" s="13">
        <v>277504</v>
      </c>
      <c r="N28" s="15" t="s">
        <v>284</v>
      </c>
      <c r="O28" s="15" t="s">
        <v>285</v>
      </c>
      <c r="P28" s="16" t="s">
        <v>286</v>
      </c>
      <c r="Q28" s="27">
        <v>46099</v>
      </c>
      <c r="R28" s="17">
        <v>70</v>
      </c>
      <c r="S28" s="18">
        <v>70</v>
      </c>
      <c r="T28" s="18">
        <v>12.6</v>
      </c>
      <c r="U28" s="18">
        <v>82.6</v>
      </c>
      <c r="V28" s="12" t="s">
        <v>346</v>
      </c>
      <c r="W28" s="12" t="s">
        <v>346</v>
      </c>
      <c r="X28" s="19"/>
    </row>
    <row r="29" spans="1:24" x14ac:dyDescent="0.25">
      <c r="A29" s="10" t="s">
        <v>22</v>
      </c>
      <c r="B29" s="11" t="str">
        <f t="shared" si="0"/>
        <v>Jan-26</v>
      </c>
      <c r="C29" s="12" t="s">
        <v>75</v>
      </c>
      <c r="D29" s="12" t="s">
        <v>76</v>
      </c>
      <c r="E29" s="29">
        <v>10030034</v>
      </c>
      <c r="F29" s="32">
        <f>IF(D29="MPG",_xlfn.XLOOKUP(E29,Sheet2!$A$2:$A$2104,Sheet2!$B$2:$B$2104,""),"")</f>
        <v>45082</v>
      </c>
      <c r="G29" s="36">
        <f t="shared" si="4"/>
        <v>945.71788194444525</v>
      </c>
      <c r="H29" s="12" t="s">
        <v>104</v>
      </c>
      <c r="I29" s="14"/>
      <c r="J29" s="12" t="s">
        <v>180</v>
      </c>
      <c r="K29" s="12">
        <v>7050069650</v>
      </c>
      <c r="L29" s="12" t="s">
        <v>228</v>
      </c>
      <c r="M29" s="13">
        <v>388118</v>
      </c>
      <c r="N29" s="15" t="s">
        <v>284</v>
      </c>
      <c r="O29" s="15" t="s">
        <v>285</v>
      </c>
      <c r="P29" s="16" t="s">
        <v>286</v>
      </c>
      <c r="Q29" s="27">
        <v>46099</v>
      </c>
      <c r="R29" s="17">
        <v>70</v>
      </c>
      <c r="S29" s="18">
        <v>70</v>
      </c>
      <c r="T29" s="18">
        <v>12.6</v>
      </c>
      <c r="U29" s="18">
        <v>82.6</v>
      </c>
      <c r="V29" s="12" t="s">
        <v>344</v>
      </c>
      <c r="W29" s="12" t="s">
        <v>344</v>
      </c>
      <c r="X29" s="19" t="s">
        <v>547</v>
      </c>
    </row>
    <row r="30" spans="1:24" x14ac:dyDescent="0.25">
      <c r="A30" s="10" t="s">
        <v>22</v>
      </c>
      <c r="B30" s="11" t="str">
        <f t="shared" si="0"/>
        <v>Jan-26</v>
      </c>
      <c r="C30" s="12" t="s">
        <v>75</v>
      </c>
      <c r="D30" s="12" t="s">
        <v>76</v>
      </c>
      <c r="E30" s="29">
        <v>10030034</v>
      </c>
      <c r="F30" s="32">
        <f>IF(D30="MPG",_xlfn.XLOOKUP(E30,Sheet2!$A$2:$A$2104,Sheet2!$B$2:$B$2104,""),"")</f>
        <v>45082</v>
      </c>
      <c r="G30" s="36">
        <f t="shared" si="4"/>
        <v>945.71788194444525</v>
      </c>
      <c r="H30" s="12" t="s">
        <v>104</v>
      </c>
      <c r="I30" s="14"/>
      <c r="J30" s="12" t="s">
        <v>180</v>
      </c>
      <c r="K30" s="12">
        <v>7050069650</v>
      </c>
      <c r="L30" s="12" t="s">
        <v>228</v>
      </c>
      <c r="M30" s="13">
        <v>388118</v>
      </c>
      <c r="N30" s="15" t="s">
        <v>284</v>
      </c>
      <c r="O30" s="15" t="s">
        <v>285</v>
      </c>
      <c r="P30" s="16" t="s">
        <v>286</v>
      </c>
      <c r="Q30" s="27">
        <v>46099</v>
      </c>
      <c r="R30" s="17">
        <v>70</v>
      </c>
      <c r="S30" s="18">
        <v>70</v>
      </c>
      <c r="T30" s="18">
        <v>12.6</v>
      </c>
      <c r="U30" s="18">
        <v>82.6</v>
      </c>
      <c r="V30" s="12" t="s">
        <v>344</v>
      </c>
      <c r="W30" s="12" t="s">
        <v>344</v>
      </c>
      <c r="X30" s="19" t="s">
        <v>547</v>
      </c>
    </row>
    <row r="31" spans="1:24" x14ac:dyDescent="0.25">
      <c r="A31" s="10" t="s">
        <v>23</v>
      </c>
      <c r="B31" s="11" t="str">
        <f t="shared" si="0"/>
        <v>Jan-26</v>
      </c>
      <c r="C31" s="12" t="s">
        <v>75</v>
      </c>
      <c r="D31" s="12" t="s">
        <v>76</v>
      </c>
      <c r="E31" s="13">
        <v>10120012</v>
      </c>
      <c r="F31" s="32">
        <f>IF(D31="MPG",_xlfn.XLOOKUP(E31,Sheet2!$A$2:$A$2104,Sheet2!$B$2:$B$2104,""),"")</f>
        <v>43924</v>
      </c>
      <c r="G31" s="36">
        <f t="shared" si="4"/>
        <v>2103.6671875000029</v>
      </c>
      <c r="H31" s="12" t="s">
        <v>105</v>
      </c>
      <c r="I31" s="14" t="s">
        <v>85</v>
      </c>
      <c r="J31" s="12" t="s">
        <v>181</v>
      </c>
      <c r="K31" s="12">
        <v>8651295402</v>
      </c>
      <c r="L31" s="12" t="s">
        <v>229</v>
      </c>
      <c r="M31" s="13" t="s">
        <v>246</v>
      </c>
      <c r="N31" s="15" t="s">
        <v>289</v>
      </c>
      <c r="O31" s="15" t="s">
        <v>290</v>
      </c>
      <c r="P31" s="16" t="s">
        <v>286</v>
      </c>
      <c r="Q31" s="27">
        <v>46099</v>
      </c>
      <c r="R31" s="17">
        <v>225</v>
      </c>
      <c r="S31" s="18">
        <v>225</v>
      </c>
      <c r="T31" s="18">
        <v>40.5</v>
      </c>
      <c r="U31" s="18">
        <v>265.5</v>
      </c>
      <c r="V31" s="12" t="s">
        <v>344</v>
      </c>
      <c r="W31" s="12" t="s">
        <v>344</v>
      </c>
      <c r="X31" s="19" t="s">
        <v>547</v>
      </c>
    </row>
    <row r="32" spans="1:24" x14ac:dyDescent="0.25">
      <c r="A32" s="10" t="s">
        <v>23</v>
      </c>
      <c r="B32" s="11" t="str">
        <f t="shared" si="0"/>
        <v>Jan-26</v>
      </c>
      <c r="C32" s="12" t="s">
        <v>75</v>
      </c>
      <c r="D32" s="12" t="s">
        <v>76</v>
      </c>
      <c r="E32" s="13">
        <v>10120012</v>
      </c>
      <c r="F32" s="32">
        <f>IF(D32="MPG",_xlfn.XLOOKUP(E32,Sheet2!$A$2:$A$2104,Sheet2!$B$2:$B$2104,""),"")</f>
        <v>43924</v>
      </c>
      <c r="G32" s="36">
        <f t="shared" si="4"/>
        <v>2103.6671875000029</v>
      </c>
      <c r="H32" s="12" t="s">
        <v>105</v>
      </c>
      <c r="I32" s="14" t="s">
        <v>85</v>
      </c>
      <c r="J32" s="12" t="s">
        <v>181</v>
      </c>
      <c r="K32" s="12">
        <v>8651295402</v>
      </c>
      <c r="L32" s="12" t="s">
        <v>229</v>
      </c>
      <c r="M32" s="13" t="s">
        <v>246</v>
      </c>
      <c r="N32" s="15" t="s">
        <v>287</v>
      </c>
      <c r="O32" s="15" t="s">
        <v>288</v>
      </c>
      <c r="P32" s="16" t="s">
        <v>286</v>
      </c>
      <c r="Q32" s="27">
        <v>46099</v>
      </c>
      <c r="R32" s="17">
        <v>825</v>
      </c>
      <c r="S32" s="18">
        <v>825</v>
      </c>
      <c r="T32" s="18">
        <v>148.5</v>
      </c>
      <c r="U32" s="18">
        <v>973.5</v>
      </c>
      <c r="V32" s="12" t="s">
        <v>344</v>
      </c>
      <c r="W32" s="12" t="s">
        <v>344</v>
      </c>
      <c r="X32" s="19" t="s">
        <v>547</v>
      </c>
    </row>
    <row r="33" spans="1:24" hidden="1" x14ac:dyDescent="0.25">
      <c r="A33" s="10" t="s">
        <v>24</v>
      </c>
      <c r="B33" s="11" t="str">
        <f t="shared" si="0"/>
        <v>Jan-26</v>
      </c>
      <c r="C33" s="12" t="s">
        <v>78</v>
      </c>
      <c r="D33" s="12" t="s">
        <v>76</v>
      </c>
      <c r="E33" s="13">
        <v>20020002</v>
      </c>
      <c r="F33" s="32" t="str">
        <f>IF(D33="MPG",_xlfn.XLOOKUP(E33,Sheet2!$A$2:$A$2104,Sheet2!$B$2:$B$2104,""),"")</f>
        <v/>
      </c>
      <c r="G33" s="32"/>
      <c r="H33" s="12" t="s">
        <v>106</v>
      </c>
      <c r="I33" s="14"/>
      <c r="J33" s="12" t="s">
        <v>182</v>
      </c>
      <c r="K33" s="12">
        <v>7061476343</v>
      </c>
      <c r="L33" s="12" t="s">
        <v>230</v>
      </c>
      <c r="M33" s="13" t="s">
        <v>247</v>
      </c>
      <c r="N33" s="15" t="s">
        <v>293</v>
      </c>
      <c r="O33" s="15" t="s">
        <v>294</v>
      </c>
      <c r="P33" s="16" t="s">
        <v>295</v>
      </c>
      <c r="Q33" s="27">
        <v>46099</v>
      </c>
      <c r="R33" s="17">
        <v>350</v>
      </c>
      <c r="S33" s="18">
        <v>350</v>
      </c>
      <c r="T33" s="18">
        <v>63</v>
      </c>
      <c r="U33" s="18">
        <v>413</v>
      </c>
      <c r="V33" s="12" t="s">
        <v>344</v>
      </c>
      <c r="W33" s="12" t="s">
        <v>344</v>
      </c>
      <c r="X33" s="19" t="s">
        <v>539</v>
      </c>
    </row>
    <row r="34" spans="1:24" hidden="1" x14ac:dyDescent="0.25">
      <c r="A34" s="10" t="s">
        <v>25</v>
      </c>
      <c r="B34" s="11" t="str">
        <f t="shared" si="0"/>
        <v>Jan-26</v>
      </c>
      <c r="C34" s="12" t="s">
        <v>75</v>
      </c>
      <c r="D34" s="12" t="s">
        <v>76</v>
      </c>
      <c r="E34" s="13">
        <v>10120114</v>
      </c>
      <c r="F34" s="32">
        <f>IF(D34="MPG",_xlfn.XLOOKUP(E34,Sheet2!$A$2:$A$2104,Sheet2!$B$2:$B$2104,""),"")</f>
        <v>45939</v>
      </c>
      <c r="G34" s="36">
        <f t="shared" ref="G34:G35" si="5">+A34-F34</f>
        <v>88.66907407407416</v>
      </c>
      <c r="H34" s="12" t="s">
        <v>107</v>
      </c>
      <c r="I34" s="14" t="s">
        <v>85</v>
      </c>
      <c r="J34" s="12" t="s">
        <v>171</v>
      </c>
      <c r="K34" s="12">
        <v>9631389655</v>
      </c>
      <c r="L34" s="12" t="s">
        <v>230</v>
      </c>
      <c r="M34" s="13" t="s">
        <v>248</v>
      </c>
      <c r="N34" s="15" t="s">
        <v>312</v>
      </c>
      <c r="O34" s="15" t="s">
        <v>313</v>
      </c>
      <c r="P34" s="16" t="s">
        <v>286</v>
      </c>
      <c r="Q34" s="27">
        <v>46099</v>
      </c>
      <c r="R34" s="17">
        <v>2800</v>
      </c>
      <c r="S34" s="18">
        <v>2800</v>
      </c>
      <c r="T34" s="18">
        <v>504</v>
      </c>
      <c r="U34" s="18">
        <v>3304</v>
      </c>
      <c r="V34" s="12" t="s">
        <v>344</v>
      </c>
      <c r="W34" s="12" t="s">
        <v>344</v>
      </c>
      <c r="X34" s="19" t="s">
        <v>539</v>
      </c>
    </row>
    <row r="35" spans="1:24" x14ac:dyDescent="0.25">
      <c r="A35" s="10" t="s">
        <v>26</v>
      </c>
      <c r="B35" s="11" t="str">
        <f t="shared" si="0"/>
        <v>Jan-26</v>
      </c>
      <c r="C35" s="12" t="s">
        <v>75</v>
      </c>
      <c r="D35" s="12" t="s">
        <v>76</v>
      </c>
      <c r="E35" s="13">
        <v>10120006</v>
      </c>
      <c r="F35" s="32">
        <f>IF(D35="MPG",_xlfn.XLOOKUP(E35,Sheet2!$A$2:$A$2104,Sheet2!$B$2:$B$2104,""),"")</f>
        <v>43731</v>
      </c>
      <c r="G35" s="36">
        <f t="shared" si="5"/>
        <v>2296.6739467592561</v>
      </c>
      <c r="H35" s="12" t="s">
        <v>108</v>
      </c>
      <c r="I35" s="14" t="s">
        <v>85</v>
      </c>
      <c r="J35" s="12" t="s">
        <v>183</v>
      </c>
      <c r="K35" s="12">
        <v>7033197978</v>
      </c>
      <c r="L35" s="12" t="s">
        <v>229</v>
      </c>
      <c r="M35" s="13" t="s">
        <v>249</v>
      </c>
      <c r="N35" s="15" t="s">
        <v>300</v>
      </c>
      <c r="O35" s="15" t="s">
        <v>301</v>
      </c>
      <c r="P35" s="16" t="s">
        <v>286</v>
      </c>
      <c r="Q35" s="27">
        <v>46099</v>
      </c>
      <c r="R35" s="17">
        <v>360</v>
      </c>
      <c r="S35" s="18">
        <v>360</v>
      </c>
      <c r="T35" s="18">
        <v>64.8</v>
      </c>
      <c r="U35" s="18">
        <v>424.8</v>
      </c>
      <c r="V35" s="12" t="s">
        <v>344</v>
      </c>
      <c r="W35" s="12" t="s">
        <v>344</v>
      </c>
      <c r="X35" s="19" t="s">
        <v>547</v>
      </c>
    </row>
    <row r="36" spans="1:24" hidden="1" x14ac:dyDescent="0.25">
      <c r="A36" s="10" t="s">
        <v>27</v>
      </c>
      <c r="B36" s="11" t="str">
        <f t="shared" si="0"/>
        <v>Jan-26</v>
      </c>
      <c r="C36" s="12" t="s">
        <v>75</v>
      </c>
      <c r="D36" s="12" t="s">
        <v>77</v>
      </c>
      <c r="E36" s="13">
        <v>1054</v>
      </c>
      <c r="F36" s="32" t="str">
        <f>IF(D36="MPG",_xlfn.XLOOKUP(E36,Sheet2!$A$2:$A$2104,Sheet2!$B$2:$B$2104,""),"")</f>
        <v/>
      </c>
      <c r="G36" s="32"/>
      <c r="H36" s="12" t="s">
        <v>109</v>
      </c>
      <c r="I36" s="14"/>
      <c r="J36" s="12" t="s">
        <v>184</v>
      </c>
      <c r="K36" s="12">
        <v>9155273222</v>
      </c>
      <c r="L36" s="12" t="s">
        <v>230</v>
      </c>
      <c r="M36" s="13" t="s">
        <v>250</v>
      </c>
      <c r="N36" s="15" t="s">
        <v>314</v>
      </c>
      <c r="O36" s="15" t="s">
        <v>315</v>
      </c>
      <c r="P36" s="16" t="s">
        <v>286</v>
      </c>
      <c r="Q36" s="27">
        <v>46099</v>
      </c>
      <c r="R36" s="17">
        <v>925</v>
      </c>
      <c r="S36" s="18">
        <v>925</v>
      </c>
      <c r="T36" s="18">
        <v>166.5</v>
      </c>
      <c r="U36" s="18">
        <v>1091.5</v>
      </c>
      <c r="V36" s="12" t="s">
        <v>345</v>
      </c>
      <c r="W36" s="12" t="s">
        <v>345</v>
      </c>
      <c r="X36" s="19" t="s">
        <v>539</v>
      </c>
    </row>
    <row r="37" spans="1:24" hidden="1" x14ac:dyDescent="0.25">
      <c r="A37" s="10" t="s">
        <v>28</v>
      </c>
      <c r="B37" s="11" t="str">
        <f t="shared" si="0"/>
        <v>Feb-26</v>
      </c>
      <c r="C37" s="12" t="s">
        <v>78</v>
      </c>
      <c r="D37" s="12" t="s">
        <v>76</v>
      </c>
      <c r="E37" s="13">
        <v>20010016</v>
      </c>
      <c r="F37" s="32" t="str">
        <f>IF(D37="MPG",_xlfn.XLOOKUP(E37,Sheet2!$A$2:$A$2104,Sheet2!$B$2:$B$2104,""),"")</f>
        <v/>
      </c>
      <c r="G37" s="32"/>
      <c r="H37" s="12" t="s">
        <v>110</v>
      </c>
      <c r="I37" s="14"/>
      <c r="J37" s="12" t="s">
        <v>185</v>
      </c>
      <c r="K37" s="12">
        <v>9263601995</v>
      </c>
      <c r="L37" s="12" t="s">
        <v>230</v>
      </c>
      <c r="M37" s="13" t="s">
        <v>251</v>
      </c>
      <c r="N37" s="15" t="s">
        <v>293</v>
      </c>
      <c r="O37" s="15" t="s">
        <v>294</v>
      </c>
      <c r="P37" s="16" t="s">
        <v>316</v>
      </c>
      <c r="Q37" s="27">
        <v>46109</v>
      </c>
      <c r="R37" s="17">
        <v>350</v>
      </c>
      <c r="S37" s="18">
        <v>350</v>
      </c>
      <c r="T37" s="18">
        <v>63</v>
      </c>
      <c r="U37" s="18">
        <v>413</v>
      </c>
      <c r="V37" s="12" t="s">
        <v>344</v>
      </c>
      <c r="W37" s="12" t="s">
        <v>344</v>
      </c>
      <c r="X37" s="19" t="s">
        <v>539</v>
      </c>
    </row>
    <row r="38" spans="1:24" hidden="1" x14ac:dyDescent="0.25">
      <c r="A38" s="10" t="s">
        <v>29</v>
      </c>
      <c r="B38" s="11" t="str">
        <f t="shared" si="0"/>
        <v>Feb-26</v>
      </c>
      <c r="C38" s="12" t="s">
        <v>75</v>
      </c>
      <c r="D38" s="12" t="s">
        <v>76</v>
      </c>
      <c r="E38" s="13">
        <v>10110099</v>
      </c>
      <c r="F38" s="32">
        <f>IF(D38="MPG",_xlfn.XLOOKUP(E38,Sheet2!$A$2:$A$2104,Sheet2!$B$2:$B$2104,""),"")</f>
        <v>45653</v>
      </c>
      <c r="G38" s="36">
        <f t="shared" ref="G38:G68" si="6">+A38-F38</f>
        <v>427.83826388888701</v>
      </c>
      <c r="H38" s="12" t="s">
        <v>111</v>
      </c>
      <c r="I38" s="14"/>
      <c r="J38" s="12" t="s">
        <v>186</v>
      </c>
      <c r="K38" s="12">
        <v>8678086831</v>
      </c>
      <c r="L38" s="12" t="s">
        <v>229</v>
      </c>
      <c r="M38" s="13" t="s">
        <v>252</v>
      </c>
      <c r="N38" s="15" t="s">
        <v>317</v>
      </c>
      <c r="O38" s="15" t="s">
        <v>318</v>
      </c>
      <c r="P38" s="16" t="s">
        <v>319</v>
      </c>
      <c r="Q38" s="27">
        <v>46109</v>
      </c>
      <c r="R38" s="17">
        <v>2080</v>
      </c>
      <c r="S38" s="18">
        <v>2080</v>
      </c>
      <c r="T38" s="18">
        <v>374.4</v>
      </c>
      <c r="U38" s="18">
        <v>2454.4</v>
      </c>
      <c r="V38" s="12" t="s">
        <v>346</v>
      </c>
      <c r="W38" s="12" t="s">
        <v>346</v>
      </c>
      <c r="X38" s="19"/>
    </row>
    <row r="39" spans="1:24" hidden="1" x14ac:dyDescent="0.25">
      <c r="A39" s="10" t="s">
        <v>30</v>
      </c>
      <c r="B39" s="11" t="str">
        <f t="shared" si="0"/>
        <v>Feb-26</v>
      </c>
      <c r="C39" s="12" t="s">
        <v>75</v>
      </c>
      <c r="D39" s="12" t="s">
        <v>76</v>
      </c>
      <c r="E39" s="13">
        <v>10080086</v>
      </c>
      <c r="F39" s="32">
        <f>IF(D39="MPG",_xlfn.XLOOKUP(E39,Sheet2!$A$2:$A$2104,Sheet2!$B$2:$B$2104,""),"")</f>
        <v>45716</v>
      </c>
      <c r="G39" s="36">
        <f t="shared" si="6"/>
        <v>364.76896990741079</v>
      </c>
      <c r="H39" s="12" t="s">
        <v>112</v>
      </c>
      <c r="I39" s="14"/>
      <c r="J39" s="12" t="s">
        <v>187</v>
      </c>
      <c r="K39" s="12">
        <v>7631461027</v>
      </c>
      <c r="L39" s="12" t="s">
        <v>231</v>
      </c>
      <c r="M39" s="13" t="s">
        <v>253</v>
      </c>
      <c r="N39" s="15" t="s">
        <v>302</v>
      </c>
      <c r="O39" s="15" t="s">
        <v>303</v>
      </c>
      <c r="P39" s="16" t="s">
        <v>319</v>
      </c>
      <c r="Q39" s="27">
        <v>46109</v>
      </c>
      <c r="R39" s="17">
        <v>900</v>
      </c>
      <c r="S39" s="18">
        <v>900</v>
      </c>
      <c r="T39" s="18">
        <v>162</v>
      </c>
      <c r="U39" s="18">
        <v>1062</v>
      </c>
      <c r="V39" s="12" t="s">
        <v>344</v>
      </c>
      <c r="W39" s="12" t="s">
        <v>344</v>
      </c>
      <c r="X39" s="19" t="s">
        <v>539</v>
      </c>
    </row>
    <row r="40" spans="1:24" hidden="1" x14ac:dyDescent="0.25">
      <c r="A40" s="10" t="s">
        <v>30</v>
      </c>
      <c r="B40" s="11" t="str">
        <f t="shared" si="0"/>
        <v>Feb-26</v>
      </c>
      <c r="C40" s="12" t="s">
        <v>75</v>
      </c>
      <c r="D40" s="12" t="s">
        <v>76</v>
      </c>
      <c r="E40" s="13">
        <v>10080086</v>
      </c>
      <c r="F40" s="32">
        <f>IF(D40="MPG",_xlfn.XLOOKUP(E40,Sheet2!$A$2:$A$2104,Sheet2!$B$2:$B$2104,""),"")</f>
        <v>45716</v>
      </c>
      <c r="G40" s="36">
        <f t="shared" si="6"/>
        <v>364.76896990741079</v>
      </c>
      <c r="H40" s="12" t="s">
        <v>112</v>
      </c>
      <c r="I40" s="14"/>
      <c r="J40" s="12" t="s">
        <v>187</v>
      </c>
      <c r="K40" s="12">
        <v>7631461027</v>
      </c>
      <c r="L40" s="12" t="s">
        <v>231</v>
      </c>
      <c r="M40" s="13" t="s">
        <v>253</v>
      </c>
      <c r="N40" s="15" t="s">
        <v>320</v>
      </c>
      <c r="O40" s="15" t="s">
        <v>321</v>
      </c>
      <c r="P40" s="16" t="s">
        <v>319</v>
      </c>
      <c r="Q40" s="27">
        <v>46109</v>
      </c>
      <c r="R40" s="17">
        <v>1750</v>
      </c>
      <c r="S40" s="18">
        <v>1750</v>
      </c>
      <c r="T40" s="18">
        <v>315</v>
      </c>
      <c r="U40" s="18">
        <v>2065</v>
      </c>
      <c r="V40" s="12" t="s">
        <v>344</v>
      </c>
      <c r="W40" s="12" t="s">
        <v>344</v>
      </c>
      <c r="X40" s="19" t="s">
        <v>539</v>
      </c>
    </row>
    <row r="41" spans="1:24" hidden="1" x14ac:dyDescent="0.25">
      <c r="A41" s="10" t="s">
        <v>31</v>
      </c>
      <c r="B41" s="11" t="str">
        <f t="shared" si="0"/>
        <v>Feb-26</v>
      </c>
      <c r="C41" s="12" t="s">
        <v>75</v>
      </c>
      <c r="D41" s="12" t="s">
        <v>76</v>
      </c>
      <c r="E41" s="13">
        <v>10010142</v>
      </c>
      <c r="F41" s="32">
        <v>46080</v>
      </c>
      <c r="G41" s="36">
        <f t="shared" si="6"/>
        <v>0.72310185185051523</v>
      </c>
      <c r="H41" s="12" t="s">
        <v>113</v>
      </c>
      <c r="I41" s="14"/>
      <c r="J41" s="12" t="s">
        <v>188</v>
      </c>
      <c r="K41" s="12">
        <v>8271775736</v>
      </c>
      <c r="L41" s="12" t="s">
        <v>229</v>
      </c>
      <c r="M41" s="13" t="s">
        <v>254</v>
      </c>
      <c r="N41" s="15" t="s">
        <v>322</v>
      </c>
      <c r="O41" s="15" t="s">
        <v>323</v>
      </c>
      <c r="P41" s="16" t="s">
        <v>319</v>
      </c>
      <c r="Q41" s="27">
        <v>46109</v>
      </c>
      <c r="R41" s="17">
        <v>1266</v>
      </c>
      <c r="S41" s="18">
        <v>1266</v>
      </c>
      <c r="T41" s="18">
        <v>227.88</v>
      </c>
      <c r="U41" s="18">
        <v>1493.88</v>
      </c>
      <c r="V41" s="12" t="s">
        <v>346</v>
      </c>
      <c r="W41" s="12" t="s">
        <v>346</v>
      </c>
      <c r="X41" s="19"/>
    </row>
    <row r="42" spans="1:24" hidden="1" x14ac:dyDescent="0.25">
      <c r="A42" s="10" t="s">
        <v>32</v>
      </c>
      <c r="B42" s="11" t="str">
        <f t="shared" si="0"/>
        <v>Feb-26</v>
      </c>
      <c r="C42" s="12" t="s">
        <v>75</v>
      </c>
      <c r="D42" s="12" t="s">
        <v>76</v>
      </c>
      <c r="E42" s="13">
        <v>10140185</v>
      </c>
      <c r="F42" s="32">
        <f>IF(D42="MPG",_xlfn.XLOOKUP(E42,Sheet2!$A$2:$A$2104,Sheet2!$B$2:$B$2104,""),"")</f>
        <v>45868</v>
      </c>
      <c r="G42" s="36">
        <f t="shared" si="6"/>
        <v>211.66815972221957</v>
      </c>
      <c r="H42" s="12" t="s">
        <v>114</v>
      </c>
      <c r="I42" s="14"/>
      <c r="J42" s="12" t="s">
        <v>189</v>
      </c>
      <c r="K42" s="12">
        <v>8252882294</v>
      </c>
      <c r="L42" s="12" t="s">
        <v>231</v>
      </c>
      <c r="M42" s="13" t="s">
        <v>255</v>
      </c>
      <c r="N42" s="15" t="s">
        <v>302</v>
      </c>
      <c r="O42" s="15" t="s">
        <v>303</v>
      </c>
      <c r="P42" s="16" t="s">
        <v>319</v>
      </c>
      <c r="Q42" s="27">
        <v>46109</v>
      </c>
      <c r="R42" s="17">
        <v>900</v>
      </c>
      <c r="S42" s="18">
        <v>900</v>
      </c>
      <c r="T42" s="18">
        <v>162</v>
      </c>
      <c r="U42" s="18">
        <v>1062</v>
      </c>
      <c r="V42" s="12" t="s">
        <v>344</v>
      </c>
      <c r="W42" s="12" t="s">
        <v>344</v>
      </c>
      <c r="X42" s="19" t="s">
        <v>541</v>
      </c>
    </row>
    <row r="43" spans="1:24" hidden="1" x14ac:dyDescent="0.25">
      <c r="A43" s="10" t="s">
        <v>32</v>
      </c>
      <c r="B43" s="11" t="str">
        <f t="shared" si="0"/>
        <v>Feb-26</v>
      </c>
      <c r="C43" s="12" t="s">
        <v>75</v>
      </c>
      <c r="D43" s="12" t="s">
        <v>76</v>
      </c>
      <c r="E43" s="13">
        <v>10140185</v>
      </c>
      <c r="F43" s="32">
        <f>IF(D43="MPG",_xlfn.XLOOKUP(E43,Sheet2!$A$2:$A$2104,Sheet2!$B$2:$B$2104,""),"")</f>
        <v>45868</v>
      </c>
      <c r="G43" s="36">
        <f t="shared" si="6"/>
        <v>211.66815972221957</v>
      </c>
      <c r="H43" s="12" t="s">
        <v>114</v>
      </c>
      <c r="I43" s="14"/>
      <c r="J43" s="12" t="s">
        <v>189</v>
      </c>
      <c r="K43" s="12">
        <v>8252882294</v>
      </c>
      <c r="L43" s="12" t="s">
        <v>231</v>
      </c>
      <c r="M43" s="13" t="s">
        <v>255</v>
      </c>
      <c r="N43" s="15" t="s">
        <v>324</v>
      </c>
      <c r="O43" s="15" t="s">
        <v>325</v>
      </c>
      <c r="P43" s="16" t="s">
        <v>319</v>
      </c>
      <c r="Q43" s="27">
        <v>46109</v>
      </c>
      <c r="R43" s="17">
        <v>2500</v>
      </c>
      <c r="S43" s="18">
        <v>2500</v>
      </c>
      <c r="T43" s="18">
        <v>450</v>
      </c>
      <c r="U43" s="18">
        <v>2950</v>
      </c>
      <c r="V43" s="12" t="s">
        <v>344</v>
      </c>
      <c r="W43" s="12" t="s">
        <v>344</v>
      </c>
      <c r="X43" s="19" t="s">
        <v>541</v>
      </c>
    </row>
    <row r="44" spans="1:24" x14ac:dyDescent="0.25">
      <c r="A44" s="10" t="s">
        <v>33</v>
      </c>
      <c r="B44" s="11" t="str">
        <f t="shared" si="0"/>
        <v>Feb-26</v>
      </c>
      <c r="C44" s="12" t="s">
        <v>75</v>
      </c>
      <c r="D44" s="12" t="s">
        <v>76</v>
      </c>
      <c r="E44" s="13">
        <v>10120083</v>
      </c>
      <c r="F44" s="32">
        <f>IF(D44="MPG",_xlfn.XLOOKUP(E44,Sheet2!$A$2:$A$2104,Sheet2!$B$2:$B$2104,""),"")</f>
        <v>45530</v>
      </c>
      <c r="G44" s="36">
        <f t="shared" si="6"/>
        <v>549.60333333333256</v>
      </c>
      <c r="H44" s="12" t="s">
        <v>115</v>
      </c>
      <c r="I44" s="14" t="s">
        <v>85</v>
      </c>
      <c r="J44" s="12" t="s">
        <v>190</v>
      </c>
      <c r="K44" s="12">
        <v>9262776421</v>
      </c>
      <c r="L44" s="12" t="s">
        <v>231</v>
      </c>
      <c r="M44" s="13" t="s">
        <v>256</v>
      </c>
      <c r="N44" s="15" t="s">
        <v>302</v>
      </c>
      <c r="O44" s="15" t="s">
        <v>303</v>
      </c>
      <c r="P44" s="16" t="s">
        <v>319</v>
      </c>
      <c r="Q44" s="27">
        <v>46109</v>
      </c>
      <c r="R44" s="17">
        <v>900</v>
      </c>
      <c r="S44" s="18">
        <v>900</v>
      </c>
      <c r="T44" s="18">
        <v>162</v>
      </c>
      <c r="U44" s="18">
        <v>1062</v>
      </c>
      <c r="V44" s="12" t="s">
        <v>344</v>
      </c>
      <c r="W44" s="12" t="s">
        <v>344</v>
      </c>
      <c r="X44" s="19" t="s">
        <v>547</v>
      </c>
    </row>
    <row r="45" spans="1:24" x14ac:dyDescent="0.25">
      <c r="A45" s="10" t="s">
        <v>34</v>
      </c>
      <c r="B45" s="11" t="str">
        <f t="shared" si="0"/>
        <v>Feb-26</v>
      </c>
      <c r="C45" s="12" t="s">
        <v>75</v>
      </c>
      <c r="D45" s="12" t="s">
        <v>76</v>
      </c>
      <c r="E45" s="13">
        <v>10140020</v>
      </c>
      <c r="F45" s="32">
        <f>IF(D45="MPG",_xlfn.XLOOKUP(E45,Sheet2!$A$2:$A$2104,Sheet2!$B$2:$B$2104,""),"")</f>
        <v>44766</v>
      </c>
      <c r="G45" s="36">
        <f t="shared" si="6"/>
        <v>1312.6757986111115</v>
      </c>
      <c r="H45" s="12" t="s">
        <v>116</v>
      </c>
      <c r="I45" s="14"/>
      <c r="J45" s="12" t="s">
        <v>191</v>
      </c>
      <c r="K45" s="12">
        <v>9555317230</v>
      </c>
      <c r="L45" s="12" t="s">
        <v>228</v>
      </c>
      <c r="M45" s="13">
        <v>351158</v>
      </c>
      <c r="N45" s="15" t="s">
        <v>326</v>
      </c>
      <c r="O45" s="15" t="s">
        <v>327</v>
      </c>
      <c r="P45" s="16" t="s">
        <v>319</v>
      </c>
      <c r="Q45" s="27">
        <v>46109</v>
      </c>
      <c r="R45" s="17">
        <v>2000</v>
      </c>
      <c r="S45" s="18">
        <v>2000</v>
      </c>
      <c r="T45" s="18">
        <v>360</v>
      </c>
      <c r="U45" s="18">
        <v>2360</v>
      </c>
      <c r="V45" s="12" t="s">
        <v>344</v>
      </c>
      <c r="W45" s="12" t="s">
        <v>344</v>
      </c>
      <c r="X45" s="19" t="s">
        <v>547</v>
      </c>
    </row>
    <row r="46" spans="1:24" x14ac:dyDescent="0.25">
      <c r="A46" s="10" t="s">
        <v>35</v>
      </c>
      <c r="B46" s="11" t="str">
        <f t="shared" si="0"/>
        <v>Feb-26</v>
      </c>
      <c r="C46" s="12" t="s">
        <v>75</v>
      </c>
      <c r="D46" s="12" t="s">
        <v>76</v>
      </c>
      <c r="E46" s="13">
        <v>10100054</v>
      </c>
      <c r="F46" s="32">
        <f>IF(D46="MPG",_xlfn.XLOOKUP(E46,Sheet2!$A$2:$A$2104,Sheet2!$B$2:$B$2104,""),"")</f>
        <v>45657</v>
      </c>
      <c r="G46" s="36">
        <f t="shared" si="6"/>
        <v>420.67718749999767</v>
      </c>
      <c r="H46" s="12" t="s">
        <v>117</v>
      </c>
      <c r="I46" s="14"/>
      <c r="J46" s="12" t="s">
        <v>192</v>
      </c>
      <c r="K46" s="12">
        <v>7858955413</v>
      </c>
      <c r="L46" s="12" t="s">
        <v>228</v>
      </c>
      <c r="M46" s="13" t="s">
        <v>257</v>
      </c>
      <c r="N46" s="15" t="s">
        <v>306</v>
      </c>
      <c r="O46" s="15" t="s">
        <v>307</v>
      </c>
      <c r="P46" s="16" t="s">
        <v>319</v>
      </c>
      <c r="Q46" s="27">
        <v>46109</v>
      </c>
      <c r="R46" s="17">
        <v>84</v>
      </c>
      <c r="S46" s="18">
        <v>84</v>
      </c>
      <c r="T46" s="18">
        <v>15.12</v>
      </c>
      <c r="U46" s="18">
        <v>99.12</v>
      </c>
      <c r="V46" s="12" t="s">
        <v>344</v>
      </c>
      <c r="W46" s="12" t="s">
        <v>344</v>
      </c>
      <c r="X46" s="19" t="s">
        <v>547</v>
      </c>
    </row>
    <row r="47" spans="1:24" x14ac:dyDescent="0.25">
      <c r="A47" s="10" t="s">
        <v>36</v>
      </c>
      <c r="B47" s="11" t="str">
        <f t="shared" si="0"/>
        <v>Feb-26</v>
      </c>
      <c r="C47" s="12" t="s">
        <v>75</v>
      </c>
      <c r="D47" s="12" t="s">
        <v>76</v>
      </c>
      <c r="E47" s="13">
        <v>10030003</v>
      </c>
      <c r="F47" s="32">
        <f>IF(D47="MPG",_xlfn.XLOOKUP(E47,Sheet2!$A$2:$A$2104,Sheet2!$B$2:$B$2104,""),"")</f>
        <v>42979</v>
      </c>
      <c r="G47" s="36">
        <f t="shared" si="6"/>
        <v>3097.6809490740707</v>
      </c>
      <c r="H47" s="12" t="s">
        <v>118</v>
      </c>
      <c r="I47" s="14" t="s">
        <v>119</v>
      </c>
      <c r="J47" s="12" t="s">
        <v>193</v>
      </c>
      <c r="K47" s="12">
        <v>9931439978</v>
      </c>
      <c r="L47" s="12" t="s">
        <v>230</v>
      </c>
      <c r="M47" s="13" t="s">
        <v>258</v>
      </c>
      <c r="N47" s="15" t="s">
        <v>293</v>
      </c>
      <c r="O47" s="15" t="s">
        <v>294</v>
      </c>
      <c r="P47" s="16" t="s">
        <v>319</v>
      </c>
      <c r="Q47" s="27">
        <v>46109</v>
      </c>
      <c r="R47" s="17">
        <v>350</v>
      </c>
      <c r="S47" s="18">
        <v>350</v>
      </c>
      <c r="T47" s="18">
        <v>63</v>
      </c>
      <c r="U47" s="18">
        <v>413</v>
      </c>
      <c r="V47" s="12" t="s">
        <v>344</v>
      </c>
      <c r="W47" s="12" t="s">
        <v>344</v>
      </c>
      <c r="X47" s="19" t="s">
        <v>547</v>
      </c>
    </row>
    <row r="48" spans="1:24" x14ac:dyDescent="0.25">
      <c r="A48" s="10" t="s">
        <v>37</v>
      </c>
      <c r="B48" s="11" t="str">
        <f t="shared" si="0"/>
        <v>Feb-26</v>
      </c>
      <c r="C48" s="12" t="s">
        <v>75</v>
      </c>
      <c r="D48" s="12" t="s">
        <v>76</v>
      </c>
      <c r="E48" s="13">
        <v>10030059</v>
      </c>
      <c r="F48" s="32">
        <f>IF(D48="MPG",_xlfn.XLOOKUP(E48,Sheet2!$A$2:$A$2104,Sheet2!$B$2:$B$2104,""),"")</f>
        <v>45323</v>
      </c>
      <c r="G48" s="36">
        <f t="shared" si="6"/>
        <v>750.6817129629635</v>
      </c>
      <c r="H48" s="12" t="s">
        <v>120</v>
      </c>
      <c r="I48" s="14"/>
      <c r="J48" s="12" t="s">
        <v>194</v>
      </c>
      <c r="K48" s="12">
        <v>9934836887</v>
      </c>
      <c r="L48" s="12" t="s">
        <v>228</v>
      </c>
      <c r="M48" s="13" t="s">
        <v>259</v>
      </c>
      <c r="N48" s="15" t="s">
        <v>306</v>
      </c>
      <c r="O48" s="15" t="s">
        <v>307</v>
      </c>
      <c r="P48" s="16" t="s">
        <v>319</v>
      </c>
      <c r="Q48" s="27">
        <v>46109</v>
      </c>
      <c r="R48" s="17">
        <v>84</v>
      </c>
      <c r="S48" s="18">
        <v>84</v>
      </c>
      <c r="T48" s="18">
        <v>15.12</v>
      </c>
      <c r="U48" s="18">
        <v>99.12</v>
      </c>
      <c r="V48" s="12" t="s">
        <v>344</v>
      </c>
      <c r="W48" s="12" t="s">
        <v>344</v>
      </c>
      <c r="X48" s="19" t="s">
        <v>547</v>
      </c>
    </row>
    <row r="49" spans="1:24" x14ac:dyDescent="0.25">
      <c r="A49" s="10" t="s">
        <v>38</v>
      </c>
      <c r="B49" s="11" t="str">
        <f t="shared" si="0"/>
        <v>Feb-26</v>
      </c>
      <c r="C49" s="12" t="s">
        <v>75</v>
      </c>
      <c r="D49" s="12" t="s">
        <v>76</v>
      </c>
      <c r="E49" s="13">
        <v>10130016</v>
      </c>
      <c r="F49" s="32">
        <f>IF(D49="MPG",_xlfn.XLOOKUP(E49,Sheet2!$A$2:$A$2104,Sheet2!$B$2:$B$2104,""),"")</f>
        <v>44256</v>
      </c>
      <c r="G49" s="36">
        <f t="shared" si="6"/>
        <v>1816.6448611111118</v>
      </c>
      <c r="H49" s="12" t="s">
        <v>121</v>
      </c>
      <c r="I49" s="14" t="s">
        <v>83</v>
      </c>
      <c r="J49" s="12" t="s">
        <v>195</v>
      </c>
      <c r="K49" s="12">
        <v>7654339470</v>
      </c>
      <c r="L49" s="12" t="s">
        <v>228</v>
      </c>
      <c r="M49" s="13">
        <v>312377</v>
      </c>
      <c r="N49" s="15" t="s">
        <v>284</v>
      </c>
      <c r="O49" s="15" t="s">
        <v>285</v>
      </c>
      <c r="P49" s="16" t="s">
        <v>319</v>
      </c>
      <c r="Q49" s="27">
        <v>46109</v>
      </c>
      <c r="R49" s="17">
        <v>70</v>
      </c>
      <c r="S49" s="18">
        <v>70</v>
      </c>
      <c r="T49" s="18">
        <v>12.6</v>
      </c>
      <c r="U49" s="18">
        <v>82.6</v>
      </c>
      <c r="V49" s="12" t="s">
        <v>344</v>
      </c>
      <c r="W49" s="12" t="s">
        <v>344</v>
      </c>
      <c r="X49" s="19" t="s">
        <v>547</v>
      </c>
    </row>
    <row r="50" spans="1:24" x14ac:dyDescent="0.25">
      <c r="A50" s="10" t="s">
        <v>38</v>
      </c>
      <c r="B50" s="11" t="str">
        <f t="shared" si="0"/>
        <v>Feb-26</v>
      </c>
      <c r="C50" s="12" t="s">
        <v>75</v>
      </c>
      <c r="D50" s="12" t="s">
        <v>76</v>
      </c>
      <c r="E50" s="13">
        <v>10130016</v>
      </c>
      <c r="F50" s="32">
        <f>IF(D50="MPG",_xlfn.XLOOKUP(E50,Sheet2!$A$2:$A$2104,Sheet2!$B$2:$B$2104,""),"")</f>
        <v>44256</v>
      </c>
      <c r="G50" s="36">
        <f t="shared" si="6"/>
        <v>1816.6448611111118</v>
      </c>
      <c r="H50" s="12" t="s">
        <v>121</v>
      </c>
      <c r="I50" s="14" t="s">
        <v>83</v>
      </c>
      <c r="J50" s="12" t="s">
        <v>195</v>
      </c>
      <c r="K50" s="12">
        <v>7654339470</v>
      </c>
      <c r="L50" s="12" t="s">
        <v>228</v>
      </c>
      <c r="M50" s="13">
        <v>312377</v>
      </c>
      <c r="N50" s="15" t="s">
        <v>306</v>
      </c>
      <c r="O50" s="15" t="s">
        <v>307</v>
      </c>
      <c r="P50" s="16" t="s">
        <v>319</v>
      </c>
      <c r="Q50" s="27">
        <v>46109</v>
      </c>
      <c r="R50" s="17">
        <v>84</v>
      </c>
      <c r="S50" s="18">
        <v>84</v>
      </c>
      <c r="T50" s="18">
        <v>15.12</v>
      </c>
      <c r="U50" s="18">
        <v>99.12</v>
      </c>
      <c r="V50" s="12" t="s">
        <v>344</v>
      </c>
      <c r="W50" s="12" t="s">
        <v>344</v>
      </c>
      <c r="X50" s="19" t="s">
        <v>547</v>
      </c>
    </row>
    <row r="51" spans="1:24" x14ac:dyDescent="0.25">
      <c r="A51" s="10" t="s">
        <v>38</v>
      </c>
      <c r="B51" s="11" t="str">
        <f t="shared" si="0"/>
        <v>Feb-26</v>
      </c>
      <c r="C51" s="12" t="s">
        <v>75</v>
      </c>
      <c r="D51" s="12" t="s">
        <v>76</v>
      </c>
      <c r="E51" s="13">
        <v>10130016</v>
      </c>
      <c r="F51" s="32">
        <f>IF(D51="MPG",_xlfn.XLOOKUP(E51,Sheet2!$A$2:$A$2104,Sheet2!$B$2:$B$2104,""),"")</f>
        <v>44256</v>
      </c>
      <c r="G51" s="36">
        <f t="shared" si="6"/>
        <v>1816.6448611111118</v>
      </c>
      <c r="H51" s="12" t="s">
        <v>121</v>
      </c>
      <c r="I51" s="14" t="s">
        <v>83</v>
      </c>
      <c r="J51" s="12" t="s">
        <v>195</v>
      </c>
      <c r="K51" s="12">
        <v>7654339470</v>
      </c>
      <c r="L51" s="12" t="s">
        <v>228</v>
      </c>
      <c r="M51" s="13">
        <v>312377</v>
      </c>
      <c r="N51" s="15" t="s">
        <v>284</v>
      </c>
      <c r="O51" s="15" t="s">
        <v>285</v>
      </c>
      <c r="P51" s="16" t="s">
        <v>319</v>
      </c>
      <c r="Q51" s="27">
        <v>46109</v>
      </c>
      <c r="R51" s="17">
        <v>70</v>
      </c>
      <c r="S51" s="18">
        <v>70</v>
      </c>
      <c r="T51" s="18">
        <v>12.6</v>
      </c>
      <c r="U51" s="18">
        <v>82.6</v>
      </c>
      <c r="V51" s="12" t="s">
        <v>344</v>
      </c>
      <c r="W51" s="12" t="s">
        <v>344</v>
      </c>
      <c r="X51" s="19" t="s">
        <v>547</v>
      </c>
    </row>
    <row r="52" spans="1:24" hidden="1" x14ac:dyDescent="0.25">
      <c r="A52" s="10" t="s">
        <v>39</v>
      </c>
      <c r="B52" s="11" t="str">
        <f t="shared" si="0"/>
        <v>Feb-26</v>
      </c>
      <c r="C52" s="12" t="s">
        <v>75</v>
      </c>
      <c r="D52" s="12" t="s">
        <v>76</v>
      </c>
      <c r="E52" s="13">
        <v>10130116</v>
      </c>
      <c r="F52" s="32">
        <f>IF(D52="MPG",_xlfn.XLOOKUP(E52,Sheet2!$A$2:$A$2104,Sheet2!$B$2:$B$2104,""),"")</f>
        <v>46053</v>
      </c>
      <c r="G52" s="36">
        <f t="shared" si="6"/>
        <v>19.636805555557657</v>
      </c>
      <c r="H52" s="12" t="s">
        <v>122</v>
      </c>
      <c r="I52" s="14"/>
      <c r="J52" s="12" t="s">
        <v>196</v>
      </c>
      <c r="K52" s="12">
        <v>7296048538</v>
      </c>
      <c r="L52" s="12" t="s">
        <v>230</v>
      </c>
      <c r="M52" s="13" t="s">
        <v>234</v>
      </c>
      <c r="N52" s="15" t="s">
        <v>291</v>
      </c>
      <c r="O52" s="15" t="s">
        <v>292</v>
      </c>
      <c r="P52" s="16" t="s">
        <v>319</v>
      </c>
      <c r="Q52" s="27">
        <v>46109</v>
      </c>
      <c r="R52" s="17">
        <v>780</v>
      </c>
      <c r="S52" s="18">
        <v>780</v>
      </c>
      <c r="T52" s="18">
        <v>140.4</v>
      </c>
      <c r="U52" s="18">
        <v>920.4</v>
      </c>
      <c r="V52" s="12" t="s">
        <v>344</v>
      </c>
      <c r="W52" s="12" t="s">
        <v>344</v>
      </c>
      <c r="X52" s="19" t="s">
        <v>539</v>
      </c>
    </row>
    <row r="53" spans="1:24" hidden="1" x14ac:dyDescent="0.25">
      <c r="A53" s="10" t="s">
        <v>40</v>
      </c>
      <c r="B53" s="11" t="str">
        <f t="shared" si="0"/>
        <v>Feb-26</v>
      </c>
      <c r="C53" s="12" t="s">
        <v>75</v>
      </c>
      <c r="D53" s="12" t="s">
        <v>76</v>
      </c>
      <c r="E53" s="13">
        <v>10120104</v>
      </c>
      <c r="F53" s="32">
        <f>IF(D53="MPG",_xlfn.XLOOKUP(E53,Sheet2!$A$2:$A$2104,Sheet2!$B$2:$B$2104,""),"")</f>
        <v>45793</v>
      </c>
      <c r="G53" s="36">
        <f t="shared" si="6"/>
        <v>278.71302083333285</v>
      </c>
      <c r="H53" s="12" t="s">
        <v>123</v>
      </c>
      <c r="I53" s="14" t="s">
        <v>85</v>
      </c>
      <c r="J53" s="12" t="s">
        <v>197</v>
      </c>
      <c r="K53" s="12">
        <v>7079418432</v>
      </c>
      <c r="L53" s="12" t="s">
        <v>229</v>
      </c>
      <c r="M53" s="13" t="s">
        <v>260</v>
      </c>
      <c r="N53" s="15" t="s">
        <v>289</v>
      </c>
      <c r="O53" s="15" t="s">
        <v>290</v>
      </c>
      <c r="P53" s="16" t="s">
        <v>319</v>
      </c>
      <c r="Q53" s="27">
        <v>46109</v>
      </c>
      <c r="R53" s="17">
        <v>225</v>
      </c>
      <c r="S53" s="18">
        <v>225</v>
      </c>
      <c r="T53" s="18">
        <v>40.5</v>
      </c>
      <c r="U53" s="18">
        <v>265.5</v>
      </c>
      <c r="V53" s="12" t="s">
        <v>344</v>
      </c>
      <c r="W53" s="12" t="s">
        <v>344</v>
      </c>
      <c r="X53" s="19" t="s">
        <v>539</v>
      </c>
    </row>
    <row r="54" spans="1:24" x14ac:dyDescent="0.25">
      <c r="A54" s="10" t="s">
        <v>41</v>
      </c>
      <c r="B54" s="11" t="str">
        <f t="shared" si="0"/>
        <v>Feb-26</v>
      </c>
      <c r="C54" s="12" t="s">
        <v>75</v>
      </c>
      <c r="D54" s="12" t="s">
        <v>76</v>
      </c>
      <c r="E54" s="13">
        <v>10020005</v>
      </c>
      <c r="F54" s="32">
        <f>IF(D54="MPG",_xlfn.XLOOKUP(E54,Sheet2!$A$2:$A$2104,Sheet2!$B$2:$B$2104,""),"")</f>
        <v>42979</v>
      </c>
      <c r="G54" s="36">
        <f t="shared" si="6"/>
        <v>3091.7830902777787</v>
      </c>
      <c r="H54" s="12" t="s">
        <v>124</v>
      </c>
      <c r="I54" s="14" t="s">
        <v>125</v>
      </c>
      <c r="J54" s="12" t="s">
        <v>198</v>
      </c>
      <c r="K54" s="12">
        <v>7764922168</v>
      </c>
      <c r="L54" s="12" t="s">
        <v>231</v>
      </c>
      <c r="M54" s="13" t="s">
        <v>261</v>
      </c>
      <c r="N54" s="15" t="s">
        <v>302</v>
      </c>
      <c r="O54" s="15" t="s">
        <v>303</v>
      </c>
      <c r="P54" s="16" t="s">
        <v>319</v>
      </c>
      <c r="Q54" s="27">
        <v>46109</v>
      </c>
      <c r="R54" s="17">
        <v>900</v>
      </c>
      <c r="S54" s="18">
        <v>900</v>
      </c>
      <c r="T54" s="18">
        <v>162</v>
      </c>
      <c r="U54" s="18">
        <v>1062</v>
      </c>
      <c r="V54" s="12" t="s">
        <v>344</v>
      </c>
      <c r="W54" s="12" t="s">
        <v>344</v>
      </c>
      <c r="X54" s="19" t="s">
        <v>547</v>
      </c>
    </row>
    <row r="55" spans="1:24" hidden="1" x14ac:dyDescent="0.25">
      <c r="A55" s="10" t="s">
        <v>42</v>
      </c>
      <c r="B55" s="11" t="str">
        <f t="shared" si="0"/>
        <v>Feb-26</v>
      </c>
      <c r="C55" s="12" t="s">
        <v>75</v>
      </c>
      <c r="D55" s="12" t="s">
        <v>76</v>
      </c>
      <c r="E55" s="13">
        <v>10020076</v>
      </c>
      <c r="F55" s="32">
        <f>IF(D55="MPG",_xlfn.XLOOKUP(E55,Sheet2!$A$2:$A$2104,Sheet2!$B$2:$B$2104,""),"")</f>
        <v>45869</v>
      </c>
      <c r="G55" s="36">
        <f t="shared" si="6"/>
        <v>201.64689814814483</v>
      </c>
      <c r="H55" s="12" t="s">
        <v>126</v>
      </c>
      <c r="I55" s="14" t="s">
        <v>125</v>
      </c>
      <c r="J55" s="12" t="s">
        <v>199</v>
      </c>
      <c r="K55" s="12">
        <v>9777250343</v>
      </c>
      <c r="L55" s="12" t="s">
        <v>230</v>
      </c>
      <c r="M55" s="13" t="s">
        <v>262</v>
      </c>
      <c r="N55" s="15" t="s">
        <v>293</v>
      </c>
      <c r="O55" s="15" t="s">
        <v>294</v>
      </c>
      <c r="P55" s="16" t="s">
        <v>319</v>
      </c>
      <c r="Q55" s="27">
        <v>46109</v>
      </c>
      <c r="R55" s="17">
        <v>350</v>
      </c>
      <c r="S55" s="18">
        <v>350</v>
      </c>
      <c r="T55" s="18">
        <v>63</v>
      </c>
      <c r="U55" s="18">
        <v>413</v>
      </c>
      <c r="V55" s="12" t="s">
        <v>344</v>
      </c>
      <c r="W55" s="12" t="s">
        <v>344</v>
      </c>
      <c r="X55" s="25" t="s">
        <v>539</v>
      </c>
    </row>
    <row r="56" spans="1:24" hidden="1" x14ac:dyDescent="0.25">
      <c r="A56" s="10" t="s">
        <v>43</v>
      </c>
      <c r="B56" s="11" t="str">
        <f t="shared" si="0"/>
        <v>Feb-26</v>
      </c>
      <c r="C56" s="12" t="s">
        <v>75</v>
      </c>
      <c r="D56" s="12" t="s">
        <v>76</v>
      </c>
      <c r="E56" s="13">
        <v>10130093</v>
      </c>
      <c r="F56" s="32">
        <f>IF(D56="MPG",_xlfn.XLOOKUP(E56,Sheet2!$A$2:$A$2104,Sheet2!$B$2:$B$2104,""),"")</f>
        <v>45740</v>
      </c>
      <c r="G56" s="36">
        <f t="shared" si="6"/>
        <v>329.66202546295972</v>
      </c>
      <c r="H56" s="12" t="s">
        <v>127</v>
      </c>
      <c r="I56" s="14"/>
      <c r="J56" s="12" t="s">
        <v>200</v>
      </c>
      <c r="K56" s="12">
        <v>7250834304</v>
      </c>
      <c r="L56" s="12" t="s">
        <v>229</v>
      </c>
      <c r="M56" s="13" t="s">
        <v>263</v>
      </c>
      <c r="N56" s="15" t="s">
        <v>289</v>
      </c>
      <c r="O56" s="15" t="s">
        <v>290</v>
      </c>
      <c r="P56" s="16" t="s">
        <v>319</v>
      </c>
      <c r="Q56" s="27">
        <v>46109</v>
      </c>
      <c r="R56" s="17">
        <v>225</v>
      </c>
      <c r="S56" s="18">
        <v>225</v>
      </c>
      <c r="T56" s="18">
        <v>40.5</v>
      </c>
      <c r="U56" s="18">
        <v>265.5</v>
      </c>
      <c r="V56" s="12" t="s">
        <v>344</v>
      </c>
      <c r="W56" s="12" t="s">
        <v>344</v>
      </c>
      <c r="X56" s="19" t="s">
        <v>539</v>
      </c>
    </row>
    <row r="57" spans="1:24" hidden="1" x14ac:dyDescent="0.25">
      <c r="A57" s="10" t="s">
        <v>43</v>
      </c>
      <c r="B57" s="11" t="str">
        <f t="shared" si="0"/>
        <v>Feb-26</v>
      </c>
      <c r="C57" s="12" t="s">
        <v>75</v>
      </c>
      <c r="D57" s="12" t="s">
        <v>76</v>
      </c>
      <c r="E57" s="13">
        <v>10130093</v>
      </c>
      <c r="F57" s="32">
        <f>IF(D57="MPG",_xlfn.XLOOKUP(E57,Sheet2!$A$2:$A$2104,Sheet2!$B$2:$B$2104,""),"")</f>
        <v>45740</v>
      </c>
      <c r="G57" s="36">
        <f t="shared" si="6"/>
        <v>329.66202546295972</v>
      </c>
      <c r="H57" s="12" t="s">
        <v>127</v>
      </c>
      <c r="I57" s="14"/>
      <c r="J57" s="12" t="s">
        <v>200</v>
      </c>
      <c r="K57" s="12">
        <v>7250834304</v>
      </c>
      <c r="L57" s="12" t="s">
        <v>229</v>
      </c>
      <c r="M57" s="13" t="s">
        <v>263</v>
      </c>
      <c r="N57" s="15" t="s">
        <v>287</v>
      </c>
      <c r="O57" s="15" t="s">
        <v>288</v>
      </c>
      <c r="P57" s="16" t="s">
        <v>319</v>
      </c>
      <c r="Q57" s="27">
        <v>46109</v>
      </c>
      <c r="R57" s="17">
        <v>825</v>
      </c>
      <c r="S57" s="18">
        <v>825</v>
      </c>
      <c r="T57" s="18">
        <v>148.5</v>
      </c>
      <c r="U57" s="18">
        <v>973.5</v>
      </c>
      <c r="V57" s="12" t="s">
        <v>344</v>
      </c>
      <c r="W57" s="12" t="s">
        <v>344</v>
      </c>
      <c r="X57" s="19" t="s">
        <v>539</v>
      </c>
    </row>
    <row r="58" spans="1:24" x14ac:dyDescent="0.25">
      <c r="A58" s="10" t="s">
        <v>44</v>
      </c>
      <c r="B58" s="11" t="str">
        <f t="shared" si="0"/>
        <v>Feb-26</v>
      </c>
      <c r="C58" s="12" t="s">
        <v>75</v>
      </c>
      <c r="D58" s="12" t="s">
        <v>76</v>
      </c>
      <c r="E58" s="13">
        <v>10130046</v>
      </c>
      <c r="F58" s="32">
        <f>IF(D58="MPG",_xlfn.XLOOKUP(E58,Sheet2!$A$2:$A$2104,Sheet2!$B$2:$B$2104,""),"")</f>
        <v>45238</v>
      </c>
      <c r="G58" s="36">
        <f t="shared" si="6"/>
        <v>831.66083333333518</v>
      </c>
      <c r="H58" s="12" t="s">
        <v>128</v>
      </c>
      <c r="I58" s="14"/>
      <c r="J58" s="12" t="s">
        <v>201</v>
      </c>
      <c r="K58" s="12">
        <v>9117336756</v>
      </c>
      <c r="L58" s="12" t="s">
        <v>228</v>
      </c>
      <c r="M58" s="13">
        <v>2352040</v>
      </c>
      <c r="N58" s="15" t="s">
        <v>298</v>
      </c>
      <c r="O58" s="15" t="s">
        <v>299</v>
      </c>
      <c r="P58" s="16" t="s">
        <v>319</v>
      </c>
      <c r="Q58" s="27">
        <v>46109</v>
      </c>
      <c r="R58" s="17">
        <v>770</v>
      </c>
      <c r="S58" s="18">
        <v>770</v>
      </c>
      <c r="T58" s="18">
        <v>138.6</v>
      </c>
      <c r="U58" s="18">
        <v>908.6</v>
      </c>
      <c r="V58" s="12" t="s">
        <v>344</v>
      </c>
      <c r="W58" s="12" t="s">
        <v>344</v>
      </c>
      <c r="X58" s="19" t="s">
        <v>547</v>
      </c>
    </row>
    <row r="59" spans="1:24" x14ac:dyDescent="0.25">
      <c r="A59" s="10" t="s">
        <v>45</v>
      </c>
      <c r="B59" s="11" t="str">
        <f t="shared" si="0"/>
        <v>Feb-26</v>
      </c>
      <c r="C59" s="12" t="s">
        <v>75</v>
      </c>
      <c r="D59" s="12" t="s">
        <v>76</v>
      </c>
      <c r="E59" s="13">
        <v>10090009</v>
      </c>
      <c r="F59" s="32">
        <f>IF(D59="MPG",_xlfn.XLOOKUP(E59,Sheet2!$A$2:$A$2104,Sheet2!$B$2:$B$2104,""),"")</f>
        <v>42979</v>
      </c>
      <c r="G59" s="36">
        <f t="shared" si="6"/>
        <v>3088.5981828703734</v>
      </c>
      <c r="H59" s="12" t="s">
        <v>129</v>
      </c>
      <c r="I59" s="14"/>
      <c r="J59" s="12" t="s">
        <v>202</v>
      </c>
      <c r="K59" s="12">
        <v>9934773781</v>
      </c>
      <c r="L59" s="12" t="s">
        <v>230</v>
      </c>
      <c r="M59" s="13" t="s">
        <v>264</v>
      </c>
      <c r="N59" s="15" t="s">
        <v>293</v>
      </c>
      <c r="O59" s="15" t="s">
        <v>294</v>
      </c>
      <c r="P59" s="16" t="s">
        <v>319</v>
      </c>
      <c r="Q59" s="27">
        <v>46109</v>
      </c>
      <c r="R59" s="17">
        <v>350</v>
      </c>
      <c r="S59" s="18">
        <v>350</v>
      </c>
      <c r="T59" s="18">
        <v>63</v>
      </c>
      <c r="U59" s="18">
        <v>413</v>
      </c>
      <c r="V59" s="12" t="s">
        <v>344</v>
      </c>
      <c r="W59" s="12" t="s">
        <v>344</v>
      </c>
      <c r="X59" s="19" t="s">
        <v>547</v>
      </c>
    </row>
    <row r="60" spans="1:24" x14ac:dyDescent="0.25">
      <c r="A60" s="10" t="s">
        <v>46</v>
      </c>
      <c r="B60" s="11" t="str">
        <f t="shared" si="0"/>
        <v>Feb-26</v>
      </c>
      <c r="C60" s="12" t="s">
        <v>75</v>
      </c>
      <c r="D60" s="12" t="s">
        <v>76</v>
      </c>
      <c r="E60" s="13">
        <v>10120024</v>
      </c>
      <c r="F60" s="32">
        <f>IF(D60="MPG",_xlfn.XLOOKUP(E60,Sheet2!$A$2:$A$2104,Sheet2!$B$2:$B$2104,""),"")</f>
        <v>44190</v>
      </c>
      <c r="G60" s="36">
        <f t="shared" si="6"/>
        <v>1877.6454976851819</v>
      </c>
      <c r="H60" s="12" t="s">
        <v>130</v>
      </c>
      <c r="I60" s="14" t="s">
        <v>85</v>
      </c>
      <c r="J60" s="12" t="s">
        <v>203</v>
      </c>
      <c r="K60" s="12">
        <v>7631417133</v>
      </c>
      <c r="L60" s="12" t="s">
        <v>228</v>
      </c>
      <c r="M60" s="13">
        <v>329072</v>
      </c>
      <c r="N60" s="15" t="s">
        <v>304</v>
      </c>
      <c r="O60" s="15" t="s">
        <v>305</v>
      </c>
      <c r="P60" s="16" t="s">
        <v>319</v>
      </c>
      <c r="Q60" s="27">
        <v>46109</v>
      </c>
      <c r="R60" s="17">
        <v>44</v>
      </c>
      <c r="S60" s="18">
        <v>44</v>
      </c>
      <c r="T60" s="18">
        <v>7.92</v>
      </c>
      <c r="U60" s="18">
        <v>51.92</v>
      </c>
      <c r="V60" s="12" t="s">
        <v>344</v>
      </c>
      <c r="W60" s="12" t="s">
        <v>344</v>
      </c>
      <c r="X60" s="19" t="s">
        <v>547</v>
      </c>
    </row>
    <row r="61" spans="1:24" x14ac:dyDescent="0.25">
      <c r="A61" s="10" t="s">
        <v>46</v>
      </c>
      <c r="B61" s="11" t="str">
        <f t="shared" si="0"/>
        <v>Feb-26</v>
      </c>
      <c r="C61" s="12" t="s">
        <v>75</v>
      </c>
      <c r="D61" s="12" t="s">
        <v>76</v>
      </c>
      <c r="E61" s="13">
        <v>10120024</v>
      </c>
      <c r="F61" s="32">
        <f>IF(D61="MPG",_xlfn.XLOOKUP(E61,Sheet2!$A$2:$A$2104,Sheet2!$B$2:$B$2104,""),"")</f>
        <v>44190</v>
      </c>
      <c r="G61" s="36">
        <f t="shared" si="6"/>
        <v>1877.6454976851819</v>
      </c>
      <c r="H61" s="12" t="s">
        <v>130</v>
      </c>
      <c r="I61" s="14" t="s">
        <v>85</v>
      </c>
      <c r="J61" s="12" t="s">
        <v>203</v>
      </c>
      <c r="K61" s="12">
        <v>7631417133</v>
      </c>
      <c r="L61" s="12" t="s">
        <v>228</v>
      </c>
      <c r="M61" s="13">
        <v>329072</v>
      </c>
      <c r="N61" s="15" t="s">
        <v>304</v>
      </c>
      <c r="O61" s="15" t="s">
        <v>305</v>
      </c>
      <c r="P61" s="16" t="s">
        <v>319</v>
      </c>
      <c r="Q61" s="27">
        <v>46109</v>
      </c>
      <c r="R61" s="17">
        <v>44</v>
      </c>
      <c r="S61" s="18">
        <v>44</v>
      </c>
      <c r="T61" s="18">
        <v>7.92</v>
      </c>
      <c r="U61" s="18">
        <v>51.92</v>
      </c>
      <c r="V61" s="12" t="s">
        <v>344</v>
      </c>
      <c r="W61" s="12" t="s">
        <v>344</v>
      </c>
      <c r="X61" s="19" t="s">
        <v>547</v>
      </c>
    </row>
    <row r="62" spans="1:24" x14ac:dyDescent="0.25">
      <c r="A62" s="10" t="s">
        <v>46</v>
      </c>
      <c r="B62" s="11" t="str">
        <f t="shared" si="0"/>
        <v>Feb-26</v>
      </c>
      <c r="C62" s="12" t="s">
        <v>75</v>
      </c>
      <c r="D62" s="12" t="s">
        <v>76</v>
      </c>
      <c r="E62" s="13">
        <v>10120024</v>
      </c>
      <c r="F62" s="32">
        <f>IF(D62="MPG",_xlfn.XLOOKUP(E62,Sheet2!$A$2:$A$2104,Sheet2!$B$2:$B$2104,""),"")</f>
        <v>44190</v>
      </c>
      <c r="G62" s="36">
        <f t="shared" si="6"/>
        <v>1877.6454976851819</v>
      </c>
      <c r="H62" s="12" t="s">
        <v>130</v>
      </c>
      <c r="I62" s="14" t="s">
        <v>85</v>
      </c>
      <c r="J62" s="12" t="s">
        <v>203</v>
      </c>
      <c r="K62" s="12">
        <v>7631417133</v>
      </c>
      <c r="L62" s="12" t="s">
        <v>228</v>
      </c>
      <c r="M62" s="13">
        <v>329072</v>
      </c>
      <c r="N62" s="15" t="s">
        <v>306</v>
      </c>
      <c r="O62" s="15" t="s">
        <v>307</v>
      </c>
      <c r="P62" s="16" t="s">
        <v>319</v>
      </c>
      <c r="Q62" s="27">
        <v>46109</v>
      </c>
      <c r="R62" s="17">
        <v>84</v>
      </c>
      <c r="S62" s="18">
        <v>84</v>
      </c>
      <c r="T62" s="18">
        <v>15.12</v>
      </c>
      <c r="U62" s="18">
        <v>99.12</v>
      </c>
      <c r="V62" s="12" t="s">
        <v>344</v>
      </c>
      <c r="W62" s="12" t="s">
        <v>344</v>
      </c>
      <c r="X62" s="19" t="s">
        <v>547</v>
      </c>
    </row>
    <row r="63" spans="1:24" x14ac:dyDescent="0.25">
      <c r="A63" s="10" t="s">
        <v>47</v>
      </c>
      <c r="B63" s="11" t="str">
        <f t="shared" si="0"/>
        <v>Feb-26</v>
      </c>
      <c r="C63" s="12" t="s">
        <v>75</v>
      </c>
      <c r="D63" s="12" t="s">
        <v>76</v>
      </c>
      <c r="E63" s="13">
        <v>10120051</v>
      </c>
      <c r="F63" s="32">
        <f>IF(D63="MPG",_xlfn.XLOOKUP(E63,Sheet2!$A$2:$A$2104,Sheet2!$B$2:$B$2104,""),"")</f>
        <v>45226</v>
      </c>
      <c r="G63" s="36">
        <f t="shared" si="6"/>
        <v>841.49479166666424</v>
      </c>
      <c r="H63" s="12" t="s">
        <v>131</v>
      </c>
      <c r="I63" s="14" t="s">
        <v>85</v>
      </c>
      <c r="J63" s="12" t="s">
        <v>204</v>
      </c>
      <c r="K63" s="12">
        <v>7488826293</v>
      </c>
      <c r="L63" s="12" t="s">
        <v>228</v>
      </c>
      <c r="M63" s="13">
        <v>2352038</v>
      </c>
      <c r="N63" s="15" t="s">
        <v>284</v>
      </c>
      <c r="O63" s="15" t="s">
        <v>285</v>
      </c>
      <c r="P63" s="16" t="s">
        <v>319</v>
      </c>
      <c r="Q63" s="27">
        <v>46109</v>
      </c>
      <c r="R63" s="17">
        <v>70</v>
      </c>
      <c r="S63" s="18">
        <v>70</v>
      </c>
      <c r="T63" s="18">
        <v>12.6</v>
      </c>
      <c r="U63" s="18">
        <v>82.6</v>
      </c>
      <c r="V63" s="12" t="s">
        <v>344</v>
      </c>
      <c r="W63" s="12" t="s">
        <v>344</v>
      </c>
      <c r="X63" s="19" t="s">
        <v>547</v>
      </c>
    </row>
    <row r="64" spans="1:24" x14ac:dyDescent="0.25">
      <c r="A64" s="10" t="s">
        <v>47</v>
      </c>
      <c r="B64" s="11" t="str">
        <f t="shared" si="0"/>
        <v>Feb-26</v>
      </c>
      <c r="C64" s="12" t="s">
        <v>75</v>
      </c>
      <c r="D64" s="12" t="s">
        <v>76</v>
      </c>
      <c r="E64" s="13">
        <v>10120051</v>
      </c>
      <c r="F64" s="32">
        <f>IF(D64="MPG",_xlfn.XLOOKUP(E64,Sheet2!$A$2:$A$2104,Sheet2!$B$2:$B$2104,""),"")</f>
        <v>45226</v>
      </c>
      <c r="G64" s="36">
        <f t="shared" si="6"/>
        <v>841.49479166666424</v>
      </c>
      <c r="H64" s="12" t="s">
        <v>131</v>
      </c>
      <c r="I64" s="14" t="s">
        <v>85</v>
      </c>
      <c r="J64" s="12" t="s">
        <v>204</v>
      </c>
      <c r="K64" s="12">
        <v>7488826293</v>
      </c>
      <c r="L64" s="12" t="s">
        <v>228</v>
      </c>
      <c r="M64" s="13">
        <v>2352038</v>
      </c>
      <c r="N64" s="15" t="s">
        <v>284</v>
      </c>
      <c r="O64" s="15" t="s">
        <v>285</v>
      </c>
      <c r="P64" s="16" t="s">
        <v>319</v>
      </c>
      <c r="Q64" s="27">
        <v>46109</v>
      </c>
      <c r="R64" s="17">
        <v>70</v>
      </c>
      <c r="S64" s="18">
        <v>70</v>
      </c>
      <c r="T64" s="18">
        <v>12.6</v>
      </c>
      <c r="U64" s="18">
        <v>82.6</v>
      </c>
      <c r="V64" s="12" t="s">
        <v>344</v>
      </c>
      <c r="W64" s="12" t="s">
        <v>344</v>
      </c>
      <c r="X64" s="19" t="s">
        <v>547</v>
      </c>
    </row>
    <row r="65" spans="1:24" hidden="1" x14ac:dyDescent="0.25">
      <c r="A65" s="10" t="s">
        <v>48</v>
      </c>
      <c r="B65" s="11" t="str">
        <f t="shared" si="0"/>
        <v>Feb-26</v>
      </c>
      <c r="C65" s="12" t="s">
        <v>75</v>
      </c>
      <c r="D65" s="12" t="s">
        <v>76</v>
      </c>
      <c r="E65" s="13">
        <v>10020079</v>
      </c>
      <c r="F65" s="32">
        <f>IF(D65="MPG",_xlfn.XLOOKUP(E65,Sheet2!$A$2:$A$2104,Sheet2!$B$2:$B$2104,""),"")</f>
        <v>45869</v>
      </c>
      <c r="G65" s="36">
        <f t="shared" si="6"/>
        <v>197.71835648148408</v>
      </c>
      <c r="H65" s="12" t="s">
        <v>132</v>
      </c>
      <c r="I65" s="14" t="s">
        <v>125</v>
      </c>
      <c r="J65" s="12" t="s">
        <v>205</v>
      </c>
      <c r="K65" s="12">
        <v>9113404461</v>
      </c>
      <c r="L65" s="12" t="s">
        <v>230</v>
      </c>
      <c r="M65" s="13" t="s">
        <v>265</v>
      </c>
      <c r="N65" s="15" t="s">
        <v>293</v>
      </c>
      <c r="O65" s="15" t="s">
        <v>294</v>
      </c>
      <c r="P65" s="16" t="s">
        <v>319</v>
      </c>
      <c r="Q65" s="27">
        <v>46109</v>
      </c>
      <c r="R65" s="17">
        <v>350</v>
      </c>
      <c r="S65" s="18">
        <v>350</v>
      </c>
      <c r="T65" s="18">
        <v>63</v>
      </c>
      <c r="U65" s="18">
        <v>413</v>
      </c>
      <c r="V65" s="12" t="s">
        <v>344</v>
      </c>
      <c r="W65" s="12" t="s">
        <v>344</v>
      </c>
      <c r="X65" s="25" t="s">
        <v>539</v>
      </c>
    </row>
    <row r="66" spans="1:24" hidden="1" x14ac:dyDescent="0.25">
      <c r="A66" s="10" t="s">
        <v>49</v>
      </c>
      <c r="B66" s="11" t="str">
        <f t="shared" si="0"/>
        <v>Feb-26</v>
      </c>
      <c r="C66" s="12" t="s">
        <v>75</v>
      </c>
      <c r="D66" s="12" t="s">
        <v>76</v>
      </c>
      <c r="E66" s="13">
        <v>10060090</v>
      </c>
      <c r="F66" s="32">
        <f>IF(D66="MPG",_xlfn.XLOOKUP(E66,Sheet2!$A$2:$A$2104,Sheet2!$B$2:$B$2104,""),"")</f>
        <v>45702</v>
      </c>
      <c r="G66" s="36">
        <f t="shared" si="6"/>
        <v>363.66306712962978</v>
      </c>
      <c r="H66" s="12" t="s">
        <v>133</v>
      </c>
      <c r="I66" s="14" t="s">
        <v>93</v>
      </c>
      <c r="J66" s="12" t="s">
        <v>206</v>
      </c>
      <c r="K66" s="12">
        <v>9472899022</v>
      </c>
      <c r="L66" s="12" t="s">
        <v>229</v>
      </c>
      <c r="M66" s="13" t="s">
        <v>266</v>
      </c>
      <c r="N66" s="15" t="s">
        <v>317</v>
      </c>
      <c r="O66" s="15" t="s">
        <v>318</v>
      </c>
      <c r="P66" s="16" t="s">
        <v>319</v>
      </c>
      <c r="Q66" s="27">
        <v>46109</v>
      </c>
      <c r="R66" s="17">
        <v>2080</v>
      </c>
      <c r="S66" s="18">
        <v>2080</v>
      </c>
      <c r="T66" s="18">
        <v>374.4</v>
      </c>
      <c r="U66" s="18">
        <v>2454.4</v>
      </c>
      <c r="V66" s="12" t="s">
        <v>344</v>
      </c>
      <c r="W66" s="12" t="s">
        <v>344</v>
      </c>
      <c r="X66" s="19" t="s">
        <v>541</v>
      </c>
    </row>
    <row r="67" spans="1:24" x14ac:dyDescent="0.25">
      <c r="A67" s="10" t="s">
        <v>50</v>
      </c>
      <c r="B67" s="11" t="str">
        <f t="shared" ref="B67:B95" si="7">TEXT(A67,"mmm-yy")</f>
        <v>Feb-26</v>
      </c>
      <c r="C67" s="12" t="s">
        <v>75</v>
      </c>
      <c r="D67" s="12" t="s">
        <v>76</v>
      </c>
      <c r="E67" s="13">
        <v>10060032</v>
      </c>
      <c r="F67" s="32">
        <f>IF(D67="MPG",_xlfn.XLOOKUP(E67,Sheet2!$A$2:$A$2104,Sheet2!$B$2:$B$2104,""),"")</f>
        <v>45049</v>
      </c>
      <c r="G67" s="36">
        <f t="shared" si="6"/>
        <v>1016.6072800925904</v>
      </c>
      <c r="H67" s="12" t="s">
        <v>134</v>
      </c>
      <c r="I67" s="14" t="s">
        <v>93</v>
      </c>
      <c r="J67" s="12" t="s">
        <v>207</v>
      </c>
      <c r="K67" s="12">
        <v>8051647327</v>
      </c>
      <c r="L67" s="12" t="s">
        <v>228</v>
      </c>
      <c r="M67" s="13">
        <v>378198</v>
      </c>
      <c r="N67" s="15" t="s">
        <v>284</v>
      </c>
      <c r="O67" s="15" t="s">
        <v>285</v>
      </c>
      <c r="P67" s="16" t="s">
        <v>319</v>
      </c>
      <c r="Q67" s="27">
        <v>46109</v>
      </c>
      <c r="R67" s="17">
        <v>70</v>
      </c>
      <c r="S67" s="18">
        <v>70</v>
      </c>
      <c r="T67" s="18">
        <v>12.6</v>
      </c>
      <c r="U67" s="18">
        <v>82.6</v>
      </c>
      <c r="V67" s="12" t="s">
        <v>344</v>
      </c>
      <c r="W67" s="12" t="s">
        <v>344</v>
      </c>
      <c r="X67" s="19" t="s">
        <v>547</v>
      </c>
    </row>
    <row r="68" spans="1:24" x14ac:dyDescent="0.25">
      <c r="A68" s="10" t="s">
        <v>50</v>
      </c>
      <c r="B68" s="11" t="str">
        <f t="shared" si="7"/>
        <v>Feb-26</v>
      </c>
      <c r="C68" s="12" t="s">
        <v>75</v>
      </c>
      <c r="D68" s="12" t="s">
        <v>76</v>
      </c>
      <c r="E68" s="13">
        <v>10060032</v>
      </c>
      <c r="F68" s="32">
        <f>IF(D68="MPG",_xlfn.XLOOKUP(E68,Sheet2!$A$2:$A$2104,Sheet2!$B$2:$B$2104,""),"")</f>
        <v>45049</v>
      </c>
      <c r="G68" s="36">
        <f t="shared" si="6"/>
        <v>1016.6072800925904</v>
      </c>
      <c r="H68" s="12" t="s">
        <v>134</v>
      </c>
      <c r="I68" s="14" t="s">
        <v>93</v>
      </c>
      <c r="J68" s="12" t="s">
        <v>207</v>
      </c>
      <c r="K68" s="12">
        <v>8051647327</v>
      </c>
      <c r="L68" s="12" t="s">
        <v>228</v>
      </c>
      <c r="M68" s="13">
        <v>378198</v>
      </c>
      <c r="N68" s="15" t="s">
        <v>284</v>
      </c>
      <c r="O68" s="15" t="s">
        <v>285</v>
      </c>
      <c r="P68" s="16" t="s">
        <v>319</v>
      </c>
      <c r="Q68" s="27">
        <v>46109</v>
      </c>
      <c r="R68" s="17">
        <v>70</v>
      </c>
      <c r="S68" s="18">
        <v>70</v>
      </c>
      <c r="T68" s="18">
        <v>12.6</v>
      </c>
      <c r="U68" s="18">
        <v>82.6</v>
      </c>
      <c r="V68" s="12" t="s">
        <v>344</v>
      </c>
      <c r="W68" s="12" t="s">
        <v>344</v>
      </c>
      <c r="X68" s="19" t="s">
        <v>547</v>
      </c>
    </row>
    <row r="69" spans="1:24" hidden="1" x14ac:dyDescent="0.25">
      <c r="A69" s="10" t="s">
        <v>51</v>
      </c>
      <c r="B69" s="11" t="str">
        <f t="shared" si="7"/>
        <v>Feb-26</v>
      </c>
      <c r="C69" s="12" t="s">
        <v>75</v>
      </c>
      <c r="D69" s="12" t="s">
        <v>77</v>
      </c>
      <c r="E69" s="13" t="s">
        <v>135</v>
      </c>
      <c r="F69" s="32" t="str">
        <f>IF(D69="MPG",_xlfn.XLOOKUP(E69,Sheet2!$A$2:$A$2104,Sheet2!$B$2:$B$2104,""),"")</f>
        <v/>
      </c>
      <c r="G69" s="32"/>
      <c r="H69" s="12" t="s">
        <v>136</v>
      </c>
      <c r="I69" s="14" t="s">
        <v>137</v>
      </c>
      <c r="J69" s="12" t="s">
        <v>208</v>
      </c>
      <c r="K69" s="12">
        <v>7488561001</v>
      </c>
      <c r="L69" s="12" t="s">
        <v>230</v>
      </c>
      <c r="M69" s="13" t="s">
        <v>267</v>
      </c>
      <c r="N69" s="15" t="s">
        <v>293</v>
      </c>
      <c r="O69" s="15" t="s">
        <v>294</v>
      </c>
      <c r="P69" s="16" t="s">
        <v>319</v>
      </c>
      <c r="Q69" s="27">
        <v>46109</v>
      </c>
      <c r="R69" s="17">
        <v>350</v>
      </c>
      <c r="S69" s="18">
        <v>350</v>
      </c>
      <c r="T69" s="18">
        <v>63</v>
      </c>
      <c r="U69" s="18">
        <v>413</v>
      </c>
      <c r="V69" s="12" t="s">
        <v>345</v>
      </c>
      <c r="W69" s="12" t="s">
        <v>345</v>
      </c>
      <c r="X69" s="19" t="s">
        <v>539</v>
      </c>
    </row>
    <row r="70" spans="1:24" hidden="1" x14ac:dyDescent="0.25">
      <c r="A70" s="10" t="s">
        <v>52</v>
      </c>
      <c r="B70" s="11" t="str">
        <f t="shared" si="7"/>
        <v>Feb-26</v>
      </c>
      <c r="C70" s="12" t="s">
        <v>75</v>
      </c>
      <c r="D70" s="12" t="s">
        <v>76</v>
      </c>
      <c r="E70" s="13">
        <v>10110069</v>
      </c>
      <c r="F70" s="32">
        <f>IF(D70="MPG",_xlfn.XLOOKUP(E70,Sheet2!$A$2:$A$2104,Sheet2!$B$2:$B$2104,""),"")</f>
        <v>45323</v>
      </c>
      <c r="G70" s="36">
        <f>+A70-F70</f>
        <v>740.75332175925723</v>
      </c>
      <c r="H70" s="12" t="s">
        <v>138</v>
      </c>
      <c r="I70" s="14" t="s">
        <v>139</v>
      </c>
      <c r="J70" s="12" t="s">
        <v>209</v>
      </c>
      <c r="K70" s="12">
        <v>7061227705</v>
      </c>
      <c r="L70" s="12" t="s">
        <v>229</v>
      </c>
      <c r="M70" s="13" t="s">
        <v>268</v>
      </c>
      <c r="N70" s="15" t="s">
        <v>317</v>
      </c>
      <c r="O70" s="15" t="s">
        <v>318</v>
      </c>
      <c r="P70" s="16" t="s">
        <v>319</v>
      </c>
      <c r="Q70" s="27">
        <v>46109</v>
      </c>
      <c r="R70" s="17">
        <v>2080</v>
      </c>
      <c r="S70" s="18">
        <v>2080</v>
      </c>
      <c r="T70" s="18">
        <v>374.4</v>
      </c>
      <c r="U70" s="18">
        <v>2454.4</v>
      </c>
      <c r="V70" s="12" t="s">
        <v>346</v>
      </c>
      <c r="W70" s="12" t="s">
        <v>346</v>
      </c>
      <c r="X70" s="19"/>
    </row>
    <row r="71" spans="1:24" hidden="1" x14ac:dyDescent="0.25">
      <c r="A71" s="10" t="s">
        <v>53</v>
      </c>
      <c r="B71" s="11" t="str">
        <f t="shared" si="7"/>
        <v>Feb-26</v>
      </c>
      <c r="C71" s="12" t="s">
        <v>75</v>
      </c>
      <c r="D71" s="12" t="s">
        <v>76</v>
      </c>
      <c r="E71" s="33">
        <v>9788</v>
      </c>
      <c r="F71" s="32" t="str">
        <f>IF(D71="MPG",_xlfn.XLOOKUP(E71,Sheet2!$A$2:$A$2104,Sheet2!$B$2:$B$2104,""),"")</f>
        <v/>
      </c>
      <c r="G71" s="32"/>
      <c r="H71" s="12" t="s">
        <v>140</v>
      </c>
      <c r="I71" s="14" t="s">
        <v>139</v>
      </c>
      <c r="J71" s="12" t="s">
        <v>210</v>
      </c>
      <c r="K71" s="12">
        <v>9570938861</v>
      </c>
      <c r="L71" s="12" t="s">
        <v>229</v>
      </c>
      <c r="M71" s="13" t="s">
        <v>269</v>
      </c>
      <c r="N71" s="15" t="s">
        <v>317</v>
      </c>
      <c r="O71" s="15" t="s">
        <v>318</v>
      </c>
      <c r="P71" s="16" t="s">
        <v>319</v>
      </c>
      <c r="Q71" s="27">
        <v>46109</v>
      </c>
      <c r="R71" s="17">
        <v>2080</v>
      </c>
      <c r="S71" s="18">
        <v>2080</v>
      </c>
      <c r="T71" s="18">
        <v>374.4</v>
      </c>
      <c r="U71" s="18">
        <v>2454.4</v>
      </c>
      <c r="V71" s="12" t="s">
        <v>346</v>
      </c>
      <c r="W71" s="12" t="s">
        <v>346</v>
      </c>
      <c r="X71" s="19"/>
    </row>
    <row r="72" spans="1:24" hidden="1" x14ac:dyDescent="0.25">
      <c r="A72" s="10" t="s">
        <v>54</v>
      </c>
      <c r="B72" s="11" t="str">
        <f t="shared" si="7"/>
        <v>Feb-26</v>
      </c>
      <c r="C72" s="12" t="s">
        <v>75</v>
      </c>
      <c r="D72" s="12" t="s">
        <v>76</v>
      </c>
      <c r="E72" s="13">
        <v>10120095</v>
      </c>
      <c r="F72" s="32">
        <f>IF(D72="MPG",_xlfn.XLOOKUP(E72,Sheet2!$A$2:$A$2104,Sheet2!$B$2:$B$2104,""),"")</f>
        <v>45705</v>
      </c>
      <c r="G72" s="36">
        <f t="shared" ref="G72:G73" si="8">+A72-F72</f>
        <v>358.63571759259503</v>
      </c>
      <c r="H72" s="12" t="s">
        <v>141</v>
      </c>
      <c r="I72" s="14" t="s">
        <v>85</v>
      </c>
      <c r="J72" s="12" t="s">
        <v>211</v>
      </c>
      <c r="K72" s="12">
        <v>8434449379</v>
      </c>
      <c r="L72" s="12" t="s">
        <v>230</v>
      </c>
      <c r="M72" s="13" t="s">
        <v>270</v>
      </c>
      <c r="N72" s="15" t="s">
        <v>293</v>
      </c>
      <c r="O72" s="15" t="s">
        <v>294</v>
      </c>
      <c r="P72" s="16" t="s">
        <v>319</v>
      </c>
      <c r="Q72" s="27">
        <v>46109</v>
      </c>
      <c r="R72" s="17">
        <v>350</v>
      </c>
      <c r="S72" s="18">
        <v>350</v>
      </c>
      <c r="T72" s="18">
        <v>63</v>
      </c>
      <c r="U72" s="18">
        <v>413</v>
      </c>
      <c r="V72" s="12" t="s">
        <v>344</v>
      </c>
      <c r="W72" s="12" t="s">
        <v>344</v>
      </c>
      <c r="X72" s="19" t="s">
        <v>539</v>
      </c>
    </row>
    <row r="73" spans="1:24" hidden="1" x14ac:dyDescent="0.25">
      <c r="A73" s="10" t="s">
        <v>55</v>
      </c>
      <c r="B73" s="11" t="str">
        <f t="shared" si="7"/>
        <v>Feb-26</v>
      </c>
      <c r="C73" s="12" t="s">
        <v>75</v>
      </c>
      <c r="D73" s="12" t="s">
        <v>76</v>
      </c>
      <c r="E73" s="13">
        <v>10130091</v>
      </c>
      <c r="F73" s="32">
        <f>IF(D73="MPG",_xlfn.XLOOKUP(E73,Sheet2!$A$2:$A$2104,Sheet2!$B$2:$B$2104,""),"")</f>
        <v>45698</v>
      </c>
      <c r="G73" s="36">
        <f t="shared" si="8"/>
        <v>362.54968750000262</v>
      </c>
      <c r="H73" s="12" t="s">
        <v>142</v>
      </c>
      <c r="I73" s="14" t="s">
        <v>83</v>
      </c>
      <c r="J73" s="12" t="s">
        <v>212</v>
      </c>
      <c r="K73" s="12">
        <v>9801495461</v>
      </c>
      <c r="L73" s="12" t="s">
        <v>228</v>
      </c>
      <c r="M73" s="13" t="s">
        <v>271</v>
      </c>
      <c r="N73" s="15" t="s">
        <v>328</v>
      </c>
      <c r="O73" s="15" t="s">
        <v>329</v>
      </c>
      <c r="P73" s="16" t="s">
        <v>319</v>
      </c>
      <c r="Q73" s="27">
        <v>46109</v>
      </c>
      <c r="R73" s="17">
        <v>2850</v>
      </c>
      <c r="S73" s="18">
        <v>2850</v>
      </c>
      <c r="T73" s="18">
        <v>513</v>
      </c>
      <c r="U73" s="18">
        <v>3363</v>
      </c>
      <c r="V73" s="12" t="s">
        <v>344</v>
      </c>
      <c r="W73" s="12" t="s">
        <v>344</v>
      </c>
      <c r="X73" s="19" t="s">
        <v>539</v>
      </c>
    </row>
    <row r="74" spans="1:24" hidden="1" x14ac:dyDescent="0.25">
      <c r="A74" s="10" t="s">
        <v>56</v>
      </c>
      <c r="B74" s="11" t="str">
        <f t="shared" si="7"/>
        <v>Feb-26</v>
      </c>
      <c r="C74" s="12" t="s">
        <v>78</v>
      </c>
      <c r="D74" s="12" t="s">
        <v>76</v>
      </c>
      <c r="E74" s="13">
        <v>20010003</v>
      </c>
      <c r="F74" s="32" t="str">
        <f>IF(D74="MPG",_xlfn.XLOOKUP(E74,Sheet2!$A$2:$A$2104,Sheet2!$B$2:$B$2104,""),"")</f>
        <v/>
      </c>
      <c r="G74" s="32"/>
      <c r="H74" s="12" t="s">
        <v>143</v>
      </c>
      <c r="I74" s="11" t="s">
        <v>87</v>
      </c>
      <c r="J74" s="12" t="s">
        <v>213</v>
      </c>
      <c r="K74" s="12">
        <v>6205711535</v>
      </c>
      <c r="L74" s="12" t="s">
        <v>228</v>
      </c>
      <c r="M74" s="13">
        <v>384298</v>
      </c>
      <c r="N74" s="15" t="s">
        <v>296</v>
      </c>
      <c r="O74" s="15" t="s">
        <v>297</v>
      </c>
      <c r="P74" s="16" t="s">
        <v>316</v>
      </c>
      <c r="Q74" s="27">
        <v>46109</v>
      </c>
      <c r="R74" s="17">
        <v>125</v>
      </c>
      <c r="S74" s="18">
        <v>125</v>
      </c>
      <c r="T74" s="18">
        <v>22.5</v>
      </c>
      <c r="U74" s="18">
        <v>147.5</v>
      </c>
      <c r="V74" s="12" t="s">
        <v>344</v>
      </c>
      <c r="W74" s="12" t="s">
        <v>344</v>
      </c>
      <c r="X74" s="19" t="s">
        <v>539</v>
      </c>
    </row>
    <row r="75" spans="1:24" hidden="1" x14ac:dyDescent="0.25">
      <c r="A75" s="10" t="s">
        <v>56</v>
      </c>
      <c r="B75" s="11" t="str">
        <f t="shared" si="7"/>
        <v>Feb-26</v>
      </c>
      <c r="C75" s="12" t="s">
        <v>78</v>
      </c>
      <c r="D75" s="12" t="s">
        <v>76</v>
      </c>
      <c r="E75" s="13">
        <v>20010003</v>
      </c>
      <c r="F75" s="32" t="str">
        <f>IF(D75="MPG",_xlfn.XLOOKUP(E75,Sheet2!$A$2:$A$2104,Sheet2!$B$2:$B$2104,""),"")</f>
        <v/>
      </c>
      <c r="G75" s="32"/>
      <c r="H75" s="12" t="s">
        <v>143</v>
      </c>
      <c r="I75" s="11" t="s">
        <v>87</v>
      </c>
      <c r="J75" s="12" t="s">
        <v>213</v>
      </c>
      <c r="K75" s="12">
        <v>6205711535</v>
      </c>
      <c r="L75" s="12" t="s">
        <v>228</v>
      </c>
      <c r="M75" s="13">
        <v>384298</v>
      </c>
      <c r="N75" s="15" t="s">
        <v>296</v>
      </c>
      <c r="O75" s="15" t="s">
        <v>297</v>
      </c>
      <c r="P75" s="16" t="s">
        <v>316</v>
      </c>
      <c r="Q75" s="27">
        <v>46109</v>
      </c>
      <c r="R75" s="17">
        <v>125</v>
      </c>
      <c r="S75" s="18">
        <v>125</v>
      </c>
      <c r="T75" s="18">
        <v>22.5</v>
      </c>
      <c r="U75" s="18">
        <v>147.5</v>
      </c>
      <c r="V75" s="12" t="s">
        <v>344</v>
      </c>
      <c r="W75" s="12" t="s">
        <v>344</v>
      </c>
      <c r="X75" s="19" t="s">
        <v>539</v>
      </c>
    </row>
    <row r="76" spans="1:24" x14ac:dyDescent="0.25">
      <c r="A76" s="10" t="s">
        <v>57</v>
      </c>
      <c r="B76" s="11" t="str">
        <f t="shared" si="7"/>
        <v>Feb-26</v>
      </c>
      <c r="C76" s="12" t="s">
        <v>75</v>
      </c>
      <c r="D76" s="12" t="s">
        <v>76</v>
      </c>
      <c r="E76" s="13">
        <v>10140159</v>
      </c>
      <c r="F76" s="32">
        <f>IF(D76="MPG",_xlfn.XLOOKUP(E76,Sheet2!$A$2:$A$2104,Sheet2!$B$2:$B$2104,""),"")</f>
        <v>45687</v>
      </c>
      <c r="G76" s="36">
        <f t="shared" ref="G76:G81" si="9">+A76-F76</f>
        <v>371.67770833333634</v>
      </c>
      <c r="H76" s="12" t="s">
        <v>144</v>
      </c>
      <c r="I76" s="14" t="s">
        <v>145</v>
      </c>
      <c r="J76" s="12" t="s">
        <v>214</v>
      </c>
      <c r="K76" s="12">
        <v>9931256142</v>
      </c>
      <c r="L76" s="12" t="s">
        <v>228</v>
      </c>
      <c r="M76" s="13">
        <v>360243</v>
      </c>
      <c r="N76" s="15" t="s">
        <v>284</v>
      </c>
      <c r="O76" s="15" t="s">
        <v>285</v>
      </c>
      <c r="P76" s="16" t="s">
        <v>319</v>
      </c>
      <c r="Q76" s="27">
        <v>46109</v>
      </c>
      <c r="R76" s="17">
        <v>70</v>
      </c>
      <c r="S76" s="18">
        <v>70</v>
      </c>
      <c r="T76" s="18">
        <v>12.6</v>
      </c>
      <c r="U76" s="18">
        <v>82.6</v>
      </c>
      <c r="V76" s="12" t="s">
        <v>344</v>
      </c>
      <c r="W76" s="12" t="s">
        <v>344</v>
      </c>
      <c r="X76" s="19" t="s">
        <v>547</v>
      </c>
    </row>
    <row r="77" spans="1:24" x14ac:dyDescent="0.25">
      <c r="A77" s="10" t="s">
        <v>58</v>
      </c>
      <c r="B77" s="11" t="str">
        <f t="shared" si="7"/>
        <v>Feb-26</v>
      </c>
      <c r="C77" s="12" t="s">
        <v>75</v>
      </c>
      <c r="D77" s="12" t="s">
        <v>76</v>
      </c>
      <c r="E77" s="13">
        <v>10100016</v>
      </c>
      <c r="F77" s="32">
        <f>IF(D77="MPG",_xlfn.XLOOKUP(E77,Sheet2!$A$2:$A$2104,Sheet2!$B$2:$B$2104,""),"")</f>
        <v>45016</v>
      </c>
      <c r="G77" s="36">
        <f t="shared" si="9"/>
        <v>1041.425347222219</v>
      </c>
      <c r="H77" s="12" t="s">
        <v>146</v>
      </c>
      <c r="I77" s="14" t="s">
        <v>147</v>
      </c>
      <c r="J77" s="12" t="s">
        <v>215</v>
      </c>
      <c r="K77" s="12">
        <v>7091746454</v>
      </c>
      <c r="L77" s="12" t="s">
        <v>229</v>
      </c>
      <c r="M77" s="13" t="s">
        <v>272</v>
      </c>
      <c r="N77" s="15" t="s">
        <v>330</v>
      </c>
      <c r="O77" s="15" t="s">
        <v>331</v>
      </c>
      <c r="P77" s="16" t="s">
        <v>319</v>
      </c>
      <c r="Q77" s="27">
        <v>46109</v>
      </c>
      <c r="R77" s="17">
        <v>2080</v>
      </c>
      <c r="S77" s="18">
        <v>2080</v>
      </c>
      <c r="T77" s="18">
        <v>374.4</v>
      </c>
      <c r="U77" s="18">
        <v>2454.4</v>
      </c>
      <c r="V77" s="12" t="s">
        <v>344</v>
      </c>
      <c r="W77" s="12" t="s">
        <v>344</v>
      </c>
      <c r="X77" s="19" t="s">
        <v>547</v>
      </c>
    </row>
    <row r="78" spans="1:24" x14ac:dyDescent="0.25">
      <c r="A78" s="10" t="s">
        <v>58</v>
      </c>
      <c r="B78" s="11" t="str">
        <f t="shared" si="7"/>
        <v>Feb-26</v>
      </c>
      <c r="C78" s="12" t="s">
        <v>75</v>
      </c>
      <c r="D78" s="12" t="s">
        <v>76</v>
      </c>
      <c r="E78" s="13">
        <v>10100016</v>
      </c>
      <c r="F78" s="32">
        <f>IF(D78="MPG",_xlfn.XLOOKUP(E78,Sheet2!$A$2:$A$2104,Sheet2!$B$2:$B$2104,""),"")</f>
        <v>45016</v>
      </c>
      <c r="G78" s="36">
        <f t="shared" si="9"/>
        <v>1041.425347222219</v>
      </c>
      <c r="H78" s="12" t="s">
        <v>146</v>
      </c>
      <c r="I78" s="14" t="s">
        <v>147</v>
      </c>
      <c r="J78" s="12" t="s">
        <v>215</v>
      </c>
      <c r="K78" s="12">
        <v>7091746454</v>
      </c>
      <c r="L78" s="12" t="s">
        <v>229</v>
      </c>
      <c r="M78" s="13" t="s">
        <v>272</v>
      </c>
      <c r="N78" s="15" t="s">
        <v>332</v>
      </c>
      <c r="O78" s="15" t="s">
        <v>333</v>
      </c>
      <c r="P78" s="16" t="s">
        <v>319</v>
      </c>
      <c r="Q78" s="27">
        <v>46109</v>
      </c>
      <c r="R78" s="17">
        <v>2800</v>
      </c>
      <c r="S78" s="18">
        <v>2800</v>
      </c>
      <c r="T78" s="18">
        <v>504</v>
      </c>
      <c r="U78" s="18">
        <v>3304</v>
      </c>
      <c r="V78" s="12" t="s">
        <v>344</v>
      </c>
      <c r="W78" s="12" t="s">
        <v>344</v>
      </c>
      <c r="X78" s="19" t="s">
        <v>547</v>
      </c>
    </row>
    <row r="79" spans="1:24" x14ac:dyDescent="0.25">
      <c r="A79" s="10" t="s">
        <v>59</v>
      </c>
      <c r="B79" s="11" t="str">
        <f t="shared" si="7"/>
        <v>Feb-26</v>
      </c>
      <c r="C79" s="12" t="s">
        <v>75</v>
      </c>
      <c r="D79" s="12" t="s">
        <v>76</v>
      </c>
      <c r="E79" s="13">
        <v>10120083</v>
      </c>
      <c r="F79" s="32">
        <f>IF(D79="MPG",_xlfn.XLOOKUP(E79,Sheet2!$A$2:$A$2104,Sheet2!$B$2:$B$2104,""),"")</f>
        <v>45530</v>
      </c>
      <c r="G79" s="36">
        <f t="shared" si="9"/>
        <v>527.69864583333401</v>
      </c>
      <c r="H79" s="12" t="s">
        <v>115</v>
      </c>
      <c r="I79" s="14" t="s">
        <v>85</v>
      </c>
      <c r="J79" s="12" t="s">
        <v>190</v>
      </c>
      <c r="K79" s="12">
        <v>9262776421</v>
      </c>
      <c r="L79" s="12" t="s">
        <v>228</v>
      </c>
      <c r="M79" s="13">
        <v>387344</v>
      </c>
      <c r="N79" s="15" t="s">
        <v>284</v>
      </c>
      <c r="O79" s="15" t="s">
        <v>285</v>
      </c>
      <c r="P79" s="16" t="s">
        <v>319</v>
      </c>
      <c r="Q79" s="27">
        <v>46109</v>
      </c>
      <c r="R79" s="17">
        <v>70</v>
      </c>
      <c r="S79" s="18">
        <v>70</v>
      </c>
      <c r="T79" s="18">
        <v>12.6</v>
      </c>
      <c r="U79" s="18">
        <v>82.6</v>
      </c>
      <c r="V79" s="12" t="s">
        <v>344</v>
      </c>
      <c r="W79" s="12" t="s">
        <v>344</v>
      </c>
      <c r="X79" s="19" t="s">
        <v>547</v>
      </c>
    </row>
    <row r="80" spans="1:24" x14ac:dyDescent="0.25">
      <c r="A80" s="10" t="s">
        <v>59</v>
      </c>
      <c r="B80" s="11" t="str">
        <f t="shared" si="7"/>
        <v>Feb-26</v>
      </c>
      <c r="C80" s="12" t="s">
        <v>75</v>
      </c>
      <c r="D80" s="12" t="s">
        <v>76</v>
      </c>
      <c r="E80" s="13">
        <v>10120083</v>
      </c>
      <c r="F80" s="32">
        <f>IF(D80="MPG",_xlfn.XLOOKUP(E80,Sheet2!$A$2:$A$2104,Sheet2!$B$2:$B$2104,""),"")</f>
        <v>45530</v>
      </c>
      <c r="G80" s="36">
        <f t="shared" si="9"/>
        <v>527.69864583333401</v>
      </c>
      <c r="H80" s="12" t="s">
        <v>115</v>
      </c>
      <c r="I80" s="14" t="s">
        <v>85</v>
      </c>
      <c r="J80" s="12" t="s">
        <v>190</v>
      </c>
      <c r="K80" s="12">
        <v>9262776421</v>
      </c>
      <c r="L80" s="12" t="s">
        <v>228</v>
      </c>
      <c r="M80" s="13">
        <v>387344</v>
      </c>
      <c r="N80" s="15" t="s">
        <v>284</v>
      </c>
      <c r="O80" s="15" t="s">
        <v>285</v>
      </c>
      <c r="P80" s="16" t="s">
        <v>319</v>
      </c>
      <c r="Q80" s="27">
        <v>46109</v>
      </c>
      <c r="R80" s="17">
        <v>70</v>
      </c>
      <c r="S80" s="18">
        <v>70</v>
      </c>
      <c r="T80" s="18">
        <v>12.6</v>
      </c>
      <c r="U80" s="18">
        <v>82.6</v>
      </c>
      <c r="V80" s="12" t="s">
        <v>344</v>
      </c>
      <c r="W80" s="12" t="s">
        <v>344</v>
      </c>
      <c r="X80" s="19" t="s">
        <v>547</v>
      </c>
    </row>
    <row r="81" spans="1:24" x14ac:dyDescent="0.25">
      <c r="A81" s="10" t="s">
        <v>60</v>
      </c>
      <c r="B81" s="11" t="str">
        <f t="shared" si="7"/>
        <v>Feb-26</v>
      </c>
      <c r="C81" s="12" t="s">
        <v>75</v>
      </c>
      <c r="D81" s="12" t="s">
        <v>76</v>
      </c>
      <c r="E81" s="13">
        <v>10020059</v>
      </c>
      <c r="F81" s="32">
        <f>IF(D81="MPG",_xlfn.XLOOKUP(E81,Sheet2!$A$2:$A$2104,Sheet2!$B$2:$B$2104,""),"")</f>
        <v>45268</v>
      </c>
      <c r="G81" s="36">
        <f t="shared" si="9"/>
        <v>789.61660879629926</v>
      </c>
      <c r="H81" s="12" t="s">
        <v>148</v>
      </c>
      <c r="I81" s="14" t="s">
        <v>125</v>
      </c>
      <c r="J81" s="12" t="s">
        <v>216</v>
      </c>
      <c r="K81" s="12">
        <v>9135466492</v>
      </c>
      <c r="L81" s="12" t="s">
        <v>229</v>
      </c>
      <c r="M81" s="13" t="s">
        <v>273</v>
      </c>
      <c r="N81" s="15" t="s">
        <v>317</v>
      </c>
      <c r="O81" s="15" t="s">
        <v>318</v>
      </c>
      <c r="P81" s="16" t="s">
        <v>319</v>
      </c>
      <c r="Q81" s="27">
        <v>46109</v>
      </c>
      <c r="R81" s="17">
        <v>2080</v>
      </c>
      <c r="S81" s="18">
        <v>2080</v>
      </c>
      <c r="T81" s="18">
        <v>374.4</v>
      </c>
      <c r="U81" s="18">
        <v>2454.4</v>
      </c>
      <c r="V81" s="12" t="s">
        <v>344</v>
      </c>
      <c r="W81" s="12" t="s">
        <v>344</v>
      </c>
      <c r="X81" s="19" t="s">
        <v>547</v>
      </c>
    </row>
    <row r="82" spans="1:24" hidden="1" x14ac:dyDescent="0.25">
      <c r="A82" s="10" t="s">
        <v>61</v>
      </c>
      <c r="B82" s="11" t="str">
        <f t="shared" si="7"/>
        <v>Feb-26</v>
      </c>
      <c r="C82" s="12" t="s">
        <v>75</v>
      </c>
      <c r="D82" s="12" t="s">
        <v>77</v>
      </c>
      <c r="E82" s="13">
        <v>1012</v>
      </c>
      <c r="F82" s="32" t="str">
        <f>IF(D82="MPG",_xlfn.XLOOKUP(E82,Sheet2!$A$2:$A$2104,Sheet2!$B$2:$B$2104,""),"")</f>
        <v/>
      </c>
      <c r="G82" s="32"/>
      <c r="H82" s="12" t="s">
        <v>149</v>
      </c>
      <c r="I82" s="14" t="s">
        <v>85</v>
      </c>
      <c r="J82" s="12" t="s">
        <v>217</v>
      </c>
      <c r="K82" s="12">
        <v>9060744847</v>
      </c>
      <c r="L82" s="12" t="s">
        <v>229</v>
      </c>
      <c r="M82" s="13" t="s">
        <v>274</v>
      </c>
      <c r="N82" s="15" t="s">
        <v>334</v>
      </c>
      <c r="O82" s="15" t="s">
        <v>335</v>
      </c>
      <c r="P82" s="16" t="s">
        <v>319</v>
      </c>
      <c r="Q82" s="27">
        <v>46109</v>
      </c>
      <c r="R82" s="17">
        <v>2080</v>
      </c>
      <c r="S82" s="18">
        <v>2080</v>
      </c>
      <c r="T82" s="18">
        <v>374.4</v>
      </c>
      <c r="U82" s="18">
        <v>2454.4</v>
      </c>
      <c r="V82" s="12" t="s">
        <v>345</v>
      </c>
      <c r="W82" s="12" t="s">
        <v>345</v>
      </c>
      <c r="X82" s="19" t="s">
        <v>539</v>
      </c>
    </row>
    <row r="83" spans="1:24" x14ac:dyDescent="0.25">
      <c r="A83" s="10" t="s">
        <v>62</v>
      </c>
      <c r="B83" s="11" t="str">
        <f t="shared" si="7"/>
        <v>Feb-26</v>
      </c>
      <c r="C83" s="12" t="s">
        <v>75</v>
      </c>
      <c r="D83" s="12" t="s">
        <v>76</v>
      </c>
      <c r="E83" s="21">
        <v>10020025</v>
      </c>
      <c r="F83" s="32">
        <f>IF(D83="MPG",_xlfn.XLOOKUP(E83,Sheet2!$A$2:$A$2104,Sheet2!$B$2:$B$2104,""),"")</f>
        <v>44866</v>
      </c>
      <c r="G83" s="36">
        <f t="shared" ref="G83:G133" si="10">+A83-F83</f>
        <v>1191.6159027777758</v>
      </c>
      <c r="H83" s="12" t="s">
        <v>150</v>
      </c>
      <c r="I83" s="14" t="s">
        <v>125</v>
      </c>
      <c r="J83" s="12" t="s">
        <v>218</v>
      </c>
      <c r="K83" s="12">
        <v>8298525819</v>
      </c>
      <c r="L83" s="12" t="s">
        <v>228</v>
      </c>
      <c r="M83" s="13">
        <v>386944</v>
      </c>
      <c r="N83" s="15" t="s">
        <v>284</v>
      </c>
      <c r="O83" s="15" t="s">
        <v>285</v>
      </c>
      <c r="P83" s="16" t="s">
        <v>319</v>
      </c>
      <c r="Q83" s="27">
        <v>46109</v>
      </c>
      <c r="R83" s="17">
        <v>70</v>
      </c>
      <c r="S83" s="18">
        <v>70</v>
      </c>
      <c r="T83" s="18">
        <v>12.6</v>
      </c>
      <c r="U83" s="18">
        <v>82.6</v>
      </c>
      <c r="V83" s="12" t="s">
        <v>344</v>
      </c>
      <c r="W83" s="12" t="s">
        <v>344</v>
      </c>
      <c r="X83" s="19" t="s">
        <v>547</v>
      </c>
    </row>
    <row r="84" spans="1:24" x14ac:dyDescent="0.25">
      <c r="A84" s="10" t="s">
        <v>62</v>
      </c>
      <c r="B84" s="11" t="str">
        <f t="shared" si="7"/>
        <v>Feb-26</v>
      </c>
      <c r="C84" s="12" t="s">
        <v>75</v>
      </c>
      <c r="D84" s="12" t="s">
        <v>76</v>
      </c>
      <c r="E84" s="21">
        <v>10020025</v>
      </c>
      <c r="F84" s="32">
        <f>IF(D84="MPG",_xlfn.XLOOKUP(E84,Sheet2!$A$2:$A$2104,Sheet2!$B$2:$B$2104,""),"")</f>
        <v>44866</v>
      </c>
      <c r="G84" s="36">
        <f t="shared" si="10"/>
        <v>1191.6159027777758</v>
      </c>
      <c r="H84" s="12" t="s">
        <v>150</v>
      </c>
      <c r="I84" s="14" t="s">
        <v>125</v>
      </c>
      <c r="J84" s="12" t="s">
        <v>218</v>
      </c>
      <c r="K84" s="12">
        <v>8298525819</v>
      </c>
      <c r="L84" s="12" t="s">
        <v>228</v>
      </c>
      <c r="M84" s="13">
        <v>386944</v>
      </c>
      <c r="N84" s="15" t="s">
        <v>284</v>
      </c>
      <c r="O84" s="15" t="s">
        <v>285</v>
      </c>
      <c r="P84" s="16" t="s">
        <v>319</v>
      </c>
      <c r="Q84" s="27">
        <v>46109</v>
      </c>
      <c r="R84" s="17">
        <v>70</v>
      </c>
      <c r="S84" s="18">
        <v>70</v>
      </c>
      <c r="T84" s="18">
        <v>12.6</v>
      </c>
      <c r="U84" s="18">
        <v>82.6</v>
      </c>
      <c r="V84" s="12" t="s">
        <v>344</v>
      </c>
      <c r="W84" s="12" t="s">
        <v>344</v>
      </c>
      <c r="X84" s="19" t="s">
        <v>547</v>
      </c>
    </row>
    <row r="85" spans="1:24" x14ac:dyDescent="0.25">
      <c r="A85" s="10" t="s">
        <v>63</v>
      </c>
      <c r="B85" s="11" t="str">
        <f t="shared" si="7"/>
        <v>Feb-26</v>
      </c>
      <c r="C85" s="12" t="s">
        <v>75</v>
      </c>
      <c r="D85" s="12" t="s">
        <v>76</v>
      </c>
      <c r="E85" s="21">
        <v>10480001</v>
      </c>
      <c r="F85" s="32">
        <f>IF(D85="MPG",_xlfn.XLOOKUP(E85,Sheet2!$A$2:$A$2104,Sheet2!$B$2:$B$2104,""),"")</f>
        <v>43756</v>
      </c>
      <c r="G85" s="36">
        <f t="shared" si="10"/>
        <v>2301.426354166666</v>
      </c>
      <c r="H85" s="12" t="s">
        <v>151</v>
      </c>
      <c r="I85" s="14" t="s">
        <v>152</v>
      </c>
      <c r="J85" s="12" t="s">
        <v>219</v>
      </c>
      <c r="K85" s="12">
        <v>9801450809</v>
      </c>
      <c r="L85" s="12" t="s">
        <v>229</v>
      </c>
      <c r="M85" s="13" t="s">
        <v>275</v>
      </c>
      <c r="N85" s="15" t="s">
        <v>317</v>
      </c>
      <c r="O85" s="15" t="s">
        <v>318</v>
      </c>
      <c r="P85" s="16" t="s">
        <v>319</v>
      </c>
      <c r="Q85" s="27">
        <v>46109</v>
      </c>
      <c r="R85" s="17">
        <v>2080</v>
      </c>
      <c r="S85" s="18">
        <v>2080</v>
      </c>
      <c r="T85" s="18">
        <v>374.4</v>
      </c>
      <c r="U85" s="18">
        <v>2454.4</v>
      </c>
      <c r="V85" s="12" t="s">
        <v>344</v>
      </c>
      <c r="W85" s="12" t="s">
        <v>344</v>
      </c>
      <c r="X85" s="19" t="s">
        <v>547</v>
      </c>
    </row>
    <row r="86" spans="1:24" x14ac:dyDescent="0.25">
      <c r="A86" s="10" t="s">
        <v>64</v>
      </c>
      <c r="B86" s="11" t="str">
        <f t="shared" si="7"/>
        <v>Feb-26</v>
      </c>
      <c r="C86" s="12" t="s">
        <v>75</v>
      </c>
      <c r="D86" s="12" t="s">
        <v>76</v>
      </c>
      <c r="E86" s="13">
        <v>10020029</v>
      </c>
      <c r="F86" s="32">
        <f>IF(D86="MPG",_xlfn.XLOOKUP(E86,Sheet2!$A$2:$A$2104,Sheet2!$B$2:$B$2104,""),"")</f>
        <v>44899</v>
      </c>
      <c r="G86" s="36">
        <f t="shared" si="10"/>
        <v>1158.6154398148137</v>
      </c>
      <c r="H86" s="12" t="s">
        <v>153</v>
      </c>
      <c r="I86" s="14" t="s">
        <v>125</v>
      </c>
      <c r="J86" s="12" t="s">
        <v>0</v>
      </c>
      <c r="K86" s="12">
        <v>9430695671</v>
      </c>
      <c r="L86" s="12" t="s">
        <v>228</v>
      </c>
      <c r="M86" s="13">
        <v>328963</v>
      </c>
      <c r="N86" s="15" t="s">
        <v>284</v>
      </c>
      <c r="O86" s="15" t="s">
        <v>285</v>
      </c>
      <c r="P86" s="16" t="s">
        <v>319</v>
      </c>
      <c r="Q86" s="27">
        <v>46109</v>
      </c>
      <c r="R86" s="17">
        <v>70</v>
      </c>
      <c r="S86" s="18">
        <v>70</v>
      </c>
      <c r="T86" s="18">
        <v>12.6</v>
      </c>
      <c r="U86" s="18">
        <v>82.6</v>
      </c>
      <c r="V86" s="12" t="s">
        <v>344</v>
      </c>
      <c r="W86" s="12" t="s">
        <v>344</v>
      </c>
      <c r="X86" s="19" t="s">
        <v>547</v>
      </c>
    </row>
    <row r="87" spans="1:24" x14ac:dyDescent="0.25">
      <c r="A87" s="10" t="s">
        <v>64</v>
      </c>
      <c r="B87" s="11" t="str">
        <f t="shared" si="7"/>
        <v>Feb-26</v>
      </c>
      <c r="C87" s="12" t="s">
        <v>75</v>
      </c>
      <c r="D87" s="12" t="s">
        <v>76</v>
      </c>
      <c r="E87" s="13">
        <v>10020029</v>
      </c>
      <c r="F87" s="32">
        <f>IF(D87="MPG",_xlfn.XLOOKUP(E87,Sheet2!$A$2:$A$2104,Sheet2!$B$2:$B$2104,""),"")</f>
        <v>44899</v>
      </c>
      <c r="G87" s="36">
        <f t="shared" si="10"/>
        <v>1158.6154398148137</v>
      </c>
      <c r="H87" s="12" t="s">
        <v>153</v>
      </c>
      <c r="I87" s="14" t="s">
        <v>125</v>
      </c>
      <c r="J87" s="12" t="s">
        <v>0</v>
      </c>
      <c r="K87" s="12">
        <v>9430695671</v>
      </c>
      <c r="L87" s="12" t="s">
        <v>228</v>
      </c>
      <c r="M87" s="13">
        <v>328963</v>
      </c>
      <c r="N87" s="15" t="s">
        <v>284</v>
      </c>
      <c r="O87" s="15" t="s">
        <v>285</v>
      </c>
      <c r="P87" s="16" t="s">
        <v>319</v>
      </c>
      <c r="Q87" s="27">
        <v>46109</v>
      </c>
      <c r="R87" s="17">
        <v>70</v>
      </c>
      <c r="S87" s="18">
        <v>70</v>
      </c>
      <c r="T87" s="18">
        <v>12.6</v>
      </c>
      <c r="U87" s="18">
        <v>82.6</v>
      </c>
      <c r="V87" s="12" t="s">
        <v>344</v>
      </c>
      <c r="W87" s="12" t="s">
        <v>344</v>
      </c>
      <c r="X87" s="19" t="s">
        <v>547</v>
      </c>
    </row>
    <row r="88" spans="1:24" x14ac:dyDescent="0.25">
      <c r="A88" s="10" t="s">
        <v>65</v>
      </c>
      <c r="B88" s="11" t="str">
        <f t="shared" si="7"/>
        <v>Feb-26</v>
      </c>
      <c r="C88" s="12" t="s">
        <v>75</v>
      </c>
      <c r="D88" s="12" t="s">
        <v>76</v>
      </c>
      <c r="E88" s="13">
        <v>10400001</v>
      </c>
      <c r="F88" s="32">
        <f>IF(D88="MPG",_xlfn.XLOOKUP(E88,Sheet2!$A$2:$A$2104,Sheet2!$B$2:$B$2104,""),"")</f>
        <v>42979</v>
      </c>
      <c r="G88" s="36">
        <f t="shared" si="10"/>
        <v>3078.4283564814832</v>
      </c>
      <c r="H88" s="12" t="s">
        <v>154</v>
      </c>
      <c r="I88" s="14" t="s">
        <v>152</v>
      </c>
      <c r="J88" s="12" t="s">
        <v>220</v>
      </c>
      <c r="K88" s="12">
        <v>6299652936</v>
      </c>
      <c r="L88" s="12" t="s">
        <v>229</v>
      </c>
      <c r="M88" s="13" t="s">
        <v>276</v>
      </c>
      <c r="N88" s="15" t="s">
        <v>332</v>
      </c>
      <c r="O88" s="15" t="s">
        <v>333</v>
      </c>
      <c r="P88" s="16" t="s">
        <v>319</v>
      </c>
      <c r="Q88" s="27">
        <v>46109</v>
      </c>
      <c r="R88" s="17">
        <v>2800</v>
      </c>
      <c r="S88" s="18">
        <v>2800</v>
      </c>
      <c r="T88" s="18">
        <v>504</v>
      </c>
      <c r="U88" s="18">
        <v>3304</v>
      </c>
      <c r="V88" s="12" t="s">
        <v>344</v>
      </c>
      <c r="W88" s="12" t="s">
        <v>344</v>
      </c>
      <c r="X88" s="19" t="s">
        <v>547</v>
      </c>
    </row>
    <row r="89" spans="1:24" hidden="1" x14ac:dyDescent="0.25">
      <c r="A89" s="10" t="s">
        <v>66</v>
      </c>
      <c r="B89" s="11" t="str">
        <f t="shared" si="7"/>
        <v>Feb-26</v>
      </c>
      <c r="C89" s="12" t="s">
        <v>75</v>
      </c>
      <c r="D89" s="12" t="s">
        <v>76</v>
      </c>
      <c r="E89" s="13">
        <v>10030075</v>
      </c>
      <c r="F89" s="32">
        <f>IF(D89="MPG",_xlfn.XLOOKUP(E89,Sheet2!$A$2:$A$2104,Sheet2!$B$2:$B$2104,""),"")</f>
        <v>45869</v>
      </c>
      <c r="G89" s="36">
        <f t="shared" si="10"/>
        <v>188.70343750000029</v>
      </c>
      <c r="H89" s="12" t="s">
        <v>155</v>
      </c>
      <c r="I89" s="14" t="s">
        <v>119</v>
      </c>
      <c r="J89" s="12" t="s">
        <v>221</v>
      </c>
      <c r="K89" s="12">
        <v>6203636473</v>
      </c>
      <c r="L89" s="12" t="s">
        <v>228</v>
      </c>
      <c r="M89" s="13">
        <v>2349697</v>
      </c>
      <c r="N89" s="15" t="s">
        <v>306</v>
      </c>
      <c r="O89" s="15" t="s">
        <v>307</v>
      </c>
      <c r="P89" s="16" t="s">
        <v>319</v>
      </c>
      <c r="Q89" s="27">
        <v>46109</v>
      </c>
      <c r="R89" s="17">
        <v>84</v>
      </c>
      <c r="S89" s="18">
        <v>84</v>
      </c>
      <c r="T89" s="18">
        <v>15.12</v>
      </c>
      <c r="U89" s="18">
        <v>99.12</v>
      </c>
      <c r="V89" s="12" t="s">
        <v>344</v>
      </c>
      <c r="W89" s="12" t="s">
        <v>344</v>
      </c>
      <c r="X89" s="19" t="s">
        <v>541</v>
      </c>
    </row>
    <row r="90" spans="1:24" x14ac:dyDescent="0.25">
      <c r="A90" s="10" t="s">
        <v>67</v>
      </c>
      <c r="B90" s="11" t="str">
        <f t="shared" si="7"/>
        <v>Feb-26</v>
      </c>
      <c r="C90" s="12" t="s">
        <v>75</v>
      </c>
      <c r="D90" s="12" t="s">
        <v>76</v>
      </c>
      <c r="E90" s="13">
        <v>10020023</v>
      </c>
      <c r="F90" s="32">
        <f>IF(D90="MPG",_xlfn.XLOOKUP(E90,Sheet2!$A$2:$A$2104,Sheet2!$B$2:$B$2104,""),"")</f>
        <v>44779</v>
      </c>
      <c r="G90" s="36">
        <f t="shared" si="10"/>
        <v>1278.6798495370385</v>
      </c>
      <c r="H90" s="12" t="s">
        <v>156</v>
      </c>
      <c r="I90" s="14" t="s">
        <v>125</v>
      </c>
      <c r="J90" s="12" t="s">
        <v>222</v>
      </c>
      <c r="K90" s="12">
        <v>7979912299</v>
      </c>
      <c r="L90" s="12" t="s">
        <v>230</v>
      </c>
      <c r="M90" s="13" t="s">
        <v>277</v>
      </c>
      <c r="N90" s="15" t="s">
        <v>293</v>
      </c>
      <c r="O90" s="15" t="s">
        <v>294</v>
      </c>
      <c r="P90" s="16" t="s">
        <v>319</v>
      </c>
      <c r="Q90" s="27">
        <v>46109</v>
      </c>
      <c r="R90" s="17">
        <v>350</v>
      </c>
      <c r="S90" s="18">
        <v>350</v>
      </c>
      <c r="T90" s="18">
        <v>63</v>
      </c>
      <c r="U90" s="18">
        <v>413</v>
      </c>
      <c r="V90" s="12" t="s">
        <v>344</v>
      </c>
      <c r="W90" s="12" t="s">
        <v>344</v>
      </c>
      <c r="X90" s="19" t="s">
        <v>547</v>
      </c>
    </row>
    <row r="91" spans="1:24" hidden="1" x14ac:dyDescent="0.25">
      <c r="A91" s="10" t="s">
        <v>68</v>
      </c>
      <c r="B91" s="11" t="str">
        <f t="shared" si="7"/>
        <v>Feb-26</v>
      </c>
      <c r="C91" s="12" t="s">
        <v>75</v>
      </c>
      <c r="D91" s="12" t="s">
        <v>76</v>
      </c>
      <c r="E91" s="21">
        <v>10100038</v>
      </c>
      <c r="F91" s="32">
        <f>IF(D91="MPG",_xlfn.XLOOKUP(E91,Sheet2!$A$2:$A$2104,Sheet2!$B$2:$B$2104,""),"")</f>
        <v>45260</v>
      </c>
      <c r="G91" s="36">
        <f t="shared" si="10"/>
        <v>797.43922453703999</v>
      </c>
      <c r="H91" s="12" t="s">
        <v>157</v>
      </c>
      <c r="I91" s="14" t="s">
        <v>147</v>
      </c>
      <c r="J91" s="12" t="s">
        <v>223</v>
      </c>
      <c r="K91" s="12">
        <v>7321047297</v>
      </c>
      <c r="L91" s="12" t="s">
        <v>228</v>
      </c>
      <c r="M91" s="13">
        <v>387787</v>
      </c>
      <c r="N91" s="15" t="s">
        <v>336</v>
      </c>
      <c r="O91" s="15" t="s">
        <v>337</v>
      </c>
      <c r="P91" s="16" t="s">
        <v>319</v>
      </c>
      <c r="Q91" s="27">
        <v>46109</v>
      </c>
      <c r="R91" s="17">
        <v>790</v>
      </c>
      <c r="S91" s="18">
        <v>790</v>
      </c>
      <c r="T91" s="18">
        <v>142.19999999999999</v>
      </c>
      <c r="U91" s="18">
        <v>932.2</v>
      </c>
      <c r="V91" s="12" t="s">
        <v>346</v>
      </c>
      <c r="W91" s="12" t="s">
        <v>346</v>
      </c>
      <c r="X91" s="19"/>
    </row>
    <row r="92" spans="1:24" hidden="1" x14ac:dyDescent="0.25">
      <c r="A92" s="10" t="s">
        <v>69</v>
      </c>
      <c r="B92" s="11" t="str">
        <f t="shared" si="7"/>
        <v>Feb-26</v>
      </c>
      <c r="C92" s="12" t="s">
        <v>75</v>
      </c>
      <c r="D92" s="12" t="s">
        <v>76</v>
      </c>
      <c r="E92" s="13">
        <v>10060116</v>
      </c>
      <c r="F92" s="32">
        <f>IF(D92="MPG",_xlfn.XLOOKUP(E92,Sheet2!$A$2:$A$2104,Sheet2!$B$2:$B$2104,""),"")</f>
        <v>45899</v>
      </c>
      <c r="G92" s="36">
        <f t="shared" si="10"/>
        <v>157.67993055555417</v>
      </c>
      <c r="H92" s="12" t="s">
        <v>158</v>
      </c>
      <c r="I92" s="14" t="s">
        <v>93</v>
      </c>
      <c r="J92" s="12" t="s">
        <v>224</v>
      </c>
      <c r="K92" s="12">
        <v>9279868783</v>
      </c>
      <c r="L92" s="12" t="s">
        <v>229</v>
      </c>
      <c r="M92" s="13" t="s">
        <v>278</v>
      </c>
      <c r="N92" s="15" t="s">
        <v>317</v>
      </c>
      <c r="O92" s="15" t="s">
        <v>318</v>
      </c>
      <c r="P92" s="16" t="s">
        <v>319</v>
      </c>
      <c r="Q92" s="27">
        <v>46109</v>
      </c>
      <c r="R92" s="17">
        <v>2080</v>
      </c>
      <c r="S92" s="18">
        <v>2080</v>
      </c>
      <c r="T92" s="18">
        <v>374.4</v>
      </c>
      <c r="U92" s="18">
        <v>2454.4</v>
      </c>
      <c r="V92" s="12" t="s">
        <v>344</v>
      </c>
      <c r="W92" s="12" t="s">
        <v>344</v>
      </c>
      <c r="X92" s="19" t="s">
        <v>541</v>
      </c>
    </row>
    <row r="93" spans="1:24" hidden="1" x14ac:dyDescent="0.25">
      <c r="A93" s="10" t="s">
        <v>70</v>
      </c>
      <c r="B93" s="11" t="str">
        <f t="shared" si="7"/>
        <v>Feb-26</v>
      </c>
      <c r="C93" s="12" t="s">
        <v>75</v>
      </c>
      <c r="D93" s="12" t="s">
        <v>76</v>
      </c>
      <c r="E93" s="29">
        <v>10110073</v>
      </c>
      <c r="F93" s="32">
        <f>IF(D93="MPG",_xlfn.XLOOKUP(E93,Sheet2!$A$2:$A$2104,Sheet2!$B$2:$B$2104,""),"")</f>
        <v>45323</v>
      </c>
      <c r="G93" s="36">
        <f t="shared" si="10"/>
        <v>733.67967592592322</v>
      </c>
      <c r="H93" s="12" t="s">
        <v>159</v>
      </c>
      <c r="I93" s="14" t="s">
        <v>125</v>
      </c>
      <c r="J93" s="12" t="s">
        <v>225</v>
      </c>
      <c r="K93" s="12">
        <v>7549402232</v>
      </c>
      <c r="L93" s="12" t="s">
        <v>229</v>
      </c>
      <c r="M93" s="13" t="s">
        <v>279</v>
      </c>
      <c r="N93" s="15" t="s">
        <v>317</v>
      </c>
      <c r="O93" s="15" t="s">
        <v>318</v>
      </c>
      <c r="P93" s="16" t="s">
        <v>319</v>
      </c>
      <c r="Q93" s="27">
        <v>46109</v>
      </c>
      <c r="R93" s="17">
        <v>2080</v>
      </c>
      <c r="S93" s="18">
        <v>2080</v>
      </c>
      <c r="T93" s="18">
        <v>374.4</v>
      </c>
      <c r="U93" s="18">
        <v>2454.4</v>
      </c>
      <c r="V93" s="12" t="s">
        <v>346</v>
      </c>
      <c r="W93" s="12" t="s">
        <v>346</v>
      </c>
      <c r="X93" s="19"/>
    </row>
    <row r="94" spans="1:24" hidden="1" x14ac:dyDescent="0.25">
      <c r="A94" s="10" t="s">
        <v>71</v>
      </c>
      <c r="B94" s="11" t="str">
        <f t="shared" si="7"/>
        <v>Feb-26</v>
      </c>
      <c r="C94" s="12" t="s">
        <v>75</v>
      </c>
      <c r="D94" s="12" t="s">
        <v>76</v>
      </c>
      <c r="E94" s="13">
        <v>10120095</v>
      </c>
      <c r="F94" s="32">
        <f>IF(D94="MPG",_xlfn.XLOOKUP(E94,Sheet2!$A$2:$A$2104,Sheet2!$B$2:$B$2104,""),"")</f>
        <v>45705</v>
      </c>
      <c r="G94" s="36">
        <f t="shared" si="10"/>
        <v>350.68716435185343</v>
      </c>
      <c r="H94" s="12" t="s">
        <v>141</v>
      </c>
      <c r="I94" s="14" t="s">
        <v>85</v>
      </c>
      <c r="J94" s="12" t="s">
        <v>211</v>
      </c>
      <c r="K94" s="12">
        <v>8434449379</v>
      </c>
      <c r="L94" s="12" t="s">
        <v>228</v>
      </c>
      <c r="M94" s="13">
        <v>2352041</v>
      </c>
      <c r="N94" s="15" t="s">
        <v>284</v>
      </c>
      <c r="O94" s="15" t="s">
        <v>285</v>
      </c>
      <c r="P94" s="16" t="s">
        <v>319</v>
      </c>
      <c r="Q94" s="27">
        <v>46109</v>
      </c>
      <c r="R94" s="17">
        <v>70</v>
      </c>
      <c r="S94" s="18">
        <v>70</v>
      </c>
      <c r="T94" s="18">
        <v>12.6</v>
      </c>
      <c r="U94" s="18">
        <v>82.6</v>
      </c>
      <c r="V94" s="12" t="s">
        <v>344</v>
      </c>
      <c r="W94" s="12" t="s">
        <v>344</v>
      </c>
      <c r="X94" s="19" t="s">
        <v>539</v>
      </c>
    </row>
    <row r="95" spans="1:24" hidden="1" x14ac:dyDescent="0.25">
      <c r="A95" s="10" t="s">
        <v>71</v>
      </c>
      <c r="B95" s="11" t="str">
        <f t="shared" si="7"/>
        <v>Feb-26</v>
      </c>
      <c r="C95" s="12" t="s">
        <v>75</v>
      </c>
      <c r="D95" s="12" t="s">
        <v>76</v>
      </c>
      <c r="E95" s="13">
        <v>10120095</v>
      </c>
      <c r="F95" s="32">
        <f>IF(D95="MPG",_xlfn.XLOOKUP(E95,Sheet2!$A$2:$A$2104,Sheet2!$B$2:$B$2104,""),"")</f>
        <v>45705</v>
      </c>
      <c r="G95" s="36">
        <f t="shared" si="10"/>
        <v>350.68716435185343</v>
      </c>
      <c r="H95" s="12" t="s">
        <v>141</v>
      </c>
      <c r="I95" s="14" t="s">
        <v>85</v>
      </c>
      <c r="J95" s="12" t="s">
        <v>211</v>
      </c>
      <c r="K95" s="12">
        <v>8434449379</v>
      </c>
      <c r="L95" s="12" t="s">
        <v>228</v>
      </c>
      <c r="M95" s="13">
        <v>2352041</v>
      </c>
      <c r="N95" s="15" t="s">
        <v>284</v>
      </c>
      <c r="O95" s="15" t="s">
        <v>285</v>
      </c>
      <c r="P95" s="16" t="s">
        <v>319</v>
      </c>
      <c r="Q95" s="27">
        <v>46109</v>
      </c>
      <c r="R95" s="17">
        <v>70</v>
      </c>
      <c r="S95" s="18">
        <v>70</v>
      </c>
      <c r="T95" s="18">
        <v>12.6</v>
      </c>
      <c r="U95" s="18">
        <v>82.6</v>
      </c>
      <c r="V95" s="12" t="s">
        <v>344</v>
      </c>
      <c r="W95" s="12" t="s">
        <v>344</v>
      </c>
      <c r="X95" s="19" t="s">
        <v>539</v>
      </c>
    </row>
    <row r="96" spans="1:24" x14ac:dyDescent="0.25">
      <c r="A96" s="19" t="s">
        <v>347</v>
      </c>
      <c r="B96" s="22">
        <v>46082</v>
      </c>
      <c r="C96" s="12" t="s">
        <v>75</v>
      </c>
      <c r="D96" s="12" t="s">
        <v>76</v>
      </c>
      <c r="E96" s="23">
        <v>10110106</v>
      </c>
      <c r="F96" s="32">
        <f>IF(D96="MPG",_xlfn.XLOOKUP(E96,Sheet2!$A$2:$A$2104,Sheet2!$B$2:$B$2104,""),"")</f>
        <v>45692</v>
      </c>
      <c r="G96" s="36">
        <f t="shared" si="10"/>
        <v>413.51991898148117</v>
      </c>
      <c r="H96" s="19" t="s">
        <v>364</v>
      </c>
      <c r="I96" s="19"/>
      <c r="J96" s="19" t="s">
        <v>379</v>
      </c>
      <c r="K96" s="19">
        <v>7542880079</v>
      </c>
      <c r="L96" s="19" t="s">
        <v>228</v>
      </c>
      <c r="M96" s="19">
        <v>386973</v>
      </c>
      <c r="N96" s="19" t="s">
        <v>336</v>
      </c>
      <c r="O96" s="19" t="s">
        <v>337</v>
      </c>
      <c r="P96" s="19"/>
      <c r="Q96" s="19"/>
      <c r="R96" s="19">
        <v>790</v>
      </c>
      <c r="S96" s="19"/>
      <c r="T96" s="19">
        <v>142.19999999999999</v>
      </c>
      <c r="U96" s="19">
        <v>932.2</v>
      </c>
      <c r="V96" s="19"/>
      <c r="W96" s="19"/>
      <c r="X96" s="19" t="s">
        <v>547</v>
      </c>
    </row>
    <row r="97" spans="1:24" x14ac:dyDescent="0.25">
      <c r="A97" s="19" t="s">
        <v>347</v>
      </c>
      <c r="B97" s="22">
        <v>46082</v>
      </c>
      <c r="C97" s="12" t="s">
        <v>75</v>
      </c>
      <c r="D97" s="12" t="s">
        <v>76</v>
      </c>
      <c r="E97" s="23">
        <v>10110106</v>
      </c>
      <c r="F97" s="32">
        <f>IF(D97="MPG",_xlfn.XLOOKUP(E97,Sheet2!$A$2:$A$2104,Sheet2!$B$2:$B$2104,""),"")</f>
        <v>45692</v>
      </c>
      <c r="G97" s="36">
        <f t="shared" si="10"/>
        <v>413.51991898148117</v>
      </c>
      <c r="H97" s="19" t="s">
        <v>364</v>
      </c>
      <c r="I97" s="19"/>
      <c r="J97" s="19" t="s">
        <v>379</v>
      </c>
      <c r="K97" s="19">
        <v>7542880079</v>
      </c>
      <c r="L97" s="19" t="s">
        <v>228</v>
      </c>
      <c r="M97" s="19">
        <v>386973</v>
      </c>
      <c r="N97" s="19" t="s">
        <v>326</v>
      </c>
      <c r="O97" s="19" t="s">
        <v>327</v>
      </c>
      <c r="P97" s="19"/>
      <c r="Q97" s="19"/>
      <c r="R97" s="19">
        <v>2000</v>
      </c>
      <c r="S97" s="19"/>
      <c r="T97" s="19">
        <v>360</v>
      </c>
      <c r="U97" s="19">
        <v>2360</v>
      </c>
      <c r="V97" s="19"/>
      <c r="W97" s="19"/>
      <c r="X97" s="19" t="s">
        <v>547</v>
      </c>
    </row>
    <row r="98" spans="1:24" x14ac:dyDescent="0.25">
      <c r="A98" s="19" t="s">
        <v>348</v>
      </c>
      <c r="B98" s="22">
        <v>46082</v>
      </c>
      <c r="C98" s="12" t="s">
        <v>75</v>
      </c>
      <c r="D98" s="12" t="s">
        <v>76</v>
      </c>
      <c r="E98" s="23">
        <v>10140007</v>
      </c>
      <c r="F98" s="32">
        <f>IF(D98="MPG",_xlfn.XLOOKUP(E98,Sheet2!$A$2:$A$2104,Sheet2!$B$2:$B$2104,""),"")</f>
        <v>44664</v>
      </c>
      <c r="G98" s="36">
        <f t="shared" si="10"/>
        <v>1441.6284143518496</v>
      </c>
      <c r="H98" s="19" t="s">
        <v>365</v>
      </c>
      <c r="I98" s="19"/>
      <c r="J98" s="19" t="s">
        <v>380</v>
      </c>
      <c r="K98" s="19">
        <v>8651703765</v>
      </c>
      <c r="L98" s="19" t="s">
        <v>228</v>
      </c>
      <c r="M98" s="19">
        <v>360147</v>
      </c>
      <c r="N98" s="19" t="s">
        <v>284</v>
      </c>
      <c r="O98" s="19" t="s">
        <v>285</v>
      </c>
      <c r="P98" s="19"/>
      <c r="Q98" s="19"/>
      <c r="R98" s="19">
        <v>70</v>
      </c>
      <c r="S98" s="19"/>
      <c r="T98" s="19">
        <v>12.6</v>
      </c>
      <c r="U98" s="19">
        <v>82.6</v>
      </c>
      <c r="V98" s="19"/>
      <c r="W98" s="19"/>
      <c r="X98" s="19" t="s">
        <v>547</v>
      </c>
    </row>
    <row r="99" spans="1:24" hidden="1" x14ac:dyDescent="0.25">
      <c r="A99" s="19" t="s">
        <v>349</v>
      </c>
      <c r="B99" s="22">
        <v>46082</v>
      </c>
      <c r="C99" s="12" t="s">
        <v>75</v>
      </c>
      <c r="D99" s="12" t="s">
        <v>76</v>
      </c>
      <c r="E99" s="29">
        <v>10110140</v>
      </c>
      <c r="F99" s="32">
        <f>IF(D99="MPG",_xlfn.XLOOKUP(E99,Sheet2!$A$2:$A$2104,Sheet2!$B$2:$B$2104,""),"")</f>
        <v>45786</v>
      </c>
      <c r="G99" s="36">
        <f t="shared" si="10"/>
        <v>318.7685763888876</v>
      </c>
      <c r="H99" s="19" t="s">
        <v>103</v>
      </c>
      <c r="I99" s="19"/>
      <c r="J99" s="19" t="s">
        <v>179</v>
      </c>
      <c r="K99" s="19">
        <v>9570352603</v>
      </c>
      <c r="L99" s="19" t="s">
        <v>228</v>
      </c>
      <c r="M99" s="19">
        <v>277504</v>
      </c>
      <c r="N99" s="19" t="s">
        <v>402</v>
      </c>
      <c r="O99" s="19" t="s">
        <v>406</v>
      </c>
      <c r="P99" s="19"/>
      <c r="Q99" s="19"/>
      <c r="R99" s="19">
        <v>70</v>
      </c>
      <c r="S99" s="19"/>
      <c r="T99" s="19">
        <v>12.6</v>
      </c>
      <c r="U99" s="19">
        <v>82.6</v>
      </c>
      <c r="V99" s="19"/>
      <c r="W99" s="19"/>
      <c r="X99" s="19" t="s">
        <v>539</v>
      </c>
    </row>
    <row r="100" spans="1:24" hidden="1" x14ac:dyDescent="0.25">
      <c r="A100" s="19" t="s">
        <v>349</v>
      </c>
      <c r="B100" s="22">
        <v>46082</v>
      </c>
      <c r="C100" s="12" t="s">
        <v>75</v>
      </c>
      <c r="D100" s="12" t="s">
        <v>76</v>
      </c>
      <c r="E100" s="29">
        <v>10110140</v>
      </c>
      <c r="F100" s="32">
        <f>IF(D100="MPG",_xlfn.XLOOKUP(E100,Sheet2!$A$2:$A$2104,Sheet2!$B$2:$B$2104,""),"")</f>
        <v>45786</v>
      </c>
      <c r="G100" s="36">
        <f t="shared" si="10"/>
        <v>318.7685763888876</v>
      </c>
      <c r="H100" s="19" t="s">
        <v>103</v>
      </c>
      <c r="I100" s="19"/>
      <c r="J100" s="19" t="s">
        <v>179</v>
      </c>
      <c r="K100" s="19">
        <v>9570352603</v>
      </c>
      <c r="L100" s="19" t="s">
        <v>228</v>
      </c>
      <c r="M100" s="19">
        <v>277504</v>
      </c>
      <c r="N100" s="19" t="s">
        <v>402</v>
      </c>
      <c r="O100" s="19" t="s">
        <v>406</v>
      </c>
      <c r="P100" s="19"/>
      <c r="Q100" s="19"/>
      <c r="R100" s="19">
        <v>70</v>
      </c>
      <c r="S100" s="19"/>
      <c r="T100" s="19">
        <v>12.6</v>
      </c>
      <c r="U100" s="19">
        <v>82.6</v>
      </c>
      <c r="V100" s="19"/>
      <c r="W100" s="19"/>
      <c r="X100" s="19" t="s">
        <v>539</v>
      </c>
    </row>
    <row r="101" spans="1:24" x14ac:dyDescent="0.25">
      <c r="A101" s="19" t="s">
        <v>350</v>
      </c>
      <c r="B101" s="22">
        <v>46082</v>
      </c>
      <c r="C101" s="12" t="s">
        <v>75</v>
      </c>
      <c r="D101" s="12" t="s">
        <v>76</v>
      </c>
      <c r="E101" s="29">
        <v>10110055</v>
      </c>
      <c r="F101" s="32">
        <f>IF(D101="MPG",_xlfn.XLOOKUP(E101,Sheet2!$A$2:$A$2104,Sheet2!$B$2:$B$2104,""),"")</f>
        <v>45323</v>
      </c>
      <c r="G101" s="36">
        <f t="shared" si="10"/>
        <v>779.71001157407591</v>
      </c>
      <c r="H101" s="19" t="s">
        <v>366</v>
      </c>
      <c r="I101" s="19"/>
      <c r="J101" s="19" t="s">
        <v>0</v>
      </c>
      <c r="K101" s="19">
        <v>6204172365</v>
      </c>
      <c r="L101" s="19" t="s">
        <v>228</v>
      </c>
      <c r="M101" s="19">
        <v>386970</v>
      </c>
      <c r="N101" s="19" t="s">
        <v>298</v>
      </c>
      <c r="O101" s="19" t="s">
        <v>299</v>
      </c>
      <c r="P101" s="19"/>
      <c r="Q101" s="19"/>
      <c r="R101" s="19">
        <v>770</v>
      </c>
      <c r="S101" s="19"/>
      <c r="T101" s="19">
        <v>138.6</v>
      </c>
      <c r="U101" s="19">
        <v>908.6</v>
      </c>
      <c r="V101" s="19"/>
      <c r="W101" s="19"/>
      <c r="X101" s="19" t="s">
        <v>547</v>
      </c>
    </row>
    <row r="102" spans="1:24" x14ac:dyDescent="0.25">
      <c r="A102" s="19" t="s">
        <v>351</v>
      </c>
      <c r="B102" s="22">
        <v>46082</v>
      </c>
      <c r="C102" s="12" t="s">
        <v>75</v>
      </c>
      <c r="D102" s="12" t="s">
        <v>76</v>
      </c>
      <c r="E102" s="23">
        <v>10140003</v>
      </c>
      <c r="F102" s="32">
        <f>IF(D102="MPG",_xlfn.XLOOKUP(E102,Sheet2!$A$2:$A$2104,Sheet2!$B$2:$B$2104,""),"")</f>
        <v>44664</v>
      </c>
      <c r="G102" s="36">
        <f t="shared" si="10"/>
        <v>1433.4819097222207</v>
      </c>
      <c r="H102" s="19" t="s">
        <v>367</v>
      </c>
      <c r="I102" s="19"/>
      <c r="J102" s="19" t="s">
        <v>381</v>
      </c>
      <c r="K102" s="19">
        <v>8709513821</v>
      </c>
      <c r="L102" s="19" t="s">
        <v>228</v>
      </c>
      <c r="M102" s="19">
        <v>359707</v>
      </c>
      <c r="N102" s="19" t="s">
        <v>284</v>
      </c>
      <c r="O102" s="19" t="s">
        <v>285</v>
      </c>
      <c r="P102" s="19"/>
      <c r="Q102" s="19"/>
      <c r="R102" s="19">
        <v>70</v>
      </c>
      <c r="S102" s="19"/>
      <c r="T102" s="19">
        <v>12.6</v>
      </c>
      <c r="U102" s="19">
        <v>82.6</v>
      </c>
      <c r="V102" s="19"/>
      <c r="W102" s="19"/>
      <c r="X102" s="19" t="s">
        <v>547</v>
      </c>
    </row>
    <row r="103" spans="1:24" hidden="1" x14ac:dyDescent="0.25">
      <c r="A103" s="19" t="s">
        <v>352</v>
      </c>
      <c r="B103" s="22">
        <v>46082</v>
      </c>
      <c r="C103" s="12" t="s">
        <v>75</v>
      </c>
      <c r="D103" s="12" t="s">
        <v>76</v>
      </c>
      <c r="E103" s="23">
        <v>10030082</v>
      </c>
      <c r="F103" s="32">
        <f>IF(D103="MPG",_xlfn.XLOOKUP(E103,Sheet2!$A$2:$A$2104,Sheet2!$B$2:$B$2104,""),"")</f>
        <v>46024</v>
      </c>
      <c r="G103" s="36">
        <f t="shared" si="10"/>
        <v>73.708923611113278</v>
      </c>
      <c r="H103" s="19" t="s">
        <v>368</v>
      </c>
      <c r="I103" s="19"/>
      <c r="J103" s="19" t="s">
        <v>382</v>
      </c>
      <c r="K103" s="19">
        <v>6202078377</v>
      </c>
      <c r="L103" s="19" t="s">
        <v>230</v>
      </c>
      <c r="M103" s="19" t="s">
        <v>393</v>
      </c>
      <c r="N103" s="19" t="s">
        <v>314</v>
      </c>
      <c r="O103" s="19" t="s">
        <v>315</v>
      </c>
      <c r="P103" s="19"/>
      <c r="Q103" s="19"/>
      <c r="R103" s="19">
        <v>925</v>
      </c>
      <c r="S103" s="19"/>
      <c r="T103" s="19">
        <v>166.5</v>
      </c>
      <c r="U103" s="19">
        <v>1091.5</v>
      </c>
      <c r="V103" s="19"/>
      <c r="W103" s="19"/>
      <c r="X103" s="19" t="s">
        <v>539</v>
      </c>
    </row>
    <row r="104" spans="1:24" x14ac:dyDescent="0.25">
      <c r="A104" s="19" t="s">
        <v>353</v>
      </c>
      <c r="B104" s="22">
        <v>46082</v>
      </c>
      <c r="C104" s="12" t="s">
        <v>75</v>
      </c>
      <c r="D104" s="12" t="s">
        <v>76</v>
      </c>
      <c r="E104" s="23">
        <v>10130052</v>
      </c>
      <c r="F104" s="32">
        <f>IF(D104="MPG",_xlfn.XLOOKUP(E104,Sheet2!$A$2:$A$2104,Sheet2!$B$2:$B$2104,""),"")</f>
        <v>45392</v>
      </c>
      <c r="G104" s="36">
        <f t="shared" si="10"/>
        <v>701.5386574074073</v>
      </c>
      <c r="H104" s="19" t="s">
        <v>369</v>
      </c>
      <c r="I104" s="19"/>
      <c r="J104" s="19" t="s">
        <v>383</v>
      </c>
      <c r="K104" s="19">
        <v>9801941019</v>
      </c>
      <c r="L104" s="19" t="s">
        <v>228</v>
      </c>
      <c r="M104" s="19" t="s">
        <v>394</v>
      </c>
      <c r="N104" s="19" t="s">
        <v>336</v>
      </c>
      <c r="O104" s="19" t="s">
        <v>337</v>
      </c>
      <c r="P104" s="19"/>
      <c r="Q104" s="19"/>
      <c r="R104" s="19">
        <v>790</v>
      </c>
      <c r="S104" s="19"/>
      <c r="T104" s="19">
        <v>142.19999999999999</v>
      </c>
      <c r="U104" s="19">
        <v>932.2</v>
      </c>
      <c r="V104" s="19"/>
      <c r="W104" s="19"/>
      <c r="X104" s="19" t="s">
        <v>547</v>
      </c>
    </row>
    <row r="105" spans="1:24" hidden="1" x14ac:dyDescent="0.25">
      <c r="A105" s="19" t="s">
        <v>354</v>
      </c>
      <c r="B105" s="22">
        <v>46082</v>
      </c>
      <c r="C105" s="12" t="s">
        <v>75</v>
      </c>
      <c r="D105" s="12" t="s">
        <v>76</v>
      </c>
      <c r="E105" s="23">
        <v>10540042</v>
      </c>
      <c r="F105" s="32">
        <f>IF(D105="MPG",_xlfn.XLOOKUP(E105,Sheet2!$A$2:$A$2104,Sheet2!$B$2:$B$2104,""),"")</f>
        <v>46046</v>
      </c>
      <c r="G105" s="36">
        <f t="shared" si="10"/>
        <v>47.686249999998836</v>
      </c>
      <c r="H105" s="19" t="s">
        <v>370</v>
      </c>
      <c r="I105" s="19"/>
      <c r="J105" s="19" t="s">
        <v>384</v>
      </c>
      <c r="K105" s="19">
        <v>8235366514</v>
      </c>
      <c r="L105" s="19" t="s">
        <v>395</v>
      </c>
      <c r="M105" s="19" t="s">
        <v>396</v>
      </c>
      <c r="N105" s="19" t="s">
        <v>403</v>
      </c>
      <c r="O105" s="19" t="s">
        <v>407</v>
      </c>
      <c r="P105" s="19"/>
      <c r="Q105" s="19"/>
      <c r="R105" s="19">
        <v>49</v>
      </c>
      <c r="S105" s="19"/>
      <c r="T105" s="19">
        <v>8.82</v>
      </c>
      <c r="U105" s="19">
        <v>57.82</v>
      </c>
      <c r="V105" s="19"/>
      <c r="W105" s="19"/>
      <c r="X105" s="19" t="s">
        <v>539</v>
      </c>
    </row>
    <row r="106" spans="1:24" hidden="1" x14ac:dyDescent="0.25">
      <c r="A106" s="19" t="s">
        <v>354</v>
      </c>
      <c r="B106" s="22">
        <v>46082</v>
      </c>
      <c r="C106" s="12" t="s">
        <v>75</v>
      </c>
      <c r="D106" s="12" t="s">
        <v>76</v>
      </c>
      <c r="E106" s="23">
        <v>10540042</v>
      </c>
      <c r="F106" s="32">
        <f>IF(D106="MPG",_xlfn.XLOOKUP(E106,Sheet2!$A$2:$A$2104,Sheet2!$B$2:$B$2104,""),"")</f>
        <v>46046</v>
      </c>
      <c r="G106" s="36">
        <f t="shared" si="10"/>
        <v>47.686249999998836</v>
      </c>
      <c r="H106" s="19" t="s">
        <v>370</v>
      </c>
      <c r="I106" s="19"/>
      <c r="J106" s="19" t="s">
        <v>384</v>
      </c>
      <c r="K106" s="19">
        <v>8235366514</v>
      </c>
      <c r="L106" s="19" t="s">
        <v>395</v>
      </c>
      <c r="M106" s="19" t="s">
        <v>396</v>
      </c>
      <c r="N106" s="19" t="s">
        <v>403</v>
      </c>
      <c r="O106" s="19" t="s">
        <v>407</v>
      </c>
      <c r="P106" s="19"/>
      <c r="Q106" s="19"/>
      <c r="R106" s="19">
        <v>49</v>
      </c>
      <c r="S106" s="19"/>
      <c r="T106" s="19">
        <v>8.82</v>
      </c>
      <c r="U106" s="19">
        <v>57.82</v>
      </c>
      <c r="V106" s="19"/>
      <c r="W106" s="19"/>
      <c r="X106" s="19" t="s">
        <v>539</v>
      </c>
    </row>
    <row r="107" spans="1:24" x14ac:dyDescent="0.25">
      <c r="A107" s="19" t="s">
        <v>355</v>
      </c>
      <c r="B107" s="22">
        <v>46082</v>
      </c>
      <c r="C107" s="12" t="s">
        <v>75</v>
      </c>
      <c r="D107" s="12" t="s">
        <v>76</v>
      </c>
      <c r="E107" s="23">
        <v>10140041</v>
      </c>
      <c r="F107" s="32">
        <f>IF(D107="MPG",_xlfn.XLOOKUP(E107,Sheet2!$A$2:$A$2104,Sheet2!$B$2:$B$2104,""),"")</f>
        <v>44979</v>
      </c>
      <c r="G107" s="36">
        <f t="shared" si="10"/>
        <v>1113.5859143518537</v>
      </c>
      <c r="H107" s="19" t="s">
        <v>371</v>
      </c>
      <c r="I107" s="19"/>
      <c r="J107" s="19" t="s">
        <v>385</v>
      </c>
      <c r="K107" s="19">
        <v>7277905756</v>
      </c>
      <c r="L107" s="19" t="s">
        <v>230</v>
      </c>
      <c r="M107" s="19" t="s">
        <v>397</v>
      </c>
      <c r="N107" s="19" t="s">
        <v>291</v>
      </c>
      <c r="O107" s="19" t="s">
        <v>292</v>
      </c>
      <c r="P107" s="19"/>
      <c r="Q107" s="19"/>
      <c r="R107" s="19">
        <v>780</v>
      </c>
      <c r="S107" s="19"/>
      <c r="T107" s="19">
        <v>140.4</v>
      </c>
      <c r="U107" s="19">
        <v>920.4</v>
      </c>
      <c r="V107" s="19"/>
      <c r="W107" s="19"/>
      <c r="X107" s="19" t="s">
        <v>547</v>
      </c>
    </row>
    <row r="108" spans="1:24" x14ac:dyDescent="0.25">
      <c r="A108" s="19" t="s">
        <v>355</v>
      </c>
      <c r="B108" s="22">
        <v>46082</v>
      </c>
      <c r="C108" s="12" t="s">
        <v>75</v>
      </c>
      <c r="D108" s="12" t="s">
        <v>76</v>
      </c>
      <c r="E108" s="23">
        <v>10140041</v>
      </c>
      <c r="F108" s="32">
        <f>IF(D108="MPG",_xlfn.XLOOKUP(E108,Sheet2!$A$2:$A$2104,Sheet2!$B$2:$B$2104,""),"")</f>
        <v>44979</v>
      </c>
      <c r="G108" s="36">
        <f t="shared" si="10"/>
        <v>1113.5859143518537</v>
      </c>
      <c r="H108" s="19" t="s">
        <v>371</v>
      </c>
      <c r="I108" s="19"/>
      <c r="J108" s="19" t="s">
        <v>385</v>
      </c>
      <c r="K108" s="19">
        <v>7277905756</v>
      </c>
      <c r="L108" s="19" t="s">
        <v>230</v>
      </c>
      <c r="M108" s="19" t="s">
        <v>397</v>
      </c>
      <c r="N108" s="19" t="s">
        <v>291</v>
      </c>
      <c r="O108" s="19" t="s">
        <v>292</v>
      </c>
      <c r="P108" s="19"/>
      <c r="Q108" s="19"/>
      <c r="R108" s="19">
        <v>780</v>
      </c>
      <c r="S108" s="19"/>
      <c r="T108" s="19">
        <v>140.4</v>
      </c>
      <c r="U108" s="19">
        <v>920.4</v>
      </c>
      <c r="V108" s="19"/>
      <c r="W108" s="19"/>
      <c r="X108" s="19" t="s">
        <v>547</v>
      </c>
    </row>
    <row r="109" spans="1:24" x14ac:dyDescent="0.25">
      <c r="A109" s="19" t="s">
        <v>356</v>
      </c>
      <c r="B109" s="22">
        <v>46082</v>
      </c>
      <c r="C109" s="12" t="s">
        <v>75</v>
      </c>
      <c r="D109" s="12" t="s">
        <v>76</v>
      </c>
      <c r="E109" s="29">
        <v>10360001</v>
      </c>
      <c r="F109" s="32">
        <f>IF(D109="MPG",_xlfn.XLOOKUP(E109,Sheet2!$A$2:$A$2104,Sheet2!$B$2:$B$2104,""),"")</f>
        <v>42979</v>
      </c>
      <c r="G109" s="36">
        <f t="shared" si="10"/>
        <v>3113.6574189814783</v>
      </c>
      <c r="H109" s="19" t="s">
        <v>372</v>
      </c>
      <c r="I109" s="19"/>
      <c r="J109" s="19" t="s">
        <v>386</v>
      </c>
      <c r="K109" s="19">
        <v>9199843014</v>
      </c>
      <c r="L109" s="19" t="s">
        <v>228</v>
      </c>
      <c r="M109" s="19">
        <v>195792</v>
      </c>
      <c r="N109" s="19" t="s">
        <v>404</v>
      </c>
      <c r="O109" s="19" t="s">
        <v>408</v>
      </c>
      <c r="P109" s="19"/>
      <c r="Q109" s="19"/>
      <c r="R109" s="19">
        <v>8000</v>
      </c>
      <c r="S109" s="19"/>
      <c r="T109" s="19">
        <v>1440</v>
      </c>
      <c r="U109" s="19">
        <v>9440</v>
      </c>
      <c r="V109" s="19"/>
      <c r="W109" s="19"/>
      <c r="X109" s="19" t="s">
        <v>547</v>
      </c>
    </row>
    <row r="110" spans="1:24" x14ac:dyDescent="0.25">
      <c r="A110" s="19" t="s">
        <v>357</v>
      </c>
      <c r="B110" s="22">
        <v>46082</v>
      </c>
      <c r="C110" s="12" t="s">
        <v>75</v>
      </c>
      <c r="D110" s="12" t="s">
        <v>76</v>
      </c>
      <c r="E110" s="23">
        <v>10120065</v>
      </c>
      <c r="F110" s="32">
        <f>IF(D110="MPG",_xlfn.XLOOKUP(E110,Sheet2!$A$2:$A$2104,Sheet2!$B$2:$B$2104,""),"")</f>
        <v>45323</v>
      </c>
      <c r="G110" s="36">
        <f t="shared" si="10"/>
        <v>765.57724537036847</v>
      </c>
      <c r="H110" s="19" t="s">
        <v>373</v>
      </c>
      <c r="I110" s="19"/>
      <c r="J110" s="19" t="s">
        <v>387</v>
      </c>
      <c r="K110" s="19">
        <v>6204070405</v>
      </c>
      <c r="L110" s="19" t="s">
        <v>228</v>
      </c>
      <c r="M110" s="19">
        <v>2349717</v>
      </c>
      <c r="N110" s="19" t="s">
        <v>296</v>
      </c>
      <c r="O110" s="19" t="s">
        <v>297</v>
      </c>
      <c r="P110" s="19"/>
      <c r="Q110" s="19"/>
      <c r="R110" s="19">
        <v>125</v>
      </c>
      <c r="S110" s="19"/>
      <c r="T110" s="19">
        <v>22.5</v>
      </c>
      <c r="U110" s="19">
        <v>147.5</v>
      </c>
      <c r="V110" s="19"/>
      <c r="W110" s="19"/>
      <c r="X110" s="19" t="s">
        <v>547</v>
      </c>
    </row>
    <row r="111" spans="1:24" x14ac:dyDescent="0.25">
      <c r="A111" s="19" t="s">
        <v>357</v>
      </c>
      <c r="B111" s="22">
        <v>46082</v>
      </c>
      <c r="C111" s="12" t="s">
        <v>75</v>
      </c>
      <c r="D111" s="12" t="s">
        <v>76</v>
      </c>
      <c r="E111" s="23">
        <v>10120065</v>
      </c>
      <c r="F111" s="32">
        <f>IF(D111="MPG",_xlfn.XLOOKUP(E111,Sheet2!$A$2:$A$2104,Sheet2!$B$2:$B$2104,""),"")</f>
        <v>45323</v>
      </c>
      <c r="G111" s="36">
        <f t="shared" si="10"/>
        <v>765.57724537036847</v>
      </c>
      <c r="H111" s="19" t="s">
        <v>373</v>
      </c>
      <c r="I111" s="19"/>
      <c r="J111" s="19" t="s">
        <v>387</v>
      </c>
      <c r="K111" s="19">
        <v>6204070405</v>
      </c>
      <c r="L111" s="19" t="s">
        <v>228</v>
      </c>
      <c r="M111" s="19">
        <v>2349717</v>
      </c>
      <c r="N111" s="19" t="s">
        <v>296</v>
      </c>
      <c r="O111" s="19" t="s">
        <v>297</v>
      </c>
      <c r="P111" s="19"/>
      <c r="Q111" s="19"/>
      <c r="R111" s="19">
        <v>125</v>
      </c>
      <c r="S111" s="19"/>
      <c r="T111" s="19">
        <v>22.5</v>
      </c>
      <c r="U111" s="19">
        <v>147.5</v>
      </c>
      <c r="V111" s="19"/>
      <c r="W111" s="19"/>
      <c r="X111" s="19" t="s">
        <v>547</v>
      </c>
    </row>
    <row r="112" spans="1:24" x14ac:dyDescent="0.25">
      <c r="A112" s="19" t="s">
        <v>357</v>
      </c>
      <c r="B112" s="22">
        <v>46082</v>
      </c>
      <c r="C112" s="12" t="s">
        <v>75</v>
      </c>
      <c r="D112" s="12" t="s">
        <v>76</v>
      </c>
      <c r="E112" s="23">
        <v>10120065</v>
      </c>
      <c r="F112" s="32">
        <f>IF(D112="MPG",_xlfn.XLOOKUP(E112,Sheet2!$A$2:$A$2104,Sheet2!$B$2:$B$2104,""),"")</f>
        <v>45323</v>
      </c>
      <c r="G112" s="36">
        <f t="shared" si="10"/>
        <v>765.57724537036847</v>
      </c>
      <c r="H112" s="19" t="s">
        <v>373</v>
      </c>
      <c r="I112" s="19"/>
      <c r="J112" s="19" t="s">
        <v>387</v>
      </c>
      <c r="K112" s="19">
        <v>6204070405</v>
      </c>
      <c r="L112" s="19" t="s">
        <v>228</v>
      </c>
      <c r="M112" s="19">
        <v>2349717</v>
      </c>
      <c r="N112" s="19" t="s">
        <v>308</v>
      </c>
      <c r="O112" s="19" t="s">
        <v>309</v>
      </c>
      <c r="P112" s="19"/>
      <c r="Q112" s="19"/>
      <c r="R112" s="19">
        <v>62</v>
      </c>
      <c r="S112" s="19"/>
      <c r="T112" s="19">
        <v>11.16</v>
      </c>
      <c r="U112" s="19">
        <v>73.16</v>
      </c>
      <c r="V112" s="19"/>
      <c r="W112" s="19"/>
      <c r="X112" s="19" t="s">
        <v>547</v>
      </c>
    </row>
    <row r="113" spans="1:24" x14ac:dyDescent="0.25">
      <c r="A113" s="19" t="s">
        <v>358</v>
      </c>
      <c r="B113" s="22">
        <v>46082</v>
      </c>
      <c r="C113" s="12" t="s">
        <v>75</v>
      </c>
      <c r="D113" s="12" t="s">
        <v>76</v>
      </c>
      <c r="E113" s="29">
        <v>10310001</v>
      </c>
      <c r="F113" s="32">
        <f>IF(D113="MPG",_xlfn.XLOOKUP(E113,Sheet2!$A$2:$A$2104,Sheet2!$B$2:$B$2104,""),"")</f>
        <v>42979</v>
      </c>
      <c r="G113" s="36">
        <f t="shared" si="10"/>
        <v>3108.854467592595</v>
      </c>
      <c r="H113" s="19" t="s">
        <v>374</v>
      </c>
      <c r="I113" s="19"/>
      <c r="J113" s="19" t="s">
        <v>388</v>
      </c>
      <c r="K113" s="19">
        <v>8544100990</v>
      </c>
      <c r="L113" s="19" t="s">
        <v>228</v>
      </c>
      <c r="M113" s="19">
        <v>277532</v>
      </c>
      <c r="N113" s="19" t="s">
        <v>403</v>
      </c>
      <c r="O113" s="19" t="s">
        <v>407</v>
      </c>
      <c r="P113" s="19"/>
      <c r="Q113" s="19"/>
      <c r="R113" s="19">
        <v>49</v>
      </c>
      <c r="S113" s="19"/>
      <c r="T113" s="19">
        <v>8.82</v>
      </c>
      <c r="U113" s="19">
        <v>57.82</v>
      </c>
      <c r="V113" s="19"/>
      <c r="W113" s="19"/>
      <c r="X113" s="19" t="s">
        <v>547</v>
      </c>
    </row>
    <row r="114" spans="1:24" x14ac:dyDescent="0.25">
      <c r="A114" s="19" t="s">
        <v>358</v>
      </c>
      <c r="B114" s="22">
        <v>46082</v>
      </c>
      <c r="C114" s="12" t="s">
        <v>75</v>
      </c>
      <c r="D114" s="12" t="s">
        <v>76</v>
      </c>
      <c r="E114" s="29">
        <v>10310001</v>
      </c>
      <c r="F114" s="32">
        <f>IF(D114="MPG",_xlfn.XLOOKUP(E114,Sheet2!$A$2:$A$2104,Sheet2!$B$2:$B$2104,""),"")</f>
        <v>42979</v>
      </c>
      <c r="G114" s="36">
        <f t="shared" si="10"/>
        <v>3108.854467592595</v>
      </c>
      <c r="H114" s="19" t="s">
        <v>374</v>
      </c>
      <c r="I114" s="19"/>
      <c r="J114" s="19" t="s">
        <v>388</v>
      </c>
      <c r="K114" s="19">
        <v>8544100990</v>
      </c>
      <c r="L114" s="19" t="s">
        <v>228</v>
      </c>
      <c r="M114" s="19">
        <v>277532</v>
      </c>
      <c r="N114" s="19" t="s">
        <v>403</v>
      </c>
      <c r="O114" s="19" t="s">
        <v>407</v>
      </c>
      <c r="P114" s="19"/>
      <c r="Q114" s="19"/>
      <c r="R114" s="19">
        <v>49</v>
      </c>
      <c r="S114" s="19"/>
      <c r="T114" s="19">
        <v>8.82</v>
      </c>
      <c r="U114" s="19">
        <v>57.82</v>
      </c>
      <c r="V114" s="19"/>
      <c r="W114" s="19"/>
      <c r="X114" s="19" t="s">
        <v>547</v>
      </c>
    </row>
    <row r="115" spans="1:24" x14ac:dyDescent="0.25">
      <c r="A115" s="19" t="s">
        <v>359</v>
      </c>
      <c r="B115" s="22">
        <v>46082</v>
      </c>
      <c r="C115" s="12" t="s">
        <v>75</v>
      </c>
      <c r="D115" s="12" t="s">
        <v>76</v>
      </c>
      <c r="E115" s="29">
        <v>10100009</v>
      </c>
      <c r="F115" s="32">
        <f>IF(D115="MPG",_xlfn.XLOOKUP(E115,Sheet2!$A$2:$A$2104,Sheet2!$B$2:$B$2104,""),"")</f>
        <v>45012</v>
      </c>
      <c r="G115" s="36">
        <f t="shared" si="10"/>
        <v>1071.6944791666683</v>
      </c>
      <c r="H115" s="19" t="s">
        <v>375</v>
      </c>
      <c r="I115" s="19"/>
      <c r="J115" s="19" t="s">
        <v>389</v>
      </c>
      <c r="K115" s="19">
        <v>9122191559</v>
      </c>
      <c r="L115" s="19" t="s">
        <v>230</v>
      </c>
      <c r="M115" s="19" t="s">
        <v>398</v>
      </c>
      <c r="N115" s="19" t="s">
        <v>405</v>
      </c>
      <c r="O115" s="19" t="s">
        <v>409</v>
      </c>
      <c r="P115" s="19"/>
      <c r="Q115" s="19"/>
      <c r="R115" s="19">
        <v>925</v>
      </c>
      <c r="S115" s="19"/>
      <c r="T115" s="19">
        <v>166.5</v>
      </c>
      <c r="U115" s="19">
        <v>1091.5</v>
      </c>
      <c r="V115" s="19"/>
      <c r="W115" s="19"/>
      <c r="X115" s="19" t="s">
        <v>547</v>
      </c>
    </row>
    <row r="116" spans="1:24" x14ac:dyDescent="0.25">
      <c r="A116" s="19" t="s">
        <v>360</v>
      </c>
      <c r="B116" s="22">
        <v>46082</v>
      </c>
      <c r="C116" s="12" t="s">
        <v>75</v>
      </c>
      <c r="D116" s="12" t="s">
        <v>76</v>
      </c>
      <c r="E116" s="23">
        <v>10140129</v>
      </c>
      <c r="F116" s="32">
        <f>IF(D116="MPG",_xlfn.XLOOKUP(E116,Sheet2!$A$2:$A$2104,Sheet2!$B$2:$B$2104,""),"")</f>
        <v>45590</v>
      </c>
      <c r="G116" s="36">
        <f t="shared" si="10"/>
        <v>493.71471064814978</v>
      </c>
      <c r="H116" s="19" t="s">
        <v>376</v>
      </c>
      <c r="I116" s="19"/>
      <c r="J116" s="19" t="s">
        <v>390</v>
      </c>
      <c r="K116" s="19">
        <v>9931327599</v>
      </c>
      <c r="L116" s="19" t="s">
        <v>231</v>
      </c>
      <c r="M116" s="19" t="s">
        <v>399</v>
      </c>
      <c r="N116" s="19" t="s">
        <v>320</v>
      </c>
      <c r="O116" s="19" t="s">
        <v>321</v>
      </c>
      <c r="P116" s="19"/>
      <c r="Q116" s="19"/>
      <c r="R116" s="19">
        <v>1750</v>
      </c>
      <c r="S116" s="19"/>
      <c r="T116" s="19">
        <v>315</v>
      </c>
      <c r="U116" s="19">
        <v>2065</v>
      </c>
      <c r="V116" s="19"/>
      <c r="W116" s="19"/>
      <c r="X116" s="19" t="s">
        <v>547</v>
      </c>
    </row>
    <row r="117" spans="1:24" x14ac:dyDescent="0.25">
      <c r="A117" s="19" t="s">
        <v>361</v>
      </c>
      <c r="B117" s="22">
        <v>46082</v>
      </c>
      <c r="C117" s="12" t="s">
        <v>75</v>
      </c>
      <c r="D117" s="12" t="s">
        <v>76</v>
      </c>
      <c r="E117" s="29">
        <v>10110050</v>
      </c>
      <c r="F117" s="32">
        <f>IF(D117="MPG",_xlfn.XLOOKUP(E117,Sheet2!$A$2:$A$2104,Sheet2!$B$2:$B$2104,""),"")</f>
        <v>45205</v>
      </c>
      <c r="G117" s="36">
        <f t="shared" si="10"/>
        <v>876.71428240741079</v>
      </c>
      <c r="H117" s="19" t="s">
        <v>377</v>
      </c>
      <c r="I117" s="19"/>
      <c r="J117" s="19" t="s">
        <v>391</v>
      </c>
      <c r="K117" s="19">
        <v>8789901453</v>
      </c>
      <c r="L117" s="19" t="s">
        <v>229</v>
      </c>
      <c r="M117" s="19" t="s">
        <v>400</v>
      </c>
      <c r="N117" s="19" t="s">
        <v>322</v>
      </c>
      <c r="O117" s="19" t="s">
        <v>323</v>
      </c>
      <c r="P117" s="19"/>
      <c r="Q117" s="19"/>
      <c r="R117" s="19">
        <v>1266</v>
      </c>
      <c r="S117" s="19"/>
      <c r="T117" s="19">
        <v>227.88</v>
      </c>
      <c r="U117" s="19">
        <v>1493.88</v>
      </c>
      <c r="V117" s="19"/>
      <c r="W117" s="19"/>
      <c r="X117" s="19" t="s">
        <v>547</v>
      </c>
    </row>
    <row r="118" spans="1:24" hidden="1" x14ac:dyDescent="0.25">
      <c r="A118" s="19" t="s">
        <v>362</v>
      </c>
      <c r="B118" s="22">
        <v>46082</v>
      </c>
      <c r="C118" s="12" t="s">
        <v>75</v>
      </c>
      <c r="D118" s="12" t="s">
        <v>76</v>
      </c>
      <c r="E118" s="23">
        <v>10030082</v>
      </c>
      <c r="F118" s="32">
        <f>IF(D118="MPG",_xlfn.XLOOKUP(E118,Sheet2!$A$2:$A$2104,Sheet2!$B$2:$B$2104,""),"")</f>
        <v>46024</v>
      </c>
      <c r="G118" s="36">
        <f t="shared" si="10"/>
        <v>57.710300925922638</v>
      </c>
      <c r="H118" s="19" t="s">
        <v>368</v>
      </c>
      <c r="I118" s="19"/>
      <c r="J118" s="19" t="s">
        <v>382</v>
      </c>
      <c r="K118" s="19">
        <v>6202078377</v>
      </c>
      <c r="L118" s="19" t="s">
        <v>230</v>
      </c>
      <c r="M118" s="19" t="s">
        <v>393</v>
      </c>
      <c r="N118" s="19" t="s">
        <v>312</v>
      </c>
      <c r="O118" s="19" t="s">
        <v>313</v>
      </c>
      <c r="P118" s="19"/>
      <c r="Q118" s="19"/>
      <c r="R118" s="19">
        <v>2800</v>
      </c>
      <c r="S118" s="19"/>
      <c r="T118" s="19">
        <v>504</v>
      </c>
      <c r="U118" s="19">
        <v>3304</v>
      </c>
      <c r="V118" s="19"/>
      <c r="W118" s="19"/>
      <c r="X118" s="19" t="s">
        <v>539</v>
      </c>
    </row>
    <row r="119" spans="1:24" x14ac:dyDescent="0.25">
      <c r="A119" s="19" t="s">
        <v>363</v>
      </c>
      <c r="B119" s="22">
        <v>46082</v>
      </c>
      <c r="C119" s="12" t="s">
        <v>75</v>
      </c>
      <c r="D119" s="12" t="s">
        <v>76</v>
      </c>
      <c r="E119" s="23">
        <v>10060031</v>
      </c>
      <c r="F119" s="32">
        <f>IF(D119="MPG",_xlfn.XLOOKUP(E119,Sheet2!$A$2:$A$2104,Sheet2!$B$2:$B$2104,""),"")</f>
        <v>45049</v>
      </c>
      <c r="G119" s="36">
        <f t="shared" si="10"/>
        <v>1032.7249189814829</v>
      </c>
      <c r="H119" s="19" t="s">
        <v>378</v>
      </c>
      <c r="I119" s="19"/>
      <c r="J119" s="19" t="s">
        <v>392</v>
      </c>
      <c r="K119" s="19">
        <v>9570500064</v>
      </c>
      <c r="L119" s="19" t="s">
        <v>230</v>
      </c>
      <c r="M119" s="19" t="s">
        <v>401</v>
      </c>
      <c r="N119" s="19" t="s">
        <v>293</v>
      </c>
      <c r="O119" s="19" t="s">
        <v>294</v>
      </c>
      <c r="P119" s="19"/>
      <c r="Q119" s="19"/>
      <c r="R119" s="19">
        <v>350</v>
      </c>
      <c r="S119" s="19"/>
      <c r="T119" s="19">
        <v>63</v>
      </c>
      <c r="U119" s="19">
        <v>413</v>
      </c>
      <c r="V119" s="19"/>
      <c r="W119" s="19"/>
      <c r="X119" s="19" t="s">
        <v>547</v>
      </c>
    </row>
    <row r="120" spans="1:24" x14ac:dyDescent="0.25">
      <c r="A120" s="7">
        <v>46142.676064814812</v>
      </c>
      <c r="B120" s="22">
        <v>46113</v>
      </c>
      <c r="C120" s="12" t="s">
        <v>75</v>
      </c>
      <c r="D120" s="12" t="s">
        <v>76</v>
      </c>
      <c r="E120" s="23">
        <v>10090063</v>
      </c>
      <c r="F120" s="32">
        <f>IF(D120="MPG",_xlfn.XLOOKUP(E120,Sheet2!$A$2:$A$2104,Sheet2!$B$2:$B$2104,""),"")</f>
        <v>45745</v>
      </c>
      <c r="G120" s="36">
        <f t="shared" si="10"/>
        <v>397.67606481481198</v>
      </c>
      <c r="H120" s="19" t="s">
        <v>411</v>
      </c>
      <c r="I120" s="19"/>
      <c r="J120" s="19"/>
      <c r="K120" s="19"/>
      <c r="L120" s="19"/>
      <c r="M120" s="19"/>
      <c r="N120" s="19" t="s">
        <v>423</v>
      </c>
      <c r="O120" s="19" t="s">
        <v>309</v>
      </c>
      <c r="P120" s="19"/>
      <c r="Q120" s="19"/>
      <c r="R120" s="19">
        <v>62</v>
      </c>
      <c r="S120" s="19">
        <v>124</v>
      </c>
      <c r="T120" s="19">
        <v>22.32</v>
      </c>
      <c r="U120" s="19">
        <v>146.32</v>
      </c>
      <c r="V120" s="19"/>
      <c r="W120" s="19"/>
      <c r="X120" s="19" t="s">
        <v>547</v>
      </c>
    </row>
    <row r="121" spans="1:24" x14ac:dyDescent="0.25">
      <c r="A121" s="8">
        <v>46142.67559027778</v>
      </c>
      <c r="B121" s="22">
        <v>46113</v>
      </c>
      <c r="C121" s="12" t="s">
        <v>75</v>
      </c>
      <c r="D121" s="12" t="s">
        <v>76</v>
      </c>
      <c r="E121" s="23">
        <v>10060049</v>
      </c>
      <c r="F121" s="32">
        <f>IF(D121="MPG",_xlfn.XLOOKUP(E121,Sheet2!$A$2:$A$2104,Sheet2!$B$2:$B$2104,""),"")</f>
        <v>45267</v>
      </c>
      <c r="G121" s="36">
        <f t="shared" si="10"/>
        <v>875.67559027778043</v>
      </c>
      <c r="H121" s="19" t="s">
        <v>412</v>
      </c>
      <c r="I121" s="19"/>
      <c r="J121" s="19"/>
      <c r="K121" s="19"/>
      <c r="L121" s="19"/>
      <c r="M121" s="19"/>
      <c r="N121" s="19" t="s">
        <v>424</v>
      </c>
      <c r="O121" s="19" t="s">
        <v>420</v>
      </c>
      <c r="P121" s="19"/>
      <c r="Q121" s="19"/>
      <c r="R121" s="19">
        <v>2000</v>
      </c>
      <c r="S121" s="19">
        <v>2000</v>
      </c>
      <c r="T121" s="19">
        <v>360</v>
      </c>
      <c r="U121" s="19">
        <v>2360</v>
      </c>
      <c r="V121" s="19"/>
      <c r="W121" s="19"/>
      <c r="X121" s="19" t="s">
        <v>547</v>
      </c>
    </row>
    <row r="122" spans="1:24" x14ac:dyDescent="0.25">
      <c r="A122" s="7">
        <v>46142.674942129626</v>
      </c>
      <c r="B122" s="22">
        <v>46113</v>
      </c>
      <c r="C122" s="12" t="s">
        <v>75</v>
      </c>
      <c r="D122" s="12" t="s">
        <v>76</v>
      </c>
      <c r="E122" s="23">
        <v>10060049</v>
      </c>
      <c r="F122" s="32">
        <f>IF(D122="MPG",_xlfn.XLOOKUP(E122,Sheet2!$A$2:$A$2104,Sheet2!$B$2:$B$2104,""),"")</f>
        <v>45267</v>
      </c>
      <c r="G122" s="36">
        <f t="shared" si="10"/>
        <v>875.67494212962629</v>
      </c>
      <c r="H122" s="19" t="s">
        <v>412</v>
      </c>
      <c r="I122" s="19"/>
      <c r="J122" s="19"/>
      <c r="K122" s="19"/>
      <c r="L122" s="19"/>
      <c r="M122" s="19"/>
      <c r="N122" s="19" t="s">
        <v>425</v>
      </c>
      <c r="O122" s="19" t="s">
        <v>421</v>
      </c>
      <c r="P122" s="19"/>
      <c r="Q122" s="19"/>
      <c r="R122" s="19">
        <v>2080</v>
      </c>
      <c r="S122" s="19">
        <v>2080</v>
      </c>
      <c r="T122" s="19">
        <v>374.4</v>
      </c>
      <c r="U122" s="19">
        <v>2454.4</v>
      </c>
      <c r="V122" s="19"/>
      <c r="W122" s="19"/>
      <c r="X122" s="19" t="s">
        <v>547</v>
      </c>
    </row>
    <row r="123" spans="1:24" x14ac:dyDescent="0.25">
      <c r="A123" s="8">
        <v>46142.665000000001</v>
      </c>
      <c r="B123" s="22">
        <v>46113</v>
      </c>
      <c r="C123" s="12" t="s">
        <v>75</v>
      </c>
      <c r="D123" s="12" t="s">
        <v>76</v>
      </c>
      <c r="E123" s="23">
        <v>10140041</v>
      </c>
      <c r="F123" s="32">
        <f>IF(D123="MPG",_xlfn.XLOOKUP(E123,Sheet2!$A$2:$A$2104,Sheet2!$B$2:$B$2104,""),"")</f>
        <v>44979</v>
      </c>
      <c r="G123" s="36">
        <f t="shared" si="10"/>
        <v>1163.6650000000009</v>
      </c>
      <c r="H123" s="19" t="s">
        <v>413</v>
      </c>
      <c r="I123" s="19"/>
      <c r="J123" s="19"/>
      <c r="K123" s="19"/>
      <c r="L123" s="19"/>
      <c r="M123" s="19"/>
      <c r="N123" s="19" t="s">
        <v>426</v>
      </c>
      <c r="O123" s="19" t="s">
        <v>422</v>
      </c>
      <c r="P123" s="19"/>
      <c r="Q123" s="19"/>
      <c r="R123" s="19">
        <v>350</v>
      </c>
      <c r="S123" s="19">
        <v>350</v>
      </c>
      <c r="T123" s="19">
        <v>63</v>
      </c>
      <c r="U123" s="19">
        <v>413</v>
      </c>
      <c r="V123" s="19"/>
      <c r="W123" s="19"/>
      <c r="X123" s="19" t="s">
        <v>547</v>
      </c>
    </row>
    <row r="124" spans="1:24" x14ac:dyDescent="0.25">
      <c r="A124" s="7">
        <v>46127.475925925923</v>
      </c>
      <c r="B124" s="22">
        <v>46113</v>
      </c>
      <c r="C124" s="12" t="s">
        <v>75</v>
      </c>
      <c r="D124" s="12" t="s">
        <v>76</v>
      </c>
      <c r="E124" s="23">
        <v>10120001</v>
      </c>
      <c r="F124" s="32">
        <f>IF(D124="MPG",_xlfn.XLOOKUP(E124,Sheet2!$A$2:$A$2104,Sheet2!$B$2:$B$2104,""),"")</f>
        <v>43622</v>
      </c>
      <c r="G124" s="36">
        <f t="shared" si="10"/>
        <v>2505.4759259259226</v>
      </c>
      <c r="H124" s="19" t="s">
        <v>414</v>
      </c>
      <c r="I124" s="19"/>
      <c r="J124" s="19"/>
      <c r="K124" s="19"/>
      <c r="L124" s="19"/>
      <c r="M124" s="19"/>
      <c r="N124" s="19" t="s">
        <v>427</v>
      </c>
      <c r="O124" s="19" t="s">
        <v>407</v>
      </c>
      <c r="P124" s="19"/>
      <c r="Q124" s="19"/>
      <c r="R124" s="19">
        <v>49</v>
      </c>
      <c r="S124" s="19">
        <v>98</v>
      </c>
      <c r="T124" s="19">
        <v>17.64</v>
      </c>
      <c r="U124" s="19">
        <v>115.64</v>
      </c>
      <c r="V124" s="19"/>
      <c r="W124" s="19"/>
      <c r="X124" s="19" t="s">
        <v>547</v>
      </c>
    </row>
    <row r="125" spans="1:24" x14ac:dyDescent="0.25">
      <c r="A125" s="8">
        <v>46127.475925925923</v>
      </c>
      <c r="B125" s="22">
        <v>46113</v>
      </c>
      <c r="C125" s="12" t="s">
        <v>75</v>
      </c>
      <c r="D125" s="12" t="s">
        <v>76</v>
      </c>
      <c r="E125" s="23">
        <v>10120001</v>
      </c>
      <c r="F125" s="32">
        <f>IF(D125="MPG",_xlfn.XLOOKUP(E125,Sheet2!$A$2:$A$2104,Sheet2!$B$2:$B$2104,""),"")</f>
        <v>43622</v>
      </c>
      <c r="G125" s="36">
        <f t="shared" si="10"/>
        <v>2505.4759259259226</v>
      </c>
      <c r="H125" s="19" t="s">
        <v>414</v>
      </c>
      <c r="I125" s="19"/>
      <c r="J125" s="19"/>
      <c r="K125" s="19"/>
      <c r="L125" s="19"/>
      <c r="M125" s="19"/>
      <c r="N125" s="19" t="s">
        <v>428</v>
      </c>
      <c r="O125" s="19" t="s">
        <v>297</v>
      </c>
      <c r="P125" s="19"/>
      <c r="Q125" s="19"/>
      <c r="R125" s="19">
        <v>125</v>
      </c>
      <c r="S125" s="19">
        <v>250</v>
      </c>
      <c r="T125" s="19">
        <v>45</v>
      </c>
      <c r="U125" s="19">
        <v>295</v>
      </c>
      <c r="V125" s="19"/>
      <c r="W125" s="19"/>
      <c r="X125" s="19" t="s">
        <v>547</v>
      </c>
    </row>
    <row r="126" spans="1:24" x14ac:dyDescent="0.25">
      <c r="A126" s="7">
        <v>46128.457060185188</v>
      </c>
      <c r="B126" s="22">
        <v>46113</v>
      </c>
      <c r="C126" s="12" t="s">
        <v>75</v>
      </c>
      <c r="D126" s="12" t="s">
        <v>76</v>
      </c>
      <c r="E126" s="23">
        <v>10140041</v>
      </c>
      <c r="F126" s="32">
        <f>IF(D126="MPG",_xlfn.XLOOKUP(E126,Sheet2!$A$2:$A$2104,Sheet2!$B$2:$B$2104,""),"")</f>
        <v>44979</v>
      </c>
      <c r="G126" s="36">
        <f t="shared" si="10"/>
        <v>1149.4570601851883</v>
      </c>
      <c r="H126" s="19" t="s">
        <v>413</v>
      </c>
      <c r="I126" s="19"/>
      <c r="J126" s="19"/>
      <c r="K126" s="19"/>
      <c r="L126" s="19"/>
      <c r="M126" s="19"/>
      <c r="N126" s="19" t="s">
        <v>429</v>
      </c>
      <c r="O126" s="19" t="s">
        <v>285</v>
      </c>
      <c r="P126" s="19"/>
      <c r="Q126" s="19"/>
      <c r="R126" s="19">
        <v>70</v>
      </c>
      <c r="S126" s="19">
        <v>140</v>
      </c>
      <c r="T126" s="19">
        <v>25.2</v>
      </c>
      <c r="U126" s="19">
        <v>165.2</v>
      </c>
      <c r="V126" s="19"/>
      <c r="W126" s="19"/>
      <c r="X126" s="19" t="s">
        <v>547</v>
      </c>
    </row>
    <row r="127" spans="1:24" x14ac:dyDescent="0.25">
      <c r="A127" s="8">
        <v>46140.752569444441</v>
      </c>
      <c r="B127" s="22">
        <v>46113</v>
      </c>
      <c r="C127" s="12" t="s">
        <v>75</v>
      </c>
      <c r="D127" s="12" t="s">
        <v>76</v>
      </c>
      <c r="E127" s="23">
        <v>10350001</v>
      </c>
      <c r="F127" s="32">
        <f>IF(D127="MPG",_xlfn.XLOOKUP(E127,Sheet2!$A$2:$A$2104,Sheet2!$B$2:$B$2104,""),"")</f>
        <v>42979</v>
      </c>
      <c r="G127" s="36">
        <f t="shared" si="10"/>
        <v>3161.7525694444412</v>
      </c>
      <c r="H127" s="19" t="s">
        <v>415</v>
      </c>
      <c r="I127" s="19"/>
      <c r="J127" s="19"/>
      <c r="K127" s="19"/>
      <c r="L127" s="19"/>
      <c r="M127" s="19"/>
      <c r="N127" s="19" t="s">
        <v>430</v>
      </c>
      <c r="O127" s="19" t="s">
        <v>292</v>
      </c>
      <c r="P127" s="19"/>
      <c r="Q127" s="19"/>
      <c r="R127" s="19">
        <v>780</v>
      </c>
      <c r="S127" s="19">
        <v>780</v>
      </c>
      <c r="T127" s="19">
        <v>140.4</v>
      </c>
      <c r="U127" s="19">
        <v>920.4</v>
      </c>
      <c r="V127" s="19"/>
      <c r="W127" s="19"/>
      <c r="X127" s="19" t="s">
        <v>547</v>
      </c>
    </row>
    <row r="128" spans="1:24" hidden="1" x14ac:dyDescent="0.25">
      <c r="A128" s="7">
        <v>46129.652905092589</v>
      </c>
      <c r="B128" s="22">
        <v>46113</v>
      </c>
      <c r="C128" s="12" t="s">
        <v>75</v>
      </c>
      <c r="D128" s="12" t="s">
        <v>76</v>
      </c>
      <c r="E128" s="23">
        <v>10110164</v>
      </c>
      <c r="F128" s="32">
        <f>IF(D128="MPG",_xlfn.XLOOKUP(E128,Sheet2!$A$2:$A$2104,Sheet2!$B$2:$B$2104,""),"")</f>
        <v>45869</v>
      </c>
      <c r="G128" s="36">
        <f t="shared" si="10"/>
        <v>260.65290509258921</v>
      </c>
      <c r="H128" s="19" t="s">
        <v>416</v>
      </c>
      <c r="I128" s="19"/>
      <c r="J128" s="19"/>
      <c r="K128" s="19"/>
      <c r="L128" s="19"/>
      <c r="M128" s="19"/>
      <c r="N128" s="19" t="s">
        <v>425</v>
      </c>
      <c r="O128" s="19" t="s">
        <v>421</v>
      </c>
      <c r="P128" s="19"/>
      <c r="Q128" s="19"/>
      <c r="R128" s="19">
        <v>2080</v>
      </c>
      <c r="S128" s="19">
        <v>2080</v>
      </c>
      <c r="T128" s="19">
        <v>374.4</v>
      </c>
      <c r="U128" s="19">
        <v>2454.4</v>
      </c>
      <c r="V128" s="19"/>
      <c r="W128" s="19"/>
      <c r="X128" s="19" t="s">
        <v>540</v>
      </c>
    </row>
    <row r="129" spans="1:24" hidden="1" x14ac:dyDescent="0.25">
      <c r="A129" s="8">
        <v>46129.653483796297</v>
      </c>
      <c r="B129" s="22">
        <v>46113</v>
      </c>
      <c r="C129" s="12" t="s">
        <v>75</v>
      </c>
      <c r="D129" s="12" t="s">
        <v>76</v>
      </c>
      <c r="E129" s="23">
        <v>10110164</v>
      </c>
      <c r="F129" s="32">
        <f>IF(D129="MPG",_xlfn.XLOOKUP(E129,Sheet2!$A$2:$A$2104,Sheet2!$B$2:$B$2104,""),"")</f>
        <v>45869</v>
      </c>
      <c r="G129" s="36">
        <f t="shared" si="10"/>
        <v>260.65348379629722</v>
      </c>
      <c r="H129" s="19" t="s">
        <v>416</v>
      </c>
      <c r="I129" s="19"/>
      <c r="J129" s="19"/>
      <c r="K129" s="19"/>
      <c r="L129" s="19"/>
      <c r="M129" s="19"/>
      <c r="N129" s="19" t="s">
        <v>425</v>
      </c>
      <c r="O129" s="19" t="s">
        <v>421</v>
      </c>
      <c r="P129" s="19"/>
      <c r="Q129" s="19"/>
      <c r="R129" s="19">
        <v>2080</v>
      </c>
      <c r="S129" s="19">
        <v>2080</v>
      </c>
      <c r="T129" s="19">
        <v>374.4</v>
      </c>
      <c r="U129" s="19">
        <v>2454.4</v>
      </c>
      <c r="V129" s="19"/>
      <c r="W129" s="19"/>
      <c r="X129" s="19" t="s">
        <v>540</v>
      </c>
    </row>
    <row r="130" spans="1:24" x14ac:dyDescent="0.25">
      <c r="A130" s="7">
        <v>46132.541145833333</v>
      </c>
      <c r="B130" s="22">
        <v>46113</v>
      </c>
      <c r="C130" s="12" t="s">
        <v>75</v>
      </c>
      <c r="D130" s="12" t="s">
        <v>76</v>
      </c>
      <c r="E130" s="23">
        <v>10140041</v>
      </c>
      <c r="F130" s="32">
        <f>IF(D130="MPG",_xlfn.XLOOKUP(E130,Sheet2!$A$2:$A$2104,Sheet2!$B$2:$B$2104,""),"")</f>
        <v>44979</v>
      </c>
      <c r="G130" s="36">
        <f t="shared" si="10"/>
        <v>1153.5411458333328</v>
      </c>
      <c r="H130" s="19" t="s">
        <v>413</v>
      </c>
      <c r="I130" s="19"/>
      <c r="J130" s="19"/>
      <c r="K130" s="19"/>
      <c r="L130" s="19"/>
      <c r="M130" s="19"/>
      <c r="N130" s="19" t="s">
        <v>429</v>
      </c>
      <c r="O130" s="19" t="s">
        <v>285</v>
      </c>
      <c r="P130" s="19"/>
      <c r="Q130" s="19"/>
      <c r="R130" s="19">
        <v>70</v>
      </c>
      <c r="S130" s="19">
        <v>70</v>
      </c>
      <c r="T130" s="19">
        <v>12.6</v>
      </c>
      <c r="U130" s="19">
        <v>82.6</v>
      </c>
      <c r="V130" s="19"/>
      <c r="W130" s="19"/>
      <c r="X130" s="19" t="s">
        <v>547</v>
      </c>
    </row>
    <row r="131" spans="1:24" x14ac:dyDescent="0.25">
      <c r="A131" s="8">
        <v>46132.647569444445</v>
      </c>
      <c r="B131" s="22">
        <v>46113</v>
      </c>
      <c r="C131" s="12" t="s">
        <v>75</v>
      </c>
      <c r="D131" s="12" t="s">
        <v>76</v>
      </c>
      <c r="E131" s="23">
        <v>10130046</v>
      </c>
      <c r="F131" s="32">
        <f>IF(D131="MPG",_xlfn.XLOOKUP(E131,Sheet2!$A$2:$A$2104,Sheet2!$B$2:$B$2104,""),"")</f>
        <v>45238</v>
      </c>
      <c r="G131" s="36">
        <f t="shared" si="10"/>
        <v>894.64756944444525</v>
      </c>
      <c r="H131" s="19" t="s">
        <v>417</v>
      </c>
      <c r="I131" s="19"/>
      <c r="J131" s="19"/>
      <c r="K131" s="19"/>
      <c r="L131" s="19"/>
      <c r="M131" s="19"/>
      <c r="N131" s="19" t="s">
        <v>431</v>
      </c>
      <c r="O131" s="19" t="s">
        <v>307</v>
      </c>
      <c r="P131" s="19"/>
      <c r="Q131" s="19"/>
      <c r="R131" s="19">
        <v>84</v>
      </c>
      <c r="S131" s="19">
        <v>84</v>
      </c>
      <c r="T131" s="19">
        <v>15.12</v>
      </c>
      <c r="U131" s="19">
        <v>99.12</v>
      </c>
      <c r="V131" s="19"/>
      <c r="W131" s="19"/>
      <c r="X131" s="19" t="s">
        <v>547</v>
      </c>
    </row>
    <row r="132" spans="1:24" x14ac:dyDescent="0.25">
      <c r="A132" s="7">
        <v>46132.647569444445</v>
      </c>
      <c r="B132" s="22">
        <v>46113</v>
      </c>
      <c r="C132" s="12" t="s">
        <v>75</v>
      </c>
      <c r="D132" s="12" t="s">
        <v>76</v>
      </c>
      <c r="E132" s="23">
        <v>10130046</v>
      </c>
      <c r="F132" s="32">
        <f>IF(D132="MPG",_xlfn.XLOOKUP(E132,Sheet2!$A$2:$A$2104,Sheet2!$B$2:$B$2104,""),"")</f>
        <v>45238</v>
      </c>
      <c r="G132" s="36">
        <f t="shared" si="10"/>
        <v>894.64756944444525</v>
      </c>
      <c r="H132" s="19" t="s">
        <v>417</v>
      </c>
      <c r="I132" s="19"/>
      <c r="J132" s="19"/>
      <c r="K132" s="19"/>
      <c r="L132" s="19"/>
      <c r="M132" s="19"/>
      <c r="N132" s="19" t="s">
        <v>429</v>
      </c>
      <c r="O132" s="19" t="s">
        <v>285</v>
      </c>
      <c r="P132" s="19"/>
      <c r="Q132" s="19"/>
      <c r="R132" s="19">
        <v>70</v>
      </c>
      <c r="S132" s="19">
        <v>140</v>
      </c>
      <c r="T132" s="19">
        <v>25.2</v>
      </c>
      <c r="U132" s="19">
        <v>165.2</v>
      </c>
      <c r="V132" s="19"/>
      <c r="W132" s="19"/>
      <c r="X132" s="19" t="s">
        <v>547</v>
      </c>
    </row>
    <row r="133" spans="1:24" x14ac:dyDescent="0.25">
      <c r="A133" s="8">
        <v>46134.475381944445</v>
      </c>
      <c r="B133" s="22">
        <v>46113</v>
      </c>
      <c r="C133" s="12" t="s">
        <v>75</v>
      </c>
      <c r="D133" s="12" t="s">
        <v>76</v>
      </c>
      <c r="E133" s="23">
        <v>10120001</v>
      </c>
      <c r="F133" s="32">
        <f>IF(D133="MPG",_xlfn.XLOOKUP(E133,Sheet2!$A$2:$A$2104,Sheet2!$B$2:$B$2104,""),"")</f>
        <v>43622</v>
      </c>
      <c r="G133" s="36">
        <f t="shared" si="10"/>
        <v>2512.475381944445</v>
      </c>
      <c r="H133" s="19" t="s">
        <v>414</v>
      </c>
      <c r="I133" s="19"/>
      <c r="J133" s="19"/>
      <c r="K133" s="19"/>
      <c r="L133" s="19"/>
      <c r="M133" s="19"/>
      <c r="N133" s="19" t="s">
        <v>431</v>
      </c>
      <c r="O133" s="19" t="s">
        <v>307</v>
      </c>
      <c r="P133" s="19"/>
      <c r="Q133" s="19"/>
      <c r="R133" s="19">
        <v>84</v>
      </c>
      <c r="S133" s="19">
        <v>84</v>
      </c>
      <c r="T133" s="19">
        <v>15.12</v>
      </c>
      <c r="U133" s="19">
        <v>99.12</v>
      </c>
      <c r="V133" s="19"/>
      <c r="W133" s="19"/>
      <c r="X133" s="19" t="s">
        <v>547</v>
      </c>
    </row>
    <row r="134" spans="1:24" hidden="1" x14ac:dyDescent="0.25">
      <c r="A134" s="7">
        <v>46135.470347222225</v>
      </c>
      <c r="B134" s="22">
        <v>46113</v>
      </c>
      <c r="C134" s="19" t="s">
        <v>545</v>
      </c>
      <c r="D134" s="12" t="s">
        <v>76</v>
      </c>
      <c r="E134" s="23">
        <v>30130001</v>
      </c>
      <c r="F134" s="32" t="str">
        <f>IF(D134="MPG",_xlfn.XLOOKUP(E134,Sheet2!$A$2:$A$2104,Sheet2!$B$2:$B$2104,""),"")</f>
        <v/>
      </c>
      <c r="G134" s="32"/>
      <c r="H134" s="19" t="s">
        <v>418</v>
      </c>
      <c r="I134" s="19"/>
      <c r="J134" s="19"/>
      <c r="K134" s="19"/>
      <c r="L134" s="19"/>
      <c r="M134" s="19"/>
      <c r="N134" s="19" t="s">
        <v>432</v>
      </c>
      <c r="O134" s="19" t="s">
        <v>408</v>
      </c>
      <c r="P134" s="19"/>
      <c r="Q134" s="19"/>
      <c r="R134" s="19">
        <v>8000</v>
      </c>
      <c r="S134" s="19">
        <v>8000</v>
      </c>
      <c r="T134" s="19">
        <v>1440</v>
      </c>
      <c r="U134" s="19">
        <v>9440</v>
      </c>
      <c r="V134" s="19"/>
      <c r="W134" s="19"/>
      <c r="X134" s="25" t="s">
        <v>539</v>
      </c>
    </row>
    <row r="135" spans="1:24" hidden="1" x14ac:dyDescent="0.25">
      <c r="A135" s="8">
        <v>46135.589201388888</v>
      </c>
      <c r="B135" s="22">
        <v>46113</v>
      </c>
      <c r="C135" s="19" t="s">
        <v>545</v>
      </c>
      <c r="D135" s="12" t="s">
        <v>76</v>
      </c>
      <c r="E135" s="23">
        <v>30090003</v>
      </c>
      <c r="F135" s="32" t="str">
        <f>IF(D135="MPG",_xlfn.XLOOKUP(E135,Sheet2!$A$2:$A$2104,Sheet2!$B$2:$B$2104,""),"")</f>
        <v/>
      </c>
      <c r="G135" s="32"/>
      <c r="H135" s="19" t="s">
        <v>419</v>
      </c>
      <c r="I135" s="19"/>
      <c r="J135" s="19"/>
      <c r="K135" s="19"/>
      <c r="L135" s="19"/>
      <c r="M135" s="19"/>
      <c r="N135" s="19" t="s">
        <v>432</v>
      </c>
      <c r="O135" s="19" t="s">
        <v>408</v>
      </c>
      <c r="P135" s="19"/>
      <c r="Q135" s="19"/>
      <c r="R135" s="19">
        <v>8000</v>
      </c>
      <c r="S135" s="19">
        <v>8000</v>
      </c>
      <c r="T135" s="19">
        <v>1440</v>
      </c>
      <c r="U135" s="19">
        <v>9440</v>
      </c>
      <c r="V135" s="19"/>
      <c r="W135" s="19"/>
      <c r="X135" s="19" t="s">
        <v>539</v>
      </c>
    </row>
    <row r="136" spans="1:24" x14ac:dyDescent="0.25">
      <c r="A136" s="7">
        <v>46139.664675925924</v>
      </c>
      <c r="B136" s="22">
        <v>46113</v>
      </c>
      <c r="C136" s="19" t="s">
        <v>75</v>
      </c>
      <c r="D136" s="12" t="s">
        <v>76</v>
      </c>
      <c r="E136" s="23">
        <v>10140041</v>
      </c>
      <c r="F136" s="32">
        <f>IF(D136="MPG",_xlfn.XLOOKUP(E136,Sheet2!$A$2:$A$2104,Sheet2!$B$2:$B$2104,""),"")</f>
        <v>44979</v>
      </c>
      <c r="G136" s="36">
        <f>+A136-F136</f>
        <v>1160.6646759259238</v>
      </c>
      <c r="H136" s="19" t="s">
        <v>413</v>
      </c>
      <c r="I136" s="19"/>
      <c r="J136" s="19"/>
      <c r="K136" s="19"/>
      <c r="L136" s="19"/>
      <c r="M136" s="19"/>
      <c r="N136" s="19" t="s">
        <v>433</v>
      </c>
      <c r="O136" s="19" t="s">
        <v>323</v>
      </c>
      <c r="P136" s="19"/>
      <c r="Q136" s="19"/>
      <c r="R136" s="19">
        <v>1266</v>
      </c>
      <c r="S136" s="19">
        <v>1266</v>
      </c>
      <c r="T136" s="19">
        <v>227.88</v>
      </c>
      <c r="U136" s="19">
        <v>1493.88</v>
      </c>
      <c r="V136" s="19"/>
      <c r="W136" s="19"/>
      <c r="X136" s="19" t="s">
        <v>547</v>
      </c>
    </row>
    <row r="137" spans="1:24" hidden="1" x14ac:dyDescent="0.25">
      <c r="A137" s="24">
        <v>46148.529699074075</v>
      </c>
      <c r="B137" s="22">
        <v>46143</v>
      </c>
      <c r="C137" s="19" t="s">
        <v>545</v>
      </c>
      <c r="D137" s="12" t="s">
        <v>76</v>
      </c>
      <c r="E137" s="23">
        <v>30200002</v>
      </c>
      <c r="F137" s="32" t="str">
        <f>IF(D137="MPG",_xlfn.XLOOKUP(E137,Sheet2!$A$2:$A$2104,Sheet2!$B$2:$B$2104,""),"")</f>
        <v/>
      </c>
      <c r="G137" s="32"/>
      <c r="H137" s="19" t="s">
        <v>434</v>
      </c>
      <c r="I137" s="19" t="s">
        <v>493</v>
      </c>
      <c r="J137" s="19"/>
      <c r="K137" s="19"/>
      <c r="L137" s="19"/>
      <c r="M137" s="19"/>
      <c r="N137" s="19" t="s">
        <v>520</v>
      </c>
      <c r="O137" s="19" t="s">
        <v>313</v>
      </c>
      <c r="P137" s="19"/>
      <c r="Q137" s="19"/>
      <c r="R137" s="19">
        <v>2800</v>
      </c>
      <c r="S137" s="19">
        <v>2800</v>
      </c>
      <c r="T137" s="19">
        <v>504</v>
      </c>
      <c r="U137" s="19">
        <v>3304</v>
      </c>
      <c r="V137" s="19"/>
      <c r="W137" s="19"/>
      <c r="X137" s="19" t="s">
        <v>539</v>
      </c>
    </row>
    <row r="138" spans="1:24" x14ac:dyDescent="0.25">
      <c r="A138" s="24">
        <v>46172.620451388888</v>
      </c>
      <c r="B138" s="22">
        <v>46143</v>
      </c>
      <c r="C138" s="19" t="s">
        <v>75</v>
      </c>
      <c r="D138" s="12" t="s">
        <v>76</v>
      </c>
      <c r="E138" s="23">
        <v>10140012</v>
      </c>
      <c r="F138" s="32">
        <f>IF(D138="MPG",_xlfn.XLOOKUP(E138,Sheet2!$A$2:$A$2104,Sheet2!$B$2:$B$2104,""),"")</f>
        <v>44703</v>
      </c>
      <c r="G138" s="36">
        <f t="shared" ref="G138:G140" si="11">+A138-F138</f>
        <v>1469.6204513888879</v>
      </c>
      <c r="H138" s="19" t="s">
        <v>435</v>
      </c>
      <c r="I138" s="19" t="s">
        <v>494</v>
      </c>
      <c r="J138" s="19"/>
      <c r="K138" s="19"/>
      <c r="L138" s="19"/>
      <c r="M138" s="19"/>
      <c r="N138" s="19" t="s">
        <v>425</v>
      </c>
      <c r="O138" s="19" t="s">
        <v>318</v>
      </c>
      <c r="P138" s="19"/>
      <c r="Q138" s="19"/>
      <c r="R138" s="19">
        <v>2080</v>
      </c>
      <c r="S138" s="19">
        <v>2080</v>
      </c>
      <c r="T138" s="19">
        <v>374.4</v>
      </c>
      <c r="U138" s="19">
        <v>2454.4</v>
      </c>
      <c r="V138" s="19"/>
      <c r="W138" s="19"/>
      <c r="X138" s="19" t="s">
        <v>547</v>
      </c>
    </row>
    <row r="139" spans="1:24" x14ac:dyDescent="0.25">
      <c r="A139" s="24">
        <v>46148.700173611112</v>
      </c>
      <c r="B139" s="22">
        <v>46143</v>
      </c>
      <c r="C139" s="19" t="s">
        <v>75</v>
      </c>
      <c r="D139" s="12" t="s">
        <v>76</v>
      </c>
      <c r="E139" s="23">
        <v>10140099</v>
      </c>
      <c r="F139" s="32">
        <f>IF(D139="MPG",_xlfn.XLOOKUP(E139,Sheet2!$A$2:$A$2104,Sheet2!$B$2:$B$2104,""),"")</f>
        <v>45408</v>
      </c>
      <c r="G139" s="36">
        <f t="shared" si="11"/>
        <v>740.7001736111124</v>
      </c>
      <c r="H139" s="19" t="s">
        <v>436</v>
      </c>
      <c r="I139" s="19" t="s">
        <v>494</v>
      </c>
      <c r="J139" s="19"/>
      <c r="K139" s="19"/>
      <c r="L139" s="19"/>
      <c r="M139" s="19"/>
      <c r="N139" s="19" t="s">
        <v>521</v>
      </c>
      <c r="O139" s="19" t="s">
        <v>512</v>
      </c>
      <c r="P139" s="19"/>
      <c r="Q139" s="19"/>
      <c r="R139" s="19">
        <v>70</v>
      </c>
      <c r="S139" s="19">
        <v>140</v>
      </c>
      <c r="T139" s="19">
        <v>25.2</v>
      </c>
      <c r="U139" s="19">
        <v>165.2</v>
      </c>
      <c r="V139" s="19"/>
      <c r="W139" s="19"/>
      <c r="X139" s="19" t="s">
        <v>547</v>
      </c>
    </row>
    <row r="140" spans="1:24" x14ac:dyDescent="0.25">
      <c r="A140" s="24">
        <v>46148.737060185187</v>
      </c>
      <c r="B140" s="22">
        <v>46143</v>
      </c>
      <c r="C140" s="19" t="s">
        <v>75</v>
      </c>
      <c r="D140" s="12" t="s">
        <v>76</v>
      </c>
      <c r="E140" s="23">
        <v>10060026</v>
      </c>
      <c r="F140" s="32">
        <f>IF(D140="MPG",_xlfn.XLOOKUP(E140,Sheet2!$A$2:$A$2104,Sheet2!$B$2:$B$2104,""),"")</f>
        <v>44866</v>
      </c>
      <c r="G140" s="36">
        <f t="shared" si="11"/>
        <v>1282.7370601851871</v>
      </c>
      <c r="H140" s="19" t="s">
        <v>437</v>
      </c>
      <c r="I140" s="19" t="s">
        <v>495</v>
      </c>
      <c r="J140" s="19"/>
      <c r="K140" s="19"/>
      <c r="L140" s="19"/>
      <c r="M140" s="19"/>
      <c r="N140" s="19" t="s">
        <v>425</v>
      </c>
      <c r="O140" s="19" t="s">
        <v>318</v>
      </c>
      <c r="P140" s="19"/>
      <c r="Q140" s="19"/>
      <c r="R140" s="19">
        <v>2080</v>
      </c>
      <c r="S140" s="19">
        <v>2080</v>
      </c>
      <c r="T140" s="19">
        <v>374.4</v>
      </c>
      <c r="U140" s="19">
        <v>2454.4</v>
      </c>
      <c r="V140" s="19"/>
      <c r="W140" s="19"/>
      <c r="X140" s="19" t="s">
        <v>547</v>
      </c>
    </row>
    <row r="141" spans="1:24" hidden="1" x14ac:dyDescent="0.25">
      <c r="A141" s="24">
        <v>46171.484861111108</v>
      </c>
      <c r="B141" s="22">
        <v>46143</v>
      </c>
      <c r="C141" s="19" t="s">
        <v>75</v>
      </c>
      <c r="D141" s="12" t="s">
        <v>77</v>
      </c>
      <c r="E141" s="34">
        <v>1012</v>
      </c>
      <c r="F141" s="32" t="str">
        <f>IF(D141="MPG",_xlfn.XLOOKUP(E141,Sheet2!$A$2:$A$2104,Sheet2!$B$2:$B$2104,""),"")</f>
        <v/>
      </c>
      <c r="G141" s="32"/>
      <c r="H141" s="19" t="s">
        <v>438</v>
      </c>
      <c r="I141" s="19" t="s">
        <v>438</v>
      </c>
      <c r="J141" s="19"/>
      <c r="K141" s="19"/>
      <c r="L141" s="19"/>
      <c r="M141" s="19"/>
      <c r="N141" s="19" t="s">
        <v>433</v>
      </c>
      <c r="O141" s="19" t="s">
        <v>323</v>
      </c>
      <c r="P141" s="19"/>
      <c r="Q141" s="19"/>
      <c r="R141" s="19">
        <v>1266</v>
      </c>
      <c r="S141" s="19">
        <v>1266</v>
      </c>
      <c r="T141" s="19">
        <v>227.88</v>
      </c>
      <c r="U141" s="19">
        <v>1493.88</v>
      </c>
      <c r="V141" s="19"/>
      <c r="W141" s="19"/>
      <c r="X141" s="19" t="s">
        <v>539</v>
      </c>
    </row>
    <row r="142" spans="1:24" hidden="1" x14ac:dyDescent="0.25">
      <c r="A142" s="24">
        <v>46171.484861111108</v>
      </c>
      <c r="B142" s="22">
        <v>46143</v>
      </c>
      <c r="C142" s="19" t="s">
        <v>75</v>
      </c>
      <c r="D142" s="12" t="s">
        <v>77</v>
      </c>
      <c r="E142" s="34">
        <v>1012</v>
      </c>
      <c r="F142" s="32" t="str">
        <f>IF(D142="MPG",_xlfn.XLOOKUP(E142,Sheet2!$A$2:$A$2104,Sheet2!$B$2:$B$2104,""),"")</f>
        <v/>
      </c>
      <c r="G142" s="32"/>
      <c r="H142" s="19" t="s">
        <v>438</v>
      </c>
      <c r="I142" s="19" t="s">
        <v>438</v>
      </c>
      <c r="J142" s="19"/>
      <c r="K142" s="19"/>
      <c r="L142" s="19"/>
      <c r="M142" s="19"/>
      <c r="N142" s="19" t="s">
        <v>522</v>
      </c>
      <c r="O142" s="19" t="s">
        <v>513</v>
      </c>
      <c r="P142" s="19"/>
      <c r="Q142" s="19"/>
      <c r="R142" s="19">
        <v>1150</v>
      </c>
      <c r="S142" s="19">
        <v>1150</v>
      </c>
      <c r="T142" s="19">
        <v>207</v>
      </c>
      <c r="U142" s="19">
        <v>1357</v>
      </c>
      <c r="V142" s="19"/>
      <c r="W142" s="19"/>
      <c r="X142" s="19" t="s">
        <v>539</v>
      </c>
    </row>
    <row r="143" spans="1:24" hidden="1" x14ac:dyDescent="0.25">
      <c r="A143" s="24">
        <v>46148.767800925925</v>
      </c>
      <c r="B143" s="22">
        <v>46143</v>
      </c>
      <c r="C143" s="19" t="s">
        <v>78</v>
      </c>
      <c r="D143" s="12" t="s">
        <v>76</v>
      </c>
      <c r="E143" s="23">
        <v>20070006</v>
      </c>
      <c r="F143" s="32" t="str">
        <f>IF(D143="MPG",_xlfn.XLOOKUP(E143,Sheet2!$A$2:$A$2104,Sheet2!$B$2:$B$2104,""),"")</f>
        <v/>
      </c>
      <c r="G143" s="32"/>
      <c r="H143" s="19" t="s">
        <v>439</v>
      </c>
      <c r="I143" s="19" t="s">
        <v>496</v>
      </c>
      <c r="J143" s="19"/>
      <c r="K143" s="19"/>
      <c r="L143" s="19"/>
      <c r="M143" s="19"/>
      <c r="N143" s="19" t="s">
        <v>432</v>
      </c>
      <c r="O143" s="19" t="s">
        <v>408</v>
      </c>
      <c r="P143" s="19"/>
      <c r="Q143" s="19"/>
      <c r="R143" s="19">
        <v>8000</v>
      </c>
      <c r="S143" s="19">
        <v>8000</v>
      </c>
      <c r="T143" s="19">
        <v>1440</v>
      </c>
      <c r="U143" s="19">
        <v>9440</v>
      </c>
      <c r="V143" s="19"/>
      <c r="W143" s="19"/>
      <c r="X143" s="19" t="s">
        <v>539</v>
      </c>
    </row>
    <row r="144" spans="1:24" x14ac:dyDescent="0.25">
      <c r="A144" s="24">
        <v>46170.705046296294</v>
      </c>
      <c r="B144" s="22">
        <v>46143</v>
      </c>
      <c r="C144" s="19" t="s">
        <v>75</v>
      </c>
      <c r="D144" s="12" t="s">
        <v>76</v>
      </c>
      <c r="E144" s="34">
        <v>10010038</v>
      </c>
      <c r="F144" s="32">
        <f>IF(D144="MPG",_xlfn.XLOOKUP(E144,Sheet2!$A$2:$A$2104,Sheet2!$B$2:$B$2104,""),"")</f>
        <v>45128</v>
      </c>
      <c r="G144" s="36">
        <f t="shared" ref="G144:G150" si="12">+A144-F144</f>
        <v>1042.7050462962943</v>
      </c>
      <c r="H144" s="19" t="s">
        <v>440</v>
      </c>
      <c r="I144" s="19" t="s">
        <v>497</v>
      </c>
      <c r="J144" s="19"/>
      <c r="K144" s="19"/>
      <c r="L144" s="19"/>
      <c r="M144" s="19"/>
      <c r="N144" s="19" t="s">
        <v>426</v>
      </c>
      <c r="O144" s="19" t="s">
        <v>422</v>
      </c>
      <c r="P144" s="19"/>
      <c r="Q144" s="19"/>
      <c r="R144" s="19">
        <v>350</v>
      </c>
      <c r="S144" s="19">
        <v>350</v>
      </c>
      <c r="T144" s="19">
        <v>63</v>
      </c>
      <c r="U144" s="19">
        <v>413</v>
      </c>
      <c r="V144" s="19"/>
      <c r="W144" s="19"/>
      <c r="X144" s="19" t="s">
        <v>547</v>
      </c>
    </row>
    <row r="145" spans="1:24" hidden="1" x14ac:dyDescent="0.25">
      <c r="A145" s="24">
        <v>46170.700752314813</v>
      </c>
      <c r="B145" s="22">
        <v>46143</v>
      </c>
      <c r="C145" s="19" t="s">
        <v>75</v>
      </c>
      <c r="D145" s="12" t="s">
        <v>76</v>
      </c>
      <c r="E145" s="23">
        <v>10010149</v>
      </c>
      <c r="F145" s="32">
        <f>IF(D145="MPG",_xlfn.XLOOKUP(E145,Sheet2!$A$2:$A$2104,Sheet2!$B$2:$B$2104,""),"")</f>
        <v>46112</v>
      </c>
      <c r="G145" s="36">
        <f t="shared" si="12"/>
        <v>58.700752314813144</v>
      </c>
      <c r="H145" s="19" t="s">
        <v>441</v>
      </c>
      <c r="I145" s="19" t="s">
        <v>497</v>
      </c>
      <c r="J145" s="19"/>
      <c r="K145" s="19"/>
      <c r="L145" s="19"/>
      <c r="M145" s="19"/>
      <c r="N145" s="19" t="s">
        <v>426</v>
      </c>
      <c r="O145" s="19" t="s">
        <v>422</v>
      </c>
      <c r="P145" s="19"/>
      <c r="Q145" s="19"/>
      <c r="R145" s="19">
        <v>350</v>
      </c>
      <c r="S145" s="19">
        <v>350</v>
      </c>
      <c r="T145" s="19">
        <v>63</v>
      </c>
      <c r="U145" s="19">
        <v>413</v>
      </c>
      <c r="V145" s="19"/>
      <c r="W145" s="19"/>
      <c r="X145" s="19" t="s">
        <v>539</v>
      </c>
    </row>
    <row r="146" spans="1:24" hidden="1" x14ac:dyDescent="0.25">
      <c r="A146" s="24">
        <v>46170.699861111112</v>
      </c>
      <c r="B146" s="22">
        <v>46143</v>
      </c>
      <c r="C146" s="19" t="s">
        <v>75</v>
      </c>
      <c r="D146" s="12" t="s">
        <v>76</v>
      </c>
      <c r="E146" s="23">
        <v>10010148</v>
      </c>
      <c r="F146" s="32">
        <f>IF(D146="MPG",_xlfn.XLOOKUP(E146,Sheet2!$A$2:$A$2104,Sheet2!$B$2:$B$2104,""),"")</f>
        <v>46112</v>
      </c>
      <c r="G146" s="36">
        <f t="shared" si="12"/>
        <v>58.699861111112114</v>
      </c>
      <c r="H146" s="19" t="s">
        <v>442</v>
      </c>
      <c r="I146" s="19" t="s">
        <v>497</v>
      </c>
      <c r="J146" s="19"/>
      <c r="K146" s="19"/>
      <c r="L146" s="19"/>
      <c r="M146" s="19"/>
      <c r="N146" s="19" t="s">
        <v>426</v>
      </c>
      <c r="O146" s="19" t="s">
        <v>422</v>
      </c>
      <c r="P146" s="19"/>
      <c r="Q146" s="19"/>
      <c r="R146" s="19">
        <v>350</v>
      </c>
      <c r="S146" s="19">
        <v>350</v>
      </c>
      <c r="T146" s="19">
        <v>63</v>
      </c>
      <c r="U146" s="19">
        <v>413</v>
      </c>
      <c r="V146" s="19"/>
      <c r="W146" s="19"/>
      <c r="X146" s="19" t="s">
        <v>539</v>
      </c>
    </row>
    <row r="147" spans="1:24" hidden="1" x14ac:dyDescent="0.25">
      <c r="A147" s="24">
        <v>46170.698831018519</v>
      </c>
      <c r="B147" s="22">
        <v>46143</v>
      </c>
      <c r="C147" s="19" t="s">
        <v>75</v>
      </c>
      <c r="D147" s="12" t="s">
        <v>76</v>
      </c>
      <c r="E147" s="34">
        <v>10010140</v>
      </c>
      <c r="F147" s="32">
        <f>IF(D147="MPG",_xlfn.XLOOKUP(E147,Sheet2!$A$2:$A$2104,Sheet2!$B$2:$B$2104,""),"")</f>
        <v>45996</v>
      </c>
      <c r="G147" s="36">
        <f t="shared" si="12"/>
        <v>174.69883101851883</v>
      </c>
      <c r="H147" s="19" t="s">
        <v>443</v>
      </c>
      <c r="I147" s="19" t="s">
        <v>497</v>
      </c>
      <c r="J147" s="19"/>
      <c r="K147" s="19"/>
      <c r="L147" s="19"/>
      <c r="M147" s="19"/>
      <c r="N147" s="19" t="s">
        <v>426</v>
      </c>
      <c r="O147" s="19" t="s">
        <v>422</v>
      </c>
      <c r="P147" s="19"/>
      <c r="Q147" s="19"/>
      <c r="R147" s="19">
        <v>350</v>
      </c>
      <c r="S147" s="19">
        <v>350</v>
      </c>
      <c r="T147" s="19">
        <v>63</v>
      </c>
      <c r="U147" s="19">
        <v>413</v>
      </c>
      <c r="V147" s="19"/>
      <c r="W147" s="19"/>
      <c r="X147" s="19" t="s">
        <v>539</v>
      </c>
    </row>
    <row r="148" spans="1:24" x14ac:dyDescent="0.25">
      <c r="A148" s="24">
        <v>46170.612824074073</v>
      </c>
      <c r="B148" s="22">
        <v>46143</v>
      </c>
      <c r="C148" s="19" t="s">
        <v>75</v>
      </c>
      <c r="D148" s="12" t="s">
        <v>76</v>
      </c>
      <c r="E148" s="23">
        <v>10030003</v>
      </c>
      <c r="F148" s="32">
        <f>IF(D148="MPG",_xlfn.XLOOKUP(E148,Sheet2!$A$2:$A$2104,Sheet2!$B$2:$B$2104,""),"")</f>
        <v>42979</v>
      </c>
      <c r="G148" s="36">
        <f t="shared" si="12"/>
        <v>3191.6128240740727</v>
      </c>
      <c r="H148" s="19" t="s">
        <v>444</v>
      </c>
      <c r="I148" s="19" t="s">
        <v>498</v>
      </c>
      <c r="J148" s="19"/>
      <c r="K148" s="19"/>
      <c r="L148" s="19"/>
      <c r="M148" s="19"/>
      <c r="N148" s="19" t="s">
        <v>523</v>
      </c>
      <c r="O148" s="19" t="s">
        <v>337</v>
      </c>
      <c r="P148" s="19"/>
      <c r="Q148" s="19"/>
      <c r="R148" s="19">
        <v>790</v>
      </c>
      <c r="S148" s="19">
        <v>790</v>
      </c>
      <c r="T148" s="19">
        <v>142.19999999999999</v>
      </c>
      <c r="U148" s="19">
        <v>932.2</v>
      </c>
      <c r="V148" s="19"/>
      <c r="W148" s="19"/>
      <c r="X148" s="19" t="s">
        <v>547</v>
      </c>
    </row>
    <row r="149" spans="1:24" x14ac:dyDescent="0.25">
      <c r="A149" s="24">
        <v>46170.612824074073</v>
      </c>
      <c r="B149" s="22">
        <v>46143</v>
      </c>
      <c r="C149" s="19" t="s">
        <v>75</v>
      </c>
      <c r="D149" s="12" t="s">
        <v>76</v>
      </c>
      <c r="E149" s="23">
        <v>10030003</v>
      </c>
      <c r="F149" s="32">
        <f>IF(D149="MPG",_xlfn.XLOOKUP(E149,Sheet2!$A$2:$A$2104,Sheet2!$B$2:$B$2104,""),"")</f>
        <v>42979</v>
      </c>
      <c r="G149" s="36">
        <f t="shared" si="12"/>
        <v>3191.6128240740727</v>
      </c>
      <c r="H149" s="19" t="s">
        <v>444</v>
      </c>
      <c r="I149" s="19" t="s">
        <v>498</v>
      </c>
      <c r="J149" s="19"/>
      <c r="K149" s="19"/>
      <c r="L149" s="19"/>
      <c r="M149" s="19"/>
      <c r="N149" s="19" t="s">
        <v>524</v>
      </c>
      <c r="O149" s="19" t="s">
        <v>514</v>
      </c>
      <c r="P149" s="19"/>
      <c r="Q149" s="19"/>
      <c r="R149" s="19">
        <v>770</v>
      </c>
      <c r="S149" s="19">
        <v>770</v>
      </c>
      <c r="T149" s="19">
        <v>138.6</v>
      </c>
      <c r="U149" s="19">
        <v>908.6</v>
      </c>
      <c r="V149" s="19"/>
      <c r="W149" s="19"/>
      <c r="X149" s="19" t="s">
        <v>547</v>
      </c>
    </row>
    <row r="150" spans="1:24" x14ac:dyDescent="0.25">
      <c r="A150" s="24">
        <v>46170.612824074073</v>
      </c>
      <c r="B150" s="22">
        <v>46143</v>
      </c>
      <c r="C150" s="19" t="s">
        <v>75</v>
      </c>
      <c r="D150" s="12" t="s">
        <v>76</v>
      </c>
      <c r="E150" s="23">
        <v>10030003</v>
      </c>
      <c r="F150" s="32">
        <f>IF(D150="MPG",_xlfn.XLOOKUP(E150,Sheet2!$A$2:$A$2104,Sheet2!$B$2:$B$2104,""),"")</f>
        <v>42979</v>
      </c>
      <c r="G150" s="36">
        <f t="shared" si="12"/>
        <v>3191.6128240740727</v>
      </c>
      <c r="H150" s="19" t="s">
        <v>444</v>
      </c>
      <c r="I150" s="19" t="s">
        <v>498</v>
      </c>
      <c r="J150" s="19"/>
      <c r="K150" s="19"/>
      <c r="L150" s="19"/>
      <c r="M150" s="19"/>
      <c r="N150" s="19" t="s">
        <v>429</v>
      </c>
      <c r="O150" s="19" t="s">
        <v>285</v>
      </c>
      <c r="P150" s="19"/>
      <c r="Q150" s="19"/>
      <c r="R150" s="19">
        <v>70</v>
      </c>
      <c r="S150" s="19">
        <v>70</v>
      </c>
      <c r="T150" s="19">
        <v>12.6</v>
      </c>
      <c r="U150" s="19">
        <v>82.6</v>
      </c>
      <c r="V150" s="19"/>
      <c r="W150" s="19"/>
      <c r="X150" s="19" t="s">
        <v>547</v>
      </c>
    </row>
    <row r="151" spans="1:24" hidden="1" x14ac:dyDescent="0.25">
      <c r="A151" s="24">
        <v>46149.474432870367</v>
      </c>
      <c r="B151" s="22">
        <v>46143</v>
      </c>
      <c r="C151" s="19" t="s">
        <v>75</v>
      </c>
      <c r="D151" s="12" t="s">
        <v>77</v>
      </c>
      <c r="E151" s="23">
        <v>1012</v>
      </c>
      <c r="F151" s="32" t="str">
        <f>IF(D151="MPG",_xlfn.XLOOKUP(E151,Sheet2!$A$2:$A$2104,Sheet2!$B$2:$B$2104,""),"")</f>
        <v/>
      </c>
      <c r="G151" s="32"/>
      <c r="H151" s="19" t="s">
        <v>438</v>
      </c>
      <c r="I151" s="19" t="s">
        <v>438</v>
      </c>
      <c r="J151" s="19"/>
      <c r="K151" s="19"/>
      <c r="L151" s="19"/>
      <c r="M151" s="19"/>
      <c r="N151" s="19" t="s">
        <v>429</v>
      </c>
      <c r="O151" s="19" t="s">
        <v>285</v>
      </c>
      <c r="P151" s="19"/>
      <c r="Q151" s="19"/>
      <c r="R151" s="19">
        <v>70</v>
      </c>
      <c r="S151" s="19">
        <v>140</v>
      </c>
      <c r="T151" s="19">
        <v>25.2</v>
      </c>
      <c r="U151" s="19">
        <v>165.2</v>
      </c>
      <c r="V151" s="19"/>
      <c r="W151" s="19"/>
      <c r="X151" s="19" t="s">
        <v>539</v>
      </c>
    </row>
    <row r="152" spans="1:24" hidden="1" x14ac:dyDescent="0.25">
      <c r="A152" s="24">
        <v>46149.474432870367</v>
      </c>
      <c r="B152" s="22">
        <v>46143</v>
      </c>
      <c r="C152" s="19" t="s">
        <v>75</v>
      </c>
      <c r="D152" s="12" t="s">
        <v>77</v>
      </c>
      <c r="E152" s="23">
        <v>1012</v>
      </c>
      <c r="F152" s="32" t="str">
        <f>IF(D152="MPG",_xlfn.XLOOKUP(E152,Sheet2!$A$2:$A$2104,Sheet2!$B$2:$B$2104,""),"")</f>
        <v/>
      </c>
      <c r="G152" s="32"/>
      <c r="H152" s="19" t="s">
        <v>438</v>
      </c>
      <c r="I152" s="19" t="s">
        <v>438</v>
      </c>
      <c r="J152" s="19"/>
      <c r="K152" s="19"/>
      <c r="L152" s="19"/>
      <c r="M152" s="19"/>
      <c r="N152" s="19" t="s">
        <v>525</v>
      </c>
      <c r="O152" s="19" t="s">
        <v>299</v>
      </c>
      <c r="P152" s="19"/>
      <c r="Q152" s="19"/>
      <c r="R152" s="19">
        <v>770</v>
      </c>
      <c r="S152" s="19">
        <v>770</v>
      </c>
      <c r="T152" s="19">
        <v>138.6</v>
      </c>
      <c r="U152" s="19">
        <v>908.6</v>
      </c>
      <c r="V152" s="19"/>
      <c r="W152" s="19"/>
      <c r="X152" s="19" t="s">
        <v>539</v>
      </c>
    </row>
    <row r="153" spans="1:24" x14ac:dyDescent="0.25">
      <c r="A153" s="24">
        <v>46149.590046296296</v>
      </c>
      <c r="B153" s="22">
        <v>46143</v>
      </c>
      <c r="C153" s="19" t="s">
        <v>75</v>
      </c>
      <c r="D153" s="12" t="s">
        <v>76</v>
      </c>
      <c r="E153" s="23">
        <v>10120071</v>
      </c>
      <c r="F153" s="32">
        <f>IF(D153="MPG",_xlfn.XLOOKUP(E153,Sheet2!$A$2:$A$2104,Sheet2!$B$2:$B$2104,""),"")</f>
        <v>45413</v>
      </c>
      <c r="G153" s="36">
        <f>+A153-F153</f>
        <v>736.59004629629635</v>
      </c>
      <c r="H153" s="19" t="s">
        <v>445</v>
      </c>
      <c r="I153" s="19" t="s">
        <v>438</v>
      </c>
      <c r="J153" s="19"/>
      <c r="K153" s="19"/>
      <c r="L153" s="19"/>
      <c r="M153" s="19"/>
      <c r="N153" s="19" t="s">
        <v>426</v>
      </c>
      <c r="O153" s="19" t="s">
        <v>422</v>
      </c>
      <c r="P153" s="19"/>
      <c r="Q153" s="19"/>
      <c r="R153" s="19">
        <v>350</v>
      </c>
      <c r="S153" s="19">
        <v>350</v>
      </c>
      <c r="T153" s="19">
        <v>63</v>
      </c>
      <c r="U153" s="19">
        <v>413</v>
      </c>
      <c r="V153" s="19"/>
      <c r="W153" s="19"/>
      <c r="X153" s="19" t="s">
        <v>547</v>
      </c>
    </row>
    <row r="154" spans="1:24" hidden="1" x14ac:dyDescent="0.25">
      <c r="A154" s="24">
        <v>46149.688171296293</v>
      </c>
      <c r="B154" s="22">
        <v>46143</v>
      </c>
      <c r="C154" s="19" t="s">
        <v>78</v>
      </c>
      <c r="D154" s="12" t="s">
        <v>76</v>
      </c>
      <c r="E154" s="23">
        <v>20020005</v>
      </c>
      <c r="F154" s="32" t="str">
        <f>IF(D154="MPG",_xlfn.XLOOKUP(E154,Sheet2!$A$2:$A$2104,Sheet2!$B$2:$B$2104,""),"")</f>
        <v/>
      </c>
      <c r="G154" s="32"/>
      <c r="H154" s="19" t="s">
        <v>446</v>
      </c>
      <c r="I154" s="19" t="s">
        <v>455</v>
      </c>
      <c r="J154" s="19"/>
      <c r="K154" s="19"/>
      <c r="L154" s="19"/>
      <c r="M154" s="19"/>
      <c r="N154" s="19" t="s">
        <v>526</v>
      </c>
      <c r="O154" s="19" t="s">
        <v>333</v>
      </c>
      <c r="P154" s="19"/>
      <c r="Q154" s="19"/>
      <c r="R154" s="19">
        <v>2800</v>
      </c>
      <c r="S154" s="19">
        <v>2800</v>
      </c>
      <c r="T154" s="19">
        <v>504</v>
      </c>
      <c r="U154" s="19">
        <v>3304</v>
      </c>
      <c r="V154" s="19"/>
      <c r="W154" s="19"/>
      <c r="X154" s="19" t="s">
        <v>539</v>
      </c>
    </row>
    <row r="155" spans="1:24" hidden="1" x14ac:dyDescent="0.25">
      <c r="A155" s="24">
        <v>46169.693576388891</v>
      </c>
      <c r="B155" s="22">
        <v>46143</v>
      </c>
      <c r="C155" s="19" t="s">
        <v>78</v>
      </c>
      <c r="D155" s="12" t="s">
        <v>76</v>
      </c>
      <c r="E155" s="23">
        <v>20020002</v>
      </c>
      <c r="F155" s="32" t="str">
        <f>IF(D155="MPG",_xlfn.XLOOKUP(E155,Sheet2!$A$2:$A$2104,Sheet2!$B$2:$B$2104,""),"")</f>
        <v/>
      </c>
      <c r="G155" s="32"/>
      <c r="H155" s="19" t="s">
        <v>447</v>
      </c>
      <c r="I155" s="19" t="s">
        <v>455</v>
      </c>
      <c r="J155" s="19"/>
      <c r="K155" s="19"/>
      <c r="L155" s="19"/>
      <c r="M155" s="19"/>
      <c r="N155" s="19" t="s">
        <v>430</v>
      </c>
      <c r="O155" s="19" t="s">
        <v>292</v>
      </c>
      <c r="P155" s="19"/>
      <c r="Q155" s="19"/>
      <c r="R155" s="19">
        <v>780</v>
      </c>
      <c r="S155" s="19">
        <v>780</v>
      </c>
      <c r="T155" s="19">
        <v>140.4</v>
      </c>
      <c r="U155" s="19">
        <v>920.4</v>
      </c>
      <c r="V155" s="19"/>
      <c r="W155" s="19"/>
      <c r="X155" s="19" t="s">
        <v>539</v>
      </c>
    </row>
    <row r="156" spans="1:24" hidden="1" x14ac:dyDescent="0.25">
      <c r="A156" s="24">
        <v>46149.688171296293</v>
      </c>
      <c r="B156" s="22">
        <v>46143</v>
      </c>
      <c r="C156" s="19" t="s">
        <v>78</v>
      </c>
      <c r="D156" s="12" t="s">
        <v>76</v>
      </c>
      <c r="E156" s="23">
        <v>20020005</v>
      </c>
      <c r="F156" s="32" t="str">
        <f>IF(D156="MPG",_xlfn.XLOOKUP(E156,Sheet2!$A$2:$A$2104,Sheet2!$B$2:$B$2104,""),"")</f>
        <v/>
      </c>
      <c r="G156" s="32"/>
      <c r="H156" s="19" t="s">
        <v>446</v>
      </c>
      <c r="I156" s="19" t="s">
        <v>455</v>
      </c>
      <c r="J156" s="19"/>
      <c r="K156" s="19"/>
      <c r="L156" s="19"/>
      <c r="M156" s="19"/>
      <c r="N156" s="19" t="s">
        <v>425</v>
      </c>
      <c r="O156" s="19" t="s">
        <v>318</v>
      </c>
      <c r="P156" s="19"/>
      <c r="Q156" s="19"/>
      <c r="R156" s="19">
        <v>2080</v>
      </c>
      <c r="S156" s="19">
        <v>2080</v>
      </c>
      <c r="T156" s="19">
        <v>374.4</v>
      </c>
      <c r="U156" s="19">
        <v>2454.4</v>
      </c>
      <c r="V156" s="19"/>
      <c r="W156" s="19"/>
      <c r="X156" s="19" t="s">
        <v>539</v>
      </c>
    </row>
    <row r="157" spans="1:24" hidden="1" x14ac:dyDescent="0.25">
      <c r="A157" s="9">
        <v>46149.725127314814</v>
      </c>
      <c r="B157" s="5">
        <v>46143</v>
      </c>
      <c r="C157" s="19" t="s">
        <v>75</v>
      </c>
      <c r="D157" s="12" t="s">
        <v>77</v>
      </c>
      <c r="E157" s="6">
        <v>1056</v>
      </c>
      <c r="F157" s="32" t="str">
        <f>IF(D157="MPG",_xlfn.XLOOKUP(E157,Sheet2!$A$2:$A$2104,Sheet2!$B$2:$B$2104,""),"")</f>
        <v/>
      </c>
      <c r="G157" s="32"/>
      <c r="H157" s="1" t="s">
        <v>448</v>
      </c>
      <c r="I157" s="1" t="s">
        <v>448</v>
      </c>
      <c r="J157" s="1"/>
      <c r="K157" s="1"/>
      <c r="L157" s="1"/>
      <c r="M157" s="1"/>
      <c r="N157" s="1" t="s">
        <v>523</v>
      </c>
      <c r="O157" s="1" t="s">
        <v>337</v>
      </c>
      <c r="P157" s="1"/>
      <c r="Q157" s="1"/>
      <c r="R157" s="1">
        <v>790</v>
      </c>
      <c r="S157" s="1">
        <v>790</v>
      </c>
      <c r="T157" s="1">
        <v>142.19999999999999</v>
      </c>
      <c r="U157" s="1">
        <v>932.2</v>
      </c>
      <c r="V157" s="1"/>
      <c r="W157" s="1"/>
      <c r="X157" s="1" t="s">
        <v>539</v>
      </c>
    </row>
    <row r="158" spans="1:24" hidden="1" x14ac:dyDescent="0.25">
      <c r="A158" s="9">
        <v>46149.725127314814</v>
      </c>
      <c r="B158" s="5">
        <v>46143</v>
      </c>
      <c r="C158" s="19" t="s">
        <v>75</v>
      </c>
      <c r="D158" s="12" t="s">
        <v>77</v>
      </c>
      <c r="E158" s="6">
        <v>1056</v>
      </c>
      <c r="F158" s="32" t="str">
        <f>IF(D158="MPG",_xlfn.XLOOKUP(E158,Sheet2!$A$2:$A$2104,Sheet2!$B$2:$B$2104,""),"")</f>
        <v/>
      </c>
      <c r="G158" s="32"/>
      <c r="H158" s="1" t="s">
        <v>448</v>
      </c>
      <c r="I158" s="1" t="s">
        <v>448</v>
      </c>
      <c r="J158" s="1"/>
      <c r="K158" s="1"/>
      <c r="L158" s="1"/>
      <c r="M158" s="1"/>
      <c r="N158" s="1" t="s">
        <v>424</v>
      </c>
      <c r="O158" s="1" t="s">
        <v>327</v>
      </c>
      <c r="P158" s="1"/>
      <c r="Q158" s="1"/>
      <c r="R158" s="1">
        <v>2000</v>
      </c>
      <c r="S158" s="1">
        <v>2000</v>
      </c>
      <c r="T158" s="1">
        <v>360</v>
      </c>
      <c r="U158" s="1">
        <v>2360</v>
      </c>
      <c r="V158" s="1"/>
      <c r="W158" s="1"/>
      <c r="X158" s="1" t="s">
        <v>539</v>
      </c>
    </row>
    <row r="159" spans="1:24" x14ac:dyDescent="0.25">
      <c r="A159" s="9">
        <v>46169.534039351849</v>
      </c>
      <c r="B159" s="5">
        <v>46143</v>
      </c>
      <c r="C159" s="19" t="s">
        <v>75</v>
      </c>
      <c r="D159" s="12" t="s">
        <v>76</v>
      </c>
      <c r="E159" s="6">
        <v>10130044</v>
      </c>
      <c r="F159" s="32">
        <f>IF(D159="MPG",_xlfn.XLOOKUP(E159,Sheet2!$A$2:$A$2104,Sheet2!$B$2:$B$2104,""),"")</f>
        <v>44915</v>
      </c>
      <c r="G159" s="36">
        <f t="shared" ref="G159:G162" si="13">+A159-F159</f>
        <v>1254.5340393518491</v>
      </c>
      <c r="H159" s="1" t="s">
        <v>449</v>
      </c>
      <c r="I159" s="1" t="s">
        <v>479</v>
      </c>
      <c r="J159" s="1"/>
      <c r="K159" s="1"/>
      <c r="L159" s="1"/>
      <c r="M159" s="1"/>
      <c r="N159" s="1" t="s">
        <v>429</v>
      </c>
      <c r="O159" s="1" t="s">
        <v>285</v>
      </c>
      <c r="P159" s="1"/>
      <c r="Q159" s="1"/>
      <c r="R159" s="1">
        <v>70</v>
      </c>
      <c r="S159" s="1">
        <v>140</v>
      </c>
      <c r="T159" s="1">
        <v>25.2</v>
      </c>
      <c r="U159" s="1">
        <v>165.2</v>
      </c>
      <c r="V159" s="1"/>
      <c r="W159" s="1"/>
      <c r="X159" s="19" t="s">
        <v>547</v>
      </c>
    </row>
    <row r="160" spans="1:24" x14ac:dyDescent="0.25">
      <c r="A160" s="9">
        <v>46169.534039351849</v>
      </c>
      <c r="B160" s="5">
        <v>46143</v>
      </c>
      <c r="C160" s="19" t="s">
        <v>75</v>
      </c>
      <c r="D160" s="12" t="s">
        <v>76</v>
      </c>
      <c r="E160" s="6">
        <v>10130044</v>
      </c>
      <c r="F160" s="32">
        <f>IF(D160="MPG",_xlfn.XLOOKUP(E160,Sheet2!$A$2:$A$2104,Sheet2!$B$2:$B$2104,""),"")</f>
        <v>44915</v>
      </c>
      <c r="G160" s="36">
        <f t="shared" si="13"/>
        <v>1254.5340393518491</v>
      </c>
      <c r="H160" s="1" t="s">
        <v>449</v>
      </c>
      <c r="I160" s="1" t="s">
        <v>479</v>
      </c>
      <c r="J160" s="1"/>
      <c r="K160" s="1"/>
      <c r="L160" s="1"/>
      <c r="M160" s="1"/>
      <c r="N160" s="1" t="s">
        <v>527</v>
      </c>
      <c r="O160" s="1" t="s">
        <v>305</v>
      </c>
      <c r="P160" s="1"/>
      <c r="Q160" s="1"/>
      <c r="R160" s="1">
        <v>44</v>
      </c>
      <c r="S160" s="1">
        <v>88</v>
      </c>
      <c r="T160" s="1">
        <v>15.84</v>
      </c>
      <c r="U160" s="1">
        <v>103.84</v>
      </c>
      <c r="V160" s="1"/>
      <c r="W160" s="1"/>
      <c r="X160" s="19" t="s">
        <v>547</v>
      </c>
    </row>
    <row r="161" spans="1:24" x14ac:dyDescent="0.25">
      <c r="A161" s="9">
        <v>46169.515393518515</v>
      </c>
      <c r="B161" s="5">
        <v>46143</v>
      </c>
      <c r="C161" s="19" t="s">
        <v>75</v>
      </c>
      <c r="D161" s="12" t="s">
        <v>76</v>
      </c>
      <c r="E161" s="6">
        <v>10130008</v>
      </c>
      <c r="F161" s="32">
        <f>IF(D161="MPG",_xlfn.XLOOKUP(E161,Sheet2!$A$2:$A$2104,Sheet2!$B$2:$B$2104,""),"")</f>
        <v>43913</v>
      </c>
      <c r="G161" s="36">
        <f t="shared" si="13"/>
        <v>2256.5153935185153</v>
      </c>
      <c r="H161" s="1" t="s">
        <v>450</v>
      </c>
      <c r="I161" s="1" t="s">
        <v>479</v>
      </c>
      <c r="J161" s="1"/>
      <c r="K161" s="1"/>
      <c r="L161" s="1"/>
      <c r="M161" s="1"/>
      <c r="N161" s="1" t="s">
        <v>429</v>
      </c>
      <c r="O161" s="1" t="s">
        <v>285</v>
      </c>
      <c r="P161" s="1"/>
      <c r="Q161" s="1"/>
      <c r="R161" s="1">
        <v>70</v>
      </c>
      <c r="S161" s="1">
        <v>140</v>
      </c>
      <c r="T161" s="1">
        <v>25.2</v>
      </c>
      <c r="U161" s="1">
        <v>165.2</v>
      </c>
      <c r="V161" s="1"/>
      <c r="W161" s="1"/>
      <c r="X161" s="19" t="s">
        <v>547</v>
      </c>
    </row>
    <row r="162" spans="1:24" x14ac:dyDescent="0.25">
      <c r="A162" s="9">
        <v>46169.515393518515</v>
      </c>
      <c r="B162" s="5">
        <v>46143</v>
      </c>
      <c r="C162" s="19" t="s">
        <v>75</v>
      </c>
      <c r="D162" s="12" t="s">
        <v>76</v>
      </c>
      <c r="E162" s="6">
        <v>10130008</v>
      </c>
      <c r="F162" s="32">
        <f>IF(D162="MPG",_xlfn.XLOOKUP(E162,Sheet2!$A$2:$A$2104,Sheet2!$B$2:$B$2104,""),"")</f>
        <v>43913</v>
      </c>
      <c r="G162" s="36">
        <f t="shared" si="13"/>
        <v>2256.5153935185153</v>
      </c>
      <c r="H162" s="1" t="s">
        <v>450</v>
      </c>
      <c r="I162" s="1" t="s">
        <v>479</v>
      </c>
      <c r="J162" s="1"/>
      <c r="K162" s="1"/>
      <c r="L162" s="1"/>
      <c r="M162" s="1"/>
      <c r="N162" s="1" t="s">
        <v>427</v>
      </c>
      <c r="O162" s="1" t="s">
        <v>407</v>
      </c>
      <c r="P162" s="1"/>
      <c r="Q162" s="1"/>
      <c r="R162" s="1">
        <v>49</v>
      </c>
      <c r="S162" s="1">
        <v>98</v>
      </c>
      <c r="T162" s="1">
        <v>17.64</v>
      </c>
      <c r="U162" s="1">
        <v>115.64</v>
      </c>
      <c r="V162" s="1"/>
      <c r="W162" s="1"/>
      <c r="X162" s="19" t="s">
        <v>547</v>
      </c>
    </row>
    <row r="163" spans="1:24" hidden="1" x14ac:dyDescent="0.25">
      <c r="A163" s="9">
        <v>46149.726655092592</v>
      </c>
      <c r="B163" s="5">
        <v>46143</v>
      </c>
      <c r="C163" s="19" t="s">
        <v>75</v>
      </c>
      <c r="D163" s="12" t="s">
        <v>77</v>
      </c>
      <c r="E163" s="6">
        <v>1056</v>
      </c>
      <c r="F163" s="32" t="str">
        <f>IF(D163="MPG",_xlfn.XLOOKUP(E163,Sheet2!$A$2:$A$2104,Sheet2!$B$2:$B$2104,""),"")</f>
        <v/>
      </c>
      <c r="G163" s="32"/>
      <c r="H163" s="1" t="s">
        <v>451</v>
      </c>
      <c r="I163" s="1" t="s">
        <v>448</v>
      </c>
      <c r="J163" s="1"/>
      <c r="K163" s="1"/>
      <c r="L163" s="1"/>
      <c r="M163" s="1"/>
      <c r="N163" s="1" t="s">
        <v>424</v>
      </c>
      <c r="O163" s="1" t="s">
        <v>327</v>
      </c>
      <c r="P163" s="1"/>
      <c r="Q163" s="1"/>
      <c r="R163" s="1">
        <v>2000</v>
      </c>
      <c r="S163" s="1">
        <v>2000</v>
      </c>
      <c r="T163" s="1">
        <v>360</v>
      </c>
      <c r="U163" s="1">
        <v>2360</v>
      </c>
      <c r="V163" s="1"/>
      <c r="W163" s="1"/>
      <c r="X163" s="1" t="s">
        <v>539</v>
      </c>
    </row>
    <row r="164" spans="1:24" hidden="1" x14ac:dyDescent="0.25">
      <c r="A164" s="9">
        <v>46149.738009259258</v>
      </c>
      <c r="B164" s="5">
        <v>46143</v>
      </c>
      <c r="C164" s="1" t="s">
        <v>78</v>
      </c>
      <c r="D164" s="12" t="s">
        <v>76</v>
      </c>
      <c r="E164" s="6">
        <v>20020014</v>
      </c>
      <c r="F164" s="32" t="str">
        <f>IF(D164="MPG",_xlfn.XLOOKUP(E164,Sheet2!$A$2:$A$2104,Sheet2!$B$2:$B$2104,""),"")</f>
        <v/>
      </c>
      <c r="G164" s="32"/>
      <c r="H164" s="1" t="s">
        <v>452</v>
      </c>
      <c r="I164" s="1" t="s">
        <v>455</v>
      </c>
      <c r="J164" s="1"/>
      <c r="K164" s="1"/>
      <c r="L164" s="1"/>
      <c r="M164" s="1"/>
      <c r="N164" s="1" t="s">
        <v>528</v>
      </c>
      <c r="O164" s="1" t="s">
        <v>335</v>
      </c>
      <c r="P164" s="1"/>
      <c r="Q164" s="1"/>
      <c r="R164" s="1">
        <v>2080</v>
      </c>
      <c r="S164" s="1">
        <v>2080</v>
      </c>
      <c r="T164" s="1">
        <v>374.4</v>
      </c>
      <c r="U164" s="1">
        <v>2454.4</v>
      </c>
      <c r="V164" s="1"/>
      <c r="W164" s="1"/>
      <c r="X164" s="1" t="s">
        <v>539</v>
      </c>
    </row>
    <row r="165" spans="1:24" x14ac:dyDescent="0.25">
      <c r="A165" s="9">
        <v>46169.498981481483</v>
      </c>
      <c r="B165" s="5">
        <v>46143</v>
      </c>
      <c r="C165" s="1" t="s">
        <v>75</v>
      </c>
      <c r="D165" s="12" t="s">
        <v>76</v>
      </c>
      <c r="E165" s="6">
        <v>10130098</v>
      </c>
      <c r="F165" s="32">
        <f>IF(D165="MPG",_xlfn.XLOOKUP(E165,Sheet2!$A$2:$A$2104,Sheet2!$B$2:$B$2104,""),"")</f>
        <v>45765</v>
      </c>
      <c r="G165" s="36">
        <f t="shared" ref="G165:G166" si="14">+A165-F165</f>
        <v>404.4989814814835</v>
      </c>
      <c r="H165" s="1" t="s">
        <v>453</v>
      </c>
      <c r="I165" s="1" t="s">
        <v>479</v>
      </c>
      <c r="J165" s="1"/>
      <c r="K165" s="1"/>
      <c r="L165" s="1"/>
      <c r="M165" s="1"/>
      <c r="N165" s="1" t="s">
        <v>429</v>
      </c>
      <c r="O165" s="1" t="s">
        <v>285</v>
      </c>
      <c r="P165" s="1"/>
      <c r="Q165" s="1"/>
      <c r="R165" s="1">
        <v>70</v>
      </c>
      <c r="S165" s="1">
        <v>70</v>
      </c>
      <c r="T165" s="1">
        <v>12.6</v>
      </c>
      <c r="U165" s="1">
        <v>82.6</v>
      </c>
      <c r="V165" s="1"/>
      <c r="W165" s="1"/>
      <c r="X165" s="19" t="s">
        <v>547</v>
      </c>
    </row>
    <row r="166" spans="1:24" x14ac:dyDescent="0.25">
      <c r="A166" s="9">
        <v>46169.498981481483</v>
      </c>
      <c r="B166" s="5">
        <v>46143</v>
      </c>
      <c r="C166" s="1" t="s">
        <v>75</v>
      </c>
      <c r="D166" s="12" t="s">
        <v>76</v>
      </c>
      <c r="E166" s="6">
        <v>10130098</v>
      </c>
      <c r="F166" s="32">
        <f>IF(D166="MPG",_xlfn.XLOOKUP(E166,Sheet2!$A$2:$A$2104,Sheet2!$B$2:$B$2104,""),"")</f>
        <v>45765</v>
      </c>
      <c r="G166" s="36">
        <f t="shared" si="14"/>
        <v>404.4989814814835</v>
      </c>
      <c r="H166" s="1" t="s">
        <v>453</v>
      </c>
      <c r="I166" s="1" t="s">
        <v>479</v>
      </c>
      <c r="J166" s="1"/>
      <c r="K166" s="1"/>
      <c r="L166" s="1"/>
      <c r="M166" s="1"/>
      <c r="N166" s="1" t="s">
        <v>431</v>
      </c>
      <c r="O166" s="1" t="s">
        <v>307</v>
      </c>
      <c r="P166" s="1"/>
      <c r="Q166" s="1"/>
      <c r="R166" s="1">
        <v>84</v>
      </c>
      <c r="S166" s="1">
        <v>84</v>
      </c>
      <c r="T166" s="1">
        <v>15.12</v>
      </c>
      <c r="U166" s="1">
        <v>99.12</v>
      </c>
      <c r="V166" s="1"/>
      <c r="W166" s="1"/>
      <c r="X166" s="19" t="s">
        <v>547</v>
      </c>
    </row>
    <row r="167" spans="1:24" hidden="1" x14ac:dyDescent="0.25">
      <c r="A167" s="9">
        <v>46150.954756944448</v>
      </c>
      <c r="B167" s="5">
        <v>46143</v>
      </c>
      <c r="C167" s="1" t="s">
        <v>78</v>
      </c>
      <c r="D167" s="12" t="s">
        <v>76</v>
      </c>
      <c r="E167" s="6">
        <v>20010027</v>
      </c>
      <c r="F167" s="32" t="str">
        <f>IF(D167="MPG",_xlfn.XLOOKUP(E167,Sheet2!$A$2:$A$2104,Sheet2!$B$2:$B$2104,""),"")</f>
        <v/>
      </c>
      <c r="G167" s="32"/>
      <c r="H167" s="1" t="s">
        <v>454</v>
      </c>
      <c r="I167" s="1" t="s">
        <v>499</v>
      </c>
      <c r="J167" s="1"/>
      <c r="K167" s="1"/>
      <c r="L167" s="1"/>
      <c r="M167" s="1"/>
      <c r="N167" s="1" t="s">
        <v>432</v>
      </c>
      <c r="O167" s="1" t="s">
        <v>408</v>
      </c>
      <c r="P167" s="1"/>
      <c r="Q167" s="1"/>
      <c r="R167" s="1">
        <v>8000</v>
      </c>
      <c r="S167" s="1">
        <v>8000</v>
      </c>
      <c r="T167" s="1">
        <v>1440</v>
      </c>
      <c r="U167" s="1">
        <v>9440</v>
      </c>
      <c r="V167" s="1"/>
      <c r="W167" s="1"/>
      <c r="X167" s="1" t="s">
        <v>539</v>
      </c>
    </row>
    <row r="168" spans="1:24" hidden="1" x14ac:dyDescent="0.25">
      <c r="A168" s="9">
        <v>46150.956076388888</v>
      </c>
      <c r="B168" s="5">
        <v>46143</v>
      </c>
      <c r="C168" s="1" t="s">
        <v>78</v>
      </c>
      <c r="D168" s="12" t="s">
        <v>76</v>
      </c>
      <c r="E168" s="6">
        <v>20020002</v>
      </c>
      <c r="F168" s="32" t="str">
        <f>IF(D168="MPG",_xlfn.XLOOKUP(E168,Sheet2!$A$2:$A$2104,Sheet2!$B$2:$B$2104,""),"")</f>
        <v/>
      </c>
      <c r="G168" s="32"/>
      <c r="H168" s="1" t="s">
        <v>447</v>
      </c>
      <c r="I168" s="1" t="s">
        <v>455</v>
      </c>
      <c r="J168" s="1"/>
      <c r="K168" s="1"/>
      <c r="L168" s="1"/>
      <c r="M168" s="1"/>
      <c r="N168" s="1" t="s">
        <v>432</v>
      </c>
      <c r="O168" s="1" t="s">
        <v>408</v>
      </c>
      <c r="P168" s="1"/>
      <c r="Q168" s="1"/>
      <c r="R168" s="1">
        <v>8000</v>
      </c>
      <c r="S168" s="1">
        <v>8000</v>
      </c>
      <c r="T168" s="1">
        <v>1440</v>
      </c>
      <c r="U168" s="1">
        <v>9440</v>
      </c>
      <c r="V168" s="1"/>
      <c r="W168" s="1"/>
      <c r="X168" s="1" t="s">
        <v>539</v>
      </c>
    </row>
    <row r="169" spans="1:24" hidden="1" x14ac:dyDescent="0.25">
      <c r="A169" s="9">
        <v>46150.959039351852</v>
      </c>
      <c r="B169" s="5">
        <v>46143</v>
      </c>
      <c r="C169" s="1" t="s">
        <v>78</v>
      </c>
      <c r="D169" s="12" t="s">
        <v>76</v>
      </c>
      <c r="E169" s="6">
        <v>20020001</v>
      </c>
      <c r="F169" s="32" t="str">
        <f>IF(D169="MPG",_xlfn.XLOOKUP(E169,Sheet2!$A$2:$A$2104,Sheet2!$B$2:$B$2104,""),"")</f>
        <v/>
      </c>
      <c r="G169" s="32"/>
      <c r="H169" s="1" t="s">
        <v>455</v>
      </c>
      <c r="I169" s="1" t="s">
        <v>455</v>
      </c>
      <c r="J169" s="1"/>
      <c r="K169" s="1"/>
      <c r="L169" s="1"/>
      <c r="M169" s="1"/>
      <c r="N169" s="1" t="s">
        <v>432</v>
      </c>
      <c r="O169" s="1" t="s">
        <v>408</v>
      </c>
      <c r="P169" s="1"/>
      <c r="Q169" s="1"/>
      <c r="R169" s="1">
        <v>8000</v>
      </c>
      <c r="S169" s="1">
        <v>8000</v>
      </c>
      <c r="T169" s="1">
        <v>1440</v>
      </c>
      <c r="U169" s="1">
        <v>9440</v>
      </c>
      <c r="V169" s="1"/>
      <c r="W169" s="1"/>
      <c r="X169" s="1" t="s">
        <v>539</v>
      </c>
    </row>
    <row r="170" spans="1:24" x14ac:dyDescent="0.25">
      <c r="A170" s="9">
        <v>46151.472881944443</v>
      </c>
      <c r="B170" s="5">
        <v>46143</v>
      </c>
      <c r="C170" s="1" t="s">
        <v>75</v>
      </c>
      <c r="D170" s="12" t="s">
        <v>76</v>
      </c>
      <c r="E170" s="6">
        <v>10110007</v>
      </c>
      <c r="F170" s="32">
        <f>IF(D170="MPG",_xlfn.XLOOKUP(E170,Sheet2!$A$2:$A$2104,Sheet2!$B$2:$B$2104,""),"")</f>
        <v>42979</v>
      </c>
      <c r="G170" s="36">
        <f t="shared" ref="G170:G173" si="15">+A170-F170</f>
        <v>3172.4728819444426</v>
      </c>
      <c r="H170" s="1" t="s">
        <v>456</v>
      </c>
      <c r="I170" s="1" t="s">
        <v>500</v>
      </c>
      <c r="J170" s="1"/>
      <c r="K170" s="1"/>
      <c r="L170" s="1"/>
      <c r="M170" s="1"/>
      <c r="N170" s="1" t="s">
        <v>529</v>
      </c>
      <c r="O170" s="1" t="s">
        <v>515</v>
      </c>
      <c r="P170" s="1"/>
      <c r="Q170" s="1"/>
      <c r="R170" s="1">
        <v>825</v>
      </c>
      <c r="S170" s="1">
        <v>825</v>
      </c>
      <c r="T170" s="1">
        <v>148.5</v>
      </c>
      <c r="U170" s="1">
        <v>973.5</v>
      </c>
      <c r="V170" s="1"/>
      <c r="W170" s="1"/>
      <c r="X170" s="19" t="s">
        <v>547</v>
      </c>
    </row>
    <row r="171" spans="1:24" x14ac:dyDescent="0.25">
      <c r="A171" s="9">
        <v>46168.539675925924</v>
      </c>
      <c r="B171" s="5">
        <v>46143</v>
      </c>
      <c r="C171" s="1" t="s">
        <v>75</v>
      </c>
      <c r="D171" s="12" t="s">
        <v>76</v>
      </c>
      <c r="E171" s="6">
        <v>10110095</v>
      </c>
      <c r="F171" s="32">
        <f>IF(D171="MPG",_xlfn.XLOOKUP(E171,Sheet2!$A$2:$A$2104,Sheet2!$B$2:$B$2104,""),"")</f>
        <v>45629</v>
      </c>
      <c r="G171" s="36">
        <f t="shared" si="15"/>
        <v>539.5396759259238</v>
      </c>
      <c r="H171" s="1" t="s">
        <v>449</v>
      </c>
      <c r="I171" s="1" t="s">
        <v>500</v>
      </c>
      <c r="J171" s="1"/>
      <c r="K171" s="1"/>
      <c r="L171" s="1"/>
      <c r="M171" s="1"/>
      <c r="N171" s="1" t="s">
        <v>527</v>
      </c>
      <c r="O171" s="1" t="s">
        <v>305</v>
      </c>
      <c r="P171" s="1"/>
      <c r="Q171" s="1"/>
      <c r="R171" s="1">
        <v>44</v>
      </c>
      <c r="S171" s="1">
        <v>88</v>
      </c>
      <c r="T171" s="1">
        <v>15.84</v>
      </c>
      <c r="U171" s="1">
        <v>103.84</v>
      </c>
      <c r="V171" s="1"/>
      <c r="W171" s="1"/>
      <c r="X171" s="19" t="s">
        <v>547</v>
      </c>
    </row>
    <row r="172" spans="1:24" x14ac:dyDescent="0.25">
      <c r="A172" s="9">
        <v>46168.539675925924</v>
      </c>
      <c r="B172" s="5">
        <v>46143</v>
      </c>
      <c r="C172" s="1" t="s">
        <v>75</v>
      </c>
      <c r="D172" s="12" t="s">
        <v>76</v>
      </c>
      <c r="E172" s="6">
        <v>10110095</v>
      </c>
      <c r="F172" s="32">
        <f>IF(D172="MPG",_xlfn.XLOOKUP(E172,Sheet2!$A$2:$A$2104,Sheet2!$B$2:$B$2104,""),"")</f>
        <v>45629</v>
      </c>
      <c r="G172" s="36">
        <f t="shared" si="15"/>
        <v>539.5396759259238</v>
      </c>
      <c r="H172" s="1" t="s">
        <v>449</v>
      </c>
      <c r="I172" s="1" t="s">
        <v>500</v>
      </c>
      <c r="J172" s="1"/>
      <c r="K172" s="1"/>
      <c r="L172" s="1"/>
      <c r="M172" s="1"/>
      <c r="N172" s="1" t="s">
        <v>431</v>
      </c>
      <c r="O172" s="1" t="s">
        <v>307</v>
      </c>
      <c r="P172" s="1"/>
      <c r="Q172" s="1"/>
      <c r="R172" s="1">
        <v>84</v>
      </c>
      <c r="S172" s="1">
        <v>84</v>
      </c>
      <c r="T172" s="1">
        <v>15.12</v>
      </c>
      <c r="U172" s="1">
        <v>99.12</v>
      </c>
      <c r="V172" s="1"/>
      <c r="W172" s="1"/>
      <c r="X172" s="19" t="s">
        <v>547</v>
      </c>
    </row>
    <row r="173" spans="1:24" hidden="1" x14ac:dyDescent="0.25">
      <c r="A173" s="9">
        <v>46151.553530092591</v>
      </c>
      <c r="B173" s="5">
        <v>46143</v>
      </c>
      <c r="C173" s="1" t="s">
        <v>75</v>
      </c>
      <c r="D173" s="12" t="s">
        <v>76</v>
      </c>
      <c r="E173" s="6">
        <v>10130115</v>
      </c>
      <c r="F173" s="32">
        <f>IF(D173="MPG",_xlfn.XLOOKUP(E173,Sheet2!$A$2:$A$2104,Sheet2!$B$2:$B$2104,""),"")</f>
        <v>46054</v>
      </c>
      <c r="G173" s="36">
        <f t="shared" si="15"/>
        <v>97.553530092591245</v>
      </c>
      <c r="H173" s="1" t="s">
        <v>457</v>
      </c>
      <c r="I173" s="1" t="s">
        <v>479</v>
      </c>
      <c r="J173" s="1"/>
      <c r="K173" s="1"/>
      <c r="L173" s="1"/>
      <c r="M173" s="1"/>
      <c r="N173" s="1" t="s">
        <v>525</v>
      </c>
      <c r="O173" s="1" t="s">
        <v>299</v>
      </c>
      <c r="P173" s="1"/>
      <c r="Q173" s="1"/>
      <c r="R173" s="1">
        <v>770</v>
      </c>
      <c r="S173" s="1">
        <v>770</v>
      </c>
      <c r="T173" s="1">
        <v>138.6</v>
      </c>
      <c r="U173" s="1">
        <v>908.6</v>
      </c>
      <c r="V173" s="1"/>
      <c r="W173" s="1"/>
      <c r="X173" s="1" t="s">
        <v>539</v>
      </c>
    </row>
    <row r="174" spans="1:24" hidden="1" x14ac:dyDescent="0.25">
      <c r="A174" s="9">
        <v>46151.574606481481</v>
      </c>
      <c r="B174" s="5">
        <v>46143</v>
      </c>
      <c r="C174" s="1" t="s">
        <v>78</v>
      </c>
      <c r="D174" s="12" t="s">
        <v>76</v>
      </c>
      <c r="E174" s="6">
        <v>20010036</v>
      </c>
      <c r="F174" s="32" t="str">
        <f>IF(D174="MPG",_xlfn.XLOOKUP(E174,Sheet2!$A$2:$A$2104,Sheet2!$B$2:$B$2104,""),"")</f>
        <v/>
      </c>
      <c r="G174" s="32"/>
      <c r="H174" s="1" t="s">
        <v>458</v>
      </c>
      <c r="I174" s="1" t="s">
        <v>499</v>
      </c>
      <c r="J174" s="1"/>
      <c r="K174" s="1"/>
      <c r="L174" s="1"/>
      <c r="M174" s="1"/>
      <c r="N174" s="1" t="s">
        <v>530</v>
      </c>
      <c r="O174" s="1" t="s">
        <v>516</v>
      </c>
      <c r="P174" s="1"/>
      <c r="Q174" s="1"/>
      <c r="R174" s="1">
        <v>120</v>
      </c>
      <c r="S174" s="1">
        <v>120</v>
      </c>
      <c r="T174" s="1">
        <v>21.6</v>
      </c>
      <c r="U174" s="1">
        <v>141.6</v>
      </c>
      <c r="V174" s="1"/>
      <c r="W174" s="1"/>
      <c r="X174" s="1" t="s">
        <v>539</v>
      </c>
    </row>
    <row r="175" spans="1:24" x14ac:dyDescent="0.25">
      <c r="A175" s="9">
        <v>46167.485532407409</v>
      </c>
      <c r="B175" s="5">
        <v>46143</v>
      </c>
      <c r="C175" s="1" t="s">
        <v>75</v>
      </c>
      <c r="D175" s="12" t="s">
        <v>76</v>
      </c>
      <c r="E175" s="6">
        <v>10120051</v>
      </c>
      <c r="F175" s="32">
        <f>IF(D175="MPG",_xlfn.XLOOKUP(E175,Sheet2!$A$2:$A$2104,Sheet2!$B$2:$B$2104,""),"")</f>
        <v>45226</v>
      </c>
      <c r="G175" s="36">
        <f t="shared" ref="G175:G176" si="16">+A175-F175</f>
        <v>941.48553240740875</v>
      </c>
      <c r="H175" s="1" t="s">
        <v>459</v>
      </c>
      <c r="I175" s="1" t="s">
        <v>438</v>
      </c>
      <c r="J175" s="1"/>
      <c r="K175" s="1"/>
      <c r="L175" s="1"/>
      <c r="M175" s="1"/>
      <c r="N175" s="1" t="s">
        <v>423</v>
      </c>
      <c r="O175" s="1" t="s">
        <v>309</v>
      </c>
      <c r="P175" s="1"/>
      <c r="Q175" s="1"/>
      <c r="R175" s="1">
        <v>62</v>
      </c>
      <c r="S175" s="1">
        <v>124</v>
      </c>
      <c r="T175" s="1">
        <v>22.32</v>
      </c>
      <c r="U175" s="1">
        <v>146.32</v>
      </c>
      <c r="V175" s="1"/>
      <c r="W175" s="1"/>
      <c r="X175" s="19" t="s">
        <v>547</v>
      </c>
    </row>
    <row r="176" spans="1:24" x14ac:dyDescent="0.25">
      <c r="A176" s="9">
        <v>46167.485532407409</v>
      </c>
      <c r="B176" s="5">
        <v>46143</v>
      </c>
      <c r="C176" s="1" t="s">
        <v>75</v>
      </c>
      <c r="D176" s="12" t="s">
        <v>76</v>
      </c>
      <c r="E176" s="6">
        <v>10120051</v>
      </c>
      <c r="F176" s="32">
        <f>IF(D176="MPG",_xlfn.XLOOKUP(E176,Sheet2!$A$2:$A$2104,Sheet2!$B$2:$B$2104,""),"")</f>
        <v>45226</v>
      </c>
      <c r="G176" s="36">
        <f t="shared" si="16"/>
        <v>941.48553240740875</v>
      </c>
      <c r="H176" s="1" t="s">
        <v>459</v>
      </c>
      <c r="I176" s="1" t="s">
        <v>438</v>
      </c>
      <c r="J176" s="1"/>
      <c r="K176" s="1"/>
      <c r="L176" s="1"/>
      <c r="M176" s="1"/>
      <c r="N176" s="1" t="s">
        <v>428</v>
      </c>
      <c r="O176" s="1" t="s">
        <v>297</v>
      </c>
      <c r="P176" s="1"/>
      <c r="Q176" s="1"/>
      <c r="R176" s="1">
        <v>125</v>
      </c>
      <c r="S176" s="1">
        <v>250</v>
      </c>
      <c r="T176" s="1">
        <v>45</v>
      </c>
      <c r="U176" s="1">
        <v>295</v>
      </c>
      <c r="V176" s="1"/>
      <c r="W176" s="1"/>
      <c r="X176" s="19" t="s">
        <v>547</v>
      </c>
    </row>
    <row r="177" spans="1:24" hidden="1" x14ac:dyDescent="0.25">
      <c r="A177" s="9">
        <v>46166.939768518518</v>
      </c>
      <c r="B177" s="5">
        <v>46143</v>
      </c>
      <c r="C177" s="1" t="s">
        <v>545</v>
      </c>
      <c r="D177" s="12" t="s">
        <v>76</v>
      </c>
      <c r="E177" s="6">
        <v>30190004</v>
      </c>
      <c r="F177" s="32" t="str">
        <f>IF(D177="MPG",_xlfn.XLOOKUP(E177,Sheet2!$A$2:$A$2104,Sheet2!$B$2:$B$2104,""),"")</f>
        <v/>
      </c>
      <c r="G177" s="32"/>
      <c r="H177" s="1" t="s">
        <v>460</v>
      </c>
      <c r="I177" s="1"/>
      <c r="J177" s="1"/>
      <c r="K177" s="1"/>
      <c r="L177" s="1"/>
      <c r="M177" s="1"/>
      <c r="N177" s="1" t="s">
        <v>432</v>
      </c>
      <c r="O177" s="1" t="s">
        <v>408</v>
      </c>
      <c r="P177" s="1"/>
      <c r="Q177" s="1"/>
      <c r="R177" s="1">
        <v>8000</v>
      </c>
      <c r="S177" s="1">
        <v>8000</v>
      </c>
      <c r="T177" s="1">
        <v>1440</v>
      </c>
      <c r="U177" s="1">
        <v>9440</v>
      </c>
      <c r="V177" s="1"/>
      <c r="W177" s="1"/>
      <c r="X177" s="1" t="s">
        <v>539</v>
      </c>
    </row>
    <row r="178" spans="1:24" hidden="1" x14ac:dyDescent="0.25">
      <c r="A178" s="9">
        <v>46166.939768518518</v>
      </c>
      <c r="B178" s="5">
        <v>46143</v>
      </c>
      <c r="C178" s="1" t="s">
        <v>545</v>
      </c>
      <c r="D178" s="12" t="s">
        <v>76</v>
      </c>
      <c r="E178" s="6">
        <v>30190004</v>
      </c>
      <c r="F178" s="32" t="str">
        <f>IF(D178="MPG",_xlfn.XLOOKUP(E178,Sheet2!$A$2:$A$2104,Sheet2!$B$2:$B$2104,""),"")</f>
        <v/>
      </c>
      <c r="G178" s="32"/>
      <c r="H178" s="1" t="s">
        <v>460</v>
      </c>
      <c r="I178" s="1"/>
      <c r="J178" s="1"/>
      <c r="K178" s="1"/>
      <c r="L178" s="1"/>
      <c r="M178" s="1"/>
      <c r="N178" s="1" t="s">
        <v>431</v>
      </c>
      <c r="O178" s="1" t="s">
        <v>307</v>
      </c>
      <c r="P178" s="1"/>
      <c r="Q178" s="1"/>
      <c r="R178" s="1">
        <v>84</v>
      </c>
      <c r="S178" s="1">
        <v>84</v>
      </c>
      <c r="T178" s="1">
        <v>15.12</v>
      </c>
      <c r="U178" s="1">
        <v>99.12</v>
      </c>
      <c r="V178" s="1"/>
      <c r="W178" s="1"/>
      <c r="X178" s="1" t="s">
        <v>539</v>
      </c>
    </row>
    <row r="179" spans="1:24" x14ac:dyDescent="0.25">
      <c r="A179" s="9">
        <v>46165.713506944441</v>
      </c>
      <c r="B179" s="5">
        <v>46143</v>
      </c>
      <c r="C179" s="1" t="s">
        <v>75</v>
      </c>
      <c r="D179" s="12" t="s">
        <v>76</v>
      </c>
      <c r="E179" s="6">
        <v>10020042</v>
      </c>
      <c r="F179" s="32">
        <f>IF(D179="MPG",_xlfn.XLOOKUP(E179,Sheet2!$A$2:$A$2104,Sheet2!$B$2:$B$2104,""),"")</f>
        <v>45009</v>
      </c>
      <c r="G179" s="36">
        <f>+A179-F179</f>
        <v>1156.7135069444412</v>
      </c>
      <c r="H179" s="1" t="s">
        <v>461</v>
      </c>
      <c r="I179" s="1" t="s">
        <v>501</v>
      </c>
      <c r="J179" s="1"/>
      <c r="K179" s="1"/>
      <c r="L179" s="1"/>
      <c r="M179" s="1"/>
      <c r="N179" s="1" t="s">
        <v>425</v>
      </c>
      <c r="O179" s="1" t="s">
        <v>318</v>
      </c>
      <c r="P179" s="1"/>
      <c r="Q179" s="1"/>
      <c r="R179" s="1">
        <v>2080</v>
      </c>
      <c r="S179" s="1">
        <v>2080</v>
      </c>
      <c r="T179" s="1">
        <v>374.4</v>
      </c>
      <c r="U179" s="1">
        <v>2454.4</v>
      </c>
      <c r="V179" s="1"/>
      <c r="W179" s="1"/>
      <c r="X179" s="19" t="s">
        <v>547</v>
      </c>
    </row>
    <row r="180" spans="1:24" hidden="1" x14ac:dyDescent="0.25">
      <c r="A180" s="9">
        <v>46151.685648148145</v>
      </c>
      <c r="B180" s="5">
        <v>46143</v>
      </c>
      <c r="C180" s="1" t="s">
        <v>545</v>
      </c>
      <c r="D180" s="12" t="s">
        <v>76</v>
      </c>
      <c r="E180" s="6">
        <v>30031613</v>
      </c>
      <c r="F180" s="32" t="str">
        <f>IF(D180="MPG",_xlfn.XLOOKUP(E180,Sheet2!$A$2:$A$2104,Sheet2!$B$2:$B$2104,""),"")</f>
        <v/>
      </c>
      <c r="G180" s="32"/>
      <c r="H180" s="1" t="s">
        <v>462</v>
      </c>
      <c r="I180" s="1" t="s">
        <v>502</v>
      </c>
      <c r="J180" s="1"/>
      <c r="K180" s="1"/>
      <c r="L180" s="1"/>
      <c r="M180" s="1"/>
      <c r="N180" s="1" t="s">
        <v>432</v>
      </c>
      <c r="O180" s="1" t="s">
        <v>408</v>
      </c>
      <c r="P180" s="1"/>
      <c r="Q180" s="1"/>
      <c r="R180" s="1">
        <v>8000</v>
      </c>
      <c r="S180" s="1">
        <v>8000</v>
      </c>
      <c r="T180" s="1">
        <v>1440</v>
      </c>
      <c r="U180" s="1">
        <v>9440</v>
      </c>
      <c r="V180" s="1"/>
      <c r="W180" s="1"/>
      <c r="X180" s="1" t="s">
        <v>539</v>
      </c>
    </row>
    <row r="181" spans="1:24" hidden="1" x14ac:dyDescent="0.25">
      <c r="A181" s="9">
        <v>46151.688101851854</v>
      </c>
      <c r="B181" s="5">
        <v>46143</v>
      </c>
      <c r="C181" s="1" t="s">
        <v>78</v>
      </c>
      <c r="D181" s="12" t="s">
        <v>76</v>
      </c>
      <c r="E181" s="6">
        <v>20010041</v>
      </c>
      <c r="F181" s="32" t="str">
        <f>IF(D181="MPG",_xlfn.XLOOKUP(E181,Sheet2!$A$2:$A$2104,Sheet2!$B$2:$B$2104,""),"")</f>
        <v/>
      </c>
      <c r="G181" s="32"/>
      <c r="H181" s="1" t="s">
        <v>463</v>
      </c>
      <c r="I181" s="1" t="s">
        <v>499</v>
      </c>
      <c r="J181" s="1"/>
      <c r="K181" s="1"/>
      <c r="L181" s="1"/>
      <c r="M181" s="1"/>
      <c r="N181" s="1" t="s">
        <v>430</v>
      </c>
      <c r="O181" s="1" t="s">
        <v>292</v>
      </c>
      <c r="P181" s="1"/>
      <c r="Q181" s="1"/>
      <c r="R181" s="1">
        <v>780</v>
      </c>
      <c r="S181" s="1">
        <v>780</v>
      </c>
      <c r="T181" s="1">
        <v>140.4</v>
      </c>
      <c r="U181" s="1">
        <v>920.4</v>
      </c>
      <c r="V181" s="1"/>
      <c r="W181" s="1"/>
      <c r="X181" s="1" t="s">
        <v>539</v>
      </c>
    </row>
    <row r="182" spans="1:24" x14ac:dyDescent="0.25">
      <c r="A182" s="9">
        <v>46153.413703703707</v>
      </c>
      <c r="B182" s="5">
        <v>46143</v>
      </c>
      <c r="C182" s="1" t="s">
        <v>75</v>
      </c>
      <c r="D182" s="12" t="s">
        <v>76</v>
      </c>
      <c r="E182" s="29">
        <v>10220001</v>
      </c>
      <c r="F182" s="32">
        <f>IF(D182="MPG",_xlfn.XLOOKUP(E182,Sheet2!$A$2:$A$2104,Sheet2!$B$2:$B$2104,""),"")</f>
        <v>42979</v>
      </c>
      <c r="G182" s="36">
        <f t="shared" ref="G182:G183" si="17">+A182-F182</f>
        <v>3174.4137037037071</v>
      </c>
      <c r="H182" s="1" t="s">
        <v>464</v>
      </c>
      <c r="I182" s="1" t="s">
        <v>498</v>
      </c>
      <c r="J182" s="1"/>
      <c r="K182" s="1"/>
      <c r="L182" s="1"/>
      <c r="M182" s="1"/>
      <c r="N182" s="1" t="s">
        <v>531</v>
      </c>
      <c r="O182" s="1" t="s">
        <v>301</v>
      </c>
      <c r="P182" s="1"/>
      <c r="Q182" s="1"/>
      <c r="R182" s="1">
        <v>360</v>
      </c>
      <c r="S182" s="1">
        <v>360</v>
      </c>
      <c r="T182" s="1">
        <v>64.8</v>
      </c>
      <c r="U182" s="1">
        <v>424.8</v>
      </c>
      <c r="V182" s="1"/>
      <c r="W182" s="1"/>
      <c r="X182" s="19" t="s">
        <v>547</v>
      </c>
    </row>
    <row r="183" spans="1:24" x14ac:dyDescent="0.25">
      <c r="A183" s="9">
        <v>46153.413703703707</v>
      </c>
      <c r="B183" s="5">
        <v>46143</v>
      </c>
      <c r="C183" s="1" t="s">
        <v>75</v>
      </c>
      <c r="D183" s="12" t="s">
        <v>76</v>
      </c>
      <c r="E183" s="29">
        <v>10220001</v>
      </c>
      <c r="F183" s="32">
        <f>IF(D183="MPG",_xlfn.XLOOKUP(E183,Sheet2!$A$2:$A$2104,Sheet2!$B$2:$B$2104,""),"")</f>
        <v>42979</v>
      </c>
      <c r="G183" s="36">
        <f t="shared" si="17"/>
        <v>3174.4137037037071</v>
      </c>
      <c r="H183" s="1" t="s">
        <v>464</v>
      </c>
      <c r="I183" s="1" t="s">
        <v>498</v>
      </c>
      <c r="J183" s="1"/>
      <c r="K183" s="1"/>
      <c r="L183" s="1"/>
      <c r="M183" s="1"/>
      <c r="N183" s="1" t="s">
        <v>532</v>
      </c>
      <c r="O183" s="1" t="s">
        <v>288</v>
      </c>
      <c r="P183" s="1"/>
      <c r="Q183" s="1"/>
      <c r="R183" s="1">
        <v>825</v>
      </c>
      <c r="S183" s="1">
        <v>825</v>
      </c>
      <c r="T183" s="1">
        <v>148.5</v>
      </c>
      <c r="U183" s="1">
        <v>973.5</v>
      </c>
      <c r="V183" s="1"/>
      <c r="W183" s="1"/>
      <c r="X183" s="19" t="s">
        <v>547</v>
      </c>
    </row>
    <row r="184" spans="1:24" hidden="1" x14ac:dyDescent="0.25">
      <c r="A184" s="9">
        <v>46153.570752314816</v>
      </c>
      <c r="B184" s="5">
        <v>46143</v>
      </c>
      <c r="C184" s="1" t="s">
        <v>545</v>
      </c>
      <c r="D184" s="12" t="s">
        <v>76</v>
      </c>
      <c r="E184" s="6">
        <v>1860</v>
      </c>
      <c r="F184" s="32" t="str">
        <f>IF(D184="MPG",_xlfn.XLOOKUP(E184,Sheet2!$A$2:$A$2104,Sheet2!$B$2:$B$2104,""),"")</f>
        <v/>
      </c>
      <c r="G184" s="32"/>
      <c r="H184" s="1" t="s">
        <v>465</v>
      </c>
      <c r="I184" s="1" t="s">
        <v>493</v>
      </c>
      <c r="J184" s="1"/>
      <c r="K184" s="1"/>
      <c r="L184" s="1"/>
      <c r="M184" s="1"/>
      <c r="N184" s="1" t="s">
        <v>432</v>
      </c>
      <c r="O184" s="1" t="s">
        <v>408</v>
      </c>
      <c r="P184" s="1"/>
      <c r="Q184" s="1"/>
      <c r="R184" s="1">
        <v>8000</v>
      </c>
      <c r="S184" s="1">
        <v>8000</v>
      </c>
      <c r="T184" s="1">
        <v>1440</v>
      </c>
      <c r="U184" s="1">
        <v>9440</v>
      </c>
      <c r="V184" s="1"/>
      <c r="W184" s="1"/>
      <c r="X184" s="1" t="s">
        <v>539</v>
      </c>
    </row>
    <row r="185" spans="1:24" hidden="1" x14ac:dyDescent="0.25">
      <c r="A185" s="9">
        <v>46165.590787037036</v>
      </c>
      <c r="B185" s="5">
        <v>46143</v>
      </c>
      <c r="C185" s="1" t="s">
        <v>78</v>
      </c>
      <c r="D185" s="12" t="s">
        <v>76</v>
      </c>
      <c r="E185" s="6">
        <v>20020002</v>
      </c>
      <c r="F185" s="32" t="str">
        <f>IF(D185="MPG",_xlfn.XLOOKUP(E185,Sheet2!$A$2:$A$2104,Sheet2!$B$2:$B$2104,""),"")</f>
        <v/>
      </c>
      <c r="G185" s="32"/>
      <c r="H185" s="1" t="s">
        <v>447</v>
      </c>
      <c r="I185" s="1" t="s">
        <v>455</v>
      </c>
      <c r="J185" s="1"/>
      <c r="K185" s="1"/>
      <c r="L185" s="1"/>
      <c r="M185" s="1"/>
      <c r="N185" s="1" t="s">
        <v>425</v>
      </c>
      <c r="O185" s="1" t="s">
        <v>318</v>
      </c>
      <c r="P185" s="1"/>
      <c r="Q185" s="1"/>
      <c r="R185" s="1">
        <v>2080</v>
      </c>
      <c r="S185" s="1">
        <v>2080</v>
      </c>
      <c r="T185" s="1">
        <v>374.4</v>
      </c>
      <c r="U185" s="1">
        <v>2454.4</v>
      </c>
      <c r="V185" s="1"/>
      <c r="W185" s="1"/>
      <c r="X185" s="1" t="s">
        <v>539</v>
      </c>
    </row>
    <row r="186" spans="1:24" hidden="1" x14ac:dyDescent="0.25">
      <c r="A186" s="9">
        <v>46153.716319444444</v>
      </c>
      <c r="B186" s="5">
        <v>46143</v>
      </c>
      <c r="C186" s="1" t="s">
        <v>78</v>
      </c>
      <c r="D186" s="12" t="s">
        <v>76</v>
      </c>
      <c r="E186" s="6">
        <v>20010041</v>
      </c>
      <c r="F186" s="32" t="str">
        <f>IF(D186="MPG",_xlfn.XLOOKUP(E186,Sheet2!$A$2:$A$2104,Sheet2!$B$2:$B$2104,""),"")</f>
        <v/>
      </c>
      <c r="G186" s="32"/>
      <c r="H186" s="1" t="s">
        <v>463</v>
      </c>
      <c r="I186" s="1" t="s">
        <v>499</v>
      </c>
      <c r="J186" s="1"/>
      <c r="K186" s="1"/>
      <c r="L186" s="1"/>
      <c r="M186" s="1"/>
      <c r="N186" s="1" t="s">
        <v>426</v>
      </c>
      <c r="O186" s="1" t="s">
        <v>422</v>
      </c>
      <c r="P186" s="1"/>
      <c r="Q186" s="1"/>
      <c r="R186" s="1">
        <v>350</v>
      </c>
      <c r="S186" s="1">
        <v>350</v>
      </c>
      <c r="T186" s="1">
        <v>63</v>
      </c>
      <c r="U186" s="1">
        <v>413</v>
      </c>
      <c r="V186" s="1"/>
      <c r="W186" s="1"/>
      <c r="X186" s="1" t="s">
        <v>539</v>
      </c>
    </row>
    <row r="187" spans="1:24" hidden="1" x14ac:dyDescent="0.25">
      <c r="A187" s="9">
        <v>46154.507488425923</v>
      </c>
      <c r="B187" s="5">
        <v>46143</v>
      </c>
      <c r="C187" s="1" t="s">
        <v>545</v>
      </c>
      <c r="D187" s="12" t="s">
        <v>76</v>
      </c>
      <c r="E187" s="6">
        <v>213</v>
      </c>
      <c r="F187" s="32" t="str">
        <f>IF(D187="MPG",_xlfn.XLOOKUP(E187,Sheet2!$A$2:$A$2104,Sheet2!$B$2:$B$2104,""),"")</f>
        <v/>
      </c>
      <c r="G187" s="32"/>
      <c r="H187" s="1" t="s">
        <v>466</v>
      </c>
      <c r="I187" s="1" t="s">
        <v>503</v>
      </c>
      <c r="J187" s="1"/>
      <c r="K187" s="1"/>
      <c r="L187" s="1"/>
      <c r="M187" s="1"/>
      <c r="N187" s="1" t="s">
        <v>520</v>
      </c>
      <c r="O187" s="1" t="s">
        <v>313</v>
      </c>
      <c r="P187" s="1"/>
      <c r="Q187" s="1"/>
      <c r="R187" s="1">
        <v>2800</v>
      </c>
      <c r="S187" s="1">
        <v>2800</v>
      </c>
      <c r="T187" s="1">
        <v>504</v>
      </c>
      <c r="U187" s="1">
        <v>3304</v>
      </c>
      <c r="V187" s="1"/>
      <c r="W187" s="1"/>
      <c r="X187" s="1" t="s">
        <v>539</v>
      </c>
    </row>
    <row r="188" spans="1:24" hidden="1" x14ac:dyDescent="0.25">
      <c r="A188" s="9">
        <v>46154.692372685182</v>
      </c>
      <c r="B188" s="5">
        <v>46143</v>
      </c>
      <c r="C188" s="1" t="s">
        <v>545</v>
      </c>
      <c r="D188" s="12" t="s">
        <v>76</v>
      </c>
      <c r="E188" s="6">
        <v>2512</v>
      </c>
      <c r="F188" s="32" t="str">
        <f>IF(D188="MPG",_xlfn.XLOOKUP(E188,Sheet2!$A$2:$A$2104,Sheet2!$B$2:$B$2104,""),"")</f>
        <v/>
      </c>
      <c r="G188" s="32"/>
      <c r="H188" s="1" t="s">
        <v>467</v>
      </c>
      <c r="I188" s="1" t="s">
        <v>504</v>
      </c>
      <c r="J188" s="1"/>
      <c r="K188" s="1"/>
      <c r="L188" s="1"/>
      <c r="M188" s="1"/>
      <c r="N188" s="1" t="s">
        <v>533</v>
      </c>
      <c r="O188" s="1" t="s">
        <v>303</v>
      </c>
      <c r="P188" s="1"/>
      <c r="Q188" s="1"/>
      <c r="R188" s="1">
        <v>900</v>
      </c>
      <c r="S188" s="1">
        <v>900</v>
      </c>
      <c r="T188" s="1">
        <v>162</v>
      </c>
      <c r="U188" s="1">
        <v>1062</v>
      </c>
      <c r="V188" s="1"/>
      <c r="W188" s="1"/>
      <c r="X188" s="1" t="s">
        <v>539</v>
      </c>
    </row>
    <row r="189" spans="1:24" hidden="1" x14ac:dyDescent="0.25">
      <c r="A189" s="9">
        <v>46154.750034722223</v>
      </c>
      <c r="B189" s="5">
        <v>46143</v>
      </c>
      <c r="C189" s="1" t="s">
        <v>545</v>
      </c>
      <c r="D189" s="12" t="s">
        <v>76</v>
      </c>
      <c r="E189" s="6">
        <v>30031657</v>
      </c>
      <c r="F189" s="32" t="str">
        <f>IF(D189="MPG",_xlfn.XLOOKUP(E189,Sheet2!$A$2:$A$2104,Sheet2!$B$2:$B$2104,""),"")</f>
        <v/>
      </c>
      <c r="G189" s="32"/>
      <c r="H189" s="1" t="s">
        <v>468</v>
      </c>
      <c r="I189" s="1" t="s">
        <v>502</v>
      </c>
      <c r="J189" s="1"/>
      <c r="K189" s="1"/>
      <c r="L189" s="1"/>
      <c r="M189" s="1"/>
      <c r="N189" s="1" t="s">
        <v>520</v>
      </c>
      <c r="O189" s="1" t="s">
        <v>313</v>
      </c>
      <c r="P189" s="1"/>
      <c r="Q189" s="1"/>
      <c r="R189" s="1">
        <v>2800</v>
      </c>
      <c r="S189" s="1">
        <v>2800</v>
      </c>
      <c r="T189" s="1">
        <v>504</v>
      </c>
      <c r="U189" s="1">
        <v>3304</v>
      </c>
      <c r="V189" s="1"/>
      <c r="W189" s="1"/>
      <c r="X189" s="1" t="s">
        <v>539</v>
      </c>
    </row>
    <row r="190" spans="1:24" hidden="1" x14ac:dyDescent="0.25">
      <c r="A190" s="9">
        <v>46154.751527777778</v>
      </c>
      <c r="B190" s="5">
        <v>46143</v>
      </c>
      <c r="C190" s="1" t="s">
        <v>545</v>
      </c>
      <c r="D190" s="12" t="s">
        <v>76</v>
      </c>
      <c r="E190" s="6">
        <v>30090002</v>
      </c>
      <c r="F190" s="32" t="str">
        <f>IF(D190="MPG",_xlfn.XLOOKUP(E190,Sheet2!$A$2:$A$2104,Sheet2!$B$2:$B$2104,""),"")</f>
        <v/>
      </c>
      <c r="G190" s="32"/>
      <c r="H190" s="1" t="s">
        <v>469</v>
      </c>
      <c r="I190" s="1" t="s">
        <v>502</v>
      </c>
      <c r="J190" s="1"/>
      <c r="K190" s="1"/>
      <c r="L190" s="1"/>
      <c r="M190" s="1"/>
      <c r="N190" s="1" t="s">
        <v>432</v>
      </c>
      <c r="O190" s="1" t="s">
        <v>408</v>
      </c>
      <c r="P190" s="1"/>
      <c r="Q190" s="1"/>
      <c r="R190" s="1">
        <v>8000</v>
      </c>
      <c r="S190" s="1">
        <v>8000</v>
      </c>
      <c r="T190" s="1">
        <v>1440</v>
      </c>
      <c r="U190" s="1">
        <v>9440</v>
      </c>
      <c r="V190" s="1"/>
      <c r="W190" s="1"/>
      <c r="X190" s="1" t="s">
        <v>539</v>
      </c>
    </row>
    <row r="191" spans="1:24" x14ac:dyDescent="0.25">
      <c r="A191" s="9">
        <v>46165.483553240738</v>
      </c>
      <c r="B191" s="5">
        <v>46143</v>
      </c>
      <c r="C191" s="1" t="s">
        <v>75</v>
      </c>
      <c r="D191" s="12" t="s">
        <v>76</v>
      </c>
      <c r="E191" s="29">
        <v>10360001</v>
      </c>
      <c r="F191" s="32">
        <f>IF(D191="MPG",_xlfn.XLOOKUP(E191,Sheet2!$A$2:$A$2104,Sheet2!$B$2:$B$2104,""),"")</f>
        <v>42979</v>
      </c>
      <c r="G191" s="36">
        <f t="shared" ref="G191:G200" si="18">+A191-F191</f>
        <v>3186.4835532407378</v>
      </c>
      <c r="H191" s="1" t="s">
        <v>470</v>
      </c>
      <c r="I191" s="1" t="s">
        <v>505</v>
      </c>
      <c r="J191" s="1"/>
      <c r="K191" s="1"/>
      <c r="L191" s="1"/>
      <c r="M191" s="1"/>
      <c r="N191" s="1" t="s">
        <v>523</v>
      </c>
      <c r="O191" s="1" t="s">
        <v>337</v>
      </c>
      <c r="P191" s="1"/>
      <c r="Q191" s="1"/>
      <c r="R191" s="1">
        <v>790</v>
      </c>
      <c r="S191" s="1">
        <v>790</v>
      </c>
      <c r="T191" s="1">
        <v>142.19999999999999</v>
      </c>
      <c r="U191" s="1">
        <v>932.2</v>
      </c>
      <c r="V191" s="1"/>
      <c r="W191" s="1"/>
      <c r="X191" s="19" t="s">
        <v>547</v>
      </c>
    </row>
    <row r="192" spans="1:24" x14ac:dyDescent="0.25">
      <c r="A192" s="9">
        <v>46165.483553240738</v>
      </c>
      <c r="B192" s="5">
        <v>46143</v>
      </c>
      <c r="C192" s="1" t="s">
        <v>75</v>
      </c>
      <c r="D192" s="12" t="s">
        <v>76</v>
      </c>
      <c r="E192" s="29">
        <v>10360001</v>
      </c>
      <c r="F192" s="32">
        <f>IF(D192="MPG",_xlfn.XLOOKUP(E192,Sheet2!$A$2:$A$2104,Sheet2!$B$2:$B$2104,""),"")</f>
        <v>42979</v>
      </c>
      <c r="G192" s="36">
        <f t="shared" si="18"/>
        <v>3186.4835532407378</v>
      </c>
      <c r="H192" s="1" t="s">
        <v>470</v>
      </c>
      <c r="I192" s="1" t="s">
        <v>505</v>
      </c>
      <c r="J192" s="1"/>
      <c r="K192" s="1"/>
      <c r="L192" s="1"/>
      <c r="M192" s="1"/>
      <c r="N192" s="1" t="s">
        <v>525</v>
      </c>
      <c r="O192" s="1" t="s">
        <v>299</v>
      </c>
      <c r="P192" s="1"/>
      <c r="Q192" s="1"/>
      <c r="R192" s="1">
        <v>770</v>
      </c>
      <c r="S192" s="1">
        <v>770</v>
      </c>
      <c r="T192" s="1">
        <v>138.6</v>
      </c>
      <c r="U192" s="1">
        <v>908.6</v>
      </c>
      <c r="V192" s="1"/>
      <c r="W192" s="1"/>
      <c r="X192" s="19" t="s">
        <v>547</v>
      </c>
    </row>
    <row r="193" spans="1:24" x14ac:dyDescent="0.25">
      <c r="A193" s="9">
        <v>46155.501319444447</v>
      </c>
      <c r="B193" s="5">
        <v>46143</v>
      </c>
      <c r="C193" s="1" t="s">
        <v>75</v>
      </c>
      <c r="D193" s="12" t="s">
        <v>76</v>
      </c>
      <c r="E193" s="6">
        <v>10070053</v>
      </c>
      <c r="F193" s="32">
        <f>IF(D193="MPG",_xlfn.XLOOKUP(E193,Sheet2!$A$2:$A$2104,Sheet2!$B$2:$B$2104,""),"")</f>
        <v>45706</v>
      </c>
      <c r="G193" s="36">
        <f t="shared" si="18"/>
        <v>449.50131944444729</v>
      </c>
      <c r="H193" s="1" t="s">
        <v>471</v>
      </c>
      <c r="I193" s="1" t="s">
        <v>448</v>
      </c>
      <c r="J193" s="1"/>
      <c r="K193" s="1"/>
      <c r="L193" s="1"/>
      <c r="M193" s="1"/>
      <c r="N193" s="1" t="s">
        <v>426</v>
      </c>
      <c r="O193" s="1" t="s">
        <v>422</v>
      </c>
      <c r="P193" s="1"/>
      <c r="Q193" s="1"/>
      <c r="R193" s="1">
        <v>350</v>
      </c>
      <c r="S193" s="1">
        <v>350</v>
      </c>
      <c r="T193" s="1">
        <v>63</v>
      </c>
      <c r="U193" s="1">
        <v>413</v>
      </c>
      <c r="V193" s="1"/>
      <c r="W193" s="1"/>
      <c r="X193" s="19" t="s">
        <v>547</v>
      </c>
    </row>
    <row r="194" spans="1:24" x14ac:dyDescent="0.25">
      <c r="A194" s="9">
        <v>46155.503541666665</v>
      </c>
      <c r="B194" s="5">
        <v>46143</v>
      </c>
      <c r="C194" s="1" t="s">
        <v>75</v>
      </c>
      <c r="D194" s="12" t="s">
        <v>76</v>
      </c>
      <c r="E194" s="6">
        <v>10070053</v>
      </c>
      <c r="F194" s="32">
        <f>IF(D194="MPG",_xlfn.XLOOKUP(E194,Sheet2!$A$2:$A$2104,Sheet2!$B$2:$B$2104,""),"")</f>
        <v>45706</v>
      </c>
      <c r="G194" s="36">
        <f t="shared" si="18"/>
        <v>449.50354166666511</v>
      </c>
      <c r="H194" s="1" t="s">
        <v>472</v>
      </c>
      <c r="I194" s="1">
        <v>1056</v>
      </c>
      <c r="J194" s="1"/>
      <c r="K194" s="1"/>
      <c r="L194" s="1"/>
      <c r="M194" s="1"/>
      <c r="N194" s="1" t="s">
        <v>534</v>
      </c>
      <c r="O194" s="1" t="s">
        <v>517</v>
      </c>
      <c r="P194" s="1"/>
      <c r="Q194" s="1"/>
      <c r="R194" s="1">
        <v>70</v>
      </c>
      <c r="S194" s="1">
        <v>140</v>
      </c>
      <c r="T194" s="1">
        <v>25.2</v>
      </c>
      <c r="U194" s="1">
        <v>165.2</v>
      </c>
      <c r="V194" s="1"/>
      <c r="W194" s="1"/>
      <c r="X194" s="19" t="s">
        <v>547</v>
      </c>
    </row>
    <row r="195" spans="1:24" x14ac:dyDescent="0.25">
      <c r="A195" s="9">
        <v>46164.623020833336</v>
      </c>
      <c r="B195" s="5">
        <v>46143</v>
      </c>
      <c r="C195" s="1" t="s">
        <v>75</v>
      </c>
      <c r="D195" s="12" t="s">
        <v>76</v>
      </c>
      <c r="E195" s="6">
        <v>10110001</v>
      </c>
      <c r="F195" s="32">
        <f>IF(D195="MPG",_xlfn.XLOOKUP(E195,Sheet2!$A$2:$A$2104,Sheet2!$B$2:$B$2104,""),"")</f>
        <v>42979</v>
      </c>
      <c r="G195" s="36">
        <f t="shared" si="18"/>
        <v>3185.6230208333363</v>
      </c>
      <c r="H195" s="1" t="s">
        <v>473</v>
      </c>
      <c r="I195" s="1" t="s">
        <v>506</v>
      </c>
      <c r="J195" s="1"/>
      <c r="K195" s="1"/>
      <c r="L195" s="1"/>
      <c r="M195" s="1"/>
      <c r="N195" s="1" t="s">
        <v>535</v>
      </c>
      <c r="O195" s="1" t="s">
        <v>518</v>
      </c>
      <c r="P195" s="1"/>
      <c r="Q195" s="1"/>
      <c r="R195" s="1">
        <v>120</v>
      </c>
      <c r="S195" s="1">
        <v>120</v>
      </c>
      <c r="T195" s="1">
        <v>21.6</v>
      </c>
      <c r="U195" s="1">
        <v>141.6</v>
      </c>
      <c r="V195" s="1"/>
      <c r="W195" s="1"/>
      <c r="X195" s="19" t="s">
        <v>547</v>
      </c>
    </row>
    <row r="196" spans="1:24" x14ac:dyDescent="0.25">
      <c r="A196" s="9">
        <v>46164.623020833336</v>
      </c>
      <c r="B196" s="5">
        <v>46143</v>
      </c>
      <c r="C196" s="1" t="s">
        <v>75</v>
      </c>
      <c r="D196" s="12" t="s">
        <v>76</v>
      </c>
      <c r="E196" s="6">
        <v>10110001</v>
      </c>
      <c r="F196" s="32">
        <f>IF(D196="MPG",_xlfn.XLOOKUP(E196,Sheet2!$A$2:$A$2104,Sheet2!$B$2:$B$2104,""),"")</f>
        <v>42979</v>
      </c>
      <c r="G196" s="36">
        <f t="shared" si="18"/>
        <v>3185.6230208333363</v>
      </c>
      <c r="H196" s="1" t="s">
        <v>473</v>
      </c>
      <c r="I196" s="1" t="s">
        <v>506</v>
      </c>
      <c r="J196" s="1"/>
      <c r="K196" s="1"/>
      <c r="L196" s="1"/>
      <c r="M196" s="1"/>
      <c r="N196" s="1" t="s">
        <v>530</v>
      </c>
      <c r="O196" s="1" t="s">
        <v>516</v>
      </c>
      <c r="P196" s="1"/>
      <c r="Q196" s="1"/>
      <c r="R196" s="1">
        <v>120</v>
      </c>
      <c r="S196" s="1">
        <v>120</v>
      </c>
      <c r="T196" s="1">
        <v>21.6</v>
      </c>
      <c r="U196" s="1">
        <v>141.6</v>
      </c>
      <c r="V196" s="1"/>
      <c r="W196" s="1"/>
      <c r="X196" s="19" t="s">
        <v>547</v>
      </c>
    </row>
    <row r="197" spans="1:24" x14ac:dyDescent="0.25">
      <c r="A197" s="9">
        <v>46164.568912037037</v>
      </c>
      <c r="B197" s="5">
        <v>46143</v>
      </c>
      <c r="C197" s="1" t="s">
        <v>75</v>
      </c>
      <c r="D197" s="12" t="s">
        <v>76</v>
      </c>
      <c r="E197" s="6">
        <v>10110097</v>
      </c>
      <c r="F197" s="32">
        <f>IF(D197="MPG",_xlfn.XLOOKUP(E197,Sheet2!$A$2:$A$2104,Sheet2!$B$2:$B$2104,""),"")</f>
        <v>45652</v>
      </c>
      <c r="G197" s="36">
        <f t="shared" si="18"/>
        <v>512.56891203703708</v>
      </c>
      <c r="H197" s="1" t="s">
        <v>474</v>
      </c>
      <c r="I197" s="1" t="s">
        <v>507</v>
      </c>
      <c r="J197" s="1"/>
      <c r="K197" s="1"/>
      <c r="L197" s="1"/>
      <c r="M197" s="1"/>
      <c r="N197" s="1" t="s">
        <v>426</v>
      </c>
      <c r="O197" s="1" t="s">
        <v>422</v>
      </c>
      <c r="P197" s="1"/>
      <c r="Q197" s="1"/>
      <c r="R197" s="1">
        <v>350</v>
      </c>
      <c r="S197" s="1">
        <v>350</v>
      </c>
      <c r="T197" s="1">
        <v>63</v>
      </c>
      <c r="U197" s="1">
        <v>413</v>
      </c>
      <c r="V197" s="1"/>
      <c r="W197" s="1"/>
      <c r="X197" s="19" t="s">
        <v>547</v>
      </c>
    </row>
    <row r="198" spans="1:24" x14ac:dyDescent="0.25">
      <c r="A198" s="9">
        <v>46155.646539351852</v>
      </c>
      <c r="B198" s="5">
        <v>46143</v>
      </c>
      <c r="C198" s="1" t="s">
        <v>75</v>
      </c>
      <c r="D198" s="12" t="s">
        <v>76</v>
      </c>
      <c r="E198" s="29">
        <v>10090049</v>
      </c>
      <c r="F198" s="32">
        <f>IF(D198="MPG",_xlfn.XLOOKUP(E198,Sheet2!$A$2:$A$2104,Sheet2!$B$2:$B$2104,""),"")</f>
        <v>45198</v>
      </c>
      <c r="G198" s="36">
        <f t="shared" si="18"/>
        <v>957.64653935185197</v>
      </c>
      <c r="H198" s="1" t="s">
        <v>475</v>
      </c>
      <c r="I198" s="1" t="s">
        <v>486</v>
      </c>
      <c r="J198" s="1"/>
      <c r="K198" s="1"/>
      <c r="L198" s="1"/>
      <c r="M198" s="1"/>
      <c r="N198" s="1" t="s">
        <v>427</v>
      </c>
      <c r="O198" s="1" t="s">
        <v>407</v>
      </c>
      <c r="P198" s="1"/>
      <c r="Q198" s="1"/>
      <c r="R198" s="1">
        <v>49</v>
      </c>
      <c r="S198" s="1">
        <v>98</v>
      </c>
      <c r="T198" s="1">
        <v>17.64</v>
      </c>
      <c r="U198" s="1">
        <v>115.64</v>
      </c>
      <c r="V198" s="1"/>
      <c r="W198" s="1"/>
      <c r="X198" s="19" t="s">
        <v>547</v>
      </c>
    </row>
    <row r="199" spans="1:24" hidden="1" x14ac:dyDescent="0.25">
      <c r="A199" s="9">
        <v>46164.474097222221</v>
      </c>
      <c r="B199" s="5">
        <v>46143</v>
      </c>
      <c r="C199" s="1" t="s">
        <v>75</v>
      </c>
      <c r="D199" s="12" t="s">
        <v>76</v>
      </c>
      <c r="E199" s="6">
        <v>10540034</v>
      </c>
      <c r="F199" s="32">
        <f>IF(D199="MPG",_xlfn.XLOOKUP(E199,Sheet2!$A$2:$A$2104,Sheet2!$B$2:$B$2104,""),"")</f>
        <v>45989</v>
      </c>
      <c r="G199" s="36">
        <f t="shared" si="18"/>
        <v>175.47409722222073</v>
      </c>
      <c r="H199" s="1" t="s">
        <v>476</v>
      </c>
      <c r="I199" s="1" t="s">
        <v>507</v>
      </c>
      <c r="J199" s="1"/>
      <c r="K199" s="1"/>
      <c r="L199" s="1"/>
      <c r="M199" s="1"/>
      <c r="N199" s="1" t="s">
        <v>426</v>
      </c>
      <c r="O199" s="1" t="s">
        <v>422</v>
      </c>
      <c r="P199" s="1"/>
      <c r="Q199" s="1"/>
      <c r="R199" s="1">
        <v>350</v>
      </c>
      <c r="S199" s="1">
        <v>350</v>
      </c>
      <c r="T199" s="1">
        <v>63</v>
      </c>
      <c r="U199" s="1">
        <v>413</v>
      </c>
      <c r="V199" s="1"/>
      <c r="W199" s="1"/>
      <c r="X199" s="1" t="s">
        <v>539</v>
      </c>
    </row>
    <row r="200" spans="1:24" x14ac:dyDescent="0.25">
      <c r="A200" s="9">
        <v>46155.647314814814</v>
      </c>
      <c r="B200" s="5">
        <v>46143</v>
      </c>
      <c r="C200" s="1" t="s">
        <v>75</v>
      </c>
      <c r="D200" s="12" t="s">
        <v>76</v>
      </c>
      <c r="E200" s="34">
        <v>10090038</v>
      </c>
      <c r="F200" s="32">
        <f>IF(D200="MPG",_xlfn.XLOOKUP(E200,Sheet2!$A$2:$A$2104,Sheet2!$B$2:$B$2104,""),"")</f>
        <v>45108</v>
      </c>
      <c r="G200" s="36">
        <f t="shared" si="18"/>
        <v>1047.6473148148143</v>
      </c>
      <c r="H200" s="1" t="s">
        <v>477</v>
      </c>
      <c r="I200" s="1" t="s">
        <v>486</v>
      </c>
      <c r="J200" s="1"/>
      <c r="K200" s="1"/>
      <c r="L200" s="1"/>
      <c r="M200" s="1"/>
      <c r="N200" s="1" t="s">
        <v>423</v>
      </c>
      <c r="O200" s="1" t="s">
        <v>309</v>
      </c>
      <c r="P200" s="1"/>
      <c r="Q200" s="1"/>
      <c r="R200" s="1">
        <v>62</v>
      </c>
      <c r="S200" s="1">
        <v>124</v>
      </c>
      <c r="T200" s="1">
        <v>22.32</v>
      </c>
      <c r="U200" s="1">
        <v>146.32</v>
      </c>
      <c r="V200" s="1"/>
      <c r="W200" s="1"/>
      <c r="X200" s="19" t="s">
        <v>547</v>
      </c>
    </row>
    <row r="201" spans="1:24" hidden="1" x14ac:dyDescent="0.25">
      <c r="A201" s="9">
        <v>46157.456400462965</v>
      </c>
      <c r="B201" s="5">
        <v>46143</v>
      </c>
      <c r="C201" s="1" t="s">
        <v>545</v>
      </c>
      <c r="D201" s="12" t="s">
        <v>76</v>
      </c>
      <c r="E201" s="6">
        <v>30020004</v>
      </c>
      <c r="F201" s="32" t="str">
        <f>IF(D201="MPG",_xlfn.XLOOKUP(E201,Sheet2!$A$2:$A$2104,Sheet2!$B$2:$B$2104,""),"")</f>
        <v/>
      </c>
      <c r="G201" s="32"/>
      <c r="H201" s="1" t="s">
        <v>478</v>
      </c>
      <c r="I201" s="1" t="s">
        <v>508</v>
      </c>
      <c r="J201" s="1"/>
      <c r="K201" s="1"/>
      <c r="L201" s="1"/>
      <c r="M201" s="1"/>
      <c r="N201" s="1" t="s">
        <v>432</v>
      </c>
      <c r="O201" s="1" t="s">
        <v>408</v>
      </c>
      <c r="P201" s="1"/>
      <c r="Q201" s="1"/>
      <c r="R201" s="1">
        <v>8000</v>
      </c>
      <c r="S201" s="1">
        <v>8000</v>
      </c>
      <c r="T201" s="1">
        <v>1440</v>
      </c>
      <c r="U201" s="1">
        <v>9440</v>
      </c>
      <c r="V201" s="1"/>
      <c r="W201" s="1"/>
      <c r="X201" s="1" t="s">
        <v>539</v>
      </c>
    </row>
    <row r="202" spans="1:24" hidden="1" x14ac:dyDescent="0.25">
      <c r="A202" s="9">
        <v>46157.461018518516</v>
      </c>
      <c r="B202" s="5">
        <v>46143</v>
      </c>
      <c r="C202" s="1" t="s">
        <v>75</v>
      </c>
      <c r="D202" s="12" t="s">
        <v>77</v>
      </c>
      <c r="E202" s="6">
        <v>1013</v>
      </c>
      <c r="F202" s="32" t="str">
        <f>IF(D202="MPG",_xlfn.XLOOKUP(E202,Sheet2!$A$2:$A$2104,Sheet2!$B$2:$B$2104,""),"")</f>
        <v/>
      </c>
      <c r="G202" s="32"/>
      <c r="H202" s="1" t="s">
        <v>479</v>
      </c>
      <c r="I202" s="1" t="s">
        <v>479</v>
      </c>
      <c r="J202" s="1"/>
      <c r="K202" s="1"/>
      <c r="L202" s="1"/>
      <c r="M202" s="1"/>
      <c r="N202" s="1" t="s">
        <v>431</v>
      </c>
      <c r="O202" s="1" t="s">
        <v>307</v>
      </c>
      <c r="P202" s="1"/>
      <c r="Q202" s="1"/>
      <c r="R202" s="1">
        <v>84</v>
      </c>
      <c r="S202" s="1">
        <v>84</v>
      </c>
      <c r="T202" s="1">
        <v>15.12</v>
      </c>
      <c r="U202" s="1">
        <v>99.12</v>
      </c>
      <c r="V202" s="1"/>
      <c r="W202" s="1"/>
      <c r="X202" s="1" t="s">
        <v>539</v>
      </c>
    </row>
    <row r="203" spans="1:24" x14ac:dyDescent="0.25">
      <c r="A203" s="9">
        <v>46162.668645833335</v>
      </c>
      <c r="B203" s="5">
        <v>46143</v>
      </c>
      <c r="C203" s="1" t="s">
        <v>75</v>
      </c>
      <c r="D203" s="12" t="s">
        <v>76</v>
      </c>
      <c r="E203" s="6">
        <v>10140137</v>
      </c>
      <c r="F203" s="32">
        <f>IF(D203="MPG",_xlfn.XLOOKUP(E203,Sheet2!$A$2:$A$2104,Sheet2!$B$2:$B$2104,""),"")</f>
        <v>45616</v>
      </c>
      <c r="G203" s="36">
        <f t="shared" ref="G203:G204" si="19">+A203-F203</f>
        <v>546.66864583333518</v>
      </c>
      <c r="H203" s="1" t="s">
        <v>480</v>
      </c>
      <c r="I203" s="1" t="s">
        <v>494</v>
      </c>
      <c r="J203" s="1"/>
      <c r="K203" s="1"/>
      <c r="L203" s="1"/>
      <c r="M203" s="1"/>
      <c r="N203" s="1" t="s">
        <v>521</v>
      </c>
      <c r="O203" s="1" t="s">
        <v>512</v>
      </c>
      <c r="P203" s="1"/>
      <c r="Q203" s="1"/>
      <c r="R203" s="1">
        <v>70</v>
      </c>
      <c r="S203" s="1">
        <v>70</v>
      </c>
      <c r="T203" s="1">
        <v>12.6</v>
      </c>
      <c r="U203" s="1">
        <v>82.6</v>
      </c>
      <c r="V203" s="1"/>
      <c r="W203" s="1"/>
      <c r="X203" s="19" t="s">
        <v>547</v>
      </c>
    </row>
    <row r="204" spans="1:24" x14ac:dyDescent="0.25">
      <c r="A204" s="9">
        <v>46162.668645833335</v>
      </c>
      <c r="B204" s="5">
        <v>46143</v>
      </c>
      <c r="C204" s="1" t="s">
        <v>75</v>
      </c>
      <c r="D204" s="12" t="s">
        <v>76</v>
      </c>
      <c r="E204" s="29">
        <v>10140137</v>
      </c>
      <c r="F204" s="32">
        <f>IF(D204="MPG",_xlfn.XLOOKUP(E204,Sheet2!$A$2:$A$2104,Sheet2!$B$2:$B$2104,""),"")</f>
        <v>45616</v>
      </c>
      <c r="G204" s="36">
        <f t="shared" si="19"/>
        <v>546.66864583333518</v>
      </c>
      <c r="H204" s="1" t="s">
        <v>480</v>
      </c>
      <c r="I204" s="1" t="s">
        <v>494</v>
      </c>
      <c r="J204" s="1"/>
      <c r="K204" s="1"/>
      <c r="L204" s="1"/>
      <c r="M204" s="1"/>
      <c r="N204" s="1" t="s">
        <v>536</v>
      </c>
      <c r="O204" s="1" t="s">
        <v>406</v>
      </c>
      <c r="P204" s="1"/>
      <c r="Q204" s="1"/>
      <c r="R204" s="1">
        <v>70</v>
      </c>
      <c r="S204" s="1">
        <v>70</v>
      </c>
      <c r="T204" s="1">
        <v>12.6</v>
      </c>
      <c r="U204" s="1">
        <v>82.6</v>
      </c>
      <c r="V204" s="1"/>
      <c r="W204" s="1"/>
      <c r="X204" s="19" t="s">
        <v>547</v>
      </c>
    </row>
    <row r="205" spans="1:24" hidden="1" x14ac:dyDescent="0.25">
      <c r="A205" s="9">
        <v>46157.461018518516</v>
      </c>
      <c r="B205" s="5">
        <v>46143</v>
      </c>
      <c r="C205" s="1" t="s">
        <v>75</v>
      </c>
      <c r="D205" s="12" t="s">
        <v>77</v>
      </c>
      <c r="E205" s="6">
        <v>1013</v>
      </c>
      <c r="F205" s="32" t="str">
        <f>IF(D205="MPG",_xlfn.XLOOKUP(E205,Sheet2!$A$2:$A$2104,Sheet2!$B$2:$B$2104,""),"")</f>
        <v/>
      </c>
      <c r="G205" s="32"/>
      <c r="H205" s="1" t="s">
        <v>479</v>
      </c>
      <c r="I205" s="1" t="s">
        <v>479</v>
      </c>
      <c r="J205" s="1"/>
      <c r="K205" s="1"/>
      <c r="L205" s="1"/>
      <c r="M205" s="1"/>
      <c r="N205" s="1" t="s">
        <v>429</v>
      </c>
      <c r="O205" s="1" t="s">
        <v>285</v>
      </c>
      <c r="P205" s="1"/>
      <c r="Q205" s="1"/>
      <c r="R205" s="1">
        <v>70</v>
      </c>
      <c r="S205" s="1">
        <v>140</v>
      </c>
      <c r="T205" s="1">
        <v>25.2</v>
      </c>
      <c r="U205" s="1">
        <v>165.2</v>
      </c>
      <c r="V205" s="1"/>
      <c r="W205" s="1"/>
      <c r="X205" s="1" t="s">
        <v>539</v>
      </c>
    </row>
    <row r="206" spans="1:24" hidden="1" x14ac:dyDescent="0.25">
      <c r="A206" s="9">
        <v>46157.464108796295</v>
      </c>
      <c r="B206" s="5">
        <v>46143</v>
      </c>
      <c r="C206" s="1" t="s">
        <v>545</v>
      </c>
      <c r="D206" s="12" t="s">
        <v>76</v>
      </c>
      <c r="E206" s="6">
        <v>30040003</v>
      </c>
      <c r="F206" s="32" t="str">
        <f>IF(D206="MPG",_xlfn.XLOOKUP(E206,Sheet2!$A$2:$A$2104,Sheet2!$B$2:$B$2104,""),"")</f>
        <v/>
      </c>
      <c r="G206" s="32"/>
      <c r="H206" s="1" t="s">
        <v>481</v>
      </c>
      <c r="I206" s="1" t="s">
        <v>503</v>
      </c>
      <c r="J206" s="1"/>
      <c r="K206" s="1"/>
      <c r="L206" s="1"/>
      <c r="M206" s="1"/>
      <c r="N206" s="1" t="s">
        <v>432</v>
      </c>
      <c r="O206" s="1" t="s">
        <v>408</v>
      </c>
      <c r="P206" s="1"/>
      <c r="Q206" s="1"/>
      <c r="R206" s="1">
        <v>8000</v>
      </c>
      <c r="S206" s="1">
        <v>8000</v>
      </c>
      <c r="T206" s="1">
        <v>1440</v>
      </c>
      <c r="U206" s="1">
        <v>9440</v>
      </c>
      <c r="V206" s="1"/>
      <c r="W206" s="1"/>
      <c r="X206" s="1" t="s">
        <v>539</v>
      </c>
    </row>
    <row r="207" spans="1:24" hidden="1" x14ac:dyDescent="0.25">
      <c r="A207" s="9">
        <v>46157.495729166665</v>
      </c>
      <c r="B207" s="5">
        <v>46143</v>
      </c>
      <c r="C207" s="1" t="s">
        <v>75</v>
      </c>
      <c r="D207" s="12" t="s">
        <v>76</v>
      </c>
      <c r="E207" s="6">
        <v>10120107</v>
      </c>
      <c r="F207" s="32">
        <f>IF(D207="MPG",_xlfn.XLOOKUP(E207,Sheet2!$A$2:$A$2104,Sheet2!$B$2:$B$2104,""),"")</f>
        <v>45798</v>
      </c>
      <c r="G207" s="36">
        <f>+A207-F207</f>
        <v>359.49572916666511</v>
      </c>
      <c r="H207" s="1" t="s">
        <v>482</v>
      </c>
      <c r="I207" s="1" t="s">
        <v>438</v>
      </c>
      <c r="J207" s="1"/>
      <c r="K207" s="1"/>
      <c r="L207" s="1"/>
      <c r="M207" s="1"/>
      <c r="N207" s="1" t="s">
        <v>425</v>
      </c>
      <c r="O207" s="1" t="s">
        <v>318</v>
      </c>
      <c r="P207" s="1"/>
      <c r="Q207" s="1"/>
      <c r="R207" s="1">
        <v>2080</v>
      </c>
      <c r="S207" s="1">
        <v>2080</v>
      </c>
      <c r="T207" s="1">
        <v>374.4</v>
      </c>
      <c r="U207" s="1">
        <v>2454.4</v>
      </c>
      <c r="V207" s="1"/>
      <c r="W207" s="1"/>
      <c r="X207" s="1" t="s">
        <v>539</v>
      </c>
    </row>
    <row r="208" spans="1:24" hidden="1" x14ac:dyDescent="0.25">
      <c r="A208" s="9">
        <v>46158.418981481482</v>
      </c>
      <c r="B208" s="5">
        <v>46143</v>
      </c>
      <c r="C208" s="1" t="s">
        <v>545</v>
      </c>
      <c r="D208" s="12" t="s">
        <v>76</v>
      </c>
      <c r="E208" s="6">
        <v>30140001</v>
      </c>
      <c r="F208" s="32" t="str">
        <f>IF(D208="MPG",_xlfn.XLOOKUP(E208,Sheet2!$A$2:$A$2104,Sheet2!$B$2:$B$2104,""),"")</f>
        <v/>
      </c>
      <c r="G208" s="32"/>
      <c r="H208" s="1" t="s">
        <v>483</v>
      </c>
      <c r="I208" s="1" t="s">
        <v>483</v>
      </c>
      <c r="J208" s="1"/>
      <c r="K208" s="1"/>
      <c r="L208" s="1"/>
      <c r="M208" s="1"/>
      <c r="N208" s="1" t="s">
        <v>432</v>
      </c>
      <c r="O208" s="1" t="s">
        <v>408</v>
      </c>
      <c r="P208" s="1"/>
      <c r="Q208" s="1"/>
      <c r="R208" s="1">
        <v>8000</v>
      </c>
      <c r="S208" s="1">
        <v>8000</v>
      </c>
      <c r="T208" s="1">
        <v>1440</v>
      </c>
      <c r="U208" s="1">
        <v>9440</v>
      </c>
      <c r="V208" s="1"/>
      <c r="W208" s="1"/>
      <c r="X208" s="1" t="s">
        <v>539</v>
      </c>
    </row>
    <row r="209" spans="1:24" hidden="1" x14ac:dyDescent="0.25">
      <c r="A209" s="9">
        <v>46158.427824074075</v>
      </c>
      <c r="B209" s="5">
        <v>46143</v>
      </c>
      <c r="C209" s="1" t="s">
        <v>545</v>
      </c>
      <c r="D209" s="12" t="s">
        <v>76</v>
      </c>
      <c r="E209" s="6">
        <v>30250002</v>
      </c>
      <c r="F209" s="32" t="str">
        <f>IF(D209="MPG",_xlfn.XLOOKUP(E209,Sheet2!$A$2:$A$2104,Sheet2!$B$2:$B$2104,""),"")</f>
        <v/>
      </c>
      <c r="G209" s="32"/>
      <c r="H209" s="1" t="s">
        <v>484</v>
      </c>
      <c r="I209" s="1" t="s">
        <v>509</v>
      </c>
      <c r="J209" s="1"/>
      <c r="K209" s="1"/>
      <c r="L209" s="1"/>
      <c r="M209" s="1"/>
      <c r="N209" s="1" t="s">
        <v>527</v>
      </c>
      <c r="O209" s="1" t="s">
        <v>305</v>
      </c>
      <c r="P209" s="1"/>
      <c r="Q209" s="1"/>
      <c r="R209" s="1">
        <v>44</v>
      </c>
      <c r="S209" s="1">
        <v>88</v>
      </c>
      <c r="T209" s="1">
        <v>15.84</v>
      </c>
      <c r="U209" s="1">
        <v>103.84</v>
      </c>
      <c r="V209" s="1"/>
      <c r="W209" s="1"/>
      <c r="X209" s="1" t="s">
        <v>539</v>
      </c>
    </row>
    <row r="210" spans="1:24" hidden="1" x14ac:dyDescent="0.25">
      <c r="A210" s="9">
        <v>46158.427824074075</v>
      </c>
      <c r="B210" s="5">
        <v>46143</v>
      </c>
      <c r="C210" s="1" t="s">
        <v>545</v>
      </c>
      <c r="D210" s="12" t="s">
        <v>76</v>
      </c>
      <c r="E210" s="6">
        <v>30250002</v>
      </c>
      <c r="F210" s="32" t="str">
        <f>IF(D210="MPG",_xlfn.XLOOKUP(E210,Sheet2!$A$2:$A$2104,Sheet2!$B$2:$B$2104,""),"")</f>
        <v/>
      </c>
      <c r="G210" s="32"/>
      <c r="H210" s="1" t="s">
        <v>484</v>
      </c>
      <c r="I210" s="1" t="s">
        <v>509</v>
      </c>
      <c r="J210" s="1"/>
      <c r="K210" s="1"/>
      <c r="L210" s="1"/>
      <c r="M210" s="1"/>
      <c r="N210" s="1" t="s">
        <v>431</v>
      </c>
      <c r="O210" s="1" t="s">
        <v>307</v>
      </c>
      <c r="P210" s="1"/>
      <c r="Q210" s="1"/>
      <c r="R210" s="1">
        <v>84</v>
      </c>
      <c r="S210" s="1">
        <v>84</v>
      </c>
      <c r="T210" s="1">
        <v>15.12</v>
      </c>
      <c r="U210" s="1">
        <v>99.12</v>
      </c>
      <c r="V210" s="1"/>
      <c r="W210" s="1"/>
      <c r="X210" s="1" t="s">
        <v>539</v>
      </c>
    </row>
    <row r="211" spans="1:24" hidden="1" x14ac:dyDescent="0.25">
      <c r="A211" s="9">
        <v>46158.533414351848</v>
      </c>
      <c r="B211" s="5">
        <v>46143</v>
      </c>
      <c r="C211" s="1" t="s">
        <v>75</v>
      </c>
      <c r="D211" s="12" t="s">
        <v>77</v>
      </c>
      <c r="E211" s="34">
        <v>1053</v>
      </c>
      <c r="F211" s="32" t="str">
        <f>IF(D211="MPG",_xlfn.XLOOKUP(E211,Sheet2!$A$2:$A$2104,Sheet2!$B$2:$B$2104,""),"")</f>
        <v/>
      </c>
      <c r="G211" s="32"/>
      <c r="H211" s="1" t="s">
        <v>485</v>
      </c>
      <c r="I211" s="1" t="s">
        <v>510</v>
      </c>
      <c r="J211" s="1"/>
      <c r="K211" s="1"/>
      <c r="L211" s="1"/>
      <c r="M211" s="1"/>
      <c r="N211" s="1" t="s">
        <v>433</v>
      </c>
      <c r="O211" s="1" t="s">
        <v>323</v>
      </c>
      <c r="P211" s="1"/>
      <c r="Q211" s="1"/>
      <c r="R211" s="1">
        <v>1266</v>
      </c>
      <c r="S211" s="1">
        <v>1266</v>
      </c>
      <c r="T211" s="1">
        <v>227.88</v>
      </c>
      <c r="U211" s="1">
        <v>1493.88</v>
      </c>
      <c r="V211" s="1"/>
      <c r="W211" s="1"/>
      <c r="X211" s="1" t="s">
        <v>539</v>
      </c>
    </row>
    <row r="212" spans="1:24" hidden="1" x14ac:dyDescent="0.25">
      <c r="A212" s="9">
        <v>46158.713634259257</v>
      </c>
      <c r="B212" s="5">
        <v>46143</v>
      </c>
      <c r="C212" s="1" t="s">
        <v>75</v>
      </c>
      <c r="D212" s="12" t="s">
        <v>77</v>
      </c>
      <c r="E212" s="6">
        <v>1009009</v>
      </c>
      <c r="F212" s="32" t="str">
        <f>IF(D212="MPG",_xlfn.XLOOKUP(E212,Sheet2!$A$2:$A$2104,Sheet2!$B$2:$B$2104,""),"")</f>
        <v/>
      </c>
      <c r="G212" s="32"/>
      <c r="H212" s="1" t="s">
        <v>486</v>
      </c>
      <c r="I212" s="1" t="s">
        <v>486</v>
      </c>
      <c r="J212" s="1"/>
      <c r="K212" s="1"/>
      <c r="L212" s="1"/>
      <c r="M212" s="1"/>
      <c r="N212" s="1" t="s">
        <v>425</v>
      </c>
      <c r="O212" s="1" t="s">
        <v>318</v>
      </c>
      <c r="P212" s="1"/>
      <c r="Q212" s="1"/>
      <c r="R212" s="1">
        <v>2080</v>
      </c>
      <c r="S212" s="1">
        <v>2080</v>
      </c>
      <c r="T212" s="1">
        <v>374.4</v>
      </c>
      <c r="U212" s="1">
        <v>2454.4</v>
      </c>
      <c r="V212" s="1"/>
      <c r="W212" s="1"/>
      <c r="X212" s="1" t="s">
        <v>539</v>
      </c>
    </row>
    <row r="213" spans="1:24" hidden="1" x14ac:dyDescent="0.25">
      <c r="A213" s="9">
        <v>46160.68141203704</v>
      </c>
      <c r="B213" s="5">
        <v>46143</v>
      </c>
      <c r="C213" s="1" t="s">
        <v>545</v>
      </c>
      <c r="D213" s="12" t="s">
        <v>76</v>
      </c>
      <c r="E213" s="6">
        <v>30140032</v>
      </c>
      <c r="F213" s="32" t="str">
        <f>IF(D213="MPG",_xlfn.XLOOKUP(E213,Sheet2!$A$2:$A$2104,Sheet2!$B$2:$B$2104,""),"")</f>
        <v/>
      </c>
      <c r="G213" s="32"/>
      <c r="H213" s="1" t="s">
        <v>487</v>
      </c>
      <c r="I213" s="1" t="s">
        <v>483</v>
      </c>
      <c r="J213" s="1"/>
      <c r="K213" s="1"/>
      <c r="L213" s="1"/>
      <c r="M213" s="1"/>
      <c r="N213" s="1" t="s">
        <v>432</v>
      </c>
      <c r="O213" s="1" t="s">
        <v>408</v>
      </c>
      <c r="P213" s="1"/>
      <c r="Q213" s="1"/>
      <c r="R213" s="1">
        <v>8000</v>
      </c>
      <c r="S213" s="1">
        <v>8000</v>
      </c>
      <c r="T213" s="1">
        <v>1440</v>
      </c>
      <c r="U213" s="1">
        <v>9440</v>
      </c>
      <c r="V213" s="1"/>
      <c r="W213" s="1"/>
      <c r="X213" s="1" t="s">
        <v>539</v>
      </c>
    </row>
    <row r="214" spans="1:24" hidden="1" x14ac:dyDescent="0.25">
      <c r="A214" s="9">
        <v>46160.680671296293</v>
      </c>
      <c r="B214" s="5">
        <v>46143</v>
      </c>
      <c r="C214" s="1" t="s">
        <v>545</v>
      </c>
      <c r="D214" s="12" t="s">
        <v>76</v>
      </c>
      <c r="E214" s="6">
        <v>0</v>
      </c>
      <c r="F214" s="32" t="str">
        <f>IF(D214="MPG",_xlfn.XLOOKUP(E214,Sheet2!$A$2:$A$2104,Sheet2!$B$2:$B$2104,""),"")</f>
        <v/>
      </c>
      <c r="G214" s="32"/>
      <c r="H214" s="1" t="s">
        <v>488</v>
      </c>
      <c r="I214" s="1" t="s">
        <v>511</v>
      </c>
      <c r="J214" s="1"/>
      <c r="K214" s="1"/>
      <c r="L214" s="1"/>
      <c r="M214" s="1"/>
      <c r="N214" s="1" t="s">
        <v>432</v>
      </c>
      <c r="O214" s="1" t="s">
        <v>408</v>
      </c>
      <c r="P214" s="1"/>
      <c r="Q214" s="1"/>
      <c r="R214" s="1">
        <v>8000</v>
      </c>
      <c r="S214" s="1">
        <v>8000</v>
      </c>
      <c r="T214" s="1">
        <v>1440</v>
      </c>
      <c r="U214" s="1">
        <v>9440</v>
      </c>
      <c r="V214" s="1"/>
      <c r="W214" s="1"/>
      <c r="X214" s="1" t="s">
        <v>539</v>
      </c>
    </row>
    <row r="215" spans="1:24" x14ac:dyDescent="0.25">
      <c r="A215" s="9">
        <v>46160.6403587963</v>
      </c>
      <c r="B215" s="5">
        <v>46143</v>
      </c>
      <c r="C215" s="1" t="s">
        <v>75</v>
      </c>
      <c r="D215" s="12" t="s">
        <v>76</v>
      </c>
      <c r="E215" s="6">
        <v>10360001</v>
      </c>
      <c r="F215" s="32">
        <f>IF(D215="MPG",_xlfn.XLOOKUP(E215,Sheet2!$A$2:$A$2104,Sheet2!$B$2:$B$2104,""),"")</f>
        <v>42979</v>
      </c>
      <c r="G215" s="36">
        <f>+A215-F215</f>
        <v>3181.6403587962996</v>
      </c>
      <c r="H215" s="1" t="s">
        <v>470</v>
      </c>
      <c r="I215" s="1" t="s">
        <v>505</v>
      </c>
      <c r="J215" s="1"/>
      <c r="K215" s="1"/>
      <c r="L215" s="1"/>
      <c r="M215" s="1"/>
      <c r="N215" s="1" t="s">
        <v>526</v>
      </c>
      <c r="O215" s="1" t="s">
        <v>333</v>
      </c>
      <c r="P215" s="1"/>
      <c r="Q215" s="1"/>
      <c r="R215" s="1">
        <v>2800</v>
      </c>
      <c r="S215" s="1">
        <v>2800</v>
      </c>
      <c r="T215" s="1">
        <v>504</v>
      </c>
      <c r="U215" s="1">
        <v>3304</v>
      </c>
      <c r="V215" s="1"/>
      <c r="W215" s="1"/>
      <c r="X215" s="19" t="s">
        <v>547</v>
      </c>
    </row>
    <row r="216" spans="1:24" hidden="1" x14ac:dyDescent="0.25">
      <c r="A216" s="9">
        <v>46160.679340277777</v>
      </c>
      <c r="B216" s="5">
        <v>46143</v>
      </c>
      <c r="C216" s="1" t="s">
        <v>545</v>
      </c>
      <c r="D216" s="12" t="s">
        <v>76</v>
      </c>
      <c r="E216" s="6">
        <v>30300007</v>
      </c>
      <c r="F216" s="32" t="str">
        <f>IF(D216="MPG",_xlfn.XLOOKUP(E216,Sheet2!$A$2:$A$2104,Sheet2!$B$2:$B$2104,""),"")</f>
        <v/>
      </c>
      <c r="G216" s="32"/>
      <c r="H216" s="1" t="s">
        <v>489</v>
      </c>
      <c r="I216" s="1" t="s">
        <v>490</v>
      </c>
      <c r="J216" s="1"/>
      <c r="K216" s="1"/>
      <c r="L216" s="1"/>
      <c r="M216" s="1"/>
      <c r="N216" s="1" t="s">
        <v>537</v>
      </c>
      <c r="O216" s="1" t="s">
        <v>519</v>
      </c>
      <c r="P216" s="1"/>
      <c r="Q216" s="1"/>
      <c r="R216" s="1">
        <v>12500</v>
      </c>
      <c r="S216" s="1">
        <v>12500</v>
      </c>
      <c r="T216" s="1">
        <v>2250</v>
      </c>
      <c r="U216" s="1">
        <v>14750</v>
      </c>
      <c r="V216" s="1"/>
      <c r="W216" s="1"/>
      <c r="X216" s="25" t="s">
        <v>539</v>
      </c>
    </row>
    <row r="217" spans="1:24" hidden="1" x14ac:dyDescent="0.25">
      <c r="A217" s="9">
        <v>46160.678749999999</v>
      </c>
      <c r="B217" s="5">
        <v>46143</v>
      </c>
      <c r="C217" s="1" t="s">
        <v>545</v>
      </c>
      <c r="D217" s="12" t="s">
        <v>76</v>
      </c>
      <c r="E217" s="6">
        <v>30300007</v>
      </c>
      <c r="F217" s="32" t="str">
        <f>IF(D217="MPG",_xlfn.XLOOKUP(E217,Sheet2!$A$2:$A$2104,Sheet2!$B$2:$B$2104,""),"")</f>
        <v/>
      </c>
      <c r="G217" s="32"/>
      <c r="H217" s="1" t="s">
        <v>490</v>
      </c>
      <c r="I217" s="1" t="s">
        <v>490</v>
      </c>
      <c r="J217" s="1"/>
      <c r="K217" s="1"/>
      <c r="L217" s="1"/>
      <c r="M217" s="1"/>
      <c r="N217" s="1" t="s">
        <v>537</v>
      </c>
      <c r="O217" s="1" t="s">
        <v>519</v>
      </c>
      <c r="P217" s="1"/>
      <c r="Q217" s="1"/>
      <c r="R217" s="1">
        <v>12500</v>
      </c>
      <c r="S217" s="1">
        <v>12500</v>
      </c>
      <c r="T217" s="1">
        <v>2250</v>
      </c>
      <c r="U217" s="1">
        <v>14750</v>
      </c>
      <c r="V217" s="1"/>
      <c r="W217" s="1"/>
      <c r="X217" s="25" t="s">
        <v>539</v>
      </c>
    </row>
    <row r="218" spans="1:24" hidden="1" x14ac:dyDescent="0.25">
      <c r="A218" s="9">
        <v>46154.752824074072</v>
      </c>
      <c r="B218" s="5">
        <v>46143</v>
      </c>
      <c r="C218" s="1" t="s">
        <v>545</v>
      </c>
      <c r="D218" s="12" t="s">
        <v>76</v>
      </c>
      <c r="E218" s="6">
        <v>30030016</v>
      </c>
      <c r="F218" s="32" t="str">
        <f>IF(D218="MPG",_xlfn.XLOOKUP(E218,Sheet2!$A$2:$A$2104,Sheet2!$B$2:$B$2104,""),"")</f>
        <v/>
      </c>
      <c r="G218" s="32"/>
      <c r="H218" s="1" t="s">
        <v>491</v>
      </c>
      <c r="I218" s="1" t="s">
        <v>502</v>
      </c>
      <c r="J218" s="1"/>
      <c r="K218" s="1"/>
      <c r="L218" s="1"/>
      <c r="M218" s="1"/>
      <c r="N218" s="1" t="s">
        <v>432</v>
      </c>
      <c r="O218" s="1" t="s">
        <v>408</v>
      </c>
      <c r="P218" s="1"/>
      <c r="Q218" s="1"/>
      <c r="R218" s="1">
        <v>8000</v>
      </c>
      <c r="S218" s="1">
        <v>8000</v>
      </c>
      <c r="T218" s="1">
        <v>1440</v>
      </c>
      <c r="U218" s="1">
        <v>9440</v>
      </c>
      <c r="V218" s="1"/>
      <c r="W218" s="1"/>
      <c r="X218" s="25" t="s">
        <v>539</v>
      </c>
    </row>
    <row r="219" spans="1:24" hidden="1" x14ac:dyDescent="0.25">
      <c r="A219" s="9">
        <v>46151.556076388886</v>
      </c>
      <c r="B219" s="5">
        <v>46143</v>
      </c>
      <c r="C219" s="1" t="s">
        <v>545</v>
      </c>
      <c r="D219" s="12" t="s">
        <v>76</v>
      </c>
      <c r="E219" s="6">
        <v>30240006</v>
      </c>
      <c r="F219" s="32" t="str">
        <f>IF(D219="MPG",_xlfn.XLOOKUP(E219,Sheet2!$A$2:$A$2104,Sheet2!$B$2:$B$2104,""),"")</f>
        <v/>
      </c>
      <c r="G219" s="32"/>
      <c r="H219" s="1" t="s">
        <v>492</v>
      </c>
      <c r="I219" s="1" t="s">
        <v>511</v>
      </c>
      <c r="J219" s="1"/>
      <c r="K219" s="1"/>
      <c r="L219" s="1"/>
      <c r="M219" s="1"/>
      <c r="N219" s="1" t="s">
        <v>432</v>
      </c>
      <c r="O219" s="1" t="s">
        <v>408</v>
      </c>
      <c r="P219" s="1"/>
      <c r="Q219" s="1"/>
      <c r="R219" s="1">
        <v>8000</v>
      </c>
      <c r="S219" s="1">
        <v>8000</v>
      </c>
      <c r="T219" s="1">
        <v>1440</v>
      </c>
      <c r="U219" s="1">
        <v>9440</v>
      </c>
      <c r="V219" s="1"/>
      <c r="W219" s="1"/>
      <c r="X219" s="25" t="s">
        <v>539</v>
      </c>
    </row>
    <row r="220" spans="1:24" hidden="1" x14ac:dyDescent="0.25">
      <c r="F220" s="32" t="str">
        <f>IF(D220="MPG",_xlfn.XLOOKUP(E220,Sheet2!$A$2:$A$2104,Sheet2!$B$2:$B$2104,""),"")</f>
        <v/>
      </c>
      <c r="G220" s="35"/>
      <c r="U220" s="26">
        <f>SUM(U3:U219)</f>
        <v>373149.0400000001</v>
      </c>
    </row>
  </sheetData>
  <autoFilter ref="A2:X220" xr:uid="{89CD03E5-9883-479C-B24D-03B5DB5CC943}">
    <filterColumn colId="23">
      <filters>
        <filter val="REcovery"/>
      </filters>
    </filterColumn>
  </autoFilter>
  <conditionalFormatting sqref="E15">
    <cfRule type="duplicateValues" dxfId="36" priority="9"/>
  </conditionalFormatting>
  <conditionalFormatting sqref="E24">
    <cfRule type="duplicateValues" dxfId="35" priority="6"/>
  </conditionalFormatting>
  <conditionalFormatting sqref="E25">
    <cfRule type="duplicateValues" dxfId="34" priority="10"/>
  </conditionalFormatting>
  <conditionalFormatting sqref="E28">
    <cfRule type="duplicateValues" dxfId="33" priority="11"/>
    <cfRule type="duplicateValues" dxfId="32" priority="12"/>
  </conditionalFormatting>
  <conditionalFormatting sqref="E29">
    <cfRule type="duplicateValues" dxfId="31" priority="15"/>
    <cfRule type="duplicateValues" dxfId="30" priority="16"/>
  </conditionalFormatting>
  <conditionalFormatting sqref="E30">
    <cfRule type="duplicateValues" dxfId="29" priority="13"/>
    <cfRule type="duplicateValues" dxfId="28" priority="14"/>
  </conditionalFormatting>
  <conditionalFormatting sqref="E93">
    <cfRule type="duplicateValues" dxfId="27" priority="5"/>
  </conditionalFormatting>
  <conditionalFormatting sqref="E99:E100">
    <cfRule type="duplicateValues" dxfId="26" priority="7"/>
    <cfRule type="duplicateValues" dxfId="25" priority="8"/>
  </conditionalFormatting>
  <conditionalFormatting sqref="E101">
    <cfRule type="duplicateValues" dxfId="24" priority="4"/>
  </conditionalFormatting>
  <conditionalFormatting sqref="E109">
    <cfRule type="duplicateValues" dxfId="23" priority="17"/>
  </conditionalFormatting>
  <conditionalFormatting sqref="E113:E114">
    <cfRule type="duplicateValues" dxfId="22" priority="18"/>
  </conditionalFormatting>
  <conditionalFormatting sqref="E115">
    <cfRule type="duplicateValues" dxfId="21" priority="2"/>
  </conditionalFormatting>
  <conditionalFormatting sqref="E117">
    <cfRule type="duplicateValues" dxfId="20" priority="3"/>
  </conditionalFormatting>
  <conditionalFormatting sqref="E182">
    <cfRule type="duplicateValues" dxfId="19" priority="22"/>
    <cfRule type="duplicateValues" dxfId="18" priority="23"/>
  </conditionalFormatting>
  <conditionalFormatting sqref="E183">
    <cfRule type="duplicateValues" dxfId="17" priority="20"/>
    <cfRule type="duplicateValues" dxfId="16" priority="21"/>
  </conditionalFormatting>
  <conditionalFormatting sqref="E191:E192">
    <cfRule type="duplicateValues" dxfId="15" priority="19"/>
  </conditionalFormatting>
  <conditionalFormatting sqref="E198">
    <cfRule type="duplicateValues" dxfId="14" priority="1"/>
  </conditionalFormatting>
  <conditionalFormatting sqref="E204">
    <cfRule type="duplicateValues" dxfId="13" priority="24"/>
  </conditionalFormatting>
  <conditionalFormatting sqref="E19:F19">
    <cfRule type="duplicateValues" dxfId="12" priority="25"/>
    <cfRule type="duplicateValues" dxfId="11" priority="26"/>
    <cfRule type="duplicateValues" dxfId="10" priority="27"/>
  </conditionalFormatting>
  <conditionalFormatting sqref="E77:F77">
    <cfRule type="duplicateValues" dxfId="9" priority="31"/>
    <cfRule type="duplicateValues" dxfId="8" priority="32"/>
    <cfRule type="duplicateValues" dxfId="7" priority="33"/>
  </conditionalFormatting>
  <conditionalFormatting sqref="E78:F78">
    <cfRule type="duplicateValues" dxfId="6" priority="28"/>
    <cfRule type="duplicateValues" dxfId="5" priority="29"/>
    <cfRule type="duplicateValues" dxfId="4" priority="30"/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13AF-0A3C-4493-ACA2-590E1E02D9B5}">
  <dimension ref="A1:B2104"/>
  <sheetViews>
    <sheetView topLeftCell="A205" workbookViewId="0">
      <selection activeCell="A218" sqref="A218"/>
    </sheetView>
  </sheetViews>
  <sheetFormatPr defaultRowHeight="15" x14ac:dyDescent="0.25"/>
  <sheetData>
    <row r="1" spans="1:2" x14ac:dyDescent="0.25">
      <c r="A1" s="28" t="s">
        <v>542</v>
      </c>
      <c r="B1" s="28" t="s">
        <v>543</v>
      </c>
    </row>
    <row r="2" spans="1:2" x14ac:dyDescent="0.25">
      <c r="A2" s="29">
        <v>10520001</v>
      </c>
      <c r="B2" s="30">
        <v>43388</v>
      </c>
    </row>
    <row r="3" spans="1:2" x14ac:dyDescent="0.25">
      <c r="A3" s="29">
        <v>10520002</v>
      </c>
      <c r="B3" s="30">
        <v>43736</v>
      </c>
    </row>
    <row r="4" spans="1:2" x14ac:dyDescent="0.25">
      <c r="A4" s="29">
        <v>10520003</v>
      </c>
      <c r="B4" s="30">
        <v>45050</v>
      </c>
    </row>
    <row r="5" spans="1:2" x14ac:dyDescent="0.25">
      <c r="A5" s="29">
        <v>10520004</v>
      </c>
      <c r="B5" s="30">
        <v>45197</v>
      </c>
    </row>
    <row r="6" spans="1:2" x14ac:dyDescent="0.25">
      <c r="A6" s="29">
        <v>10520005</v>
      </c>
      <c r="B6" s="30">
        <v>45681</v>
      </c>
    </row>
    <row r="7" spans="1:2" x14ac:dyDescent="0.25">
      <c r="A7" s="29">
        <v>10520008</v>
      </c>
      <c r="B7" s="30">
        <v>45766</v>
      </c>
    </row>
    <row r="8" spans="1:2" x14ac:dyDescent="0.25">
      <c r="A8" s="29">
        <v>10520007</v>
      </c>
      <c r="B8" s="30">
        <v>45768</v>
      </c>
    </row>
    <row r="9" spans="1:2" x14ac:dyDescent="0.25">
      <c r="A9" s="29">
        <v>10520009</v>
      </c>
      <c r="B9" s="30">
        <v>45831</v>
      </c>
    </row>
    <row r="10" spans="1:2" x14ac:dyDescent="0.25">
      <c r="A10" s="29">
        <v>10520012</v>
      </c>
      <c r="B10" s="30">
        <v>46199</v>
      </c>
    </row>
    <row r="11" spans="1:2" x14ac:dyDescent="0.25">
      <c r="A11" s="29">
        <v>10520014</v>
      </c>
      <c r="B11" s="30">
        <v>46235</v>
      </c>
    </row>
    <row r="12" spans="1:2" x14ac:dyDescent="0.25">
      <c r="A12" s="29">
        <v>10110141</v>
      </c>
      <c r="B12" s="30">
        <v>45786</v>
      </c>
    </row>
    <row r="13" spans="1:2" x14ac:dyDescent="0.25">
      <c r="A13" s="29">
        <v>10110140</v>
      </c>
      <c r="B13" s="30">
        <v>45786</v>
      </c>
    </row>
    <row r="14" spans="1:2" x14ac:dyDescent="0.25">
      <c r="A14" s="29">
        <v>10110143</v>
      </c>
      <c r="B14" s="30">
        <v>45786</v>
      </c>
    </row>
    <row r="15" spans="1:2" x14ac:dyDescent="0.25">
      <c r="A15" s="29">
        <v>10110142</v>
      </c>
      <c r="B15" s="30">
        <v>45786</v>
      </c>
    </row>
    <row r="16" spans="1:2" x14ac:dyDescent="0.25">
      <c r="A16" s="29">
        <v>10110144</v>
      </c>
      <c r="B16" s="30">
        <v>45786</v>
      </c>
    </row>
    <row r="17" spans="1:2" x14ac:dyDescent="0.25">
      <c r="A17" s="29">
        <v>10110133</v>
      </c>
      <c r="B17" s="30">
        <v>45786</v>
      </c>
    </row>
    <row r="18" spans="1:2" x14ac:dyDescent="0.25">
      <c r="A18" s="29">
        <v>10540003</v>
      </c>
      <c r="B18" s="30">
        <v>45793</v>
      </c>
    </row>
    <row r="19" spans="1:2" x14ac:dyDescent="0.25">
      <c r="A19" s="29">
        <v>10540002</v>
      </c>
      <c r="B19" s="30">
        <v>45793</v>
      </c>
    </row>
    <row r="20" spans="1:2" x14ac:dyDescent="0.25">
      <c r="A20" s="29">
        <v>10540001</v>
      </c>
      <c r="B20" s="30">
        <v>45793</v>
      </c>
    </row>
    <row r="21" spans="1:2" x14ac:dyDescent="0.25">
      <c r="A21" s="29">
        <v>10540005</v>
      </c>
      <c r="B21" s="30">
        <v>45803</v>
      </c>
    </row>
    <row r="22" spans="1:2" x14ac:dyDescent="0.25">
      <c r="A22" s="29">
        <v>10540007</v>
      </c>
      <c r="B22" s="30">
        <v>45809</v>
      </c>
    </row>
    <row r="23" spans="1:2" x14ac:dyDescent="0.25">
      <c r="A23" s="29">
        <v>10540012</v>
      </c>
      <c r="B23" s="30">
        <v>45829</v>
      </c>
    </row>
    <row r="24" spans="1:2" x14ac:dyDescent="0.25">
      <c r="A24" s="29">
        <v>10540013</v>
      </c>
      <c r="B24" s="30">
        <v>45831</v>
      </c>
    </row>
    <row r="25" spans="1:2" x14ac:dyDescent="0.25">
      <c r="A25" s="29">
        <v>10540010</v>
      </c>
      <c r="B25" s="30">
        <v>45832</v>
      </c>
    </row>
    <row r="26" spans="1:2" x14ac:dyDescent="0.25">
      <c r="A26" s="29">
        <v>10540009</v>
      </c>
      <c r="B26" s="30">
        <v>45836</v>
      </c>
    </row>
    <row r="27" spans="1:2" x14ac:dyDescent="0.25">
      <c r="A27" s="29">
        <v>10540008</v>
      </c>
      <c r="B27" s="30">
        <v>45849</v>
      </c>
    </row>
    <row r="28" spans="1:2" x14ac:dyDescent="0.25">
      <c r="A28" s="29">
        <v>10540014</v>
      </c>
      <c r="B28" s="30">
        <v>45849</v>
      </c>
    </row>
    <row r="29" spans="1:2" x14ac:dyDescent="0.25">
      <c r="A29" s="29">
        <v>10540015</v>
      </c>
      <c r="B29" s="30">
        <v>45850</v>
      </c>
    </row>
    <row r="30" spans="1:2" x14ac:dyDescent="0.25">
      <c r="A30" s="29">
        <v>10110097</v>
      </c>
      <c r="B30" s="30">
        <v>45652</v>
      </c>
    </row>
    <row r="31" spans="1:2" x14ac:dyDescent="0.25">
      <c r="A31" s="29">
        <v>10110100</v>
      </c>
      <c r="B31" s="30">
        <v>45653</v>
      </c>
    </row>
    <row r="32" spans="1:2" x14ac:dyDescent="0.25">
      <c r="A32" s="29">
        <v>10110098</v>
      </c>
      <c r="B32" s="30">
        <v>45653</v>
      </c>
    </row>
    <row r="33" spans="1:2" x14ac:dyDescent="0.25">
      <c r="A33" s="29">
        <v>10110101</v>
      </c>
      <c r="B33" s="30">
        <v>45672</v>
      </c>
    </row>
    <row r="34" spans="1:2" x14ac:dyDescent="0.25">
      <c r="A34" s="29">
        <v>10110104</v>
      </c>
      <c r="B34" s="30">
        <v>45686</v>
      </c>
    </row>
    <row r="35" spans="1:2" x14ac:dyDescent="0.25">
      <c r="A35" s="29">
        <v>10110109</v>
      </c>
      <c r="B35" s="30">
        <v>45702</v>
      </c>
    </row>
    <row r="36" spans="1:2" x14ac:dyDescent="0.25">
      <c r="A36" s="29">
        <v>10110114</v>
      </c>
      <c r="B36" s="30">
        <v>45745</v>
      </c>
    </row>
    <row r="37" spans="1:2" x14ac:dyDescent="0.25">
      <c r="A37" s="29">
        <v>10110115</v>
      </c>
      <c r="B37" s="30">
        <v>45745</v>
      </c>
    </row>
    <row r="38" spans="1:2" x14ac:dyDescent="0.25">
      <c r="A38" s="29">
        <v>10110116</v>
      </c>
      <c r="B38" s="30">
        <v>45745</v>
      </c>
    </row>
    <row r="39" spans="1:2" x14ac:dyDescent="0.25">
      <c r="A39" s="29">
        <v>10110118</v>
      </c>
      <c r="B39" s="30">
        <v>45745</v>
      </c>
    </row>
    <row r="40" spans="1:2" x14ac:dyDescent="0.25">
      <c r="A40" s="29">
        <v>10110119</v>
      </c>
      <c r="B40" s="30">
        <v>45745</v>
      </c>
    </row>
    <row r="41" spans="1:2" x14ac:dyDescent="0.25">
      <c r="A41" s="29">
        <v>10110121</v>
      </c>
      <c r="B41" s="30">
        <v>45745</v>
      </c>
    </row>
    <row r="42" spans="1:2" x14ac:dyDescent="0.25">
      <c r="A42" s="29">
        <v>10110135</v>
      </c>
      <c r="B42" s="30">
        <v>45767</v>
      </c>
    </row>
    <row r="43" spans="1:2" x14ac:dyDescent="0.25">
      <c r="A43" s="29">
        <v>10110134</v>
      </c>
      <c r="B43" s="30">
        <v>45770</v>
      </c>
    </row>
    <row r="44" spans="1:2" x14ac:dyDescent="0.25">
      <c r="A44" s="29">
        <v>10110132</v>
      </c>
      <c r="B44" s="30">
        <v>45772</v>
      </c>
    </row>
    <row r="45" spans="1:2" x14ac:dyDescent="0.25">
      <c r="A45" s="29">
        <v>10110148</v>
      </c>
      <c r="B45" s="30">
        <v>45800</v>
      </c>
    </row>
    <row r="46" spans="1:2" x14ac:dyDescent="0.25">
      <c r="A46" s="29">
        <v>10110149</v>
      </c>
      <c r="B46" s="30">
        <v>45805</v>
      </c>
    </row>
    <row r="47" spans="1:2" x14ac:dyDescent="0.25">
      <c r="A47" s="29">
        <v>10110112</v>
      </c>
      <c r="B47" s="30">
        <v>45814</v>
      </c>
    </row>
    <row r="48" spans="1:2" x14ac:dyDescent="0.25">
      <c r="A48" s="29">
        <v>10110120</v>
      </c>
      <c r="B48" s="30">
        <v>45819</v>
      </c>
    </row>
    <row r="49" spans="1:2" x14ac:dyDescent="0.25">
      <c r="A49" s="29">
        <v>10110129</v>
      </c>
      <c r="B49" s="30">
        <v>45831</v>
      </c>
    </row>
    <row r="50" spans="1:2" x14ac:dyDescent="0.25">
      <c r="A50" s="29">
        <v>10110127</v>
      </c>
      <c r="B50" s="30">
        <v>45831</v>
      </c>
    </row>
    <row r="51" spans="1:2" x14ac:dyDescent="0.25">
      <c r="A51" s="29">
        <v>10540022</v>
      </c>
      <c r="B51" s="30">
        <v>45863</v>
      </c>
    </row>
    <row r="52" spans="1:2" x14ac:dyDescent="0.25">
      <c r="A52" s="29">
        <v>10540024</v>
      </c>
      <c r="B52" s="30">
        <v>45869</v>
      </c>
    </row>
    <row r="53" spans="1:2" x14ac:dyDescent="0.25">
      <c r="A53" s="29">
        <v>10540017</v>
      </c>
      <c r="B53" s="30">
        <v>45869</v>
      </c>
    </row>
    <row r="54" spans="1:2" x14ac:dyDescent="0.25">
      <c r="A54" s="29">
        <v>10540018</v>
      </c>
      <c r="B54" s="30">
        <v>45869</v>
      </c>
    </row>
    <row r="55" spans="1:2" x14ac:dyDescent="0.25">
      <c r="A55" s="29">
        <v>10540016</v>
      </c>
      <c r="B55" s="30">
        <v>45869</v>
      </c>
    </row>
    <row r="56" spans="1:2" x14ac:dyDescent="0.25">
      <c r="A56" s="29">
        <v>10540019</v>
      </c>
      <c r="B56" s="30">
        <v>45869</v>
      </c>
    </row>
    <row r="57" spans="1:2" x14ac:dyDescent="0.25">
      <c r="A57" s="29">
        <v>10540020</v>
      </c>
      <c r="B57" s="30">
        <v>45869</v>
      </c>
    </row>
    <row r="58" spans="1:2" x14ac:dyDescent="0.25">
      <c r="A58" s="29">
        <v>10540021</v>
      </c>
      <c r="B58" s="30">
        <v>45869</v>
      </c>
    </row>
    <row r="59" spans="1:2" x14ac:dyDescent="0.25">
      <c r="A59" s="29">
        <v>10540025</v>
      </c>
      <c r="B59" s="30">
        <v>45883</v>
      </c>
    </row>
    <row r="60" spans="1:2" x14ac:dyDescent="0.25">
      <c r="A60" s="29">
        <v>10540028</v>
      </c>
      <c r="B60" s="30">
        <v>45905</v>
      </c>
    </row>
    <row r="61" spans="1:2" x14ac:dyDescent="0.25">
      <c r="A61" s="29">
        <v>10540029</v>
      </c>
      <c r="B61" s="30">
        <v>45905</v>
      </c>
    </row>
    <row r="62" spans="1:2" x14ac:dyDescent="0.25">
      <c r="A62" s="29">
        <v>10540036</v>
      </c>
      <c r="B62" s="30">
        <v>45919</v>
      </c>
    </row>
    <row r="63" spans="1:2" x14ac:dyDescent="0.25">
      <c r="A63" s="29">
        <v>10540031</v>
      </c>
      <c r="B63" s="30">
        <v>45940</v>
      </c>
    </row>
    <row r="64" spans="1:2" x14ac:dyDescent="0.25">
      <c r="A64" s="29">
        <v>10540032</v>
      </c>
      <c r="B64" s="30">
        <v>45945</v>
      </c>
    </row>
    <row r="65" spans="1:2" x14ac:dyDescent="0.25">
      <c r="A65" s="29">
        <v>10540034</v>
      </c>
      <c r="B65" s="30">
        <v>45989</v>
      </c>
    </row>
    <row r="66" spans="1:2" x14ac:dyDescent="0.25">
      <c r="A66" s="29">
        <v>10540026</v>
      </c>
      <c r="B66" s="30">
        <v>45994</v>
      </c>
    </row>
    <row r="67" spans="1:2" x14ac:dyDescent="0.25">
      <c r="A67" s="29">
        <v>10540030</v>
      </c>
      <c r="B67" s="30">
        <v>46000</v>
      </c>
    </row>
    <row r="68" spans="1:2" x14ac:dyDescent="0.25">
      <c r="A68" s="29">
        <v>10540027</v>
      </c>
      <c r="B68" s="30">
        <v>46000</v>
      </c>
    </row>
    <row r="69" spans="1:2" x14ac:dyDescent="0.25">
      <c r="A69" s="29">
        <v>10540039</v>
      </c>
      <c r="B69" s="30">
        <v>46007</v>
      </c>
    </row>
    <row r="70" spans="1:2" x14ac:dyDescent="0.25">
      <c r="A70" s="29">
        <v>10540040</v>
      </c>
      <c r="B70" s="30">
        <v>46007</v>
      </c>
    </row>
    <row r="71" spans="1:2" x14ac:dyDescent="0.25">
      <c r="A71" s="29">
        <v>10540037</v>
      </c>
      <c r="B71" s="30">
        <v>46012</v>
      </c>
    </row>
    <row r="72" spans="1:2" x14ac:dyDescent="0.25">
      <c r="A72" s="29">
        <v>10540041</v>
      </c>
      <c r="B72" s="30">
        <v>46027</v>
      </c>
    </row>
    <row r="73" spans="1:2" x14ac:dyDescent="0.25">
      <c r="A73" s="29">
        <v>10540042</v>
      </c>
      <c r="B73" s="30">
        <v>46046</v>
      </c>
    </row>
    <row r="74" spans="1:2" x14ac:dyDescent="0.25">
      <c r="A74" s="29">
        <v>10540044</v>
      </c>
      <c r="B74" s="30">
        <v>46053</v>
      </c>
    </row>
    <row r="75" spans="1:2" x14ac:dyDescent="0.25">
      <c r="A75" s="29">
        <v>10540045</v>
      </c>
      <c r="B75" s="30">
        <v>46070</v>
      </c>
    </row>
    <row r="76" spans="1:2" x14ac:dyDescent="0.25">
      <c r="A76" s="29">
        <v>10540046</v>
      </c>
      <c r="B76" s="30">
        <v>46101</v>
      </c>
    </row>
    <row r="77" spans="1:2" x14ac:dyDescent="0.25">
      <c r="A77" s="29">
        <v>10540049</v>
      </c>
      <c r="B77" s="30">
        <v>46112</v>
      </c>
    </row>
    <row r="78" spans="1:2" x14ac:dyDescent="0.25">
      <c r="A78" s="29">
        <v>10540048</v>
      </c>
      <c r="B78" s="30">
        <v>46112</v>
      </c>
    </row>
    <row r="79" spans="1:2" x14ac:dyDescent="0.25">
      <c r="A79" s="29">
        <v>10540047</v>
      </c>
      <c r="B79" s="30">
        <v>46175</v>
      </c>
    </row>
    <row r="80" spans="1:2" x14ac:dyDescent="0.25">
      <c r="A80" s="29">
        <v>10540051</v>
      </c>
      <c r="B80" s="30">
        <v>46194</v>
      </c>
    </row>
    <row r="81" spans="1:2" x14ac:dyDescent="0.25">
      <c r="A81" s="29">
        <v>10540050</v>
      </c>
      <c r="B81" s="30">
        <v>46199</v>
      </c>
    </row>
    <row r="82" spans="1:2" x14ac:dyDescent="0.25">
      <c r="A82" s="29">
        <v>10540043</v>
      </c>
      <c r="B82" s="30">
        <v>46211</v>
      </c>
    </row>
    <row r="83" spans="1:2" x14ac:dyDescent="0.25">
      <c r="A83" s="29">
        <v>10540060</v>
      </c>
      <c r="B83" s="30">
        <v>46227</v>
      </c>
    </row>
    <row r="84" spans="1:2" x14ac:dyDescent="0.25">
      <c r="A84" s="29">
        <v>10540057</v>
      </c>
      <c r="B84" s="30">
        <v>46234</v>
      </c>
    </row>
    <row r="85" spans="1:2" x14ac:dyDescent="0.25">
      <c r="A85" s="29">
        <v>10540055</v>
      </c>
      <c r="B85" s="30">
        <v>46234</v>
      </c>
    </row>
    <row r="86" spans="1:2" x14ac:dyDescent="0.25">
      <c r="A86" s="29">
        <v>10540063</v>
      </c>
      <c r="B86" s="30">
        <v>46234</v>
      </c>
    </row>
    <row r="87" spans="1:2" x14ac:dyDescent="0.25">
      <c r="A87" s="29">
        <v>10540061</v>
      </c>
      <c r="B87" s="30">
        <v>46234</v>
      </c>
    </row>
    <row r="88" spans="1:2" x14ac:dyDescent="0.25">
      <c r="A88" s="29">
        <v>10540053</v>
      </c>
      <c r="B88" s="30">
        <v>46234</v>
      </c>
    </row>
    <row r="89" spans="1:2" x14ac:dyDescent="0.25">
      <c r="A89" s="29">
        <v>10540054</v>
      </c>
      <c r="B89" s="30">
        <v>46234</v>
      </c>
    </row>
    <row r="90" spans="1:2" x14ac:dyDescent="0.25">
      <c r="A90" s="29">
        <v>10540062</v>
      </c>
      <c r="B90" s="30">
        <v>46234</v>
      </c>
    </row>
    <row r="91" spans="1:2" x14ac:dyDescent="0.25">
      <c r="A91" s="29">
        <v>10540064</v>
      </c>
      <c r="B91" s="30">
        <v>46234</v>
      </c>
    </row>
    <row r="92" spans="1:2" x14ac:dyDescent="0.25">
      <c r="A92" s="29">
        <v>10070001</v>
      </c>
      <c r="B92" s="30">
        <v>42979</v>
      </c>
    </row>
    <row r="93" spans="1:2" x14ac:dyDescent="0.25">
      <c r="A93" s="29">
        <v>10070002</v>
      </c>
      <c r="B93" s="30">
        <v>43753</v>
      </c>
    </row>
    <row r="94" spans="1:2" x14ac:dyDescent="0.25">
      <c r="A94" s="29">
        <v>10070003</v>
      </c>
      <c r="B94" s="30">
        <v>44162</v>
      </c>
    </row>
    <row r="95" spans="1:2" x14ac:dyDescent="0.25">
      <c r="A95" s="29">
        <v>10070005</v>
      </c>
      <c r="B95" s="30">
        <v>44387</v>
      </c>
    </row>
    <row r="96" spans="1:2" x14ac:dyDescent="0.25">
      <c r="A96" s="29">
        <v>10070006</v>
      </c>
      <c r="B96" s="30">
        <v>44385</v>
      </c>
    </row>
    <row r="97" spans="1:2" x14ac:dyDescent="0.25">
      <c r="A97" s="29">
        <v>10070007</v>
      </c>
      <c r="B97" s="30">
        <v>44457</v>
      </c>
    </row>
    <row r="98" spans="1:2" x14ac:dyDescent="0.25">
      <c r="A98" s="29">
        <v>10070009</v>
      </c>
      <c r="B98" s="30">
        <v>44962</v>
      </c>
    </row>
    <row r="99" spans="1:2" x14ac:dyDescent="0.25">
      <c r="A99" s="29">
        <v>10070010</v>
      </c>
      <c r="B99" s="30">
        <v>45015</v>
      </c>
    </row>
    <row r="100" spans="1:2" x14ac:dyDescent="0.25">
      <c r="A100" s="29">
        <v>10070011</v>
      </c>
      <c r="B100" s="30">
        <v>45015</v>
      </c>
    </row>
    <row r="101" spans="1:2" x14ac:dyDescent="0.25">
      <c r="A101" s="29">
        <v>10070012</v>
      </c>
      <c r="B101" s="30">
        <v>45017</v>
      </c>
    </row>
    <row r="102" spans="1:2" x14ac:dyDescent="0.25">
      <c r="A102" s="29">
        <v>10070013</v>
      </c>
      <c r="B102" s="30">
        <v>45083</v>
      </c>
    </row>
    <row r="103" spans="1:2" x14ac:dyDescent="0.25">
      <c r="A103" s="29">
        <v>10070014</v>
      </c>
      <c r="B103" s="30">
        <v>45089</v>
      </c>
    </row>
    <row r="104" spans="1:2" x14ac:dyDescent="0.25">
      <c r="A104" s="29">
        <v>10070015</v>
      </c>
      <c r="B104" s="30">
        <v>45102</v>
      </c>
    </row>
    <row r="105" spans="1:2" x14ac:dyDescent="0.25">
      <c r="A105" s="29">
        <v>10070016</v>
      </c>
      <c r="B105" s="30">
        <v>45103</v>
      </c>
    </row>
    <row r="106" spans="1:2" x14ac:dyDescent="0.25">
      <c r="A106" s="29">
        <v>10070017</v>
      </c>
      <c r="B106" s="30">
        <v>45212</v>
      </c>
    </row>
    <row r="107" spans="1:2" x14ac:dyDescent="0.25">
      <c r="A107" s="29">
        <v>10070018</v>
      </c>
      <c r="B107" s="30">
        <v>45212</v>
      </c>
    </row>
    <row r="108" spans="1:2" x14ac:dyDescent="0.25">
      <c r="A108" s="29">
        <v>10070019</v>
      </c>
      <c r="B108" s="30">
        <v>45212</v>
      </c>
    </row>
    <row r="109" spans="1:2" x14ac:dyDescent="0.25">
      <c r="A109" s="29">
        <v>10070020</v>
      </c>
      <c r="B109" s="30">
        <v>45212</v>
      </c>
    </row>
    <row r="110" spans="1:2" x14ac:dyDescent="0.25">
      <c r="A110" s="29">
        <v>10070021</v>
      </c>
      <c r="B110" s="30">
        <v>45212</v>
      </c>
    </row>
    <row r="111" spans="1:2" x14ac:dyDescent="0.25">
      <c r="A111" s="29">
        <v>10070022</v>
      </c>
      <c r="B111" s="30">
        <v>45212</v>
      </c>
    </row>
    <row r="112" spans="1:2" x14ac:dyDescent="0.25">
      <c r="A112" s="29">
        <v>10070023</v>
      </c>
      <c r="B112" s="30">
        <v>45212</v>
      </c>
    </row>
    <row r="113" spans="1:2" x14ac:dyDescent="0.25">
      <c r="A113" s="29">
        <v>10070024</v>
      </c>
      <c r="B113" s="30">
        <v>45212</v>
      </c>
    </row>
    <row r="114" spans="1:2" x14ac:dyDescent="0.25">
      <c r="A114" s="29">
        <v>10070025</v>
      </c>
      <c r="B114" s="30">
        <v>45212</v>
      </c>
    </row>
    <row r="115" spans="1:2" x14ac:dyDescent="0.25">
      <c r="A115" s="29">
        <v>10070026</v>
      </c>
      <c r="B115" s="30">
        <v>45212</v>
      </c>
    </row>
    <row r="116" spans="1:2" x14ac:dyDescent="0.25">
      <c r="A116" s="29">
        <v>10070027</v>
      </c>
      <c r="B116" s="30">
        <v>45212</v>
      </c>
    </row>
    <row r="117" spans="1:2" x14ac:dyDescent="0.25">
      <c r="A117" s="29">
        <v>10070028</v>
      </c>
      <c r="B117" s="30">
        <v>45212</v>
      </c>
    </row>
    <row r="118" spans="1:2" x14ac:dyDescent="0.25">
      <c r="A118" s="29">
        <v>10070029</v>
      </c>
      <c r="B118" s="30">
        <v>45269</v>
      </c>
    </row>
    <row r="119" spans="1:2" x14ac:dyDescent="0.25">
      <c r="A119" s="29">
        <v>10070030</v>
      </c>
      <c r="B119" s="30">
        <v>45260</v>
      </c>
    </row>
    <row r="120" spans="1:2" x14ac:dyDescent="0.25">
      <c r="A120" s="29">
        <v>10070031</v>
      </c>
      <c r="B120" s="30">
        <v>45260</v>
      </c>
    </row>
    <row r="121" spans="1:2" x14ac:dyDescent="0.25">
      <c r="A121" s="29">
        <v>10070032</v>
      </c>
      <c r="B121" s="30">
        <v>45198</v>
      </c>
    </row>
    <row r="122" spans="1:2" x14ac:dyDescent="0.25">
      <c r="A122" s="29">
        <v>10070033</v>
      </c>
      <c r="B122" s="30">
        <v>45198</v>
      </c>
    </row>
    <row r="123" spans="1:2" x14ac:dyDescent="0.25">
      <c r="A123" s="29">
        <v>10070035</v>
      </c>
      <c r="B123" s="30">
        <v>45205</v>
      </c>
    </row>
    <row r="124" spans="1:2" x14ac:dyDescent="0.25">
      <c r="A124" s="29">
        <v>10070036</v>
      </c>
      <c r="B124" s="30">
        <v>45205</v>
      </c>
    </row>
    <row r="125" spans="1:2" x14ac:dyDescent="0.25">
      <c r="A125" s="29">
        <v>10070037</v>
      </c>
      <c r="B125" s="30">
        <v>45205</v>
      </c>
    </row>
    <row r="126" spans="1:2" x14ac:dyDescent="0.25">
      <c r="A126" s="29">
        <v>10070038</v>
      </c>
      <c r="B126" s="30">
        <v>45204</v>
      </c>
    </row>
    <row r="127" spans="1:2" x14ac:dyDescent="0.25">
      <c r="A127" s="29">
        <v>10070042</v>
      </c>
      <c r="B127" s="30">
        <v>45323</v>
      </c>
    </row>
    <row r="128" spans="1:2" x14ac:dyDescent="0.25">
      <c r="A128" s="29">
        <v>10420001</v>
      </c>
      <c r="B128" s="30">
        <v>42979</v>
      </c>
    </row>
    <row r="129" spans="1:2" x14ac:dyDescent="0.25">
      <c r="A129" s="29">
        <v>10070043</v>
      </c>
      <c r="B129" s="30">
        <v>45636</v>
      </c>
    </row>
    <row r="130" spans="1:2" x14ac:dyDescent="0.25">
      <c r="A130" s="29">
        <v>10070045</v>
      </c>
      <c r="B130" s="30">
        <v>45646</v>
      </c>
    </row>
    <row r="131" spans="1:2" x14ac:dyDescent="0.25">
      <c r="A131" s="29">
        <v>10070044</v>
      </c>
      <c r="B131" s="30">
        <v>45648</v>
      </c>
    </row>
    <row r="132" spans="1:2" x14ac:dyDescent="0.25">
      <c r="A132" s="29">
        <v>10070048</v>
      </c>
      <c r="B132" s="30">
        <v>45681</v>
      </c>
    </row>
    <row r="133" spans="1:2" x14ac:dyDescent="0.25">
      <c r="A133" s="29">
        <v>10070049</v>
      </c>
      <c r="B133" s="30">
        <v>45692</v>
      </c>
    </row>
    <row r="134" spans="1:2" x14ac:dyDescent="0.25">
      <c r="A134" s="29">
        <v>10070055</v>
      </c>
      <c r="B134" s="30">
        <v>45705</v>
      </c>
    </row>
    <row r="135" spans="1:2" x14ac:dyDescent="0.25">
      <c r="A135" s="29">
        <v>10070053</v>
      </c>
      <c r="B135" s="30">
        <v>45706</v>
      </c>
    </row>
    <row r="136" spans="1:2" x14ac:dyDescent="0.25">
      <c r="A136" s="29">
        <v>10070058</v>
      </c>
      <c r="B136" s="30">
        <v>45709</v>
      </c>
    </row>
    <row r="137" spans="1:2" x14ac:dyDescent="0.25">
      <c r="A137" s="29">
        <v>10070054</v>
      </c>
      <c r="B137" s="30">
        <v>45711</v>
      </c>
    </row>
    <row r="138" spans="1:2" x14ac:dyDescent="0.25">
      <c r="A138" s="29">
        <v>10070047</v>
      </c>
      <c r="B138" s="30">
        <v>45714</v>
      </c>
    </row>
    <row r="139" spans="1:2" x14ac:dyDescent="0.25">
      <c r="A139" s="29">
        <v>10070052</v>
      </c>
      <c r="B139" s="30">
        <v>45720</v>
      </c>
    </row>
    <row r="140" spans="1:2" x14ac:dyDescent="0.25">
      <c r="A140" s="29">
        <v>10070057</v>
      </c>
      <c r="B140" s="30">
        <v>45736</v>
      </c>
    </row>
    <row r="141" spans="1:2" x14ac:dyDescent="0.25">
      <c r="A141" s="29">
        <v>10070061</v>
      </c>
      <c r="B141" s="30">
        <v>45742</v>
      </c>
    </row>
    <row r="142" spans="1:2" x14ac:dyDescent="0.25">
      <c r="A142" s="29">
        <v>10070050</v>
      </c>
      <c r="B142" s="30">
        <v>45745</v>
      </c>
    </row>
    <row r="143" spans="1:2" x14ac:dyDescent="0.25">
      <c r="A143" s="29">
        <v>10070062</v>
      </c>
      <c r="B143" s="30">
        <v>45745</v>
      </c>
    </row>
    <row r="144" spans="1:2" x14ac:dyDescent="0.25">
      <c r="A144" s="29">
        <v>10070065</v>
      </c>
      <c r="B144" s="30">
        <v>45769</v>
      </c>
    </row>
    <row r="145" spans="1:2" x14ac:dyDescent="0.25">
      <c r="A145" s="29">
        <v>10070063</v>
      </c>
      <c r="B145" s="30">
        <v>45770</v>
      </c>
    </row>
    <row r="146" spans="1:2" x14ac:dyDescent="0.25">
      <c r="A146" s="29">
        <v>10070068</v>
      </c>
      <c r="B146" s="30">
        <v>45825</v>
      </c>
    </row>
    <row r="147" spans="1:2" x14ac:dyDescent="0.25">
      <c r="A147" s="29">
        <v>10070067</v>
      </c>
      <c r="B147" s="30">
        <v>45825</v>
      </c>
    </row>
    <row r="148" spans="1:2" x14ac:dyDescent="0.25">
      <c r="A148" s="29">
        <v>10070066</v>
      </c>
      <c r="B148" s="30">
        <v>45834</v>
      </c>
    </row>
    <row r="149" spans="1:2" x14ac:dyDescent="0.25">
      <c r="A149" s="29">
        <v>10070072</v>
      </c>
      <c r="B149" s="30">
        <v>45856</v>
      </c>
    </row>
    <row r="150" spans="1:2" x14ac:dyDescent="0.25">
      <c r="A150" s="29">
        <v>10070074</v>
      </c>
      <c r="B150" s="30">
        <v>45869</v>
      </c>
    </row>
    <row r="151" spans="1:2" x14ac:dyDescent="0.25">
      <c r="A151" s="29">
        <v>10070075</v>
      </c>
      <c r="B151" s="30">
        <v>45878</v>
      </c>
    </row>
    <row r="152" spans="1:2" x14ac:dyDescent="0.25">
      <c r="A152" s="29">
        <v>10070076</v>
      </c>
      <c r="B152" s="30">
        <v>45881</v>
      </c>
    </row>
    <row r="153" spans="1:2" x14ac:dyDescent="0.25">
      <c r="A153" s="29">
        <v>10070078</v>
      </c>
      <c r="B153" s="30">
        <v>46038</v>
      </c>
    </row>
    <row r="154" spans="1:2" x14ac:dyDescent="0.25">
      <c r="A154" s="29">
        <v>10070077</v>
      </c>
      <c r="B154" s="30">
        <v>46040</v>
      </c>
    </row>
    <row r="155" spans="1:2" x14ac:dyDescent="0.25">
      <c r="A155" s="29">
        <v>10070079</v>
      </c>
      <c r="B155" s="30">
        <v>46171</v>
      </c>
    </row>
    <row r="156" spans="1:2" x14ac:dyDescent="0.25">
      <c r="A156" s="29">
        <v>10070080</v>
      </c>
      <c r="B156" s="30">
        <v>46231</v>
      </c>
    </row>
    <row r="157" spans="1:2" x14ac:dyDescent="0.25">
      <c r="A157" s="29">
        <v>10030001</v>
      </c>
      <c r="B157" s="30">
        <v>42979</v>
      </c>
    </row>
    <row r="158" spans="1:2" x14ac:dyDescent="0.25">
      <c r="A158" s="29">
        <v>10030002</v>
      </c>
      <c r="B158" s="30">
        <v>42979</v>
      </c>
    </row>
    <row r="159" spans="1:2" x14ac:dyDescent="0.25">
      <c r="A159" s="29">
        <v>10030003</v>
      </c>
      <c r="B159" s="30">
        <v>42979</v>
      </c>
    </row>
    <row r="160" spans="1:2" x14ac:dyDescent="0.25">
      <c r="A160" s="29">
        <v>10030004</v>
      </c>
      <c r="B160" s="30">
        <v>42979</v>
      </c>
    </row>
    <row r="161" spans="1:2" x14ac:dyDescent="0.25">
      <c r="A161" s="29">
        <v>10030005</v>
      </c>
      <c r="B161" s="30">
        <v>42979</v>
      </c>
    </row>
    <row r="162" spans="1:2" x14ac:dyDescent="0.25">
      <c r="A162" s="29">
        <v>10030006</v>
      </c>
      <c r="B162" s="30">
        <v>42979</v>
      </c>
    </row>
    <row r="163" spans="1:2" x14ac:dyDescent="0.25">
      <c r="A163" s="29">
        <v>10030007</v>
      </c>
      <c r="B163" s="30">
        <v>42979</v>
      </c>
    </row>
    <row r="164" spans="1:2" x14ac:dyDescent="0.25">
      <c r="A164" s="29">
        <v>10030008</v>
      </c>
      <c r="B164" s="30">
        <v>42979</v>
      </c>
    </row>
    <row r="165" spans="1:2" x14ac:dyDescent="0.25">
      <c r="A165" s="29">
        <v>10030009</v>
      </c>
      <c r="B165" s="30">
        <v>43315</v>
      </c>
    </row>
    <row r="166" spans="1:2" x14ac:dyDescent="0.25">
      <c r="A166" s="29">
        <v>10030010</v>
      </c>
      <c r="B166" s="30">
        <v>43315</v>
      </c>
    </row>
    <row r="167" spans="1:2" x14ac:dyDescent="0.25">
      <c r="A167" s="29">
        <v>10030011</v>
      </c>
      <c r="B167" s="30">
        <v>43343</v>
      </c>
    </row>
    <row r="168" spans="1:2" x14ac:dyDescent="0.25">
      <c r="A168" s="29">
        <v>10030012</v>
      </c>
      <c r="B168" s="30">
        <v>44652</v>
      </c>
    </row>
    <row r="169" spans="1:2" x14ac:dyDescent="0.25">
      <c r="A169" s="29">
        <v>10030013</v>
      </c>
      <c r="B169" s="30">
        <v>44927</v>
      </c>
    </row>
    <row r="170" spans="1:2" x14ac:dyDescent="0.25">
      <c r="A170" s="29">
        <v>10030014</v>
      </c>
      <c r="B170" s="30">
        <v>44981</v>
      </c>
    </row>
    <row r="171" spans="1:2" x14ac:dyDescent="0.25">
      <c r="A171" s="29">
        <v>10030015</v>
      </c>
      <c r="B171" s="30">
        <v>44981</v>
      </c>
    </row>
    <row r="172" spans="1:2" x14ac:dyDescent="0.25">
      <c r="A172" s="29">
        <v>10030016</v>
      </c>
      <c r="B172" s="30">
        <v>44982</v>
      </c>
    </row>
    <row r="173" spans="1:2" x14ac:dyDescent="0.25">
      <c r="A173" s="29">
        <v>10030017</v>
      </c>
      <c r="B173" s="30">
        <v>44995</v>
      </c>
    </row>
    <row r="174" spans="1:2" x14ac:dyDescent="0.25">
      <c r="A174" s="29">
        <v>10030018</v>
      </c>
      <c r="B174" s="30">
        <v>44995</v>
      </c>
    </row>
    <row r="175" spans="1:2" x14ac:dyDescent="0.25">
      <c r="A175" s="29">
        <v>10030019</v>
      </c>
      <c r="B175" s="30">
        <v>44995</v>
      </c>
    </row>
    <row r="176" spans="1:2" x14ac:dyDescent="0.25">
      <c r="A176" s="29">
        <v>10030020</v>
      </c>
      <c r="B176" s="30">
        <v>44995</v>
      </c>
    </row>
    <row r="177" spans="1:2" x14ac:dyDescent="0.25">
      <c r="A177" s="29">
        <v>10030021</v>
      </c>
      <c r="B177" s="30">
        <v>44995</v>
      </c>
    </row>
    <row r="178" spans="1:2" x14ac:dyDescent="0.25">
      <c r="A178" s="29">
        <v>10030022</v>
      </c>
      <c r="B178" s="30">
        <v>44995</v>
      </c>
    </row>
    <row r="179" spans="1:2" x14ac:dyDescent="0.25">
      <c r="A179" s="29">
        <v>10030023</v>
      </c>
      <c r="B179" s="30">
        <v>44995</v>
      </c>
    </row>
    <row r="180" spans="1:2" x14ac:dyDescent="0.25">
      <c r="A180" s="29">
        <v>10030024</v>
      </c>
      <c r="B180" s="30">
        <v>44995</v>
      </c>
    </row>
    <row r="181" spans="1:2" x14ac:dyDescent="0.25">
      <c r="A181" s="29">
        <v>10030025</v>
      </c>
      <c r="B181" s="30">
        <v>45015</v>
      </c>
    </row>
    <row r="182" spans="1:2" x14ac:dyDescent="0.25">
      <c r="A182" s="29">
        <v>10030026</v>
      </c>
      <c r="B182" s="30">
        <v>45015</v>
      </c>
    </row>
    <row r="183" spans="1:2" x14ac:dyDescent="0.25">
      <c r="A183" s="29">
        <v>10030027</v>
      </c>
      <c r="B183" s="30">
        <v>45015</v>
      </c>
    </row>
    <row r="184" spans="1:2" x14ac:dyDescent="0.25">
      <c r="A184" s="29">
        <v>10030028</v>
      </c>
      <c r="B184" s="30">
        <v>45015</v>
      </c>
    </row>
    <row r="185" spans="1:2" x14ac:dyDescent="0.25">
      <c r="A185" s="29">
        <v>10030029</v>
      </c>
      <c r="B185" s="30">
        <v>45015</v>
      </c>
    </row>
    <row r="186" spans="1:2" x14ac:dyDescent="0.25">
      <c r="A186" s="29">
        <v>10030030</v>
      </c>
      <c r="B186" s="30">
        <v>45015</v>
      </c>
    </row>
    <row r="187" spans="1:2" x14ac:dyDescent="0.25">
      <c r="A187" s="29">
        <v>10030031</v>
      </c>
      <c r="B187" s="30">
        <v>45016</v>
      </c>
    </row>
    <row r="188" spans="1:2" x14ac:dyDescent="0.25">
      <c r="A188" s="29">
        <v>10030032</v>
      </c>
      <c r="B188" s="30">
        <v>45017</v>
      </c>
    </row>
    <row r="189" spans="1:2" x14ac:dyDescent="0.25">
      <c r="A189" s="29">
        <v>10030033</v>
      </c>
      <c r="B189" s="30">
        <v>45022</v>
      </c>
    </row>
    <row r="190" spans="1:2" x14ac:dyDescent="0.25">
      <c r="A190" s="29">
        <v>10030034</v>
      </c>
      <c r="B190" s="30">
        <v>45082</v>
      </c>
    </row>
    <row r="191" spans="1:2" x14ac:dyDescent="0.25">
      <c r="A191" s="29">
        <v>10030035</v>
      </c>
      <c r="B191" s="30">
        <v>45084</v>
      </c>
    </row>
    <row r="192" spans="1:2" x14ac:dyDescent="0.25">
      <c r="A192" s="29">
        <v>10030036</v>
      </c>
      <c r="B192" s="30">
        <v>45088</v>
      </c>
    </row>
    <row r="193" spans="1:2" x14ac:dyDescent="0.25">
      <c r="A193" s="29">
        <v>10030037</v>
      </c>
      <c r="B193" s="30">
        <v>45091</v>
      </c>
    </row>
    <row r="194" spans="1:2" x14ac:dyDescent="0.25">
      <c r="A194" s="29">
        <v>10030038</v>
      </c>
      <c r="B194" s="30">
        <v>45121</v>
      </c>
    </row>
    <row r="195" spans="1:2" x14ac:dyDescent="0.25">
      <c r="A195" s="29">
        <v>10030039</v>
      </c>
      <c r="B195" s="30">
        <v>45121</v>
      </c>
    </row>
    <row r="196" spans="1:2" x14ac:dyDescent="0.25">
      <c r="A196" s="29">
        <v>10030040</v>
      </c>
      <c r="B196" s="30">
        <v>45212</v>
      </c>
    </row>
    <row r="197" spans="1:2" x14ac:dyDescent="0.25">
      <c r="A197" s="29">
        <v>10030041</v>
      </c>
      <c r="B197" s="30">
        <v>45212</v>
      </c>
    </row>
    <row r="198" spans="1:2" x14ac:dyDescent="0.25">
      <c r="A198" s="29">
        <v>10030042</v>
      </c>
      <c r="B198" s="30">
        <v>45212</v>
      </c>
    </row>
    <row r="199" spans="1:2" x14ac:dyDescent="0.25">
      <c r="A199" s="29">
        <v>10030043</v>
      </c>
      <c r="B199" s="30">
        <v>45212</v>
      </c>
    </row>
    <row r="200" spans="1:2" x14ac:dyDescent="0.25">
      <c r="A200" s="29">
        <v>10030044</v>
      </c>
      <c r="B200" s="30">
        <v>45212</v>
      </c>
    </row>
    <row r="201" spans="1:2" x14ac:dyDescent="0.25">
      <c r="A201" s="29">
        <v>10030045</v>
      </c>
      <c r="B201" s="30">
        <v>45212</v>
      </c>
    </row>
    <row r="202" spans="1:2" x14ac:dyDescent="0.25">
      <c r="A202" s="29">
        <v>10030046</v>
      </c>
      <c r="B202" s="30">
        <v>45212</v>
      </c>
    </row>
    <row r="203" spans="1:2" x14ac:dyDescent="0.25">
      <c r="A203" s="29">
        <v>10030047</v>
      </c>
      <c r="B203" s="30">
        <v>45212</v>
      </c>
    </row>
    <row r="204" spans="1:2" x14ac:dyDescent="0.25">
      <c r="A204" s="29">
        <v>10030048</v>
      </c>
      <c r="B204" s="30">
        <v>45212</v>
      </c>
    </row>
    <row r="205" spans="1:2" x14ac:dyDescent="0.25">
      <c r="A205" s="29">
        <v>10030049</v>
      </c>
      <c r="B205" s="30">
        <v>45236</v>
      </c>
    </row>
    <row r="206" spans="1:2" x14ac:dyDescent="0.25">
      <c r="A206" s="29">
        <v>10030050</v>
      </c>
      <c r="B206" s="30">
        <v>45236</v>
      </c>
    </row>
    <row r="207" spans="1:2" x14ac:dyDescent="0.25">
      <c r="A207" s="29">
        <v>10030051</v>
      </c>
      <c r="B207" s="30">
        <v>45236</v>
      </c>
    </row>
    <row r="208" spans="1:2" x14ac:dyDescent="0.25">
      <c r="A208" s="29">
        <v>10030052</v>
      </c>
      <c r="B208" s="30">
        <v>45236</v>
      </c>
    </row>
    <row r="209" spans="1:2" x14ac:dyDescent="0.25">
      <c r="A209" s="29">
        <v>10030053</v>
      </c>
      <c r="B209" s="30">
        <v>45236</v>
      </c>
    </row>
    <row r="210" spans="1:2" x14ac:dyDescent="0.25">
      <c r="A210" s="29">
        <v>10030054</v>
      </c>
      <c r="B210" s="30">
        <v>45236</v>
      </c>
    </row>
    <row r="211" spans="1:2" x14ac:dyDescent="0.25">
      <c r="A211" s="29">
        <v>10030055</v>
      </c>
      <c r="B211" s="30">
        <v>45236</v>
      </c>
    </row>
    <row r="212" spans="1:2" x14ac:dyDescent="0.25">
      <c r="A212" s="29">
        <v>10030056</v>
      </c>
      <c r="B212" s="30">
        <v>45219</v>
      </c>
    </row>
    <row r="213" spans="1:2" x14ac:dyDescent="0.25">
      <c r="A213" s="29">
        <v>10030057</v>
      </c>
      <c r="B213" s="30">
        <v>45323</v>
      </c>
    </row>
    <row r="214" spans="1:2" x14ac:dyDescent="0.25">
      <c r="A214" s="29">
        <v>10030058</v>
      </c>
      <c r="B214" s="30">
        <v>45323</v>
      </c>
    </row>
    <row r="215" spans="1:2" x14ac:dyDescent="0.25">
      <c r="A215" s="29">
        <v>10030059</v>
      </c>
      <c r="B215" s="30">
        <v>45323</v>
      </c>
    </row>
    <row r="216" spans="1:2" x14ac:dyDescent="0.25">
      <c r="A216" s="29">
        <v>10030060</v>
      </c>
      <c r="B216" s="30">
        <v>45323</v>
      </c>
    </row>
    <row r="217" spans="1:2" x14ac:dyDescent="0.25">
      <c r="A217" s="29">
        <v>10030061</v>
      </c>
      <c r="B217" s="30">
        <v>45323</v>
      </c>
    </row>
    <row r="218" spans="1:2" x14ac:dyDescent="0.25">
      <c r="A218" s="29">
        <v>10220001</v>
      </c>
      <c r="B218" s="30">
        <v>42979</v>
      </c>
    </row>
    <row r="219" spans="1:2" x14ac:dyDescent="0.25">
      <c r="A219" s="29">
        <v>10230001</v>
      </c>
      <c r="B219" s="30">
        <v>42979</v>
      </c>
    </row>
    <row r="220" spans="1:2" x14ac:dyDescent="0.25">
      <c r="A220" s="29">
        <v>10240001</v>
      </c>
      <c r="B220" s="30">
        <v>42979</v>
      </c>
    </row>
    <row r="221" spans="1:2" x14ac:dyDescent="0.25">
      <c r="A221" s="29">
        <v>10250001</v>
      </c>
      <c r="B221" s="30">
        <v>42979</v>
      </c>
    </row>
    <row r="222" spans="1:2" x14ac:dyDescent="0.25">
      <c r="A222" s="29">
        <v>10260001</v>
      </c>
      <c r="B222" s="30">
        <v>42979</v>
      </c>
    </row>
    <row r="223" spans="1:2" x14ac:dyDescent="0.25">
      <c r="A223" s="29">
        <v>10270001</v>
      </c>
      <c r="B223" s="30">
        <v>42979</v>
      </c>
    </row>
    <row r="224" spans="1:2" x14ac:dyDescent="0.25">
      <c r="A224" s="29">
        <v>10460001</v>
      </c>
      <c r="B224" s="30">
        <v>42979</v>
      </c>
    </row>
    <row r="225" spans="1:2" x14ac:dyDescent="0.25">
      <c r="A225" s="29">
        <v>10460002</v>
      </c>
      <c r="B225" s="30">
        <v>44988</v>
      </c>
    </row>
    <row r="226" spans="1:2" x14ac:dyDescent="0.25">
      <c r="A226" s="29">
        <v>10460003</v>
      </c>
      <c r="B226" s="30">
        <v>44993</v>
      </c>
    </row>
    <row r="227" spans="1:2" x14ac:dyDescent="0.25">
      <c r="A227" s="29">
        <v>10500001</v>
      </c>
      <c r="B227" s="30">
        <v>42979</v>
      </c>
    </row>
    <row r="228" spans="1:2" x14ac:dyDescent="0.25">
      <c r="A228" s="29">
        <v>10500002</v>
      </c>
      <c r="B228" s="30">
        <v>44988</v>
      </c>
    </row>
    <row r="229" spans="1:2" x14ac:dyDescent="0.25">
      <c r="A229" s="29">
        <v>10030064</v>
      </c>
      <c r="B229" s="30">
        <v>45505</v>
      </c>
    </row>
    <row r="230" spans="1:2" x14ac:dyDescent="0.25">
      <c r="A230" s="29">
        <v>10030062</v>
      </c>
      <c r="B230" s="30">
        <v>45524</v>
      </c>
    </row>
    <row r="231" spans="1:2" x14ac:dyDescent="0.25">
      <c r="A231" s="29">
        <v>10030063</v>
      </c>
      <c r="B231" s="30">
        <v>45541</v>
      </c>
    </row>
    <row r="232" spans="1:2" x14ac:dyDescent="0.25">
      <c r="A232" s="29">
        <v>10030065</v>
      </c>
      <c r="B232" s="30">
        <v>45631</v>
      </c>
    </row>
    <row r="233" spans="1:2" x14ac:dyDescent="0.25">
      <c r="A233" s="29">
        <v>10030067</v>
      </c>
      <c r="B233" s="30">
        <v>45631</v>
      </c>
    </row>
    <row r="234" spans="1:2" x14ac:dyDescent="0.25">
      <c r="A234" s="29">
        <v>10030066</v>
      </c>
      <c r="B234" s="30">
        <v>45631</v>
      </c>
    </row>
    <row r="235" spans="1:2" x14ac:dyDescent="0.25">
      <c r="A235" s="29">
        <v>10030068</v>
      </c>
      <c r="B235" s="30">
        <v>45654</v>
      </c>
    </row>
    <row r="236" spans="1:2" x14ac:dyDescent="0.25">
      <c r="A236" s="29">
        <v>10030069</v>
      </c>
      <c r="B236" s="30">
        <v>45680</v>
      </c>
    </row>
    <row r="237" spans="1:2" x14ac:dyDescent="0.25">
      <c r="A237" s="29">
        <v>10030071</v>
      </c>
      <c r="B237" s="30">
        <v>45737</v>
      </c>
    </row>
    <row r="238" spans="1:2" x14ac:dyDescent="0.25">
      <c r="A238" s="29">
        <v>10030070</v>
      </c>
      <c r="B238" s="30">
        <v>45738</v>
      </c>
    </row>
    <row r="239" spans="1:2" x14ac:dyDescent="0.25">
      <c r="A239" s="29">
        <v>10030072</v>
      </c>
      <c r="B239" s="30">
        <v>45847</v>
      </c>
    </row>
    <row r="240" spans="1:2" x14ac:dyDescent="0.25">
      <c r="A240" s="29">
        <v>10030073</v>
      </c>
      <c r="B240" s="30">
        <v>45863</v>
      </c>
    </row>
    <row r="241" spans="1:2" x14ac:dyDescent="0.25">
      <c r="A241" s="29">
        <v>10030075</v>
      </c>
      <c r="B241" s="30">
        <v>45869</v>
      </c>
    </row>
    <row r="242" spans="1:2" x14ac:dyDescent="0.25">
      <c r="A242" s="29">
        <v>10030074</v>
      </c>
      <c r="B242" s="30">
        <v>45869</v>
      </c>
    </row>
    <row r="243" spans="1:2" x14ac:dyDescent="0.25">
      <c r="A243" s="29">
        <v>10030076</v>
      </c>
      <c r="B243" s="30">
        <v>45900</v>
      </c>
    </row>
    <row r="244" spans="1:2" x14ac:dyDescent="0.25">
      <c r="A244" s="29">
        <v>10030077</v>
      </c>
      <c r="B244" s="30">
        <v>45916</v>
      </c>
    </row>
    <row r="245" spans="1:2" x14ac:dyDescent="0.25">
      <c r="A245" s="29">
        <v>10030078</v>
      </c>
      <c r="B245" s="30">
        <v>45979</v>
      </c>
    </row>
    <row r="246" spans="1:2" x14ac:dyDescent="0.25">
      <c r="A246" s="29">
        <v>10030079</v>
      </c>
      <c r="B246" s="30">
        <v>45982</v>
      </c>
    </row>
    <row r="247" spans="1:2" x14ac:dyDescent="0.25">
      <c r="A247" s="29">
        <v>10030081</v>
      </c>
      <c r="B247" s="30">
        <v>45982</v>
      </c>
    </row>
    <row r="248" spans="1:2" x14ac:dyDescent="0.25">
      <c r="A248" s="29">
        <v>10030080</v>
      </c>
      <c r="B248" s="30">
        <v>45987</v>
      </c>
    </row>
    <row r="249" spans="1:2" x14ac:dyDescent="0.25">
      <c r="A249" s="29">
        <v>10030083</v>
      </c>
      <c r="B249" s="30">
        <v>46010</v>
      </c>
    </row>
    <row r="250" spans="1:2" x14ac:dyDescent="0.25">
      <c r="A250" s="29">
        <v>10030082</v>
      </c>
      <c r="B250" s="30">
        <v>46024</v>
      </c>
    </row>
    <row r="251" spans="1:2" x14ac:dyDescent="0.25">
      <c r="A251" s="29">
        <v>10030084</v>
      </c>
      <c r="B251" s="30">
        <v>46032</v>
      </c>
    </row>
    <row r="252" spans="1:2" x14ac:dyDescent="0.25">
      <c r="A252" s="29">
        <v>10030085</v>
      </c>
      <c r="B252" s="30">
        <v>46032</v>
      </c>
    </row>
    <row r="253" spans="1:2" x14ac:dyDescent="0.25">
      <c r="A253" s="29">
        <v>10030086</v>
      </c>
      <c r="B253" s="30">
        <v>46112</v>
      </c>
    </row>
    <row r="254" spans="1:2" x14ac:dyDescent="0.25">
      <c r="A254" s="29">
        <v>10030087</v>
      </c>
      <c r="B254" s="30">
        <v>46112</v>
      </c>
    </row>
    <row r="255" spans="1:2" x14ac:dyDescent="0.25">
      <c r="A255" s="29">
        <v>10030088</v>
      </c>
      <c r="B255" s="30">
        <v>46112</v>
      </c>
    </row>
    <row r="256" spans="1:2" x14ac:dyDescent="0.25">
      <c r="A256" s="29">
        <v>10030089</v>
      </c>
      <c r="B256" s="30">
        <v>46112</v>
      </c>
    </row>
    <row r="257" spans="1:2" x14ac:dyDescent="0.25">
      <c r="A257" s="29">
        <v>10030090</v>
      </c>
      <c r="B257" s="30">
        <v>46112</v>
      </c>
    </row>
    <row r="258" spans="1:2" x14ac:dyDescent="0.25">
      <c r="A258" s="29">
        <v>10650001</v>
      </c>
      <c r="B258" s="30">
        <v>46097</v>
      </c>
    </row>
    <row r="259" spans="1:2" x14ac:dyDescent="0.25">
      <c r="A259" s="29">
        <v>10650006</v>
      </c>
      <c r="B259" s="30">
        <v>46097</v>
      </c>
    </row>
    <row r="260" spans="1:2" x14ac:dyDescent="0.25">
      <c r="A260" s="29">
        <v>10650003</v>
      </c>
      <c r="B260" s="30">
        <v>46097</v>
      </c>
    </row>
    <row r="261" spans="1:2" x14ac:dyDescent="0.25">
      <c r="A261" s="29">
        <v>10650010</v>
      </c>
      <c r="B261" s="30">
        <v>46097</v>
      </c>
    </row>
    <row r="262" spans="1:2" x14ac:dyDescent="0.25">
      <c r="A262" s="29">
        <v>10650007</v>
      </c>
      <c r="B262" s="30">
        <v>46097</v>
      </c>
    </row>
    <row r="263" spans="1:2" x14ac:dyDescent="0.25">
      <c r="A263" s="29">
        <v>10650004</v>
      </c>
      <c r="B263" s="30">
        <v>46112</v>
      </c>
    </row>
    <row r="264" spans="1:2" x14ac:dyDescent="0.25">
      <c r="A264" s="29">
        <v>10650012</v>
      </c>
      <c r="B264" s="30">
        <v>46121</v>
      </c>
    </row>
    <row r="265" spans="1:2" x14ac:dyDescent="0.25">
      <c r="A265" s="29">
        <v>10650008</v>
      </c>
      <c r="B265" s="30">
        <v>46122</v>
      </c>
    </row>
    <row r="266" spans="1:2" x14ac:dyDescent="0.25">
      <c r="A266" s="29">
        <v>10650011</v>
      </c>
      <c r="B266" s="30">
        <v>46129</v>
      </c>
    </row>
    <row r="267" spans="1:2" x14ac:dyDescent="0.25">
      <c r="A267" s="29">
        <v>10650016</v>
      </c>
      <c r="B267" s="30">
        <v>46164</v>
      </c>
    </row>
    <row r="268" spans="1:2" x14ac:dyDescent="0.25">
      <c r="A268" s="29">
        <v>10650014</v>
      </c>
      <c r="B268" s="30">
        <v>46165</v>
      </c>
    </row>
    <row r="269" spans="1:2" x14ac:dyDescent="0.25">
      <c r="A269" s="29">
        <v>10650018</v>
      </c>
      <c r="B269" s="30">
        <v>46172</v>
      </c>
    </row>
    <row r="270" spans="1:2" x14ac:dyDescent="0.25">
      <c r="A270" s="29">
        <v>10650024</v>
      </c>
      <c r="B270" s="30">
        <v>46178</v>
      </c>
    </row>
    <row r="271" spans="1:2" x14ac:dyDescent="0.25">
      <c r="A271" s="29">
        <v>10650015</v>
      </c>
      <c r="B271" s="30">
        <v>46179</v>
      </c>
    </row>
    <row r="272" spans="1:2" x14ac:dyDescent="0.25">
      <c r="A272" s="29">
        <v>10650020</v>
      </c>
      <c r="B272" s="30">
        <v>46181</v>
      </c>
    </row>
    <row r="273" spans="1:2" x14ac:dyDescent="0.25">
      <c r="A273" s="29">
        <v>10650013</v>
      </c>
      <c r="B273" s="30">
        <v>46192</v>
      </c>
    </row>
    <row r="274" spans="1:2" x14ac:dyDescent="0.25">
      <c r="A274" s="29">
        <v>10140181</v>
      </c>
      <c r="B274" s="30">
        <v>45809</v>
      </c>
    </row>
    <row r="275" spans="1:2" x14ac:dyDescent="0.25">
      <c r="A275" s="29">
        <v>10140183</v>
      </c>
      <c r="B275" s="30">
        <v>45836</v>
      </c>
    </row>
    <row r="276" spans="1:2" x14ac:dyDescent="0.25">
      <c r="A276" s="29">
        <v>10600010</v>
      </c>
      <c r="B276" s="30">
        <v>46052</v>
      </c>
    </row>
    <row r="277" spans="1:2" x14ac:dyDescent="0.25">
      <c r="A277" s="29">
        <v>10600013</v>
      </c>
      <c r="B277" s="30">
        <v>46100</v>
      </c>
    </row>
    <row r="278" spans="1:2" x14ac:dyDescent="0.25">
      <c r="A278" s="29">
        <v>10600007</v>
      </c>
      <c r="B278" s="30">
        <v>46112</v>
      </c>
    </row>
    <row r="279" spans="1:2" x14ac:dyDescent="0.25">
      <c r="A279" s="29">
        <v>10070004</v>
      </c>
      <c r="B279" s="30">
        <v>44257</v>
      </c>
    </row>
    <row r="280" spans="1:2" x14ac:dyDescent="0.25">
      <c r="A280" s="29">
        <v>10070008</v>
      </c>
      <c r="B280" s="30">
        <v>44816</v>
      </c>
    </row>
    <row r="281" spans="1:2" x14ac:dyDescent="0.25">
      <c r="A281" s="29">
        <v>10070039</v>
      </c>
      <c r="B281" s="30">
        <v>45205</v>
      </c>
    </row>
    <row r="282" spans="1:2" x14ac:dyDescent="0.25">
      <c r="A282" s="29">
        <v>10070046</v>
      </c>
      <c r="B282" s="30">
        <v>45647</v>
      </c>
    </row>
    <row r="283" spans="1:2" x14ac:dyDescent="0.25">
      <c r="A283" s="29">
        <v>10070056</v>
      </c>
      <c r="B283" s="30">
        <v>45709</v>
      </c>
    </row>
    <row r="284" spans="1:2" x14ac:dyDescent="0.25">
      <c r="A284" s="29">
        <v>10070059</v>
      </c>
      <c r="B284" s="30">
        <v>45726</v>
      </c>
    </row>
    <row r="285" spans="1:2" x14ac:dyDescent="0.25">
      <c r="A285" s="29">
        <v>10070060</v>
      </c>
      <c r="B285" s="30">
        <v>45735</v>
      </c>
    </row>
    <row r="286" spans="1:2" x14ac:dyDescent="0.25">
      <c r="A286" s="29">
        <v>10070064</v>
      </c>
      <c r="B286" s="30">
        <v>45770</v>
      </c>
    </row>
    <row r="287" spans="1:2" x14ac:dyDescent="0.25">
      <c r="A287" s="29">
        <v>10560001</v>
      </c>
      <c r="B287" s="30">
        <v>45828</v>
      </c>
    </row>
    <row r="288" spans="1:2" x14ac:dyDescent="0.25">
      <c r="A288" s="29">
        <v>10560002</v>
      </c>
      <c r="B288" s="30">
        <v>45869</v>
      </c>
    </row>
    <row r="289" spans="1:2" x14ac:dyDescent="0.25">
      <c r="A289" s="29">
        <v>10560003</v>
      </c>
      <c r="B289" s="30">
        <v>45869</v>
      </c>
    </row>
    <row r="290" spans="1:2" x14ac:dyDescent="0.25">
      <c r="A290" s="29">
        <v>10560005</v>
      </c>
      <c r="B290" s="30">
        <v>45893</v>
      </c>
    </row>
    <row r="291" spans="1:2" x14ac:dyDescent="0.25">
      <c r="A291" s="29">
        <v>10560006</v>
      </c>
      <c r="B291" s="30">
        <v>45894</v>
      </c>
    </row>
    <row r="292" spans="1:2" x14ac:dyDescent="0.25">
      <c r="A292" s="29">
        <v>10560004</v>
      </c>
      <c r="B292" s="30">
        <v>45894</v>
      </c>
    </row>
    <row r="293" spans="1:2" x14ac:dyDescent="0.25">
      <c r="A293" s="29">
        <v>10560007</v>
      </c>
      <c r="B293" s="30">
        <v>45894</v>
      </c>
    </row>
    <row r="294" spans="1:2" x14ac:dyDescent="0.25">
      <c r="A294" s="29">
        <v>10560008</v>
      </c>
      <c r="B294" s="30">
        <v>45902</v>
      </c>
    </row>
    <row r="295" spans="1:2" x14ac:dyDescent="0.25">
      <c r="A295" s="29">
        <v>10560010</v>
      </c>
      <c r="B295" s="30">
        <v>45910</v>
      </c>
    </row>
    <row r="296" spans="1:2" x14ac:dyDescent="0.25">
      <c r="A296" s="29">
        <v>10560015</v>
      </c>
      <c r="B296" s="30">
        <v>45966</v>
      </c>
    </row>
    <row r="297" spans="1:2" x14ac:dyDescent="0.25">
      <c r="A297" s="29">
        <v>10560021</v>
      </c>
      <c r="B297" s="30">
        <v>45972</v>
      </c>
    </row>
    <row r="298" spans="1:2" x14ac:dyDescent="0.25">
      <c r="A298" s="29">
        <v>10560020</v>
      </c>
      <c r="B298" s="30">
        <v>45973</v>
      </c>
    </row>
    <row r="299" spans="1:2" x14ac:dyDescent="0.25">
      <c r="A299" s="29">
        <v>10560019</v>
      </c>
      <c r="B299" s="30">
        <v>45973</v>
      </c>
    </row>
    <row r="300" spans="1:2" x14ac:dyDescent="0.25">
      <c r="A300" s="29">
        <v>10560017</v>
      </c>
      <c r="B300" s="30">
        <v>45974</v>
      </c>
    </row>
    <row r="301" spans="1:2" x14ac:dyDescent="0.25">
      <c r="A301" s="29">
        <v>10560018</v>
      </c>
      <c r="B301" s="30">
        <v>45974</v>
      </c>
    </row>
    <row r="302" spans="1:2" x14ac:dyDescent="0.25">
      <c r="A302" s="29">
        <v>10560011</v>
      </c>
      <c r="B302" s="30">
        <v>45989</v>
      </c>
    </row>
    <row r="303" spans="1:2" x14ac:dyDescent="0.25">
      <c r="A303" s="29">
        <v>10560012</v>
      </c>
      <c r="B303" s="30">
        <v>45989</v>
      </c>
    </row>
    <row r="304" spans="1:2" x14ac:dyDescent="0.25">
      <c r="A304" s="29">
        <v>10560013</v>
      </c>
      <c r="B304" s="30">
        <v>45992</v>
      </c>
    </row>
    <row r="305" spans="1:2" x14ac:dyDescent="0.25">
      <c r="A305" s="29">
        <v>10560016</v>
      </c>
      <c r="B305" s="30">
        <v>45999</v>
      </c>
    </row>
    <row r="306" spans="1:2" x14ac:dyDescent="0.25">
      <c r="A306" s="29">
        <v>10560025</v>
      </c>
      <c r="B306" s="30">
        <v>46020</v>
      </c>
    </row>
    <row r="307" spans="1:2" x14ac:dyDescent="0.25">
      <c r="A307" s="29">
        <v>10560026</v>
      </c>
      <c r="B307" s="30">
        <v>46037</v>
      </c>
    </row>
    <row r="308" spans="1:2" x14ac:dyDescent="0.25">
      <c r="A308" s="29">
        <v>10560022</v>
      </c>
      <c r="B308" s="30">
        <v>46037</v>
      </c>
    </row>
    <row r="309" spans="1:2" x14ac:dyDescent="0.25">
      <c r="A309" s="29">
        <v>10560009</v>
      </c>
      <c r="B309" s="30">
        <v>46043</v>
      </c>
    </row>
    <row r="310" spans="1:2" x14ac:dyDescent="0.25">
      <c r="A310" s="29">
        <v>10560027</v>
      </c>
      <c r="B310" s="30">
        <v>46065</v>
      </c>
    </row>
    <row r="311" spans="1:2" x14ac:dyDescent="0.25">
      <c r="A311" s="29">
        <v>10560034</v>
      </c>
      <c r="B311" s="30">
        <v>46066</v>
      </c>
    </row>
    <row r="312" spans="1:2" x14ac:dyDescent="0.25">
      <c r="A312" s="29">
        <v>10560032</v>
      </c>
      <c r="B312" s="30">
        <v>46066</v>
      </c>
    </row>
    <row r="313" spans="1:2" x14ac:dyDescent="0.25">
      <c r="A313" s="29">
        <v>10560029</v>
      </c>
      <c r="B313" s="30">
        <v>46088</v>
      </c>
    </row>
    <row r="314" spans="1:2" x14ac:dyDescent="0.25">
      <c r="A314" s="29">
        <v>10560028</v>
      </c>
      <c r="B314" s="30">
        <v>46095</v>
      </c>
    </row>
    <row r="315" spans="1:2" x14ac:dyDescent="0.25">
      <c r="A315" s="29">
        <v>10560031</v>
      </c>
      <c r="B315" s="30">
        <v>46097</v>
      </c>
    </row>
    <row r="316" spans="1:2" x14ac:dyDescent="0.25">
      <c r="A316" s="29">
        <v>10560039</v>
      </c>
      <c r="B316" s="30">
        <v>46101</v>
      </c>
    </row>
    <row r="317" spans="1:2" x14ac:dyDescent="0.25">
      <c r="A317" s="29">
        <v>10560033</v>
      </c>
      <c r="B317" s="30">
        <v>46112</v>
      </c>
    </row>
    <row r="318" spans="1:2" x14ac:dyDescent="0.25">
      <c r="A318" s="29">
        <v>10560037</v>
      </c>
      <c r="B318" s="30">
        <v>46112</v>
      </c>
    </row>
    <row r="319" spans="1:2" x14ac:dyDescent="0.25">
      <c r="A319" s="29">
        <v>10560036</v>
      </c>
      <c r="B319" s="30">
        <v>46112</v>
      </c>
    </row>
    <row r="320" spans="1:2" x14ac:dyDescent="0.25">
      <c r="A320" s="29">
        <v>10560030</v>
      </c>
      <c r="B320" s="30">
        <v>46112</v>
      </c>
    </row>
    <row r="321" spans="1:2" x14ac:dyDescent="0.25">
      <c r="A321" s="29">
        <v>10560035</v>
      </c>
      <c r="B321" s="30">
        <v>46119</v>
      </c>
    </row>
    <row r="322" spans="1:2" x14ac:dyDescent="0.25">
      <c r="A322" s="29">
        <v>10560041</v>
      </c>
      <c r="B322" s="30">
        <v>46172</v>
      </c>
    </row>
    <row r="323" spans="1:2" x14ac:dyDescent="0.25">
      <c r="A323" s="29">
        <v>10560040</v>
      </c>
      <c r="B323" s="30">
        <v>46183</v>
      </c>
    </row>
    <row r="324" spans="1:2" x14ac:dyDescent="0.25">
      <c r="A324" s="29">
        <v>10560043</v>
      </c>
      <c r="B324" s="30">
        <v>46232</v>
      </c>
    </row>
    <row r="325" spans="1:2" x14ac:dyDescent="0.25">
      <c r="A325" s="29">
        <v>10560042</v>
      </c>
      <c r="B325" s="30">
        <v>46233</v>
      </c>
    </row>
    <row r="326" spans="1:2" x14ac:dyDescent="0.25">
      <c r="A326" s="29">
        <v>10560044</v>
      </c>
      <c r="B326" s="30">
        <v>46233</v>
      </c>
    </row>
    <row r="327" spans="1:2" x14ac:dyDescent="0.25">
      <c r="A327" s="29">
        <v>10120001</v>
      </c>
      <c r="B327" s="30">
        <v>43622</v>
      </c>
    </row>
    <row r="328" spans="1:2" x14ac:dyDescent="0.25">
      <c r="A328" s="29">
        <v>10120002</v>
      </c>
      <c r="B328" s="30">
        <v>43622</v>
      </c>
    </row>
    <row r="329" spans="1:2" x14ac:dyDescent="0.25">
      <c r="A329" s="29">
        <v>10120003</v>
      </c>
      <c r="B329" s="30">
        <v>43626</v>
      </c>
    </row>
    <row r="330" spans="1:2" x14ac:dyDescent="0.25">
      <c r="A330" s="29">
        <v>10120004</v>
      </c>
      <c r="B330" s="30">
        <v>43671</v>
      </c>
    </row>
    <row r="331" spans="1:2" x14ac:dyDescent="0.25">
      <c r="A331" s="29">
        <v>10120005</v>
      </c>
      <c r="B331" s="30">
        <v>43678</v>
      </c>
    </row>
    <row r="332" spans="1:2" x14ac:dyDescent="0.25">
      <c r="A332" s="29">
        <v>10120006</v>
      </c>
      <c r="B332" s="30">
        <v>43731</v>
      </c>
    </row>
    <row r="333" spans="1:2" x14ac:dyDescent="0.25">
      <c r="A333" s="29">
        <v>10120007</v>
      </c>
      <c r="B333" s="30">
        <v>43731</v>
      </c>
    </row>
    <row r="334" spans="1:2" x14ac:dyDescent="0.25">
      <c r="A334" s="29">
        <v>10120008</v>
      </c>
      <c r="B334" s="30">
        <v>43756</v>
      </c>
    </row>
    <row r="335" spans="1:2" x14ac:dyDescent="0.25">
      <c r="A335" s="29">
        <v>10120009</v>
      </c>
      <c r="B335" s="30">
        <v>43889</v>
      </c>
    </row>
    <row r="336" spans="1:2" x14ac:dyDescent="0.25">
      <c r="A336" s="29">
        <v>10120010</v>
      </c>
      <c r="B336" s="30">
        <v>43903</v>
      </c>
    </row>
    <row r="337" spans="1:2" x14ac:dyDescent="0.25">
      <c r="A337" s="29">
        <v>10120011</v>
      </c>
      <c r="B337" s="30">
        <v>43917</v>
      </c>
    </row>
    <row r="338" spans="1:2" x14ac:dyDescent="0.25">
      <c r="A338" s="29">
        <v>10120012</v>
      </c>
      <c r="B338" s="30">
        <v>43924</v>
      </c>
    </row>
    <row r="339" spans="1:2" x14ac:dyDescent="0.25">
      <c r="A339" s="29">
        <v>10120013</v>
      </c>
      <c r="B339" s="30">
        <v>43935</v>
      </c>
    </row>
    <row r="340" spans="1:2" x14ac:dyDescent="0.25">
      <c r="A340" s="29">
        <v>10120014</v>
      </c>
      <c r="B340" s="30">
        <v>43936</v>
      </c>
    </row>
    <row r="341" spans="1:2" x14ac:dyDescent="0.25">
      <c r="A341" s="29">
        <v>10120015</v>
      </c>
      <c r="B341" s="30">
        <v>43942</v>
      </c>
    </row>
    <row r="342" spans="1:2" x14ac:dyDescent="0.25">
      <c r="A342" s="29">
        <v>10120016</v>
      </c>
      <c r="B342" s="30">
        <v>44120</v>
      </c>
    </row>
    <row r="343" spans="1:2" x14ac:dyDescent="0.25">
      <c r="A343" s="29">
        <v>10120017</v>
      </c>
      <c r="B343" s="30">
        <v>44135</v>
      </c>
    </row>
    <row r="344" spans="1:2" x14ac:dyDescent="0.25">
      <c r="A344" s="29">
        <v>10120018</v>
      </c>
      <c r="B344" s="30">
        <v>44162</v>
      </c>
    </row>
    <row r="345" spans="1:2" x14ac:dyDescent="0.25">
      <c r="A345" s="29">
        <v>10120019</v>
      </c>
      <c r="B345" s="30">
        <v>44165</v>
      </c>
    </row>
    <row r="346" spans="1:2" x14ac:dyDescent="0.25">
      <c r="A346" s="29">
        <v>10120020</v>
      </c>
      <c r="B346" s="30">
        <v>44184</v>
      </c>
    </row>
    <row r="347" spans="1:2" x14ac:dyDescent="0.25">
      <c r="A347" s="29">
        <v>10120021</v>
      </c>
      <c r="B347" s="30">
        <v>44184</v>
      </c>
    </row>
    <row r="348" spans="1:2" x14ac:dyDescent="0.25">
      <c r="A348" s="29">
        <v>10120022</v>
      </c>
      <c r="B348" s="30">
        <v>44184</v>
      </c>
    </row>
    <row r="349" spans="1:2" x14ac:dyDescent="0.25">
      <c r="A349" s="29">
        <v>10120023</v>
      </c>
      <c r="B349" s="30">
        <v>44190</v>
      </c>
    </row>
    <row r="350" spans="1:2" x14ac:dyDescent="0.25">
      <c r="A350" s="29">
        <v>10120024</v>
      </c>
      <c r="B350" s="30">
        <v>44190</v>
      </c>
    </row>
    <row r="351" spans="1:2" x14ac:dyDescent="0.25">
      <c r="A351" s="29">
        <v>10120025</v>
      </c>
      <c r="B351" s="30">
        <v>44453</v>
      </c>
    </row>
    <row r="352" spans="1:2" x14ac:dyDescent="0.25">
      <c r="A352" s="29">
        <v>10120026</v>
      </c>
      <c r="B352" s="30">
        <v>44571</v>
      </c>
    </row>
    <row r="353" spans="1:2" x14ac:dyDescent="0.25">
      <c r="A353" s="29">
        <v>10120027</v>
      </c>
      <c r="B353" s="30">
        <v>44652</v>
      </c>
    </row>
    <row r="354" spans="1:2" x14ac:dyDescent="0.25">
      <c r="A354" s="29">
        <v>10120028</v>
      </c>
      <c r="B354" s="30">
        <v>44697</v>
      </c>
    </row>
    <row r="355" spans="1:2" x14ac:dyDescent="0.25">
      <c r="A355" s="29">
        <v>10120029</v>
      </c>
      <c r="B355" s="30">
        <v>44729</v>
      </c>
    </row>
    <row r="356" spans="1:2" x14ac:dyDescent="0.25">
      <c r="A356" s="29">
        <v>10120030</v>
      </c>
      <c r="B356" s="30">
        <v>44776</v>
      </c>
    </row>
    <row r="357" spans="1:2" x14ac:dyDescent="0.25">
      <c r="A357" s="29">
        <v>10120031</v>
      </c>
      <c r="B357" s="30">
        <v>44835</v>
      </c>
    </row>
    <row r="358" spans="1:2" x14ac:dyDescent="0.25">
      <c r="A358" s="29">
        <v>10120032</v>
      </c>
      <c r="B358" s="30">
        <v>44928</v>
      </c>
    </row>
    <row r="359" spans="1:2" x14ac:dyDescent="0.25">
      <c r="A359" s="29">
        <v>10120033</v>
      </c>
      <c r="B359" s="30">
        <v>44942</v>
      </c>
    </row>
    <row r="360" spans="1:2" x14ac:dyDescent="0.25">
      <c r="A360" s="29">
        <v>10120034</v>
      </c>
      <c r="B360" s="30">
        <v>44942</v>
      </c>
    </row>
    <row r="361" spans="1:2" x14ac:dyDescent="0.25">
      <c r="A361" s="29">
        <v>10120035</v>
      </c>
      <c r="B361" s="30">
        <v>44943</v>
      </c>
    </row>
    <row r="362" spans="1:2" x14ac:dyDescent="0.25">
      <c r="A362" s="29">
        <v>10120036</v>
      </c>
      <c r="B362" s="30">
        <v>44946</v>
      </c>
    </row>
    <row r="363" spans="1:2" x14ac:dyDescent="0.25">
      <c r="A363" s="29">
        <v>10120037</v>
      </c>
      <c r="B363" s="30">
        <v>44962</v>
      </c>
    </row>
    <row r="364" spans="1:2" x14ac:dyDescent="0.25">
      <c r="A364" s="29">
        <v>10120038</v>
      </c>
      <c r="B364" s="30">
        <v>44981</v>
      </c>
    </row>
    <row r="365" spans="1:2" x14ac:dyDescent="0.25">
      <c r="A365" s="29">
        <v>10120039</v>
      </c>
      <c r="B365" s="30">
        <v>44985</v>
      </c>
    </row>
    <row r="366" spans="1:2" x14ac:dyDescent="0.25">
      <c r="A366" s="29">
        <v>10120040</v>
      </c>
      <c r="B366" s="30">
        <v>45030</v>
      </c>
    </row>
    <row r="367" spans="1:2" x14ac:dyDescent="0.25">
      <c r="A367" s="29">
        <v>10120041</v>
      </c>
      <c r="B367" s="30">
        <v>45047</v>
      </c>
    </row>
    <row r="368" spans="1:2" x14ac:dyDescent="0.25">
      <c r="A368" s="29">
        <v>10120042</v>
      </c>
      <c r="B368" s="30">
        <v>45080</v>
      </c>
    </row>
    <row r="369" spans="1:2" x14ac:dyDescent="0.25">
      <c r="A369" s="29">
        <v>10120043</v>
      </c>
      <c r="B369" s="30">
        <v>45126</v>
      </c>
    </row>
    <row r="370" spans="1:2" x14ac:dyDescent="0.25">
      <c r="A370" s="29">
        <v>10120044</v>
      </c>
      <c r="B370" s="30">
        <v>45141</v>
      </c>
    </row>
    <row r="371" spans="1:2" x14ac:dyDescent="0.25">
      <c r="A371" s="29">
        <v>10120045</v>
      </c>
      <c r="B371" s="30">
        <v>45141</v>
      </c>
    </row>
    <row r="372" spans="1:2" x14ac:dyDescent="0.25">
      <c r="A372" s="29">
        <v>10120046</v>
      </c>
      <c r="B372" s="30">
        <v>45142</v>
      </c>
    </row>
    <row r="373" spans="1:2" x14ac:dyDescent="0.25">
      <c r="A373" s="29">
        <v>10120047</v>
      </c>
      <c r="B373" s="30">
        <v>44915</v>
      </c>
    </row>
    <row r="374" spans="1:2" x14ac:dyDescent="0.25">
      <c r="A374" s="29">
        <v>10120048</v>
      </c>
      <c r="B374" s="30">
        <v>44866</v>
      </c>
    </row>
    <row r="375" spans="1:2" x14ac:dyDescent="0.25">
      <c r="A375" s="29">
        <v>10120049</v>
      </c>
      <c r="B375" s="30">
        <v>45058</v>
      </c>
    </row>
    <row r="376" spans="1:2" x14ac:dyDescent="0.25">
      <c r="A376" s="29">
        <v>10120050</v>
      </c>
      <c r="B376" s="30">
        <v>44957</v>
      </c>
    </row>
    <row r="377" spans="1:2" x14ac:dyDescent="0.25">
      <c r="A377" s="29">
        <v>10120051</v>
      </c>
      <c r="B377" s="30">
        <v>45226</v>
      </c>
    </row>
    <row r="378" spans="1:2" x14ac:dyDescent="0.25">
      <c r="A378" s="29">
        <v>10120052</v>
      </c>
      <c r="B378" s="30">
        <v>45240</v>
      </c>
    </row>
    <row r="379" spans="1:2" x14ac:dyDescent="0.25">
      <c r="A379" s="29">
        <v>10120053</v>
      </c>
      <c r="B379" s="30">
        <v>45226</v>
      </c>
    </row>
    <row r="380" spans="1:2" x14ac:dyDescent="0.25">
      <c r="A380" s="29">
        <v>10120054</v>
      </c>
      <c r="B380" s="30">
        <v>45226</v>
      </c>
    </row>
    <row r="381" spans="1:2" x14ac:dyDescent="0.25">
      <c r="A381" s="29">
        <v>10120055</v>
      </c>
      <c r="B381" s="30">
        <v>45226</v>
      </c>
    </row>
    <row r="382" spans="1:2" x14ac:dyDescent="0.25">
      <c r="A382" s="29">
        <v>10120056</v>
      </c>
      <c r="B382" s="30">
        <v>45226</v>
      </c>
    </row>
    <row r="383" spans="1:2" x14ac:dyDescent="0.25">
      <c r="A383" s="29">
        <v>10120057</v>
      </c>
      <c r="B383" s="30">
        <v>45226</v>
      </c>
    </row>
    <row r="384" spans="1:2" x14ac:dyDescent="0.25">
      <c r="A384" s="29">
        <v>10120058</v>
      </c>
      <c r="B384" s="30">
        <v>45234</v>
      </c>
    </row>
    <row r="385" spans="1:2" x14ac:dyDescent="0.25">
      <c r="A385" s="29">
        <v>10120059</v>
      </c>
      <c r="B385" s="30">
        <v>45219</v>
      </c>
    </row>
    <row r="386" spans="1:2" x14ac:dyDescent="0.25">
      <c r="A386" s="29">
        <v>10120060</v>
      </c>
      <c r="B386" s="30">
        <v>45260</v>
      </c>
    </row>
    <row r="387" spans="1:2" x14ac:dyDescent="0.25">
      <c r="A387" s="29">
        <v>10120061</v>
      </c>
      <c r="B387" s="30">
        <v>45260</v>
      </c>
    </row>
    <row r="388" spans="1:2" x14ac:dyDescent="0.25">
      <c r="A388" s="29">
        <v>10120062</v>
      </c>
      <c r="B388" s="30">
        <v>45212</v>
      </c>
    </row>
    <row r="389" spans="1:2" x14ac:dyDescent="0.25">
      <c r="A389" s="29">
        <v>10120065</v>
      </c>
      <c r="B389" s="30">
        <v>45323</v>
      </c>
    </row>
    <row r="390" spans="1:2" x14ac:dyDescent="0.25">
      <c r="A390" s="29">
        <v>10120066</v>
      </c>
      <c r="B390" s="30">
        <v>45323</v>
      </c>
    </row>
    <row r="391" spans="1:2" x14ac:dyDescent="0.25">
      <c r="A391" s="29">
        <v>10120069</v>
      </c>
      <c r="B391" s="30">
        <v>45393</v>
      </c>
    </row>
    <row r="392" spans="1:2" x14ac:dyDescent="0.25">
      <c r="A392" s="29">
        <v>10120070</v>
      </c>
      <c r="B392" s="30">
        <v>44659</v>
      </c>
    </row>
    <row r="393" spans="1:2" x14ac:dyDescent="0.25">
      <c r="A393" s="29">
        <v>10120067</v>
      </c>
      <c r="B393" s="30">
        <v>45403</v>
      </c>
    </row>
    <row r="394" spans="1:2" x14ac:dyDescent="0.25">
      <c r="A394" s="29">
        <v>10120071</v>
      </c>
      <c r="B394" s="30">
        <v>45413</v>
      </c>
    </row>
    <row r="395" spans="1:2" x14ac:dyDescent="0.25">
      <c r="A395" s="29">
        <v>10120076</v>
      </c>
      <c r="B395" s="30">
        <v>45414</v>
      </c>
    </row>
    <row r="396" spans="1:2" x14ac:dyDescent="0.25">
      <c r="A396" s="29">
        <v>10120077</v>
      </c>
      <c r="B396" s="30">
        <v>45414</v>
      </c>
    </row>
    <row r="397" spans="1:2" x14ac:dyDescent="0.25">
      <c r="A397" s="29">
        <v>10120072</v>
      </c>
      <c r="B397" s="30">
        <v>45408</v>
      </c>
    </row>
    <row r="398" spans="1:2" x14ac:dyDescent="0.25">
      <c r="A398" s="29">
        <v>10120075</v>
      </c>
      <c r="B398" s="30">
        <v>45414</v>
      </c>
    </row>
    <row r="399" spans="1:2" x14ac:dyDescent="0.25">
      <c r="A399" s="29">
        <v>10120073</v>
      </c>
      <c r="B399" s="30">
        <v>45408</v>
      </c>
    </row>
    <row r="400" spans="1:2" x14ac:dyDescent="0.25">
      <c r="A400" s="29">
        <v>10120079</v>
      </c>
      <c r="B400" s="30">
        <v>45440</v>
      </c>
    </row>
    <row r="401" spans="1:2" x14ac:dyDescent="0.25">
      <c r="A401" s="29">
        <v>10120080</v>
      </c>
      <c r="B401" s="30">
        <v>45462</v>
      </c>
    </row>
    <row r="402" spans="1:2" x14ac:dyDescent="0.25">
      <c r="A402" s="29">
        <v>10120081</v>
      </c>
      <c r="B402" s="30">
        <v>45526</v>
      </c>
    </row>
    <row r="403" spans="1:2" x14ac:dyDescent="0.25">
      <c r="A403" s="29">
        <v>10120086</v>
      </c>
      <c r="B403" s="30">
        <v>45529</v>
      </c>
    </row>
    <row r="404" spans="1:2" x14ac:dyDescent="0.25">
      <c r="A404" s="29">
        <v>10120085</v>
      </c>
      <c r="B404" s="30">
        <v>45529</v>
      </c>
    </row>
    <row r="405" spans="1:2" x14ac:dyDescent="0.25">
      <c r="A405" s="29">
        <v>10120083</v>
      </c>
      <c r="B405" s="30">
        <v>45530</v>
      </c>
    </row>
    <row r="406" spans="1:2" x14ac:dyDescent="0.25">
      <c r="A406" s="29">
        <v>10120084</v>
      </c>
      <c r="B406" s="30">
        <v>45536</v>
      </c>
    </row>
    <row r="407" spans="1:2" x14ac:dyDescent="0.25">
      <c r="A407" s="29">
        <v>10120087</v>
      </c>
      <c r="B407" s="30">
        <v>45565</v>
      </c>
    </row>
    <row r="408" spans="1:2" x14ac:dyDescent="0.25">
      <c r="A408" s="29">
        <v>10120088</v>
      </c>
      <c r="B408" s="30">
        <v>45597</v>
      </c>
    </row>
    <row r="409" spans="1:2" x14ac:dyDescent="0.25">
      <c r="A409" s="29">
        <v>10120090</v>
      </c>
      <c r="B409" s="30">
        <v>45631</v>
      </c>
    </row>
    <row r="410" spans="1:2" x14ac:dyDescent="0.25">
      <c r="A410" s="29">
        <v>10120089</v>
      </c>
      <c r="B410" s="30">
        <v>45649</v>
      </c>
    </row>
    <row r="411" spans="1:2" x14ac:dyDescent="0.25">
      <c r="A411" s="29">
        <v>10120092</v>
      </c>
      <c r="B411" s="30">
        <v>45652</v>
      </c>
    </row>
    <row r="412" spans="1:2" x14ac:dyDescent="0.25">
      <c r="A412" s="29">
        <v>10120091</v>
      </c>
      <c r="B412" s="30">
        <v>45653</v>
      </c>
    </row>
    <row r="413" spans="1:2" x14ac:dyDescent="0.25">
      <c r="A413" s="29">
        <v>10120096</v>
      </c>
      <c r="B413" s="30">
        <v>45664</v>
      </c>
    </row>
    <row r="414" spans="1:2" x14ac:dyDescent="0.25">
      <c r="A414" s="29">
        <v>10120094</v>
      </c>
      <c r="B414" s="30">
        <v>45666</v>
      </c>
    </row>
    <row r="415" spans="1:2" x14ac:dyDescent="0.25">
      <c r="A415" s="29">
        <v>10120095</v>
      </c>
      <c r="B415" s="30">
        <v>45705</v>
      </c>
    </row>
    <row r="416" spans="1:2" x14ac:dyDescent="0.25">
      <c r="A416" s="29">
        <v>10120097</v>
      </c>
      <c r="B416" s="30">
        <v>45707</v>
      </c>
    </row>
    <row r="417" spans="1:2" x14ac:dyDescent="0.25">
      <c r="A417" s="29">
        <v>10120099</v>
      </c>
      <c r="B417" s="30">
        <v>45715</v>
      </c>
    </row>
    <row r="418" spans="1:2" x14ac:dyDescent="0.25">
      <c r="A418" s="29">
        <v>10120102</v>
      </c>
      <c r="B418" s="30">
        <v>45732</v>
      </c>
    </row>
    <row r="419" spans="1:2" x14ac:dyDescent="0.25">
      <c r="A419" s="29">
        <v>10120103</v>
      </c>
      <c r="B419" s="30">
        <v>45743</v>
      </c>
    </row>
    <row r="420" spans="1:2" x14ac:dyDescent="0.25">
      <c r="A420" s="29">
        <v>10120101</v>
      </c>
      <c r="B420" s="30">
        <v>45743</v>
      </c>
    </row>
    <row r="421" spans="1:2" x14ac:dyDescent="0.25">
      <c r="A421" s="29">
        <v>10120098</v>
      </c>
      <c r="B421" s="30">
        <v>45745</v>
      </c>
    </row>
    <row r="422" spans="1:2" x14ac:dyDescent="0.25">
      <c r="A422" s="29">
        <v>10120100</v>
      </c>
      <c r="B422" s="30">
        <v>45745</v>
      </c>
    </row>
    <row r="423" spans="1:2" x14ac:dyDescent="0.25">
      <c r="A423" s="29">
        <v>10520006</v>
      </c>
      <c r="B423" s="30">
        <v>45763</v>
      </c>
    </row>
    <row r="424" spans="1:2" x14ac:dyDescent="0.25">
      <c r="A424" s="29">
        <v>10120105</v>
      </c>
      <c r="B424" s="30">
        <v>45778</v>
      </c>
    </row>
    <row r="425" spans="1:2" x14ac:dyDescent="0.25">
      <c r="A425" s="29">
        <v>10120106</v>
      </c>
      <c r="B425" s="30">
        <v>45783</v>
      </c>
    </row>
    <row r="426" spans="1:2" x14ac:dyDescent="0.25">
      <c r="A426" s="29">
        <v>10120104</v>
      </c>
      <c r="B426" s="30">
        <v>45793</v>
      </c>
    </row>
    <row r="427" spans="1:2" x14ac:dyDescent="0.25">
      <c r="A427" s="29">
        <v>10120107</v>
      </c>
      <c r="B427" s="30">
        <v>45798</v>
      </c>
    </row>
    <row r="428" spans="1:2" x14ac:dyDescent="0.25">
      <c r="A428" s="29">
        <v>10120109</v>
      </c>
      <c r="B428" s="30">
        <v>45829</v>
      </c>
    </row>
    <row r="429" spans="1:2" x14ac:dyDescent="0.25">
      <c r="A429" s="29">
        <v>10120110</v>
      </c>
      <c r="B429" s="30">
        <v>45849</v>
      </c>
    </row>
    <row r="430" spans="1:2" x14ac:dyDescent="0.25">
      <c r="A430" s="29">
        <v>10120112</v>
      </c>
      <c r="B430" s="30">
        <v>45863</v>
      </c>
    </row>
    <row r="431" spans="1:2" x14ac:dyDescent="0.25">
      <c r="A431" s="29">
        <v>10120108</v>
      </c>
      <c r="B431" s="30">
        <v>45869</v>
      </c>
    </row>
    <row r="432" spans="1:2" x14ac:dyDescent="0.25">
      <c r="A432" s="29">
        <v>10120111</v>
      </c>
      <c r="B432" s="30">
        <v>45870</v>
      </c>
    </row>
    <row r="433" spans="1:2" x14ac:dyDescent="0.25">
      <c r="A433" s="29">
        <v>10120114</v>
      </c>
      <c r="B433" s="30">
        <v>45939</v>
      </c>
    </row>
    <row r="434" spans="1:2" x14ac:dyDescent="0.25">
      <c r="A434" s="29">
        <v>10120115</v>
      </c>
      <c r="B434" s="30">
        <v>45943</v>
      </c>
    </row>
    <row r="435" spans="1:2" x14ac:dyDescent="0.25">
      <c r="A435" s="29">
        <v>10120113</v>
      </c>
      <c r="B435" s="30">
        <v>45986</v>
      </c>
    </row>
    <row r="436" spans="1:2" x14ac:dyDescent="0.25">
      <c r="A436" s="29">
        <v>10120116</v>
      </c>
      <c r="B436" s="30">
        <v>45992</v>
      </c>
    </row>
    <row r="437" spans="1:2" x14ac:dyDescent="0.25">
      <c r="A437" s="29">
        <v>10120117</v>
      </c>
      <c r="B437" s="30">
        <v>46010</v>
      </c>
    </row>
    <row r="438" spans="1:2" x14ac:dyDescent="0.25">
      <c r="A438" s="29">
        <v>10120119</v>
      </c>
      <c r="B438" s="30">
        <v>46021</v>
      </c>
    </row>
    <row r="439" spans="1:2" x14ac:dyDescent="0.25">
      <c r="A439" s="29">
        <v>10120121</v>
      </c>
      <c r="B439" s="30">
        <v>46029</v>
      </c>
    </row>
    <row r="440" spans="1:2" x14ac:dyDescent="0.25">
      <c r="A440" s="29">
        <v>10120122</v>
      </c>
      <c r="B440" s="30">
        <v>46045</v>
      </c>
    </row>
    <row r="441" spans="1:2" x14ac:dyDescent="0.25">
      <c r="A441" s="29">
        <v>10120120</v>
      </c>
      <c r="B441" s="30">
        <v>46082</v>
      </c>
    </row>
    <row r="442" spans="1:2" x14ac:dyDescent="0.25">
      <c r="A442" s="29">
        <v>10120123</v>
      </c>
      <c r="B442" s="30">
        <v>46083</v>
      </c>
    </row>
    <row r="443" spans="1:2" x14ac:dyDescent="0.25">
      <c r="A443" s="29">
        <v>10120118</v>
      </c>
      <c r="B443" s="30">
        <v>46112</v>
      </c>
    </row>
    <row r="444" spans="1:2" x14ac:dyDescent="0.25">
      <c r="A444" s="29">
        <v>10120124</v>
      </c>
      <c r="B444" s="30">
        <v>46194</v>
      </c>
    </row>
    <row r="445" spans="1:2" x14ac:dyDescent="0.25">
      <c r="A445" s="29">
        <v>10140001</v>
      </c>
      <c r="B445" s="30">
        <v>44664</v>
      </c>
    </row>
    <row r="446" spans="1:2" x14ac:dyDescent="0.25">
      <c r="A446" s="29">
        <v>10140002</v>
      </c>
      <c r="B446" s="30">
        <v>44664</v>
      </c>
    </row>
    <row r="447" spans="1:2" x14ac:dyDescent="0.25">
      <c r="A447" s="29">
        <v>10140003</v>
      </c>
      <c r="B447" s="30">
        <v>44664</v>
      </c>
    </row>
    <row r="448" spans="1:2" x14ac:dyDescent="0.25">
      <c r="A448" s="29">
        <v>10140004</v>
      </c>
      <c r="B448" s="30">
        <v>44664</v>
      </c>
    </row>
    <row r="449" spans="1:2" x14ac:dyDescent="0.25">
      <c r="A449" s="29">
        <v>10140005</v>
      </c>
      <c r="B449" s="30">
        <v>44664</v>
      </c>
    </row>
    <row r="450" spans="1:2" x14ac:dyDescent="0.25">
      <c r="A450" s="29">
        <v>10140006</v>
      </c>
      <c r="B450" s="30">
        <v>44664</v>
      </c>
    </row>
    <row r="451" spans="1:2" x14ac:dyDescent="0.25">
      <c r="A451" s="29">
        <v>10140007</v>
      </c>
      <c r="B451" s="30">
        <v>44664</v>
      </c>
    </row>
    <row r="452" spans="1:2" x14ac:dyDescent="0.25">
      <c r="A452" s="29">
        <v>10140008</v>
      </c>
      <c r="B452" s="30">
        <v>44665</v>
      </c>
    </row>
    <row r="453" spans="1:2" x14ac:dyDescent="0.25">
      <c r="A453" s="29">
        <v>10140009</v>
      </c>
      <c r="B453" s="30">
        <v>44669</v>
      </c>
    </row>
    <row r="454" spans="1:2" x14ac:dyDescent="0.25">
      <c r="A454" s="29">
        <v>10140010</v>
      </c>
      <c r="B454" s="30">
        <v>44683</v>
      </c>
    </row>
    <row r="455" spans="1:2" x14ac:dyDescent="0.25">
      <c r="A455" s="29">
        <v>10140011</v>
      </c>
      <c r="B455" s="30">
        <v>44697</v>
      </c>
    </row>
    <row r="456" spans="1:2" x14ac:dyDescent="0.25">
      <c r="A456" s="29">
        <v>10140012</v>
      </c>
      <c r="B456" s="30">
        <v>44703</v>
      </c>
    </row>
    <row r="457" spans="1:2" x14ac:dyDescent="0.25">
      <c r="A457" s="29">
        <v>10140013</v>
      </c>
      <c r="B457" s="30">
        <v>44703</v>
      </c>
    </row>
    <row r="458" spans="1:2" x14ac:dyDescent="0.25">
      <c r="A458" s="29">
        <v>10140014</v>
      </c>
      <c r="B458" s="30">
        <v>44728</v>
      </c>
    </row>
    <row r="459" spans="1:2" x14ac:dyDescent="0.25">
      <c r="A459" s="29">
        <v>10140015</v>
      </c>
      <c r="B459" s="30">
        <v>44728</v>
      </c>
    </row>
    <row r="460" spans="1:2" x14ac:dyDescent="0.25">
      <c r="A460" s="29">
        <v>10140016</v>
      </c>
      <c r="B460" s="30">
        <v>44728</v>
      </c>
    </row>
    <row r="461" spans="1:2" x14ac:dyDescent="0.25">
      <c r="A461" s="29">
        <v>10140017</v>
      </c>
      <c r="B461" s="30">
        <v>44733</v>
      </c>
    </row>
    <row r="462" spans="1:2" x14ac:dyDescent="0.25">
      <c r="A462" s="29">
        <v>10140018</v>
      </c>
      <c r="B462" s="30">
        <v>44753</v>
      </c>
    </row>
    <row r="463" spans="1:2" x14ac:dyDescent="0.25">
      <c r="A463" s="29">
        <v>10140019</v>
      </c>
      <c r="B463" s="30">
        <v>44762</v>
      </c>
    </row>
    <row r="464" spans="1:2" x14ac:dyDescent="0.25">
      <c r="A464" s="29">
        <v>10140020</v>
      </c>
      <c r="B464" s="30">
        <v>44766</v>
      </c>
    </row>
    <row r="465" spans="1:2" x14ac:dyDescent="0.25">
      <c r="A465" s="29">
        <v>10140021</v>
      </c>
      <c r="B465" s="30">
        <v>44769</v>
      </c>
    </row>
    <row r="466" spans="1:2" x14ac:dyDescent="0.25">
      <c r="A466" s="29">
        <v>10140022</v>
      </c>
      <c r="B466" s="30">
        <v>44774</v>
      </c>
    </row>
    <row r="467" spans="1:2" x14ac:dyDescent="0.25">
      <c r="A467" s="29">
        <v>10140023</v>
      </c>
      <c r="B467" s="30">
        <v>44778</v>
      </c>
    </row>
    <row r="468" spans="1:2" x14ac:dyDescent="0.25">
      <c r="A468" s="29">
        <v>10140024</v>
      </c>
      <c r="B468" s="30">
        <v>44778</v>
      </c>
    </row>
    <row r="469" spans="1:2" x14ac:dyDescent="0.25">
      <c r="A469" s="29">
        <v>10140025</v>
      </c>
      <c r="B469" s="30">
        <v>44778</v>
      </c>
    </row>
    <row r="470" spans="1:2" x14ac:dyDescent="0.25">
      <c r="A470" s="29">
        <v>10140026</v>
      </c>
      <c r="B470" s="30">
        <v>44802</v>
      </c>
    </row>
    <row r="471" spans="1:2" x14ac:dyDescent="0.25">
      <c r="A471" s="29">
        <v>10140027</v>
      </c>
      <c r="B471" s="30">
        <v>44835</v>
      </c>
    </row>
    <row r="472" spans="1:2" x14ac:dyDescent="0.25">
      <c r="A472" s="29">
        <v>10140028</v>
      </c>
      <c r="B472" s="30">
        <v>44835</v>
      </c>
    </row>
    <row r="473" spans="1:2" x14ac:dyDescent="0.25">
      <c r="A473" s="29">
        <v>10140029</v>
      </c>
      <c r="B473" s="30">
        <v>44835</v>
      </c>
    </row>
    <row r="474" spans="1:2" x14ac:dyDescent="0.25">
      <c r="A474" s="29">
        <v>10140030</v>
      </c>
      <c r="B474" s="30">
        <v>44866</v>
      </c>
    </row>
    <row r="475" spans="1:2" x14ac:dyDescent="0.25">
      <c r="A475" s="29">
        <v>10140031</v>
      </c>
      <c r="B475" s="30">
        <v>44866</v>
      </c>
    </row>
    <row r="476" spans="1:2" x14ac:dyDescent="0.25">
      <c r="A476" s="29">
        <v>10140032</v>
      </c>
      <c r="B476" s="30">
        <v>44923</v>
      </c>
    </row>
    <row r="477" spans="1:2" x14ac:dyDescent="0.25">
      <c r="A477" s="29">
        <v>10140033</v>
      </c>
      <c r="B477" s="30">
        <v>44923</v>
      </c>
    </row>
    <row r="478" spans="1:2" x14ac:dyDescent="0.25">
      <c r="A478" s="29">
        <v>10140034</v>
      </c>
      <c r="B478" s="30">
        <v>44928</v>
      </c>
    </row>
    <row r="479" spans="1:2" x14ac:dyDescent="0.25">
      <c r="A479" s="29">
        <v>10140035</v>
      </c>
      <c r="B479" s="30">
        <v>44956</v>
      </c>
    </row>
    <row r="480" spans="1:2" x14ac:dyDescent="0.25">
      <c r="A480" s="29">
        <v>10140036</v>
      </c>
      <c r="B480" s="30">
        <v>44972</v>
      </c>
    </row>
    <row r="481" spans="1:2" x14ac:dyDescent="0.25">
      <c r="A481" s="29">
        <v>10140037</v>
      </c>
      <c r="B481" s="30">
        <v>44972</v>
      </c>
    </row>
    <row r="482" spans="1:2" x14ac:dyDescent="0.25">
      <c r="A482" s="29">
        <v>10140038</v>
      </c>
      <c r="B482" s="30">
        <v>44974</v>
      </c>
    </row>
    <row r="483" spans="1:2" x14ac:dyDescent="0.25">
      <c r="A483" s="29">
        <v>10140039</v>
      </c>
      <c r="B483" s="30">
        <v>44974</v>
      </c>
    </row>
    <row r="484" spans="1:2" x14ac:dyDescent="0.25">
      <c r="A484" s="29">
        <v>10140040</v>
      </c>
      <c r="B484" s="30">
        <v>44976</v>
      </c>
    </row>
    <row r="485" spans="1:2" x14ac:dyDescent="0.25">
      <c r="A485" s="29">
        <v>10140041</v>
      </c>
      <c r="B485" s="30">
        <v>44979</v>
      </c>
    </row>
    <row r="486" spans="1:2" x14ac:dyDescent="0.25">
      <c r="A486" s="29">
        <v>10140042</v>
      </c>
      <c r="B486" s="30">
        <v>44980</v>
      </c>
    </row>
    <row r="487" spans="1:2" x14ac:dyDescent="0.25">
      <c r="A487" s="29">
        <v>10140043</v>
      </c>
      <c r="B487" s="30">
        <v>44984</v>
      </c>
    </row>
    <row r="488" spans="1:2" x14ac:dyDescent="0.25">
      <c r="A488" s="29">
        <v>10140044</v>
      </c>
      <c r="B488" s="30">
        <v>44984</v>
      </c>
    </row>
    <row r="489" spans="1:2" x14ac:dyDescent="0.25">
      <c r="A489" s="29">
        <v>10140045</v>
      </c>
      <c r="B489" s="30">
        <v>44995</v>
      </c>
    </row>
    <row r="490" spans="1:2" x14ac:dyDescent="0.25">
      <c r="A490" s="29">
        <v>10140046</v>
      </c>
      <c r="B490" s="30">
        <v>44995</v>
      </c>
    </row>
    <row r="491" spans="1:2" x14ac:dyDescent="0.25">
      <c r="A491" s="29">
        <v>10140047</v>
      </c>
      <c r="B491" s="30">
        <v>44996</v>
      </c>
    </row>
    <row r="492" spans="1:2" x14ac:dyDescent="0.25">
      <c r="A492" s="29">
        <v>10140048</v>
      </c>
      <c r="B492" s="30">
        <v>44998</v>
      </c>
    </row>
    <row r="493" spans="1:2" x14ac:dyDescent="0.25">
      <c r="A493" s="29">
        <v>10140049</v>
      </c>
      <c r="B493" s="30">
        <v>45000</v>
      </c>
    </row>
    <row r="494" spans="1:2" x14ac:dyDescent="0.25">
      <c r="A494" s="29">
        <v>10140050</v>
      </c>
      <c r="B494" s="30">
        <v>45003</v>
      </c>
    </row>
    <row r="495" spans="1:2" x14ac:dyDescent="0.25">
      <c r="A495" s="29">
        <v>10140051</v>
      </c>
      <c r="B495" s="30">
        <v>45005</v>
      </c>
    </row>
    <row r="496" spans="1:2" x14ac:dyDescent="0.25">
      <c r="A496" s="29">
        <v>10140052</v>
      </c>
      <c r="B496" s="30">
        <v>45007</v>
      </c>
    </row>
    <row r="497" spans="1:2" x14ac:dyDescent="0.25">
      <c r="A497" s="29">
        <v>10140053</v>
      </c>
      <c r="B497" s="30">
        <v>45012</v>
      </c>
    </row>
    <row r="498" spans="1:2" x14ac:dyDescent="0.25">
      <c r="A498" s="29">
        <v>10140054</v>
      </c>
      <c r="B498" s="30">
        <v>45014</v>
      </c>
    </row>
    <row r="499" spans="1:2" x14ac:dyDescent="0.25">
      <c r="A499" s="29">
        <v>10140055</v>
      </c>
      <c r="B499" s="30">
        <v>45076</v>
      </c>
    </row>
    <row r="500" spans="1:2" x14ac:dyDescent="0.25">
      <c r="A500" s="29">
        <v>10140056</v>
      </c>
      <c r="B500" s="30">
        <v>45110</v>
      </c>
    </row>
    <row r="501" spans="1:2" x14ac:dyDescent="0.25">
      <c r="A501" s="29">
        <v>10140057</v>
      </c>
      <c r="B501" s="30">
        <v>45126</v>
      </c>
    </row>
    <row r="502" spans="1:2" x14ac:dyDescent="0.25">
      <c r="A502" s="29">
        <v>10140058</v>
      </c>
      <c r="B502" s="30">
        <v>45127</v>
      </c>
    </row>
    <row r="503" spans="1:2" x14ac:dyDescent="0.25">
      <c r="A503" s="29">
        <v>10140059</v>
      </c>
      <c r="B503" s="30">
        <v>45155</v>
      </c>
    </row>
    <row r="504" spans="1:2" x14ac:dyDescent="0.25">
      <c r="A504" s="29">
        <v>10140060</v>
      </c>
      <c r="B504" s="30">
        <v>45155</v>
      </c>
    </row>
    <row r="505" spans="1:2" x14ac:dyDescent="0.25">
      <c r="A505" s="29">
        <v>10140061</v>
      </c>
      <c r="B505" s="30">
        <v>45156</v>
      </c>
    </row>
    <row r="506" spans="1:2" x14ac:dyDescent="0.25">
      <c r="A506" s="29">
        <v>10140062</v>
      </c>
      <c r="B506" s="30">
        <v>45156</v>
      </c>
    </row>
    <row r="507" spans="1:2" x14ac:dyDescent="0.25">
      <c r="A507" s="29">
        <v>10140063</v>
      </c>
      <c r="B507" s="30">
        <v>45156</v>
      </c>
    </row>
    <row r="508" spans="1:2" x14ac:dyDescent="0.25">
      <c r="A508" s="29">
        <v>10140064</v>
      </c>
      <c r="B508" s="30">
        <v>45163</v>
      </c>
    </row>
    <row r="509" spans="1:2" x14ac:dyDescent="0.25">
      <c r="A509" s="29">
        <v>10140065</v>
      </c>
      <c r="B509" s="30">
        <v>45164</v>
      </c>
    </row>
    <row r="510" spans="1:2" x14ac:dyDescent="0.25">
      <c r="A510" s="29">
        <v>10140066</v>
      </c>
      <c r="B510" s="30">
        <v>45170</v>
      </c>
    </row>
    <row r="511" spans="1:2" x14ac:dyDescent="0.25">
      <c r="A511" s="29">
        <v>10140067</v>
      </c>
      <c r="B511" s="30">
        <v>45170</v>
      </c>
    </row>
    <row r="512" spans="1:2" x14ac:dyDescent="0.25">
      <c r="A512" s="29">
        <v>10140068</v>
      </c>
      <c r="B512" s="30">
        <v>45170</v>
      </c>
    </row>
    <row r="513" spans="1:2" x14ac:dyDescent="0.25">
      <c r="A513" s="29">
        <v>10140069</v>
      </c>
      <c r="B513" s="30">
        <v>45170</v>
      </c>
    </row>
    <row r="514" spans="1:2" x14ac:dyDescent="0.25">
      <c r="A514" s="29">
        <v>10140070</v>
      </c>
      <c r="B514" s="30">
        <v>44921</v>
      </c>
    </row>
    <row r="515" spans="1:2" x14ac:dyDescent="0.25">
      <c r="A515" s="29">
        <v>10140071</v>
      </c>
      <c r="B515" s="30">
        <v>45141</v>
      </c>
    </row>
    <row r="516" spans="1:2" x14ac:dyDescent="0.25">
      <c r="A516" s="29">
        <v>10140072</v>
      </c>
      <c r="B516" s="30">
        <v>45099</v>
      </c>
    </row>
    <row r="517" spans="1:2" x14ac:dyDescent="0.25">
      <c r="A517" s="29">
        <v>10140073</v>
      </c>
      <c r="B517" s="30">
        <v>44930</v>
      </c>
    </row>
    <row r="518" spans="1:2" x14ac:dyDescent="0.25">
      <c r="A518" s="29">
        <v>10140074</v>
      </c>
      <c r="B518" s="30">
        <v>45093</v>
      </c>
    </row>
    <row r="519" spans="1:2" x14ac:dyDescent="0.25">
      <c r="A519" s="29">
        <v>10140075</v>
      </c>
      <c r="B519" s="30">
        <v>45233</v>
      </c>
    </row>
    <row r="520" spans="1:2" x14ac:dyDescent="0.25">
      <c r="A520" s="29">
        <v>10140076</v>
      </c>
      <c r="B520" s="30">
        <v>45261</v>
      </c>
    </row>
    <row r="521" spans="1:2" x14ac:dyDescent="0.25">
      <c r="A521" s="29">
        <v>10140077</v>
      </c>
      <c r="B521" s="30">
        <v>45260</v>
      </c>
    </row>
    <row r="522" spans="1:2" x14ac:dyDescent="0.25">
      <c r="A522" s="29">
        <v>10140078</v>
      </c>
      <c r="B522" s="30">
        <v>45236</v>
      </c>
    </row>
    <row r="523" spans="1:2" x14ac:dyDescent="0.25">
      <c r="A523" s="29">
        <v>10140079</v>
      </c>
      <c r="B523" s="30">
        <v>45266</v>
      </c>
    </row>
    <row r="524" spans="1:2" x14ac:dyDescent="0.25">
      <c r="A524" s="29">
        <v>10140080</v>
      </c>
      <c r="B524" s="30">
        <v>45261</v>
      </c>
    </row>
    <row r="525" spans="1:2" x14ac:dyDescent="0.25">
      <c r="A525" s="29">
        <v>10140081</v>
      </c>
      <c r="B525" s="30">
        <v>45260</v>
      </c>
    </row>
    <row r="526" spans="1:2" x14ac:dyDescent="0.25">
      <c r="A526" s="29">
        <v>10140082</v>
      </c>
      <c r="B526" s="30">
        <v>45291</v>
      </c>
    </row>
    <row r="527" spans="1:2" x14ac:dyDescent="0.25">
      <c r="A527" s="29">
        <v>10140083</v>
      </c>
      <c r="B527" s="30">
        <v>45291</v>
      </c>
    </row>
    <row r="528" spans="1:2" x14ac:dyDescent="0.25">
      <c r="A528" s="29">
        <v>10140084</v>
      </c>
      <c r="B528" s="30">
        <v>45198</v>
      </c>
    </row>
    <row r="529" spans="1:2" x14ac:dyDescent="0.25">
      <c r="A529" s="29">
        <v>10140085</v>
      </c>
      <c r="B529" s="30">
        <v>45297</v>
      </c>
    </row>
    <row r="530" spans="1:2" x14ac:dyDescent="0.25">
      <c r="A530" s="29">
        <v>10140086</v>
      </c>
      <c r="B530" s="30">
        <v>45297</v>
      </c>
    </row>
    <row r="531" spans="1:2" x14ac:dyDescent="0.25">
      <c r="A531" s="29">
        <v>10140087</v>
      </c>
      <c r="B531" s="30">
        <v>45297</v>
      </c>
    </row>
    <row r="532" spans="1:2" x14ac:dyDescent="0.25">
      <c r="A532" s="29">
        <v>10140088</v>
      </c>
      <c r="B532" s="30">
        <v>45291</v>
      </c>
    </row>
    <row r="533" spans="1:2" x14ac:dyDescent="0.25">
      <c r="A533" s="29">
        <v>10140089</v>
      </c>
      <c r="B533" s="30">
        <v>45291</v>
      </c>
    </row>
    <row r="534" spans="1:2" x14ac:dyDescent="0.25">
      <c r="A534" s="29">
        <v>10140090</v>
      </c>
      <c r="B534" s="30">
        <v>45260</v>
      </c>
    </row>
    <row r="535" spans="1:2" x14ac:dyDescent="0.25">
      <c r="A535" s="29">
        <v>10140092</v>
      </c>
      <c r="B535" s="30">
        <v>45323</v>
      </c>
    </row>
    <row r="536" spans="1:2" x14ac:dyDescent="0.25">
      <c r="A536" s="29">
        <v>10140093</v>
      </c>
      <c r="B536" s="30">
        <v>45323</v>
      </c>
    </row>
    <row r="537" spans="1:2" x14ac:dyDescent="0.25">
      <c r="A537" s="29">
        <v>10140094</v>
      </c>
      <c r="B537" s="30">
        <v>45233</v>
      </c>
    </row>
    <row r="538" spans="1:2" x14ac:dyDescent="0.25">
      <c r="A538" s="29">
        <v>10140095</v>
      </c>
      <c r="B538" s="30">
        <v>45352</v>
      </c>
    </row>
    <row r="539" spans="1:2" x14ac:dyDescent="0.25">
      <c r="A539" s="29">
        <v>10140096</v>
      </c>
      <c r="B539" s="30">
        <v>45352</v>
      </c>
    </row>
    <row r="540" spans="1:2" x14ac:dyDescent="0.25">
      <c r="A540" s="29">
        <v>10140097</v>
      </c>
      <c r="B540" s="30">
        <v>44789</v>
      </c>
    </row>
    <row r="541" spans="1:2" x14ac:dyDescent="0.25">
      <c r="A541" s="29">
        <v>10510001</v>
      </c>
      <c r="B541" s="30">
        <v>44708</v>
      </c>
    </row>
    <row r="542" spans="1:2" x14ac:dyDescent="0.25">
      <c r="A542" s="29">
        <v>10510002</v>
      </c>
      <c r="B542" s="30">
        <v>44664</v>
      </c>
    </row>
    <row r="543" spans="1:2" x14ac:dyDescent="0.25">
      <c r="A543" s="29">
        <v>10510003</v>
      </c>
      <c r="B543" s="30">
        <v>44740</v>
      </c>
    </row>
    <row r="544" spans="1:2" x14ac:dyDescent="0.25">
      <c r="A544" s="29">
        <v>10510004</v>
      </c>
      <c r="B544" s="30">
        <v>45016</v>
      </c>
    </row>
    <row r="545" spans="1:2" x14ac:dyDescent="0.25">
      <c r="A545" s="29">
        <v>10140099</v>
      </c>
      <c r="B545" s="30">
        <v>45408</v>
      </c>
    </row>
    <row r="546" spans="1:2" x14ac:dyDescent="0.25">
      <c r="A546" s="29">
        <v>10140100</v>
      </c>
      <c r="B546" s="30">
        <v>45383</v>
      </c>
    </row>
    <row r="547" spans="1:2" x14ac:dyDescent="0.25">
      <c r="A547" s="29">
        <v>10140104</v>
      </c>
      <c r="B547" s="30">
        <v>45427</v>
      </c>
    </row>
    <row r="548" spans="1:2" x14ac:dyDescent="0.25">
      <c r="A548" s="29">
        <v>10140106</v>
      </c>
      <c r="B548" s="30">
        <v>45428</v>
      </c>
    </row>
    <row r="549" spans="1:2" x14ac:dyDescent="0.25">
      <c r="A549" s="29">
        <v>10140101</v>
      </c>
      <c r="B549" s="30">
        <v>45421</v>
      </c>
    </row>
    <row r="550" spans="1:2" x14ac:dyDescent="0.25">
      <c r="A550" s="29">
        <v>10140109</v>
      </c>
      <c r="B550" s="30">
        <v>45444</v>
      </c>
    </row>
    <row r="551" spans="1:2" x14ac:dyDescent="0.25">
      <c r="A551" s="29">
        <v>10140110</v>
      </c>
      <c r="B551" s="30">
        <v>45444</v>
      </c>
    </row>
    <row r="552" spans="1:2" x14ac:dyDescent="0.25">
      <c r="A552" s="29">
        <v>10140098</v>
      </c>
      <c r="B552" s="30">
        <v>45457</v>
      </c>
    </row>
    <row r="553" spans="1:2" x14ac:dyDescent="0.25">
      <c r="A553" s="29">
        <v>10140108</v>
      </c>
      <c r="B553" s="30">
        <v>45472</v>
      </c>
    </row>
    <row r="554" spans="1:2" x14ac:dyDescent="0.25">
      <c r="A554" s="29">
        <v>10140112</v>
      </c>
      <c r="B554" s="30">
        <v>45485</v>
      </c>
    </row>
    <row r="555" spans="1:2" x14ac:dyDescent="0.25">
      <c r="A555" s="29">
        <v>10140111</v>
      </c>
      <c r="B555" s="30">
        <v>45485</v>
      </c>
    </row>
    <row r="556" spans="1:2" x14ac:dyDescent="0.25">
      <c r="A556" s="29">
        <v>10140114</v>
      </c>
      <c r="B556" s="30">
        <v>45485</v>
      </c>
    </row>
    <row r="557" spans="1:2" x14ac:dyDescent="0.25">
      <c r="A557" s="29">
        <v>10140107</v>
      </c>
      <c r="B557" s="30">
        <v>45485</v>
      </c>
    </row>
    <row r="558" spans="1:2" x14ac:dyDescent="0.25">
      <c r="A558" s="29">
        <v>10140105</v>
      </c>
      <c r="B558" s="30">
        <v>45485</v>
      </c>
    </row>
    <row r="559" spans="1:2" x14ac:dyDescent="0.25">
      <c r="A559" s="29">
        <v>10140113</v>
      </c>
      <c r="B559" s="30">
        <v>45490</v>
      </c>
    </row>
    <row r="560" spans="1:2" x14ac:dyDescent="0.25">
      <c r="A560" s="29">
        <v>10140118</v>
      </c>
      <c r="B560" s="30">
        <v>45500</v>
      </c>
    </row>
    <row r="561" spans="1:2" x14ac:dyDescent="0.25">
      <c r="A561" s="29">
        <v>10140117</v>
      </c>
      <c r="B561" s="30">
        <v>45505</v>
      </c>
    </row>
    <row r="562" spans="1:2" x14ac:dyDescent="0.25">
      <c r="A562" s="29">
        <v>10140116</v>
      </c>
      <c r="B562" s="30">
        <v>45509</v>
      </c>
    </row>
    <row r="563" spans="1:2" x14ac:dyDescent="0.25">
      <c r="A563" s="29">
        <v>10140115</v>
      </c>
      <c r="B563" s="30">
        <v>45511</v>
      </c>
    </row>
    <row r="564" spans="1:2" x14ac:dyDescent="0.25">
      <c r="A564" s="29">
        <v>10140119</v>
      </c>
      <c r="B564" s="30">
        <v>45535</v>
      </c>
    </row>
    <row r="565" spans="1:2" x14ac:dyDescent="0.25">
      <c r="A565" s="29">
        <v>10140122</v>
      </c>
      <c r="B565" s="30">
        <v>45541</v>
      </c>
    </row>
    <row r="566" spans="1:2" x14ac:dyDescent="0.25">
      <c r="A566" s="29">
        <v>10140128</v>
      </c>
      <c r="B566" s="30">
        <v>45566</v>
      </c>
    </row>
    <row r="567" spans="1:2" x14ac:dyDescent="0.25">
      <c r="A567" s="29">
        <v>10140124</v>
      </c>
      <c r="B567" s="30">
        <v>45574</v>
      </c>
    </row>
    <row r="568" spans="1:2" x14ac:dyDescent="0.25">
      <c r="A568" s="29">
        <v>10140132</v>
      </c>
      <c r="B568" s="30">
        <v>45590</v>
      </c>
    </row>
    <row r="569" spans="1:2" x14ac:dyDescent="0.25">
      <c r="A569" s="29">
        <v>10140131</v>
      </c>
      <c r="B569" s="30">
        <v>45590</v>
      </c>
    </row>
    <row r="570" spans="1:2" x14ac:dyDescent="0.25">
      <c r="A570" s="29">
        <v>10140130</v>
      </c>
      <c r="B570" s="30">
        <v>45590</v>
      </c>
    </row>
    <row r="571" spans="1:2" x14ac:dyDescent="0.25">
      <c r="A571" s="29">
        <v>10140129</v>
      </c>
      <c r="B571" s="30">
        <v>45590</v>
      </c>
    </row>
    <row r="572" spans="1:2" x14ac:dyDescent="0.25">
      <c r="A572" s="29">
        <v>10140120</v>
      </c>
      <c r="B572" s="30">
        <v>45590</v>
      </c>
    </row>
    <row r="573" spans="1:2" x14ac:dyDescent="0.25">
      <c r="A573" s="29">
        <v>10140126</v>
      </c>
      <c r="B573" s="30">
        <v>45590</v>
      </c>
    </row>
    <row r="574" spans="1:2" x14ac:dyDescent="0.25">
      <c r="A574" s="29">
        <v>10140134</v>
      </c>
      <c r="B574" s="30">
        <v>45590</v>
      </c>
    </row>
    <row r="575" spans="1:2" x14ac:dyDescent="0.25">
      <c r="A575" s="29">
        <v>10140135</v>
      </c>
      <c r="B575" s="30">
        <v>45599</v>
      </c>
    </row>
    <row r="576" spans="1:2" x14ac:dyDescent="0.25">
      <c r="A576" s="29">
        <v>10140136</v>
      </c>
      <c r="B576" s="30">
        <v>45608</v>
      </c>
    </row>
    <row r="577" spans="1:2" x14ac:dyDescent="0.25">
      <c r="A577" s="29">
        <v>10140137</v>
      </c>
      <c r="B577" s="30">
        <v>45616</v>
      </c>
    </row>
    <row r="578" spans="1:2" x14ac:dyDescent="0.25">
      <c r="A578" s="29">
        <v>10140141</v>
      </c>
      <c r="B578" s="30">
        <v>45620</v>
      </c>
    </row>
    <row r="579" spans="1:2" x14ac:dyDescent="0.25">
      <c r="A579" s="29">
        <v>10140139</v>
      </c>
      <c r="B579" s="30">
        <v>45625</v>
      </c>
    </row>
    <row r="580" spans="1:2" x14ac:dyDescent="0.25">
      <c r="A580" s="29">
        <v>10140140</v>
      </c>
      <c r="B580" s="30">
        <v>45626</v>
      </c>
    </row>
    <row r="581" spans="1:2" x14ac:dyDescent="0.25">
      <c r="A581" s="29">
        <v>10140138</v>
      </c>
      <c r="B581" s="30">
        <v>45629</v>
      </c>
    </row>
    <row r="582" spans="1:2" x14ac:dyDescent="0.25">
      <c r="A582" s="29">
        <v>10140142</v>
      </c>
      <c r="B582" s="30">
        <v>45632</v>
      </c>
    </row>
    <row r="583" spans="1:2" x14ac:dyDescent="0.25">
      <c r="A583" s="29">
        <v>10140144</v>
      </c>
      <c r="B583" s="30">
        <v>45633</v>
      </c>
    </row>
    <row r="584" spans="1:2" x14ac:dyDescent="0.25">
      <c r="A584" s="29">
        <v>10140145</v>
      </c>
      <c r="B584" s="30">
        <v>45646</v>
      </c>
    </row>
    <row r="585" spans="1:2" x14ac:dyDescent="0.25">
      <c r="A585" s="29">
        <v>10140143</v>
      </c>
      <c r="B585" s="30">
        <v>45653</v>
      </c>
    </row>
    <row r="586" spans="1:2" x14ac:dyDescent="0.25">
      <c r="A586" s="29">
        <v>10140148</v>
      </c>
      <c r="B586" s="30">
        <v>45654</v>
      </c>
    </row>
    <row r="587" spans="1:2" x14ac:dyDescent="0.25">
      <c r="A587" s="29">
        <v>10140152</v>
      </c>
      <c r="B587" s="30">
        <v>45655</v>
      </c>
    </row>
    <row r="588" spans="1:2" x14ac:dyDescent="0.25">
      <c r="A588" s="29">
        <v>10140150</v>
      </c>
      <c r="B588" s="30">
        <v>45656</v>
      </c>
    </row>
    <row r="589" spans="1:2" x14ac:dyDescent="0.25">
      <c r="A589" s="29">
        <v>10140151</v>
      </c>
      <c r="B589" s="30">
        <v>45656</v>
      </c>
    </row>
    <row r="590" spans="1:2" x14ac:dyDescent="0.25">
      <c r="A590" s="29">
        <v>10140149</v>
      </c>
      <c r="B590" s="30">
        <v>45657</v>
      </c>
    </row>
    <row r="591" spans="1:2" x14ac:dyDescent="0.25">
      <c r="A591" s="29">
        <v>10140155</v>
      </c>
      <c r="B591" s="30">
        <v>45679</v>
      </c>
    </row>
    <row r="592" spans="1:2" x14ac:dyDescent="0.25">
      <c r="A592" s="29">
        <v>10140153</v>
      </c>
      <c r="B592" s="30">
        <v>45680</v>
      </c>
    </row>
    <row r="593" spans="1:2" x14ac:dyDescent="0.25">
      <c r="A593" s="29">
        <v>10140154</v>
      </c>
      <c r="B593" s="30">
        <v>45681</v>
      </c>
    </row>
    <row r="594" spans="1:2" x14ac:dyDescent="0.25">
      <c r="A594" s="29">
        <v>10140156</v>
      </c>
      <c r="B594" s="30">
        <v>45684</v>
      </c>
    </row>
    <row r="595" spans="1:2" x14ac:dyDescent="0.25">
      <c r="A595" s="29">
        <v>10140157</v>
      </c>
      <c r="B595" s="30">
        <v>45687</v>
      </c>
    </row>
    <row r="596" spans="1:2" x14ac:dyDescent="0.25">
      <c r="A596" s="29">
        <v>10140159</v>
      </c>
      <c r="B596" s="30">
        <v>45687</v>
      </c>
    </row>
    <row r="597" spans="1:2" x14ac:dyDescent="0.25">
      <c r="A597" s="29">
        <v>10140158</v>
      </c>
      <c r="B597" s="30">
        <v>45692</v>
      </c>
    </row>
    <row r="598" spans="1:2" x14ac:dyDescent="0.25">
      <c r="A598" s="29">
        <v>10140160</v>
      </c>
      <c r="B598" s="30">
        <v>45693</v>
      </c>
    </row>
    <row r="599" spans="1:2" x14ac:dyDescent="0.25">
      <c r="A599" s="29">
        <v>10140146</v>
      </c>
      <c r="B599" s="30">
        <v>45706</v>
      </c>
    </row>
    <row r="600" spans="1:2" x14ac:dyDescent="0.25">
      <c r="A600" s="29">
        <v>10140161</v>
      </c>
      <c r="B600" s="30">
        <v>45723</v>
      </c>
    </row>
    <row r="601" spans="1:2" x14ac:dyDescent="0.25">
      <c r="A601" s="29">
        <v>10140163</v>
      </c>
      <c r="B601" s="30">
        <v>45741</v>
      </c>
    </row>
    <row r="602" spans="1:2" x14ac:dyDescent="0.25">
      <c r="A602" s="29">
        <v>10140164</v>
      </c>
      <c r="B602" s="30">
        <v>45741</v>
      </c>
    </row>
    <row r="603" spans="1:2" x14ac:dyDescent="0.25">
      <c r="A603" s="29">
        <v>10140165</v>
      </c>
      <c r="B603" s="30">
        <v>45741</v>
      </c>
    </row>
    <row r="604" spans="1:2" x14ac:dyDescent="0.25">
      <c r="A604" s="29">
        <v>10140166</v>
      </c>
      <c r="B604" s="30">
        <v>45745</v>
      </c>
    </row>
    <row r="605" spans="1:2" x14ac:dyDescent="0.25">
      <c r="A605" s="29">
        <v>10140168</v>
      </c>
      <c r="B605" s="30">
        <v>45745</v>
      </c>
    </row>
    <row r="606" spans="1:2" x14ac:dyDescent="0.25">
      <c r="A606" s="29">
        <v>10140169</v>
      </c>
      <c r="B606" s="30">
        <v>45745</v>
      </c>
    </row>
    <row r="607" spans="1:2" x14ac:dyDescent="0.25">
      <c r="A607" s="29">
        <v>10140167</v>
      </c>
      <c r="B607" s="30">
        <v>45745</v>
      </c>
    </row>
    <row r="608" spans="1:2" x14ac:dyDescent="0.25">
      <c r="A608" s="29">
        <v>10140170</v>
      </c>
      <c r="B608" s="30">
        <v>45763</v>
      </c>
    </row>
    <row r="609" spans="1:2" x14ac:dyDescent="0.25">
      <c r="A609" s="29">
        <v>10140172</v>
      </c>
      <c r="B609" s="30">
        <v>45774</v>
      </c>
    </row>
    <row r="610" spans="1:2" x14ac:dyDescent="0.25">
      <c r="A610" s="29">
        <v>10140174</v>
      </c>
      <c r="B610" s="30">
        <v>45775</v>
      </c>
    </row>
    <row r="611" spans="1:2" x14ac:dyDescent="0.25">
      <c r="A611" s="29">
        <v>10140171</v>
      </c>
      <c r="B611" s="30">
        <v>45777</v>
      </c>
    </row>
    <row r="612" spans="1:2" x14ac:dyDescent="0.25">
      <c r="A612" s="29">
        <v>10140173</v>
      </c>
      <c r="B612" s="30">
        <v>45777</v>
      </c>
    </row>
    <row r="613" spans="1:2" x14ac:dyDescent="0.25">
      <c r="A613" s="29">
        <v>10140176</v>
      </c>
      <c r="B613" s="30">
        <v>45786</v>
      </c>
    </row>
    <row r="614" spans="1:2" x14ac:dyDescent="0.25">
      <c r="A614" s="29">
        <v>10140177</v>
      </c>
      <c r="B614" s="30">
        <v>45800</v>
      </c>
    </row>
    <row r="615" spans="1:2" x14ac:dyDescent="0.25">
      <c r="A615" s="29">
        <v>10140179</v>
      </c>
      <c r="B615" s="30">
        <v>45800</v>
      </c>
    </row>
    <row r="616" spans="1:2" x14ac:dyDescent="0.25">
      <c r="A616" s="29">
        <v>10140178</v>
      </c>
      <c r="B616" s="30">
        <v>45800</v>
      </c>
    </row>
    <row r="617" spans="1:2" x14ac:dyDescent="0.25">
      <c r="A617" s="29">
        <v>10140180</v>
      </c>
      <c r="B617" s="30">
        <v>45809</v>
      </c>
    </row>
    <row r="618" spans="1:2" x14ac:dyDescent="0.25">
      <c r="A618" s="29">
        <v>10140182</v>
      </c>
      <c r="B618" s="30">
        <v>45826</v>
      </c>
    </row>
    <row r="619" spans="1:2" x14ac:dyDescent="0.25">
      <c r="A619" s="29">
        <v>10140175</v>
      </c>
      <c r="B619" s="30">
        <v>45837</v>
      </c>
    </row>
    <row r="620" spans="1:2" x14ac:dyDescent="0.25">
      <c r="A620" s="29">
        <v>10140184</v>
      </c>
      <c r="B620" s="30">
        <v>45858</v>
      </c>
    </row>
    <row r="621" spans="1:2" x14ac:dyDescent="0.25">
      <c r="A621" s="29">
        <v>10140185</v>
      </c>
      <c r="B621" s="30">
        <v>45868</v>
      </c>
    </row>
    <row r="622" spans="1:2" x14ac:dyDescent="0.25">
      <c r="A622" s="29">
        <v>10140186</v>
      </c>
      <c r="B622" s="30">
        <v>45899</v>
      </c>
    </row>
    <row r="623" spans="1:2" x14ac:dyDescent="0.25">
      <c r="A623" s="29">
        <v>10140187</v>
      </c>
      <c r="B623" s="30">
        <v>45944</v>
      </c>
    </row>
    <row r="624" spans="1:2" x14ac:dyDescent="0.25">
      <c r="A624" s="29">
        <v>10140190</v>
      </c>
      <c r="B624" s="30">
        <v>45978</v>
      </c>
    </row>
    <row r="625" spans="1:2" x14ac:dyDescent="0.25">
      <c r="A625" s="29">
        <v>10140192</v>
      </c>
      <c r="B625" s="30">
        <v>45983</v>
      </c>
    </row>
    <row r="626" spans="1:2" x14ac:dyDescent="0.25">
      <c r="A626" s="29">
        <v>10140193</v>
      </c>
      <c r="B626" s="30">
        <v>46002</v>
      </c>
    </row>
    <row r="627" spans="1:2" x14ac:dyDescent="0.25">
      <c r="A627" s="29">
        <v>10140191</v>
      </c>
      <c r="B627" s="30">
        <v>46003</v>
      </c>
    </row>
    <row r="628" spans="1:2" x14ac:dyDescent="0.25">
      <c r="A628" s="29">
        <v>10140196</v>
      </c>
      <c r="B628" s="30">
        <v>46010</v>
      </c>
    </row>
    <row r="629" spans="1:2" x14ac:dyDescent="0.25">
      <c r="A629" s="29">
        <v>10140198</v>
      </c>
      <c r="B629" s="30">
        <v>46017</v>
      </c>
    </row>
    <row r="630" spans="1:2" x14ac:dyDescent="0.25">
      <c r="A630" s="29">
        <v>10140197</v>
      </c>
      <c r="B630" s="30">
        <v>46018</v>
      </c>
    </row>
    <row r="631" spans="1:2" x14ac:dyDescent="0.25">
      <c r="A631" s="29">
        <v>10140194</v>
      </c>
      <c r="B631" s="30">
        <v>46020</v>
      </c>
    </row>
    <row r="632" spans="1:2" x14ac:dyDescent="0.25">
      <c r="A632" s="29">
        <v>10140147</v>
      </c>
      <c r="B632" s="30">
        <v>46025</v>
      </c>
    </row>
    <row r="633" spans="1:2" x14ac:dyDescent="0.25">
      <c r="A633" s="29">
        <v>10140201</v>
      </c>
      <c r="B633" s="30">
        <v>46042</v>
      </c>
    </row>
    <row r="634" spans="1:2" x14ac:dyDescent="0.25">
      <c r="A634" s="29">
        <v>10600006</v>
      </c>
      <c r="B634" s="30">
        <v>46052</v>
      </c>
    </row>
    <row r="635" spans="1:2" x14ac:dyDescent="0.25">
      <c r="A635" s="29">
        <v>10600002</v>
      </c>
      <c r="B635" s="30">
        <v>46052</v>
      </c>
    </row>
    <row r="636" spans="1:2" x14ac:dyDescent="0.25">
      <c r="A636" s="29">
        <v>10600001</v>
      </c>
      <c r="B636" s="30">
        <v>46052</v>
      </c>
    </row>
    <row r="637" spans="1:2" x14ac:dyDescent="0.25">
      <c r="A637" s="29">
        <v>10600008</v>
      </c>
      <c r="B637" s="30">
        <v>46052</v>
      </c>
    </row>
    <row r="638" spans="1:2" x14ac:dyDescent="0.25">
      <c r="A638" s="29">
        <v>10600004</v>
      </c>
      <c r="B638" s="30">
        <v>46054</v>
      </c>
    </row>
    <row r="639" spans="1:2" x14ac:dyDescent="0.25">
      <c r="A639" s="29">
        <v>10600009</v>
      </c>
      <c r="B639" s="30">
        <v>46057</v>
      </c>
    </row>
    <row r="640" spans="1:2" x14ac:dyDescent="0.25">
      <c r="A640" s="29">
        <v>10140203</v>
      </c>
      <c r="B640" s="30">
        <v>46065</v>
      </c>
    </row>
    <row r="641" spans="1:2" x14ac:dyDescent="0.25">
      <c r="A641" s="29">
        <v>10600009</v>
      </c>
      <c r="B641" s="30">
        <v>46065</v>
      </c>
    </row>
    <row r="642" spans="1:2" x14ac:dyDescent="0.25">
      <c r="A642" s="29">
        <v>10140205</v>
      </c>
      <c r="B642" s="30">
        <v>46083</v>
      </c>
    </row>
    <row r="643" spans="1:2" x14ac:dyDescent="0.25">
      <c r="A643" s="29">
        <v>10140206</v>
      </c>
      <c r="B643" s="30">
        <v>46092</v>
      </c>
    </row>
    <row r="644" spans="1:2" x14ac:dyDescent="0.25">
      <c r="A644" s="29">
        <v>10600012</v>
      </c>
      <c r="B644" s="30">
        <v>46098</v>
      </c>
    </row>
    <row r="645" spans="1:2" x14ac:dyDescent="0.25">
      <c r="A645" s="29">
        <v>10140204</v>
      </c>
      <c r="B645" s="30">
        <v>46123</v>
      </c>
    </row>
    <row r="646" spans="1:2" x14ac:dyDescent="0.25">
      <c r="A646" s="29">
        <v>10140207</v>
      </c>
      <c r="B646" s="30">
        <v>46174</v>
      </c>
    </row>
    <row r="647" spans="1:2" x14ac:dyDescent="0.25">
      <c r="A647" s="29">
        <v>10600005</v>
      </c>
      <c r="B647" s="30">
        <v>46185</v>
      </c>
    </row>
    <row r="648" spans="1:2" x14ac:dyDescent="0.25">
      <c r="A648" s="29">
        <v>10140208</v>
      </c>
      <c r="B648" s="30">
        <v>46187</v>
      </c>
    </row>
    <row r="649" spans="1:2" x14ac:dyDescent="0.25">
      <c r="A649" s="29">
        <v>10140209</v>
      </c>
      <c r="B649" s="30">
        <v>46204</v>
      </c>
    </row>
    <row r="650" spans="1:2" x14ac:dyDescent="0.25">
      <c r="A650" s="29">
        <v>10660011</v>
      </c>
      <c r="B650" s="30">
        <v>46150</v>
      </c>
    </row>
    <row r="651" spans="1:2" x14ac:dyDescent="0.25">
      <c r="A651" s="29">
        <v>10660013</v>
      </c>
      <c r="B651" s="30">
        <v>46150</v>
      </c>
    </row>
    <row r="652" spans="1:2" x14ac:dyDescent="0.25">
      <c r="A652" s="29">
        <v>10660002</v>
      </c>
      <c r="B652" s="30">
        <v>46150</v>
      </c>
    </row>
    <row r="653" spans="1:2" x14ac:dyDescent="0.25">
      <c r="A653" s="29">
        <v>10660005</v>
      </c>
      <c r="B653" s="30">
        <v>46150</v>
      </c>
    </row>
    <row r="654" spans="1:2" x14ac:dyDescent="0.25">
      <c r="A654" s="29">
        <v>10660004</v>
      </c>
      <c r="B654" s="30">
        <v>46150</v>
      </c>
    </row>
    <row r="655" spans="1:2" x14ac:dyDescent="0.25">
      <c r="A655" s="29">
        <v>10660001</v>
      </c>
      <c r="B655" s="30">
        <v>46150</v>
      </c>
    </row>
    <row r="656" spans="1:2" x14ac:dyDescent="0.25">
      <c r="A656" s="29">
        <v>10660017</v>
      </c>
      <c r="B656" s="30">
        <v>46150</v>
      </c>
    </row>
    <row r="657" spans="1:2" x14ac:dyDescent="0.25">
      <c r="A657" s="29">
        <v>10660006</v>
      </c>
      <c r="B657" s="30">
        <v>46150</v>
      </c>
    </row>
    <row r="658" spans="1:2" x14ac:dyDescent="0.25">
      <c r="A658" s="29">
        <v>10660020</v>
      </c>
      <c r="B658" s="30">
        <v>46150</v>
      </c>
    </row>
    <row r="659" spans="1:2" x14ac:dyDescent="0.25">
      <c r="A659" s="29">
        <v>10660019</v>
      </c>
      <c r="B659" s="30">
        <v>46150</v>
      </c>
    </row>
    <row r="660" spans="1:2" x14ac:dyDescent="0.25">
      <c r="A660" s="29">
        <v>10660021</v>
      </c>
      <c r="B660" s="30">
        <v>46150</v>
      </c>
    </row>
    <row r="661" spans="1:2" x14ac:dyDescent="0.25">
      <c r="A661" s="29">
        <v>10660010</v>
      </c>
      <c r="B661" s="30">
        <v>46150</v>
      </c>
    </row>
    <row r="662" spans="1:2" x14ac:dyDescent="0.25">
      <c r="A662" s="29">
        <v>10660009</v>
      </c>
      <c r="B662" s="30">
        <v>46150</v>
      </c>
    </row>
    <row r="663" spans="1:2" x14ac:dyDescent="0.25">
      <c r="A663" s="29">
        <v>10660015</v>
      </c>
      <c r="B663" s="30">
        <v>46150</v>
      </c>
    </row>
    <row r="664" spans="1:2" x14ac:dyDescent="0.25">
      <c r="A664" s="29">
        <v>10660007</v>
      </c>
      <c r="B664" s="30">
        <v>46151</v>
      </c>
    </row>
    <row r="665" spans="1:2" x14ac:dyDescent="0.25">
      <c r="A665" s="29">
        <v>10660024</v>
      </c>
      <c r="B665" s="30">
        <v>46154</v>
      </c>
    </row>
    <row r="666" spans="1:2" x14ac:dyDescent="0.25">
      <c r="A666" s="29">
        <v>10660023</v>
      </c>
      <c r="B666" s="30">
        <v>46154</v>
      </c>
    </row>
    <row r="667" spans="1:2" x14ac:dyDescent="0.25">
      <c r="A667" s="29">
        <v>10660016</v>
      </c>
      <c r="B667" s="30">
        <v>46155</v>
      </c>
    </row>
    <row r="668" spans="1:2" x14ac:dyDescent="0.25">
      <c r="A668" s="29">
        <v>10660022</v>
      </c>
      <c r="B668" s="30">
        <v>46156</v>
      </c>
    </row>
    <row r="669" spans="1:2" x14ac:dyDescent="0.25">
      <c r="A669" s="29">
        <v>10660012</v>
      </c>
      <c r="B669" s="30">
        <v>46157</v>
      </c>
    </row>
    <row r="670" spans="1:2" x14ac:dyDescent="0.25">
      <c r="A670" s="29">
        <v>10660025</v>
      </c>
      <c r="B670" s="30">
        <v>46165</v>
      </c>
    </row>
    <row r="671" spans="1:2" x14ac:dyDescent="0.25">
      <c r="A671" s="29">
        <v>10660018</v>
      </c>
      <c r="B671" s="30">
        <v>46170</v>
      </c>
    </row>
    <row r="672" spans="1:2" x14ac:dyDescent="0.25">
      <c r="A672" s="29">
        <v>10660032</v>
      </c>
      <c r="B672" s="30">
        <v>46185</v>
      </c>
    </row>
    <row r="673" spans="1:2" x14ac:dyDescent="0.25">
      <c r="A673" s="29">
        <v>10660030</v>
      </c>
      <c r="B673" s="30">
        <v>46185</v>
      </c>
    </row>
    <row r="674" spans="1:2" x14ac:dyDescent="0.25">
      <c r="A674" s="29">
        <v>10660031</v>
      </c>
      <c r="B674" s="30">
        <v>46186</v>
      </c>
    </row>
    <row r="675" spans="1:2" x14ac:dyDescent="0.25">
      <c r="A675" s="29">
        <v>10660028</v>
      </c>
      <c r="B675" s="30">
        <v>46200</v>
      </c>
    </row>
    <row r="676" spans="1:2" x14ac:dyDescent="0.25">
      <c r="A676" s="29">
        <v>10660029</v>
      </c>
      <c r="B676" s="30">
        <v>46218</v>
      </c>
    </row>
    <row r="677" spans="1:2" x14ac:dyDescent="0.25">
      <c r="A677" s="29">
        <v>10660026</v>
      </c>
      <c r="B677" s="30">
        <v>46218</v>
      </c>
    </row>
    <row r="678" spans="1:2" x14ac:dyDescent="0.25">
      <c r="A678" s="29">
        <v>10660027</v>
      </c>
      <c r="B678" s="30">
        <v>46218</v>
      </c>
    </row>
    <row r="679" spans="1:2" x14ac:dyDescent="0.25">
      <c r="A679" s="29">
        <v>10660034</v>
      </c>
      <c r="B679" s="30">
        <v>46223</v>
      </c>
    </row>
    <row r="680" spans="1:2" x14ac:dyDescent="0.25">
      <c r="A680" s="29">
        <v>10660014</v>
      </c>
      <c r="B680" s="30">
        <v>46223</v>
      </c>
    </row>
    <row r="681" spans="1:2" x14ac:dyDescent="0.25">
      <c r="A681" s="29">
        <v>10660038</v>
      </c>
      <c r="B681" s="30">
        <v>46224</v>
      </c>
    </row>
    <row r="682" spans="1:2" x14ac:dyDescent="0.25">
      <c r="A682" s="29">
        <v>10660037</v>
      </c>
      <c r="B682" s="30">
        <v>46233</v>
      </c>
    </row>
    <row r="683" spans="1:2" x14ac:dyDescent="0.25">
      <c r="A683" s="29">
        <v>10060011</v>
      </c>
      <c r="B683" s="30">
        <v>44161</v>
      </c>
    </row>
    <row r="684" spans="1:2" x14ac:dyDescent="0.25">
      <c r="A684" s="29">
        <v>10060027</v>
      </c>
      <c r="B684" s="30">
        <v>44866</v>
      </c>
    </row>
    <row r="685" spans="1:2" x14ac:dyDescent="0.25">
      <c r="A685" s="29">
        <v>10060032</v>
      </c>
      <c r="B685" s="30">
        <v>45049</v>
      </c>
    </row>
    <row r="686" spans="1:2" x14ac:dyDescent="0.25">
      <c r="A686" s="29">
        <v>10060033</v>
      </c>
      <c r="B686" s="30">
        <v>45120</v>
      </c>
    </row>
    <row r="687" spans="1:2" x14ac:dyDescent="0.25">
      <c r="A687" s="29">
        <v>10060049</v>
      </c>
      <c r="B687" s="30">
        <v>45267</v>
      </c>
    </row>
    <row r="688" spans="1:2" x14ac:dyDescent="0.25">
      <c r="A688" s="29">
        <v>10060050</v>
      </c>
      <c r="B688" s="30">
        <v>45267</v>
      </c>
    </row>
    <row r="689" spans="1:2" x14ac:dyDescent="0.25">
      <c r="A689" s="29">
        <v>10060069</v>
      </c>
      <c r="B689" s="30">
        <v>45550</v>
      </c>
    </row>
    <row r="690" spans="1:2" x14ac:dyDescent="0.25">
      <c r="A690" s="29">
        <v>10060074</v>
      </c>
      <c r="B690" s="30">
        <v>45631</v>
      </c>
    </row>
    <row r="691" spans="1:2" x14ac:dyDescent="0.25">
      <c r="A691" s="29">
        <v>10060090</v>
      </c>
      <c r="B691" s="30">
        <v>45702</v>
      </c>
    </row>
    <row r="692" spans="1:2" x14ac:dyDescent="0.25">
      <c r="A692" s="29">
        <v>10060124</v>
      </c>
      <c r="B692" s="30">
        <v>45992</v>
      </c>
    </row>
    <row r="693" spans="1:2" x14ac:dyDescent="0.25">
      <c r="A693" s="29">
        <v>10590001</v>
      </c>
      <c r="B693" s="30">
        <v>46032</v>
      </c>
    </row>
    <row r="694" spans="1:2" x14ac:dyDescent="0.25">
      <c r="A694" s="29">
        <v>10590004</v>
      </c>
      <c r="B694" s="30">
        <v>46032</v>
      </c>
    </row>
    <row r="695" spans="1:2" x14ac:dyDescent="0.25">
      <c r="A695" s="29">
        <v>10590002</v>
      </c>
      <c r="B695" s="30">
        <v>46032</v>
      </c>
    </row>
    <row r="696" spans="1:2" x14ac:dyDescent="0.25">
      <c r="A696" s="29">
        <v>10590003</v>
      </c>
      <c r="B696" s="30">
        <v>46033</v>
      </c>
    </row>
    <row r="697" spans="1:2" x14ac:dyDescent="0.25">
      <c r="A697" s="29">
        <v>10590006</v>
      </c>
      <c r="B697" s="30">
        <v>46038</v>
      </c>
    </row>
    <row r="698" spans="1:2" x14ac:dyDescent="0.25">
      <c r="A698" s="29">
        <v>10590011</v>
      </c>
      <c r="B698" s="30">
        <v>46085</v>
      </c>
    </row>
    <row r="699" spans="1:2" x14ac:dyDescent="0.25">
      <c r="A699" s="29">
        <v>10590010</v>
      </c>
      <c r="B699" s="30">
        <v>46086</v>
      </c>
    </row>
    <row r="700" spans="1:2" x14ac:dyDescent="0.25">
      <c r="A700" s="29">
        <v>10590012</v>
      </c>
      <c r="B700" s="30">
        <v>46086</v>
      </c>
    </row>
    <row r="701" spans="1:2" x14ac:dyDescent="0.25">
      <c r="A701" s="29">
        <v>10590009</v>
      </c>
      <c r="B701" s="30">
        <v>46086</v>
      </c>
    </row>
    <row r="702" spans="1:2" x14ac:dyDescent="0.25">
      <c r="A702" s="29">
        <v>10590008</v>
      </c>
      <c r="B702" s="30">
        <v>46086</v>
      </c>
    </row>
    <row r="703" spans="1:2" x14ac:dyDescent="0.25">
      <c r="A703" s="29">
        <v>10590007</v>
      </c>
      <c r="B703" s="30">
        <v>46092</v>
      </c>
    </row>
    <row r="704" spans="1:2" x14ac:dyDescent="0.25">
      <c r="A704" s="29">
        <v>10590013</v>
      </c>
      <c r="B704" s="30">
        <v>46110</v>
      </c>
    </row>
    <row r="705" spans="1:2" x14ac:dyDescent="0.25">
      <c r="A705" s="29">
        <v>10590014</v>
      </c>
      <c r="B705" s="30">
        <v>46112</v>
      </c>
    </row>
    <row r="706" spans="1:2" x14ac:dyDescent="0.25">
      <c r="A706" s="29">
        <v>10590015</v>
      </c>
      <c r="B706" s="30">
        <v>46112</v>
      </c>
    </row>
    <row r="707" spans="1:2" x14ac:dyDescent="0.25">
      <c r="A707" s="29">
        <v>10590016</v>
      </c>
      <c r="B707" s="30">
        <v>46126</v>
      </c>
    </row>
    <row r="708" spans="1:2" x14ac:dyDescent="0.25">
      <c r="A708" s="29">
        <v>10090001</v>
      </c>
      <c r="B708" s="30">
        <v>42979</v>
      </c>
    </row>
    <row r="709" spans="1:2" x14ac:dyDescent="0.25">
      <c r="A709" s="29">
        <v>10090002</v>
      </c>
      <c r="B709" s="30">
        <v>42979</v>
      </c>
    </row>
    <row r="710" spans="1:2" x14ac:dyDescent="0.25">
      <c r="A710" s="29">
        <v>10090003</v>
      </c>
      <c r="B710" s="30">
        <v>42979</v>
      </c>
    </row>
    <row r="711" spans="1:2" x14ac:dyDescent="0.25">
      <c r="A711" s="29">
        <v>10090004</v>
      </c>
      <c r="B711" s="30">
        <v>42979</v>
      </c>
    </row>
    <row r="712" spans="1:2" x14ac:dyDescent="0.25">
      <c r="A712" s="29">
        <v>10090005</v>
      </c>
      <c r="B712" s="30">
        <v>42979</v>
      </c>
    </row>
    <row r="713" spans="1:2" x14ac:dyDescent="0.25">
      <c r="A713" s="29">
        <v>10090006</v>
      </c>
      <c r="B713" s="30">
        <v>42979</v>
      </c>
    </row>
    <row r="714" spans="1:2" x14ac:dyDescent="0.25">
      <c r="A714" s="29">
        <v>10090007</v>
      </c>
      <c r="B714" s="30">
        <v>42979</v>
      </c>
    </row>
    <row r="715" spans="1:2" x14ac:dyDescent="0.25">
      <c r="A715" s="29">
        <v>10090008</v>
      </c>
      <c r="B715" s="30">
        <v>42979</v>
      </c>
    </row>
    <row r="716" spans="1:2" x14ac:dyDescent="0.25">
      <c r="A716" s="29">
        <v>10090009</v>
      </c>
      <c r="B716" s="30">
        <v>42979</v>
      </c>
    </row>
    <row r="717" spans="1:2" x14ac:dyDescent="0.25">
      <c r="A717" s="29">
        <v>10090010</v>
      </c>
      <c r="B717" s="30">
        <v>42979</v>
      </c>
    </row>
    <row r="718" spans="1:2" x14ac:dyDescent="0.25">
      <c r="A718" s="29">
        <v>10090011</v>
      </c>
      <c r="B718" s="30">
        <v>42979</v>
      </c>
    </row>
    <row r="719" spans="1:2" x14ac:dyDescent="0.25">
      <c r="A719" s="29">
        <v>10090012</v>
      </c>
      <c r="B719" s="30">
        <v>43071</v>
      </c>
    </row>
    <row r="720" spans="1:2" x14ac:dyDescent="0.25">
      <c r="A720" s="29">
        <v>10090013</v>
      </c>
      <c r="B720" s="30">
        <v>43080</v>
      </c>
    </row>
    <row r="721" spans="1:2" x14ac:dyDescent="0.25">
      <c r="A721" s="29">
        <v>10090014</v>
      </c>
      <c r="B721" s="30">
        <v>43786</v>
      </c>
    </row>
    <row r="722" spans="1:2" x14ac:dyDescent="0.25">
      <c r="A722" s="29">
        <v>10090015</v>
      </c>
      <c r="B722" s="30">
        <v>43789</v>
      </c>
    </row>
    <row r="723" spans="1:2" x14ac:dyDescent="0.25">
      <c r="A723" s="29">
        <v>10090016</v>
      </c>
      <c r="B723" s="30">
        <v>43862</v>
      </c>
    </row>
    <row r="724" spans="1:2" x14ac:dyDescent="0.25">
      <c r="A724" s="29">
        <v>10090017</v>
      </c>
      <c r="B724" s="30">
        <v>44321</v>
      </c>
    </row>
    <row r="725" spans="1:2" x14ac:dyDescent="0.25">
      <c r="A725" s="29">
        <v>10090018</v>
      </c>
      <c r="B725" s="30">
        <v>44361</v>
      </c>
    </row>
    <row r="726" spans="1:2" x14ac:dyDescent="0.25">
      <c r="A726" s="29">
        <v>10090019</v>
      </c>
      <c r="B726" s="30">
        <v>44436</v>
      </c>
    </row>
    <row r="727" spans="1:2" x14ac:dyDescent="0.25">
      <c r="A727" s="29">
        <v>10090020</v>
      </c>
      <c r="B727" s="30">
        <v>44671</v>
      </c>
    </row>
    <row r="728" spans="1:2" x14ac:dyDescent="0.25">
      <c r="A728" s="29">
        <v>10090021</v>
      </c>
      <c r="B728" s="30">
        <v>44676</v>
      </c>
    </row>
    <row r="729" spans="1:2" x14ac:dyDescent="0.25">
      <c r="A729" s="29">
        <v>10090022</v>
      </c>
      <c r="B729" s="30">
        <v>44680</v>
      </c>
    </row>
    <row r="730" spans="1:2" x14ac:dyDescent="0.25">
      <c r="A730" s="29">
        <v>10090023</v>
      </c>
      <c r="B730" s="30">
        <v>44737</v>
      </c>
    </row>
    <row r="731" spans="1:2" x14ac:dyDescent="0.25">
      <c r="A731" s="29">
        <v>10090024</v>
      </c>
      <c r="B731" s="30">
        <v>44722</v>
      </c>
    </row>
    <row r="732" spans="1:2" x14ac:dyDescent="0.25">
      <c r="A732" s="29">
        <v>10090025</v>
      </c>
      <c r="B732" s="30">
        <v>44835</v>
      </c>
    </row>
    <row r="733" spans="1:2" x14ac:dyDescent="0.25">
      <c r="A733" s="29">
        <v>10090026</v>
      </c>
      <c r="B733" s="30">
        <v>44835</v>
      </c>
    </row>
    <row r="734" spans="1:2" x14ac:dyDescent="0.25">
      <c r="A734" s="29">
        <v>10090027</v>
      </c>
      <c r="B734" s="30">
        <v>44866</v>
      </c>
    </row>
    <row r="735" spans="1:2" x14ac:dyDescent="0.25">
      <c r="A735" s="29">
        <v>10090028</v>
      </c>
      <c r="B735" s="30">
        <v>44946</v>
      </c>
    </row>
    <row r="736" spans="1:2" x14ac:dyDescent="0.25">
      <c r="A736" s="29">
        <v>10090029</v>
      </c>
      <c r="B736" s="30">
        <v>44967</v>
      </c>
    </row>
    <row r="737" spans="1:2" x14ac:dyDescent="0.25">
      <c r="A737" s="29">
        <v>10090030</v>
      </c>
      <c r="B737" s="30">
        <v>44978</v>
      </c>
    </row>
    <row r="738" spans="1:2" x14ac:dyDescent="0.25">
      <c r="A738" s="29">
        <v>10090031</v>
      </c>
      <c r="B738" s="30">
        <v>44978</v>
      </c>
    </row>
    <row r="739" spans="1:2" x14ac:dyDescent="0.25">
      <c r="A739" s="29">
        <v>10090032</v>
      </c>
      <c r="B739" s="30">
        <v>45000</v>
      </c>
    </row>
    <row r="740" spans="1:2" x14ac:dyDescent="0.25">
      <c r="A740" s="29">
        <v>10090033</v>
      </c>
      <c r="B740" s="30">
        <v>45009</v>
      </c>
    </row>
    <row r="741" spans="1:2" x14ac:dyDescent="0.25">
      <c r="A741" s="29">
        <v>10090034</v>
      </c>
      <c r="B741" s="30">
        <v>45021</v>
      </c>
    </row>
    <row r="742" spans="1:2" x14ac:dyDescent="0.25">
      <c r="A742" s="29">
        <v>10090035</v>
      </c>
      <c r="B742" s="30">
        <v>45022</v>
      </c>
    </row>
    <row r="743" spans="1:2" x14ac:dyDescent="0.25">
      <c r="A743" s="29">
        <v>10090036</v>
      </c>
      <c r="B743" s="30">
        <v>45052</v>
      </c>
    </row>
    <row r="744" spans="1:2" x14ac:dyDescent="0.25">
      <c r="A744" s="29">
        <v>10090037</v>
      </c>
      <c r="B744" s="30">
        <v>45078</v>
      </c>
    </row>
    <row r="745" spans="1:2" x14ac:dyDescent="0.25">
      <c r="A745" s="29">
        <v>10090038</v>
      </c>
      <c r="B745" s="30">
        <v>45108</v>
      </c>
    </row>
    <row r="746" spans="1:2" x14ac:dyDescent="0.25">
      <c r="A746" s="29">
        <v>10090039</v>
      </c>
      <c r="B746" s="30">
        <v>45110</v>
      </c>
    </row>
    <row r="747" spans="1:2" x14ac:dyDescent="0.25">
      <c r="A747" s="29">
        <v>10090040</v>
      </c>
      <c r="B747" s="30">
        <v>45110</v>
      </c>
    </row>
    <row r="748" spans="1:2" x14ac:dyDescent="0.25">
      <c r="A748" s="29">
        <v>10090041</v>
      </c>
      <c r="B748" s="30">
        <v>45152</v>
      </c>
    </row>
    <row r="749" spans="1:2" x14ac:dyDescent="0.25">
      <c r="A749" s="29">
        <v>10090042</v>
      </c>
      <c r="B749" s="30">
        <v>44652</v>
      </c>
    </row>
    <row r="750" spans="1:2" x14ac:dyDescent="0.25">
      <c r="A750" s="29">
        <v>10090043</v>
      </c>
      <c r="B750" s="30">
        <v>45236</v>
      </c>
    </row>
    <row r="751" spans="1:2" x14ac:dyDescent="0.25">
      <c r="A751" s="29">
        <v>10090044</v>
      </c>
      <c r="B751" s="30">
        <v>45226</v>
      </c>
    </row>
    <row r="752" spans="1:2" x14ac:dyDescent="0.25">
      <c r="A752" s="29">
        <v>10090045</v>
      </c>
      <c r="B752" s="30">
        <v>45226</v>
      </c>
    </row>
    <row r="753" spans="1:2" x14ac:dyDescent="0.25">
      <c r="A753" s="29">
        <v>10090046</v>
      </c>
      <c r="B753" s="30">
        <v>45226</v>
      </c>
    </row>
    <row r="754" spans="1:2" x14ac:dyDescent="0.25">
      <c r="A754" s="29">
        <v>10090047</v>
      </c>
      <c r="B754" s="30">
        <v>45219</v>
      </c>
    </row>
    <row r="755" spans="1:2" x14ac:dyDescent="0.25">
      <c r="A755" s="29">
        <v>10090048</v>
      </c>
      <c r="B755" s="30">
        <v>45198</v>
      </c>
    </row>
    <row r="756" spans="1:2" x14ac:dyDescent="0.25">
      <c r="A756" s="29">
        <v>10090049</v>
      </c>
      <c r="B756" s="30">
        <v>45198</v>
      </c>
    </row>
    <row r="757" spans="1:2" x14ac:dyDescent="0.25">
      <c r="A757" s="29">
        <v>10090050</v>
      </c>
      <c r="B757" s="30">
        <v>45205</v>
      </c>
    </row>
    <row r="758" spans="1:2" x14ac:dyDescent="0.25">
      <c r="A758" s="29">
        <v>10090051</v>
      </c>
      <c r="B758" s="30">
        <v>45323</v>
      </c>
    </row>
    <row r="759" spans="1:2" x14ac:dyDescent="0.25">
      <c r="A759" s="29">
        <v>10090052</v>
      </c>
      <c r="B759" s="30">
        <v>45323</v>
      </c>
    </row>
    <row r="760" spans="1:2" x14ac:dyDescent="0.25">
      <c r="A760" s="29">
        <v>10090053</v>
      </c>
      <c r="B760" s="30">
        <v>45017</v>
      </c>
    </row>
    <row r="761" spans="1:2" x14ac:dyDescent="0.25">
      <c r="A761" s="29">
        <v>10090054</v>
      </c>
      <c r="B761" s="30">
        <v>45541</v>
      </c>
    </row>
    <row r="762" spans="1:2" x14ac:dyDescent="0.25">
      <c r="A762" s="29">
        <v>10090055</v>
      </c>
      <c r="B762" s="30">
        <v>45590</v>
      </c>
    </row>
    <row r="763" spans="1:2" x14ac:dyDescent="0.25">
      <c r="A763" s="29">
        <v>10090056</v>
      </c>
      <c r="B763" s="30">
        <v>45614</v>
      </c>
    </row>
    <row r="764" spans="1:2" x14ac:dyDescent="0.25">
      <c r="A764" s="29">
        <v>10090058</v>
      </c>
      <c r="B764" s="30">
        <v>45681</v>
      </c>
    </row>
    <row r="765" spans="1:2" x14ac:dyDescent="0.25">
      <c r="A765" s="29">
        <v>10090059</v>
      </c>
      <c r="B765" s="30">
        <v>45686</v>
      </c>
    </row>
    <row r="766" spans="1:2" x14ac:dyDescent="0.25">
      <c r="A766" s="29">
        <v>10090060</v>
      </c>
      <c r="B766" s="30">
        <v>45707</v>
      </c>
    </row>
    <row r="767" spans="1:2" x14ac:dyDescent="0.25">
      <c r="A767" s="29">
        <v>10090057</v>
      </c>
      <c r="B767" s="30">
        <v>45721</v>
      </c>
    </row>
    <row r="768" spans="1:2" x14ac:dyDescent="0.25">
      <c r="A768" s="29">
        <v>10090061</v>
      </c>
      <c r="B768" s="30">
        <v>45722</v>
      </c>
    </row>
    <row r="769" spans="1:2" x14ac:dyDescent="0.25">
      <c r="A769" s="29">
        <v>10090062</v>
      </c>
      <c r="B769" s="30">
        <v>45745</v>
      </c>
    </row>
    <row r="770" spans="1:2" x14ac:dyDescent="0.25">
      <c r="A770" s="29">
        <v>10090064</v>
      </c>
      <c r="B770" s="30">
        <v>45745</v>
      </c>
    </row>
    <row r="771" spans="1:2" x14ac:dyDescent="0.25">
      <c r="A771" s="29">
        <v>10090063</v>
      </c>
      <c r="B771" s="30">
        <v>45745</v>
      </c>
    </row>
    <row r="772" spans="1:2" x14ac:dyDescent="0.25">
      <c r="A772" s="29">
        <v>10090065</v>
      </c>
      <c r="B772" s="30">
        <v>45796</v>
      </c>
    </row>
    <row r="773" spans="1:2" x14ac:dyDescent="0.25">
      <c r="A773" s="29">
        <v>10090066</v>
      </c>
      <c r="B773" s="30">
        <v>45872</v>
      </c>
    </row>
    <row r="774" spans="1:2" x14ac:dyDescent="0.25">
      <c r="A774" s="29">
        <v>10090070</v>
      </c>
      <c r="B774" s="30">
        <v>45890</v>
      </c>
    </row>
    <row r="775" spans="1:2" x14ac:dyDescent="0.25">
      <c r="A775" s="29">
        <v>10090069</v>
      </c>
      <c r="B775" s="30">
        <v>45892</v>
      </c>
    </row>
    <row r="776" spans="1:2" x14ac:dyDescent="0.25">
      <c r="A776" s="29">
        <v>10090072</v>
      </c>
      <c r="B776" s="30">
        <v>46005</v>
      </c>
    </row>
    <row r="777" spans="1:2" x14ac:dyDescent="0.25">
      <c r="A777" s="29">
        <v>10090073</v>
      </c>
      <c r="B777" s="30">
        <v>46008</v>
      </c>
    </row>
    <row r="778" spans="1:2" x14ac:dyDescent="0.25">
      <c r="A778" s="29">
        <v>10090074</v>
      </c>
      <c r="B778" s="30">
        <v>46017</v>
      </c>
    </row>
    <row r="779" spans="1:2" x14ac:dyDescent="0.25">
      <c r="A779" s="29">
        <v>10090075</v>
      </c>
      <c r="B779" s="30">
        <v>46026</v>
      </c>
    </row>
    <row r="780" spans="1:2" x14ac:dyDescent="0.25">
      <c r="A780" s="29">
        <v>10090071</v>
      </c>
      <c r="B780" s="30">
        <v>46029</v>
      </c>
    </row>
    <row r="781" spans="1:2" x14ac:dyDescent="0.25">
      <c r="A781" s="29">
        <v>10090076</v>
      </c>
      <c r="B781" s="30">
        <v>46036</v>
      </c>
    </row>
    <row r="782" spans="1:2" x14ac:dyDescent="0.25">
      <c r="A782" s="29">
        <v>10090077</v>
      </c>
      <c r="B782" s="30">
        <v>46036</v>
      </c>
    </row>
    <row r="783" spans="1:2" x14ac:dyDescent="0.25">
      <c r="A783" s="29">
        <v>10090078</v>
      </c>
      <c r="B783" s="30">
        <v>46058</v>
      </c>
    </row>
    <row r="784" spans="1:2" x14ac:dyDescent="0.25">
      <c r="A784" s="29">
        <v>10090079</v>
      </c>
      <c r="B784" s="30">
        <v>46112</v>
      </c>
    </row>
    <row r="785" spans="1:2" x14ac:dyDescent="0.25">
      <c r="A785" s="29">
        <v>10090080</v>
      </c>
      <c r="B785" s="30">
        <v>46112</v>
      </c>
    </row>
    <row r="786" spans="1:2" x14ac:dyDescent="0.25">
      <c r="A786" s="29">
        <v>10090081</v>
      </c>
      <c r="B786" s="30">
        <v>46127</v>
      </c>
    </row>
    <row r="787" spans="1:2" x14ac:dyDescent="0.25">
      <c r="A787" s="29">
        <v>10010038</v>
      </c>
      <c r="B787" s="30">
        <v>45128</v>
      </c>
    </row>
    <row r="788" spans="1:2" x14ac:dyDescent="0.25">
      <c r="A788" s="29">
        <v>10010044</v>
      </c>
      <c r="B788" s="30">
        <v>45161</v>
      </c>
    </row>
    <row r="789" spans="1:2" x14ac:dyDescent="0.25">
      <c r="A789" s="29">
        <v>10010050</v>
      </c>
      <c r="B789" s="30">
        <v>45098</v>
      </c>
    </row>
    <row r="790" spans="1:2" x14ac:dyDescent="0.25">
      <c r="A790" s="29">
        <v>10010051</v>
      </c>
      <c r="B790" s="30">
        <v>45219</v>
      </c>
    </row>
    <row r="791" spans="1:2" x14ac:dyDescent="0.25">
      <c r="A791" s="29">
        <v>10010056</v>
      </c>
      <c r="B791" s="30">
        <v>45297</v>
      </c>
    </row>
    <row r="792" spans="1:2" x14ac:dyDescent="0.25">
      <c r="A792" s="29">
        <v>10010087</v>
      </c>
      <c r="B792" s="30">
        <v>45597</v>
      </c>
    </row>
    <row r="793" spans="1:2" x14ac:dyDescent="0.25">
      <c r="A793" s="29">
        <v>10010089</v>
      </c>
      <c r="B793" s="30">
        <v>45627</v>
      </c>
    </row>
    <row r="794" spans="1:2" x14ac:dyDescent="0.25">
      <c r="A794" s="29">
        <v>10010086</v>
      </c>
      <c r="B794" s="30">
        <v>45631</v>
      </c>
    </row>
    <row r="795" spans="1:2" x14ac:dyDescent="0.25">
      <c r="A795" s="29">
        <v>10010095</v>
      </c>
      <c r="B795" s="30">
        <v>45700</v>
      </c>
    </row>
    <row r="796" spans="1:2" x14ac:dyDescent="0.25">
      <c r="A796" s="29">
        <v>10010098</v>
      </c>
      <c r="B796" s="30">
        <v>45700</v>
      </c>
    </row>
    <row r="797" spans="1:2" x14ac:dyDescent="0.25">
      <c r="A797" s="29">
        <v>10010099</v>
      </c>
      <c r="B797" s="30">
        <v>45736</v>
      </c>
    </row>
    <row r="798" spans="1:2" x14ac:dyDescent="0.25">
      <c r="A798" s="29">
        <v>10010103</v>
      </c>
      <c r="B798" s="30">
        <v>45737</v>
      </c>
    </row>
    <row r="799" spans="1:2" x14ac:dyDescent="0.25">
      <c r="A799" s="29">
        <v>10010119</v>
      </c>
      <c r="B799" s="30">
        <v>45861</v>
      </c>
    </row>
    <row r="800" spans="1:2" x14ac:dyDescent="0.25">
      <c r="A800" s="29">
        <v>10010135</v>
      </c>
      <c r="B800" s="30">
        <v>45922</v>
      </c>
    </row>
    <row r="801" spans="1:2" x14ac:dyDescent="0.25">
      <c r="A801" s="29">
        <v>10010137</v>
      </c>
      <c r="B801" s="30">
        <v>45945</v>
      </c>
    </row>
    <row r="802" spans="1:2" x14ac:dyDescent="0.25">
      <c r="A802" s="29">
        <v>10580001</v>
      </c>
      <c r="B802" s="30">
        <v>45946</v>
      </c>
    </row>
    <row r="803" spans="1:2" x14ac:dyDescent="0.25">
      <c r="A803" s="29">
        <v>10580004</v>
      </c>
      <c r="B803" s="30">
        <v>45962</v>
      </c>
    </row>
    <row r="804" spans="1:2" x14ac:dyDescent="0.25">
      <c r="A804" s="29">
        <v>10580002</v>
      </c>
      <c r="B804" s="30">
        <v>45968</v>
      </c>
    </row>
    <row r="805" spans="1:2" x14ac:dyDescent="0.25">
      <c r="A805" s="29">
        <v>10580007</v>
      </c>
      <c r="B805" s="30">
        <v>45991</v>
      </c>
    </row>
    <row r="806" spans="1:2" x14ac:dyDescent="0.25">
      <c r="A806" s="29">
        <v>10580005</v>
      </c>
      <c r="B806" s="30">
        <v>45990</v>
      </c>
    </row>
    <row r="807" spans="1:2" x14ac:dyDescent="0.25">
      <c r="A807" s="29">
        <v>10580009</v>
      </c>
      <c r="B807" s="30">
        <v>46005</v>
      </c>
    </row>
    <row r="808" spans="1:2" x14ac:dyDescent="0.25">
      <c r="A808" s="29">
        <v>10580015</v>
      </c>
      <c r="B808" s="30">
        <v>46038</v>
      </c>
    </row>
    <row r="809" spans="1:2" x14ac:dyDescent="0.25">
      <c r="A809" s="29">
        <v>10580012</v>
      </c>
      <c r="B809" s="30">
        <v>46038</v>
      </c>
    </row>
    <row r="810" spans="1:2" x14ac:dyDescent="0.25">
      <c r="A810" s="29">
        <v>10580014</v>
      </c>
      <c r="B810" s="30">
        <v>46039</v>
      </c>
    </row>
    <row r="811" spans="1:2" x14ac:dyDescent="0.25">
      <c r="A811" s="29">
        <v>10580017</v>
      </c>
      <c r="B811" s="30">
        <v>46039</v>
      </c>
    </row>
    <row r="812" spans="1:2" x14ac:dyDescent="0.25">
      <c r="A812" s="29">
        <v>10580010</v>
      </c>
      <c r="B812" s="30">
        <v>46039</v>
      </c>
    </row>
    <row r="813" spans="1:2" x14ac:dyDescent="0.25">
      <c r="A813" s="29">
        <v>10580008</v>
      </c>
      <c r="B813" s="30">
        <v>46040</v>
      </c>
    </row>
    <row r="814" spans="1:2" x14ac:dyDescent="0.25">
      <c r="A814" s="29">
        <v>10580018</v>
      </c>
      <c r="B814" s="30">
        <v>46046</v>
      </c>
    </row>
    <row r="815" spans="1:2" x14ac:dyDescent="0.25">
      <c r="A815" s="29">
        <v>10580013</v>
      </c>
      <c r="B815" s="30">
        <v>46055</v>
      </c>
    </row>
    <row r="816" spans="1:2" x14ac:dyDescent="0.25">
      <c r="A816" s="29">
        <v>10580020</v>
      </c>
      <c r="B816" s="30">
        <v>46066</v>
      </c>
    </row>
    <row r="817" spans="1:2" x14ac:dyDescent="0.25">
      <c r="A817" s="29">
        <v>10580023</v>
      </c>
      <c r="B817" s="30">
        <v>46066</v>
      </c>
    </row>
    <row r="818" spans="1:2" x14ac:dyDescent="0.25">
      <c r="A818" s="29">
        <v>10580022</v>
      </c>
      <c r="B818" s="30">
        <v>46072</v>
      </c>
    </row>
    <row r="819" spans="1:2" x14ac:dyDescent="0.25">
      <c r="A819" s="29">
        <v>10580032</v>
      </c>
      <c r="B819" s="30">
        <v>46101</v>
      </c>
    </row>
    <row r="820" spans="1:2" x14ac:dyDescent="0.25">
      <c r="A820" s="29">
        <v>10580028</v>
      </c>
      <c r="B820" s="30">
        <v>46111</v>
      </c>
    </row>
    <row r="821" spans="1:2" x14ac:dyDescent="0.25">
      <c r="A821" s="29">
        <v>10580025</v>
      </c>
      <c r="B821" s="30">
        <v>46112</v>
      </c>
    </row>
    <row r="822" spans="1:2" x14ac:dyDescent="0.25">
      <c r="A822" s="29">
        <v>10580027</v>
      </c>
      <c r="B822" s="30">
        <v>46112</v>
      </c>
    </row>
    <row r="823" spans="1:2" x14ac:dyDescent="0.25">
      <c r="A823" s="29">
        <v>10580019</v>
      </c>
      <c r="B823" s="30">
        <v>46112</v>
      </c>
    </row>
    <row r="824" spans="1:2" x14ac:dyDescent="0.25">
      <c r="A824" s="29">
        <v>10580031</v>
      </c>
      <c r="B824" s="30">
        <v>46112</v>
      </c>
    </row>
    <row r="825" spans="1:2" x14ac:dyDescent="0.25">
      <c r="A825" s="29">
        <v>10580034</v>
      </c>
      <c r="B825" s="30">
        <v>46112</v>
      </c>
    </row>
    <row r="826" spans="1:2" x14ac:dyDescent="0.25">
      <c r="A826" s="29">
        <v>10580033</v>
      </c>
      <c r="B826" s="30">
        <v>46112</v>
      </c>
    </row>
    <row r="827" spans="1:2" x14ac:dyDescent="0.25">
      <c r="A827" s="29">
        <v>10580024</v>
      </c>
      <c r="B827" s="30">
        <v>46112</v>
      </c>
    </row>
    <row r="828" spans="1:2" x14ac:dyDescent="0.25">
      <c r="A828" s="29">
        <v>10580029</v>
      </c>
      <c r="B828" s="30">
        <v>46112</v>
      </c>
    </row>
    <row r="829" spans="1:2" x14ac:dyDescent="0.25">
      <c r="A829" s="29">
        <v>10580026</v>
      </c>
      <c r="B829" s="30">
        <v>46112</v>
      </c>
    </row>
    <row r="830" spans="1:2" x14ac:dyDescent="0.25">
      <c r="A830" s="29">
        <v>10580035</v>
      </c>
      <c r="B830" s="30">
        <v>46112</v>
      </c>
    </row>
    <row r="831" spans="1:2" x14ac:dyDescent="0.25">
      <c r="A831" s="29">
        <v>10580030</v>
      </c>
      <c r="B831" s="30">
        <v>46112</v>
      </c>
    </row>
    <row r="832" spans="1:2" x14ac:dyDescent="0.25">
      <c r="A832" s="29">
        <v>10580036</v>
      </c>
      <c r="B832" s="30">
        <v>46227</v>
      </c>
    </row>
    <row r="833" spans="1:2" x14ac:dyDescent="0.25">
      <c r="A833" s="29">
        <v>10360001</v>
      </c>
      <c r="B833" s="30">
        <v>42979</v>
      </c>
    </row>
    <row r="834" spans="1:2" x14ac:dyDescent="0.25">
      <c r="A834" s="29">
        <v>10370001</v>
      </c>
      <c r="B834" s="30">
        <v>42979</v>
      </c>
    </row>
    <row r="835" spans="1:2" x14ac:dyDescent="0.25">
      <c r="A835" s="29">
        <v>10380001</v>
      </c>
      <c r="B835" s="30">
        <v>42979</v>
      </c>
    </row>
    <row r="836" spans="1:2" x14ac:dyDescent="0.25">
      <c r="A836" s="29">
        <v>10390001</v>
      </c>
      <c r="B836" s="30">
        <v>44946</v>
      </c>
    </row>
    <row r="837" spans="1:2" x14ac:dyDescent="0.25">
      <c r="A837" s="29">
        <v>10400001</v>
      </c>
      <c r="B837" s="30">
        <v>42979</v>
      </c>
    </row>
    <row r="838" spans="1:2" x14ac:dyDescent="0.25">
      <c r="A838" s="29">
        <v>10410001</v>
      </c>
      <c r="B838" s="30">
        <v>43080</v>
      </c>
    </row>
    <row r="839" spans="1:2" x14ac:dyDescent="0.25">
      <c r="A839" s="29">
        <v>10470001</v>
      </c>
      <c r="B839" s="30">
        <v>45017</v>
      </c>
    </row>
    <row r="840" spans="1:2" x14ac:dyDescent="0.25">
      <c r="A840" s="29">
        <v>10480001</v>
      </c>
      <c r="B840" s="30">
        <v>43756</v>
      </c>
    </row>
    <row r="841" spans="1:2" x14ac:dyDescent="0.25">
      <c r="A841" s="29">
        <v>10480002</v>
      </c>
      <c r="B841" s="30">
        <v>43756</v>
      </c>
    </row>
    <row r="842" spans="1:2" x14ac:dyDescent="0.25">
      <c r="A842" s="29">
        <v>10480003</v>
      </c>
      <c r="B842" s="30">
        <v>43932</v>
      </c>
    </row>
    <row r="843" spans="1:2" x14ac:dyDescent="0.25">
      <c r="A843" s="29">
        <v>10480004</v>
      </c>
      <c r="B843" s="30">
        <v>44974</v>
      </c>
    </row>
    <row r="844" spans="1:2" x14ac:dyDescent="0.25">
      <c r="A844" s="29">
        <v>10480005</v>
      </c>
      <c r="B844" s="30">
        <v>44974</v>
      </c>
    </row>
    <row r="845" spans="1:2" x14ac:dyDescent="0.25">
      <c r="A845" s="29">
        <v>10480006</v>
      </c>
      <c r="B845" s="30">
        <v>44974</v>
      </c>
    </row>
    <row r="846" spans="1:2" x14ac:dyDescent="0.25">
      <c r="A846" s="29">
        <v>10480007</v>
      </c>
      <c r="B846" s="30">
        <v>44974</v>
      </c>
    </row>
    <row r="847" spans="1:2" x14ac:dyDescent="0.25">
      <c r="A847" s="29">
        <v>10480008</v>
      </c>
      <c r="B847" s="30">
        <v>44975</v>
      </c>
    </row>
    <row r="848" spans="1:2" x14ac:dyDescent="0.25">
      <c r="A848" s="29">
        <v>10480009</v>
      </c>
      <c r="B848" s="30">
        <v>45287</v>
      </c>
    </row>
    <row r="849" spans="1:2" x14ac:dyDescent="0.25">
      <c r="A849" s="29">
        <v>10480010</v>
      </c>
      <c r="B849" s="30">
        <v>45288</v>
      </c>
    </row>
    <row r="850" spans="1:2" x14ac:dyDescent="0.25">
      <c r="A850" s="29">
        <v>10480011</v>
      </c>
      <c r="B850" s="30">
        <v>45288</v>
      </c>
    </row>
    <row r="851" spans="1:2" x14ac:dyDescent="0.25">
      <c r="A851" s="29">
        <v>10480012</v>
      </c>
      <c r="B851" s="30">
        <v>45323</v>
      </c>
    </row>
    <row r="852" spans="1:2" x14ac:dyDescent="0.25">
      <c r="A852" s="29">
        <v>10480013</v>
      </c>
      <c r="B852" s="30">
        <v>45056</v>
      </c>
    </row>
    <row r="853" spans="1:2" x14ac:dyDescent="0.25">
      <c r="A853" s="29">
        <v>10480014</v>
      </c>
      <c r="B853" s="30">
        <v>45056</v>
      </c>
    </row>
    <row r="854" spans="1:2" x14ac:dyDescent="0.25">
      <c r="A854" s="29">
        <v>10480015</v>
      </c>
      <c r="B854" s="30">
        <v>45024</v>
      </c>
    </row>
    <row r="855" spans="1:2" x14ac:dyDescent="0.25">
      <c r="A855" s="29">
        <v>10480016</v>
      </c>
      <c r="B855" s="30">
        <v>45460</v>
      </c>
    </row>
    <row r="856" spans="1:2" x14ac:dyDescent="0.25">
      <c r="A856" s="29">
        <v>10480020</v>
      </c>
      <c r="B856" s="30">
        <v>45474</v>
      </c>
    </row>
    <row r="857" spans="1:2" x14ac:dyDescent="0.25">
      <c r="A857" s="29">
        <v>10480017</v>
      </c>
      <c r="B857" s="30">
        <v>45474</v>
      </c>
    </row>
    <row r="858" spans="1:2" x14ac:dyDescent="0.25">
      <c r="A858" s="29">
        <v>10480019</v>
      </c>
      <c r="B858" s="30">
        <v>45474</v>
      </c>
    </row>
    <row r="859" spans="1:2" x14ac:dyDescent="0.25">
      <c r="A859" s="29">
        <v>10480018</v>
      </c>
      <c r="B859" s="30">
        <v>45474</v>
      </c>
    </row>
    <row r="860" spans="1:2" x14ac:dyDescent="0.25">
      <c r="A860" s="29">
        <v>10480021</v>
      </c>
      <c r="B860" s="30">
        <v>45632</v>
      </c>
    </row>
    <row r="861" spans="1:2" x14ac:dyDescent="0.25">
      <c r="A861" s="29">
        <v>10480022</v>
      </c>
      <c r="B861" s="30">
        <v>45642</v>
      </c>
    </row>
    <row r="862" spans="1:2" x14ac:dyDescent="0.25">
      <c r="A862" s="29">
        <v>10480023</v>
      </c>
      <c r="B862" s="30">
        <v>45664</v>
      </c>
    </row>
    <row r="863" spans="1:2" x14ac:dyDescent="0.25">
      <c r="A863" s="29">
        <v>10480028</v>
      </c>
      <c r="B863" s="30">
        <v>45711</v>
      </c>
    </row>
    <row r="864" spans="1:2" x14ac:dyDescent="0.25">
      <c r="A864" s="29">
        <v>10480026</v>
      </c>
      <c r="B864" s="30">
        <v>45738</v>
      </c>
    </row>
    <row r="865" spans="1:2" x14ac:dyDescent="0.25">
      <c r="A865" s="29">
        <v>10480025</v>
      </c>
      <c r="B865" s="30">
        <v>45741</v>
      </c>
    </row>
    <row r="866" spans="1:2" x14ac:dyDescent="0.25">
      <c r="A866" s="29">
        <v>10480033</v>
      </c>
      <c r="B866" s="30">
        <v>45742</v>
      </c>
    </row>
    <row r="867" spans="1:2" x14ac:dyDescent="0.25">
      <c r="A867" s="29">
        <v>10100048</v>
      </c>
      <c r="B867" s="30">
        <v>45593</v>
      </c>
    </row>
    <row r="868" spans="1:2" x14ac:dyDescent="0.25">
      <c r="A868" s="29">
        <v>10530001</v>
      </c>
      <c r="B868" s="30">
        <v>45696</v>
      </c>
    </row>
    <row r="869" spans="1:2" x14ac:dyDescent="0.25">
      <c r="A869" s="29">
        <v>10530002</v>
      </c>
      <c r="B869" s="30">
        <v>45696</v>
      </c>
    </row>
    <row r="870" spans="1:2" x14ac:dyDescent="0.25">
      <c r="A870" s="29">
        <v>10530003</v>
      </c>
      <c r="B870" s="30">
        <v>45696</v>
      </c>
    </row>
    <row r="871" spans="1:2" x14ac:dyDescent="0.25">
      <c r="A871" s="29">
        <v>10530004</v>
      </c>
      <c r="B871" s="30">
        <v>45696</v>
      </c>
    </row>
    <row r="872" spans="1:2" x14ac:dyDescent="0.25">
      <c r="A872" s="29">
        <v>10530005</v>
      </c>
      <c r="B872" s="30">
        <v>45696</v>
      </c>
    </row>
    <row r="873" spans="1:2" x14ac:dyDescent="0.25">
      <c r="A873" s="29">
        <v>10530006</v>
      </c>
      <c r="B873" s="30">
        <v>45696</v>
      </c>
    </row>
    <row r="874" spans="1:2" x14ac:dyDescent="0.25">
      <c r="A874" s="29">
        <v>10530007</v>
      </c>
      <c r="B874" s="30">
        <v>45696</v>
      </c>
    </row>
    <row r="875" spans="1:2" x14ac:dyDescent="0.25">
      <c r="A875" s="29">
        <v>10530008</v>
      </c>
      <c r="B875" s="30">
        <v>45696</v>
      </c>
    </row>
    <row r="876" spans="1:2" x14ac:dyDescent="0.25">
      <c r="A876" s="29">
        <v>10530012</v>
      </c>
      <c r="B876" s="30">
        <v>45696</v>
      </c>
    </row>
    <row r="877" spans="1:2" x14ac:dyDescent="0.25">
      <c r="A877" s="29">
        <v>10530014</v>
      </c>
      <c r="B877" s="30">
        <v>45696</v>
      </c>
    </row>
    <row r="878" spans="1:2" x14ac:dyDescent="0.25">
      <c r="A878" s="29">
        <v>10530015</v>
      </c>
      <c r="B878" s="30">
        <v>45696</v>
      </c>
    </row>
    <row r="879" spans="1:2" x14ac:dyDescent="0.25">
      <c r="A879" s="29">
        <v>10530009</v>
      </c>
      <c r="B879" s="30">
        <v>45696</v>
      </c>
    </row>
    <row r="880" spans="1:2" x14ac:dyDescent="0.25">
      <c r="A880" s="29">
        <v>10530010</v>
      </c>
      <c r="B880" s="30">
        <v>45696</v>
      </c>
    </row>
    <row r="881" spans="1:2" x14ac:dyDescent="0.25">
      <c r="A881" s="29">
        <v>10530013</v>
      </c>
      <c r="B881" s="30">
        <v>45697</v>
      </c>
    </row>
    <row r="882" spans="1:2" x14ac:dyDescent="0.25">
      <c r="A882" s="29">
        <v>10530016</v>
      </c>
      <c r="B882" s="30">
        <v>45697</v>
      </c>
    </row>
    <row r="883" spans="1:2" x14ac:dyDescent="0.25">
      <c r="A883" s="29">
        <v>10530011</v>
      </c>
      <c r="B883" s="30">
        <v>45698</v>
      </c>
    </row>
    <row r="884" spans="1:2" x14ac:dyDescent="0.25">
      <c r="A884" s="29">
        <v>10530017</v>
      </c>
      <c r="B884" s="30">
        <v>45699</v>
      </c>
    </row>
    <row r="885" spans="1:2" x14ac:dyDescent="0.25">
      <c r="A885" s="29">
        <v>10530018</v>
      </c>
      <c r="B885" s="30">
        <v>45700</v>
      </c>
    </row>
    <row r="886" spans="1:2" x14ac:dyDescent="0.25">
      <c r="A886" s="29">
        <v>10530019</v>
      </c>
      <c r="B886" s="30">
        <v>45701</v>
      </c>
    </row>
    <row r="887" spans="1:2" x14ac:dyDescent="0.25">
      <c r="A887" s="29">
        <v>10530020</v>
      </c>
      <c r="B887" s="30">
        <v>45701</v>
      </c>
    </row>
    <row r="888" spans="1:2" x14ac:dyDescent="0.25">
      <c r="A888" s="29">
        <v>10530021</v>
      </c>
      <c r="B888" s="30">
        <v>45702</v>
      </c>
    </row>
    <row r="889" spans="1:2" x14ac:dyDescent="0.25">
      <c r="A889" s="29">
        <v>10530022</v>
      </c>
      <c r="B889" s="30">
        <v>45705</v>
      </c>
    </row>
    <row r="890" spans="1:2" x14ac:dyDescent="0.25">
      <c r="A890" s="29">
        <v>10530023</v>
      </c>
      <c r="B890" s="30">
        <v>45707</v>
      </c>
    </row>
    <row r="891" spans="1:2" x14ac:dyDescent="0.25">
      <c r="A891" s="29">
        <v>10530024</v>
      </c>
      <c r="B891" s="30">
        <v>45707</v>
      </c>
    </row>
    <row r="892" spans="1:2" x14ac:dyDescent="0.25">
      <c r="A892" s="29">
        <v>10530025</v>
      </c>
      <c r="B892" s="30">
        <v>45711</v>
      </c>
    </row>
    <row r="893" spans="1:2" x14ac:dyDescent="0.25">
      <c r="A893" s="29">
        <v>10530026</v>
      </c>
      <c r="B893" s="30">
        <v>45713</v>
      </c>
    </row>
    <row r="894" spans="1:2" x14ac:dyDescent="0.25">
      <c r="A894" s="29">
        <v>10530030</v>
      </c>
      <c r="B894" s="30">
        <v>45716</v>
      </c>
    </row>
    <row r="895" spans="1:2" x14ac:dyDescent="0.25">
      <c r="A895" s="29">
        <v>10530029</v>
      </c>
      <c r="B895" s="30">
        <v>45717</v>
      </c>
    </row>
    <row r="896" spans="1:2" x14ac:dyDescent="0.25">
      <c r="A896" s="29">
        <v>10530031</v>
      </c>
      <c r="B896" s="30">
        <v>45720</v>
      </c>
    </row>
    <row r="897" spans="1:2" x14ac:dyDescent="0.25">
      <c r="A897" s="29">
        <v>10530039</v>
      </c>
      <c r="B897" s="30">
        <v>45736</v>
      </c>
    </row>
    <row r="898" spans="1:2" x14ac:dyDescent="0.25">
      <c r="A898" s="29">
        <v>10530041</v>
      </c>
      <c r="B898" s="30">
        <v>45737</v>
      </c>
    </row>
    <row r="899" spans="1:2" x14ac:dyDescent="0.25">
      <c r="A899" s="29">
        <v>10530027</v>
      </c>
      <c r="B899" s="30">
        <v>45737</v>
      </c>
    </row>
    <row r="900" spans="1:2" x14ac:dyDescent="0.25">
      <c r="A900" s="29">
        <v>10530036</v>
      </c>
      <c r="B900" s="30">
        <v>45737</v>
      </c>
    </row>
    <row r="901" spans="1:2" x14ac:dyDescent="0.25">
      <c r="A901" s="29">
        <v>10530042</v>
      </c>
      <c r="B901" s="30">
        <v>45737</v>
      </c>
    </row>
    <row r="902" spans="1:2" x14ac:dyDescent="0.25">
      <c r="A902" s="29">
        <v>10530032</v>
      </c>
      <c r="B902" s="30">
        <v>45739</v>
      </c>
    </row>
    <row r="903" spans="1:2" x14ac:dyDescent="0.25">
      <c r="A903" s="29">
        <v>10530037</v>
      </c>
      <c r="B903" s="30">
        <v>45741</v>
      </c>
    </row>
    <row r="904" spans="1:2" x14ac:dyDescent="0.25">
      <c r="A904" s="29">
        <v>10530040</v>
      </c>
      <c r="B904" s="30">
        <v>45745</v>
      </c>
    </row>
    <row r="905" spans="1:2" x14ac:dyDescent="0.25">
      <c r="A905" s="29">
        <v>10530049</v>
      </c>
      <c r="B905" s="30">
        <v>45745</v>
      </c>
    </row>
    <row r="906" spans="1:2" x14ac:dyDescent="0.25">
      <c r="A906" s="29">
        <v>10530033</v>
      </c>
      <c r="B906" s="30">
        <v>45745</v>
      </c>
    </row>
    <row r="907" spans="1:2" x14ac:dyDescent="0.25">
      <c r="A907" s="29">
        <v>10530034</v>
      </c>
      <c r="B907" s="30">
        <v>45745</v>
      </c>
    </row>
    <row r="908" spans="1:2" x14ac:dyDescent="0.25">
      <c r="A908" s="29">
        <v>10530035</v>
      </c>
      <c r="B908" s="30">
        <v>45745</v>
      </c>
    </row>
    <row r="909" spans="1:2" x14ac:dyDescent="0.25">
      <c r="A909" s="29">
        <v>10530038</v>
      </c>
      <c r="B909" s="30">
        <v>45745</v>
      </c>
    </row>
    <row r="910" spans="1:2" x14ac:dyDescent="0.25">
      <c r="A910" s="29">
        <v>10530043</v>
      </c>
      <c r="B910" s="30">
        <v>45745</v>
      </c>
    </row>
    <row r="911" spans="1:2" x14ac:dyDescent="0.25">
      <c r="A911" s="29">
        <v>10530044</v>
      </c>
      <c r="B911" s="30">
        <v>45745</v>
      </c>
    </row>
    <row r="912" spans="1:2" x14ac:dyDescent="0.25">
      <c r="A912" s="29">
        <v>10530047</v>
      </c>
      <c r="B912" s="30">
        <v>45745</v>
      </c>
    </row>
    <row r="913" spans="1:2" x14ac:dyDescent="0.25">
      <c r="A913" s="29">
        <v>10530050</v>
      </c>
      <c r="B913" s="30">
        <v>45749</v>
      </c>
    </row>
    <row r="914" spans="1:2" x14ac:dyDescent="0.25">
      <c r="A914" s="29">
        <v>10530052</v>
      </c>
      <c r="B914" s="30">
        <v>45749</v>
      </c>
    </row>
    <row r="915" spans="1:2" x14ac:dyDescent="0.25">
      <c r="A915" s="29">
        <v>10530051</v>
      </c>
      <c r="B915" s="30">
        <v>45750</v>
      </c>
    </row>
    <row r="916" spans="1:2" x14ac:dyDescent="0.25">
      <c r="A916" s="29">
        <v>10530046</v>
      </c>
      <c r="B916" s="30">
        <v>45751</v>
      </c>
    </row>
    <row r="917" spans="1:2" x14ac:dyDescent="0.25">
      <c r="A917" s="29">
        <v>10530048</v>
      </c>
      <c r="B917" s="30">
        <v>45755</v>
      </c>
    </row>
    <row r="918" spans="1:2" x14ac:dyDescent="0.25">
      <c r="A918" s="29">
        <v>10530045</v>
      </c>
      <c r="B918" s="30">
        <v>45755</v>
      </c>
    </row>
    <row r="919" spans="1:2" x14ac:dyDescent="0.25">
      <c r="A919" s="29">
        <v>10530053</v>
      </c>
      <c r="B919" s="30">
        <v>45766</v>
      </c>
    </row>
    <row r="920" spans="1:2" x14ac:dyDescent="0.25">
      <c r="A920" s="29">
        <v>10530054</v>
      </c>
      <c r="B920" s="30">
        <v>45772</v>
      </c>
    </row>
    <row r="921" spans="1:2" x14ac:dyDescent="0.25">
      <c r="A921" s="29">
        <v>10530057</v>
      </c>
      <c r="B921" s="30">
        <v>45775</v>
      </c>
    </row>
    <row r="922" spans="1:2" x14ac:dyDescent="0.25">
      <c r="A922" s="29">
        <v>10530056</v>
      </c>
      <c r="B922" s="30">
        <v>45775</v>
      </c>
    </row>
    <row r="923" spans="1:2" x14ac:dyDescent="0.25">
      <c r="A923" s="29">
        <v>10530055</v>
      </c>
      <c r="B923" s="30">
        <v>45778</v>
      </c>
    </row>
    <row r="924" spans="1:2" x14ac:dyDescent="0.25">
      <c r="A924" s="29">
        <v>10530059</v>
      </c>
      <c r="B924" s="30">
        <v>45778</v>
      </c>
    </row>
    <row r="925" spans="1:2" x14ac:dyDescent="0.25">
      <c r="A925" s="29">
        <v>10530058</v>
      </c>
      <c r="B925" s="30">
        <v>45779</v>
      </c>
    </row>
    <row r="926" spans="1:2" x14ac:dyDescent="0.25">
      <c r="A926" s="29">
        <v>10530060</v>
      </c>
      <c r="B926" s="30">
        <v>45779</v>
      </c>
    </row>
    <row r="927" spans="1:2" x14ac:dyDescent="0.25">
      <c r="A927" s="29">
        <v>10530061</v>
      </c>
      <c r="B927" s="30">
        <v>45793</v>
      </c>
    </row>
    <row r="928" spans="1:2" x14ac:dyDescent="0.25">
      <c r="A928" s="29">
        <v>10530063</v>
      </c>
      <c r="B928" s="30">
        <v>45794</v>
      </c>
    </row>
    <row r="929" spans="1:2" x14ac:dyDescent="0.25">
      <c r="A929" s="29">
        <v>10530062</v>
      </c>
      <c r="B929" s="30">
        <v>45796</v>
      </c>
    </row>
    <row r="930" spans="1:2" x14ac:dyDescent="0.25">
      <c r="A930" s="29">
        <v>10530064</v>
      </c>
      <c r="B930" s="30">
        <v>45809</v>
      </c>
    </row>
    <row r="931" spans="1:2" x14ac:dyDescent="0.25">
      <c r="A931" s="29">
        <v>10530068</v>
      </c>
      <c r="B931" s="30">
        <v>45814</v>
      </c>
    </row>
    <row r="932" spans="1:2" x14ac:dyDescent="0.25">
      <c r="A932" s="29">
        <v>10530065</v>
      </c>
      <c r="B932" s="30">
        <v>45816</v>
      </c>
    </row>
    <row r="933" spans="1:2" x14ac:dyDescent="0.25">
      <c r="A933" s="29">
        <v>10530069</v>
      </c>
      <c r="B933" s="30">
        <v>45821</v>
      </c>
    </row>
    <row r="934" spans="1:2" x14ac:dyDescent="0.25">
      <c r="A934" s="29">
        <v>10530067</v>
      </c>
      <c r="B934" s="30">
        <v>45828</v>
      </c>
    </row>
    <row r="935" spans="1:2" x14ac:dyDescent="0.25">
      <c r="A935" s="29">
        <v>10530072</v>
      </c>
      <c r="B935" s="30">
        <v>45830</v>
      </c>
    </row>
    <row r="936" spans="1:2" x14ac:dyDescent="0.25">
      <c r="A936" s="29">
        <v>10530075</v>
      </c>
      <c r="B936" s="30">
        <v>45830</v>
      </c>
    </row>
    <row r="937" spans="1:2" x14ac:dyDescent="0.25">
      <c r="A937" s="29">
        <v>10530071</v>
      </c>
      <c r="B937" s="30">
        <v>45836</v>
      </c>
    </row>
    <row r="938" spans="1:2" x14ac:dyDescent="0.25">
      <c r="A938" s="29">
        <v>10530070</v>
      </c>
      <c r="B938" s="30">
        <v>45838</v>
      </c>
    </row>
    <row r="939" spans="1:2" x14ac:dyDescent="0.25">
      <c r="A939" s="29">
        <v>10530074</v>
      </c>
      <c r="B939" s="30">
        <v>45849</v>
      </c>
    </row>
    <row r="940" spans="1:2" x14ac:dyDescent="0.25">
      <c r="A940" s="29">
        <v>10530076</v>
      </c>
      <c r="B940" s="30">
        <v>45863</v>
      </c>
    </row>
    <row r="941" spans="1:2" x14ac:dyDescent="0.25">
      <c r="A941" s="29">
        <v>10530079</v>
      </c>
      <c r="B941" s="30">
        <v>45892</v>
      </c>
    </row>
    <row r="942" spans="1:2" x14ac:dyDescent="0.25">
      <c r="A942" s="29">
        <v>10530081</v>
      </c>
      <c r="B942" s="30">
        <v>45894</v>
      </c>
    </row>
    <row r="943" spans="1:2" x14ac:dyDescent="0.25">
      <c r="A943" s="29">
        <v>10530082</v>
      </c>
      <c r="B943" s="30">
        <v>45894</v>
      </c>
    </row>
    <row r="944" spans="1:2" x14ac:dyDescent="0.25">
      <c r="A944" s="29">
        <v>10530080</v>
      </c>
      <c r="B944" s="30">
        <v>45899</v>
      </c>
    </row>
    <row r="945" spans="1:2" x14ac:dyDescent="0.25">
      <c r="A945" s="29">
        <v>10530078</v>
      </c>
      <c r="B945" s="30">
        <v>45898</v>
      </c>
    </row>
    <row r="946" spans="1:2" x14ac:dyDescent="0.25">
      <c r="A946" s="29">
        <v>10530090</v>
      </c>
      <c r="B946" s="30">
        <v>45912</v>
      </c>
    </row>
    <row r="947" spans="1:2" x14ac:dyDescent="0.25">
      <c r="A947" s="29">
        <v>10530088</v>
      </c>
      <c r="B947" s="30">
        <v>45917</v>
      </c>
    </row>
    <row r="948" spans="1:2" x14ac:dyDescent="0.25">
      <c r="A948" s="29">
        <v>10530086</v>
      </c>
      <c r="B948" s="30">
        <v>45924</v>
      </c>
    </row>
    <row r="949" spans="1:2" x14ac:dyDescent="0.25">
      <c r="A949" s="29">
        <v>10530085</v>
      </c>
      <c r="B949" s="30">
        <v>45924</v>
      </c>
    </row>
    <row r="950" spans="1:2" x14ac:dyDescent="0.25">
      <c r="A950" s="29">
        <v>10530093</v>
      </c>
      <c r="B950" s="30">
        <v>45941</v>
      </c>
    </row>
    <row r="951" spans="1:2" x14ac:dyDescent="0.25">
      <c r="A951" s="29">
        <v>10530092</v>
      </c>
      <c r="B951" s="30">
        <v>45944</v>
      </c>
    </row>
    <row r="952" spans="1:2" x14ac:dyDescent="0.25">
      <c r="A952" s="29">
        <v>10530091</v>
      </c>
      <c r="B952" s="30">
        <v>45948</v>
      </c>
    </row>
    <row r="953" spans="1:2" x14ac:dyDescent="0.25">
      <c r="A953" s="29">
        <v>10530089</v>
      </c>
      <c r="B953" s="30">
        <v>45965</v>
      </c>
    </row>
    <row r="954" spans="1:2" x14ac:dyDescent="0.25">
      <c r="A954" s="29">
        <v>10530095</v>
      </c>
      <c r="B954" s="30">
        <v>45966</v>
      </c>
    </row>
    <row r="955" spans="1:2" x14ac:dyDescent="0.25">
      <c r="A955" s="29">
        <v>10530094</v>
      </c>
      <c r="B955" s="30">
        <v>45968</v>
      </c>
    </row>
    <row r="956" spans="1:2" x14ac:dyDescent="0.25">
      <c r="A956" s="29">
        <v>10530084</v>
      </c>
      <c r="B956" s="30">
        <v>45982</v>
      </c>
    </row>
    <row r="957" spans="1:2" x14ac:dyDescent="0.25">
      <c r="A957" s="29">
        <v>10530096</v>
      </c>
      <c r="B957" s="30">
        <v>45991</v>
      </c>
    </row>
    <row r="958" spans="1:2" x14ac:dyDescent="0.25">
      <c r="A958" s="29">
        <v>10530097</v>
      </c>
      <c r="B958" s="30">
        <v>45991</v>
      </c>
    </row>
    <row r="959" spans="1:2" x14ac:dyDescent="0.25">
      <c r="A959" s="29">
        <v>10530083</v>
      </c>
      <c r="B959" s="30">
        <v>45991</v>
      </c>
    </row>
    <row r="960" spans="1:2" x14ac:dyDescent="0.25">
      <c r="A960" s="29">
        <v>10530099</v>
      </c>
      <c r="B960" s="30">
        <v>45991</v>
      </c>
    </row>
    <row r="961" spans="1:2" x14ac:dyDescent="0.25">
      <c r="A961" s="29">
        <v>10530098</v>
      </c>
      <c r="B961" s="30">
        <v>45991</v>
      </c>
    </row>
    <row r="962" spans="1:2" x14ac:dyDescent="0.25">
      <c r="A962" s="29">
        <v>10530077</v>
      </c>
      <c r="B962" s="30">
        <v>46012</v>
      </c>
    </row>
    <row r="963" spans="1:2" x14ac:dyDescent="0.25">
      <c r="A963" s="29">
        <v>10520010</v>
      </c>
      <c r="B963" s="30">
        <v>46029</v>
      </c>
    </row>
    <row r="964" spans="1:2" x14ac:dyDescent="0.25">
      <c r="A964" s="29">
        <v>10530101</v>
      </c>
      <c r="B964" s="30">
        <v>46036</v>
      </c>
    </row>
    <row r="965" spans="1:2" x14ac:dyDescent="0.25">
      <c r="A965" s="29">
        <v>10530103</v>
      </c>
      <c r="B965" s="30">
        <v>46037</v>
      </c>
    </row>
    <row r="966" spans="1:2" x14ac:dyDescent="0.25">
      <c r="A966" s="29">
        <v>10530104</v>
      </c>
      <c r="B966" s="30">
        <v>46038</v>
      </c>
    </row>
    <row r="967" spans="1:2" x14ac:dyDescent="0.25">
      <c r="A967" s="29">
        <v>10530100</v>
      </c>
      <c r="B967" s="30">
        <v>46038</v>
      </c>
    </row>
    <row r="968" spans="1:2" x14ac:dyDescent="0.25">
      <c r="A968" s="29">
        <v>10530102</v>
      </c>
      <c r="B968" s="30">
        <v>46043</v>
      </c>
    </row>
    <row r="969" spans="1:2" x14ac:dyDescent="0.25">
      <c r="A969" s="29">
        <v>10530073</v>
      </c>
      <c r="B969" s="30">
        <v>46057</v>
      </c>
    </row>
    <row r="970" spans="1:2" x14ac:dyDescent="0.25">
      <c r="A970" s="29">
        <v>10530105</v>
      </c>
      <c r="B970" s="30">
        <v>46064</v>
      </c>
    </row>
    <row r="971" spans="1:2" x14ac:dyDescent="0.25">
      <c r="A971" s="29">
        <v>10530107</v>
      </c>
      <c r="B971" s="30">
        <v>46067</v>
      </c>
    </row>
    <row r="972" spans="1:2" x14ac:dyDescent="0.25">
      <c r="A972" s="29">
        <v>10530109</v>
      </c>
      <c r="B972" s="30">
        <v>46077</v>
      </c>
    </row>
    <row r="973" spans="1:2" x14ac:dyDescent="0.25">
      <c r="A973" s="29">
        <v>10530108</v>
      </c>
      <c r="B973" s="30">
        <v>46090</v>
      </c>
    </row>
    <row r="974" spans="1:2" x14ac:dyDescent="0.25">
      <c r="A974" s="29">
        <v>10530106</v>
      </c>
      <c r="B974" s="30">
        <v>46091</v>
      </c>
    </row>
    <row r="975" spans="1:2" x14ac:dyDescent="0.25">
      <c r="A975" s="29">
        <v>10530110</v>
      </c>
      <c r="B975" s="30">
        <v>46092</v>
      </c>
    </row>
    <row r="976" spans="1:2" x14ac:dyDescent="0.25">
      <c r="A976" s="29">
        <v>10530112</v>
      </c>
      <c r="B976" s="30">
        <v>46112</v>
      </c>
    </row>
    <row r="977" spans="1:2" x14ac:dyDescent="0.25">
      <c r="A977" s="29">
        <v>10530111</v>
      </c>
      <c r="B977" s="30">
        <v>46112</v>
      </c>
    </row>
    <row r="978" spans="1:2" x14ac:dyDescent="0.25">
      <c r="A978" s="29">
        <v>10530115</v>
      </c>
      <c r="B978" s="30">
        <v>46127</v>
      </c>
    </row>
    <row r="979" spans="1:2" x14ac:dyDescent="0.25">
      <c r="A979" s="29">
        <v>10530113</v>
      </c>
      <c r="B979" s="30">
        <v>46134</v>
      </c>
    </row>
    <row r="980" spans="1:2" x14ac:dyDescent="0.25">
      <c r="A980" s="29">
        <v>10530114</v>
      </c>
      <c r="B980" s="30">
        <v>46153</v>
      </c>
    </row>
    <row r="981" spans="1:2" x14ac:dyDescent="0.25">
      <c r="A981" s="29">
        <v>10530116</v>
      </c>
      <c r="B981" s="30">
        <v>46184</v>
      </c>
    </row>
    <row r="982" spans="1:2" x14ac:dyDescent="0.25">
      <c r="A982" s="29">
        <v>10530117</v>
      </c>
      <c r="B982" s="30">
        <v>46216</v>
      </c>
    </row>
    <row r="983" spans="1:2" x14ac:dyDescent="0.25">
      <c r="A983" s="29">
        <v>10020001</v>
      </c>
      <c r="B983" s="30">
        <v>42979</v>
      </c>
    </row>
    <row r="984" spans="1:2" x14ac:dyDescent="0.25">
      <c r="A984" s="29">
        <v>10020002</v>
      </c>
      <c r="B984" s="30">
        <v>42979</v>
      </c>
    </row>
    <row r="985" spans="1:2" x14ac:dyDescent="0.25">
      <c r="A985" s="29">
        <v>10020003</v>
      </c>
      <c r="B985" s="30">
        <v>42979</v>
      </c>
    </row>
    <row r="986" spans="1:2" x14ac:dyDescent="0.25">
      <c r="A986" s="29">
        <v>10020004</v>
      </c>
      <c r="B986" s="30">
        <v>42979</v>
      </c>
    </row>
    <row r="987" spans="1:2" x14ac:dyDescent="0.25">
      <c r="A987" s="29">
        <v>10020005</v>
      </c>
      <c r="B987" s="30">
        <v>42979</v>
      </c>
    </row>
    <row r="988" spans="1:2" x14ac:dyDescent="0.25">
      <c r="A988" s="29">
        <v>10020006</v>
      </c>
      <c r="B988" s="30">
        <v>42979</v>
      </c>
    </row>
    <row r="989" spans="1:2" x14ac:dyDescent="0.25">
      <c r="A989" s="29">
        <v>10020007</v>
      </c>
      <c r="B989" s="30">
        <v>42979</v>
      </c>
    </row>
    <row r="990" spans="1:2" x14ac:dyDescent="0.25">
      <c r="A990" s="29">
        <v>10020008</v>
      </c>
      <c r="B990" s="30">
        <v>44161</v>
      </c>
    </row>
    <row r="991" spans="1:2" x14ac:dyDescent="0.25">
      <c r="A991" s="29">
        <v>10020009</v>
      </c>
      <c r="B991" s="30">
        <v>44186</v>
      </c>
    </row>
    <row r="992" spans="1:2" x14ac:dyDescent="0.25">
      <c r="A992" s="29">
        <v>10020010</v>
      </c>
      <c r="B992" s="30">
        <v>44277</v>
      </c>
    </row>
    <row r="993" spans="1:2" x14ac:dyDescent="0.25">
      <c r="A993" s="29">
        <v>10020011</v>
      </c>
      <c r="B993" s="30">
        <v>44401</v>
      </c>
    </row>
    <row r="994" spans="1:2" x14ac:dyDescent="0.25">
      <c r="A994" s="29">
        <v>10020012</v>
      </c>
      <c r="B994" s="30">
        <v>44435</v>
      </c>
    </row>
    <row r="995" spans="1:2" x14ac:dyDescent="0.25">
      <c r="A995" s="29">
        <v>10020013</v>
      </c>
      <c r="B995" s="30">
        <v>44457</v>
      </c>
    </row>
    <row r="996" spans="1:2" x14ac:dyDescent="0.25">
      <c r="A996" s="29">
        <v>10020014</v>
      </c>
      <c r="B996" s="30">
        <v>44652</v>
      </c>
    </row>
    <row r="997" spans="1:2" x14ac:dyDescent="0.25">
      <c r="A997" s="29">
        <v>10020015</v>
      </c>
      <c r="B997" s="30">
        <v>44652</v>
      </c>
    </row>
    <row r="998" spans="1:2" x14ac:dyDescent="0.25">
      <c r="A998" s="29">
        <v>10020016</v>
      </c>
      <c r="B998" s="30">
        <v>44652</v>
      </c>
    </row>
    <row r="999" spans="1:2" x14ac:dyDescent="0.25">
      <c r="A999" s="29">
        <v>10020017</v>
      </c>
      <c r="B999" s="30">
        <v>44652</v>
      </c>
    </row>
    <row r="1000" spans="1:2" x14ac:dyDescent="0.25">
      <c r="A1000" s="29">
        <v>10020018</v>
      </c>
      <c r="B1000" s="30">
        <v>44652</v>
      </c>
    </row>
    <row r="1001" spans="1:2" x14ac:dyDescent="0.25">
      <c r="A1001" s="29">
        <v>10020019</v>
      </c>
      <c r="B1001" s="30">
        <v>42980</v>
      </c>
    </row>
    <row r="1002" spans="1:2" x14ac:dyDescent="0.25">
      <c r="A1002" s="29">
        <v>10020020</v>
      </c>
      <c r="B1002" s="30">
        <v>44279</v>
      </c>
    </row>
    <row r="1003" spans="1:2" x14ac:dyDescent="0.25">
      <c r="A1003" s="29">
        <v>10020021</v>
      </c>
      <c r="B1003" s="30">
        <v>44694</v>
      </c>
    </row>
    <row r="1004" spans="1:2" x14ac:dyDescent="0.25">
      <c r="A1004" s="29">
        <v>10020022</v>
      </c>
      <c r="B1004" s="30">
        <v>44701</v>
      </c>
    </row>
    <row r="1005" spans="1:2" x14ac:dyDescent="0.25">
      <c r="A1005" s="29">
        <v>10020023</v>
      </c>
      <c r="B1005" s="30">
        <v>44779</v>
      </c>
    </row>
    <row r="1006" spans="1:2" x14ac:dyDescent="0.25">
      <c r="A1006" s="29">
        <v>10020024</v>
      </c>
      <c r="B1006" s="30">
        <v>44801</v>
      </c>
    </row>
    <row r="1007" spans="1:2" x14ac:dyDescent="0.25">
      <c r="A1007" s="29">
        <v>10020025</v>
      </c>
      <c r="B1007" s="30">
        <v>44866</v>
      </c>
    </row>
    <row r="1008" spans="1:2" x14ac:dyDescent="0.25">
      <c r="A1008" s="29">
        <v>10020026</v>
      </c>
      <c r="B1008" s="30">
        <v>44866</v>
      </c>
    </row>
    <row r="1009" spans="1:2" x14ac:dyDescent="0.25">
      <c r="A1009" s="29">
        <v>10020027</v>
      </c>
      <c r="B1009" s="30">
        <v>44866</v>
      </c>
    </row>
    <row r="1010" spans="1:2" x14ac:dyDescent="0.25">
      <c r="A1010" s="29">
        <v>10020028</v>
      </c>
      <c r="B1010" s="30">
        <v>44866</v>
      </c>
    </row>
    <row r="1011" spans="1:2" x14ac:dyDescent="0.25">
      <c r="A1011" s="29">
        <v>10020029</v>
      </c>
      <c r="B1011" s="30">
        <v>44899</v>
      </c>
    </row>
    <row r="1012" spans="1:2" x14ac:dyDescent="0.25">
      <c r="A1012" s="29">
        <v>10020030</v>
      </c>
      <c r="B1012" s="30">
        <v>44903</v>
      </c>
    </row>
    <row r="1013" spans="1:2" x14ac:dyDescent="0.25">
      <c r="A1013" s="29">
        <v>10020031</v>
      </c>
      <c r="B1013" s="30">
        <v>44907</v>
      </c>
    </row>
    <row r="1014" spans="1:2" x14ac:dyDescent="0.25">
      <c r="A1014" s="29">
        <v>10020032</v>
      </c>
      <c r="B1014" s="30">
        <v>44911</v>
      </c>
    </row>
    <row r="1015" spans="1:2" x14ac:dyDescent="0.25">
      <c r="A1015" s="29">
        <v>10020033</v>
      </c>
      <c r="B1015" s="30">
        <v>44941</v>
      </c>
    </row>
    <row r="1016" spans="1:2" x14ac:dyDescent="0.25">
      <c r="A1016" s="29">
        <v>10020034</v>
      </c>
      <c r="B1016" s="30">
        <v>44944</v>
      </c>
    </row>
    <row r="1017" spans="1:2" x14ac:dyDescent="0.25">
      <c r="A1017" s="29">
        <v>10020035</v>
      </c>
      <c r="B1017" s="30">
        <v>44950</v>
      </c>
    </row>
    <row r="1018" spans="1:2" x14ac:dyDescent="0.25">
      <c r="A1018" s="29">
        <v>10020036</v>
      </c>
      <c r="B1018" s="30">
        <v>44962</v>
      </c>
    </row>
    <row r="1019" spans="1:2" x14ac:dyDescent="0.25">
      <c r="A1019" s="29">
        <v>10020037</v>
      </c>
      <c r="B1019" s="30">
        <v>44967</v>
      </c>
    </row>
    <row r="1020" spans="1:2" x14ac:dyDescent="0.25">
      <c r="A1020" s="29">
        <v>10020038</v>
      </c>
      <c r="B1020" s="30">
        <v>44967</v>
      </c>
    </row>
    <row r="1021" spans="1:2" x14ac:dyDescent="0.25">
      <c r="A1021" s="29">
        <v>10020039</v>
      </c>
      <c r="B1021" s="30">
        <v>44981</v>
      </c>
    </row>
    <row r="1022" spans="1:2" x14ac:dyDescent="0.25">
      <c r="A1022" s="29">
        <v>10020040</v>
      </c>
      <c r="B1022" s="30">
        <v>44983</v>
      </c>
    </row>
    <row r="1023" spans="1:2" x14ac:dyDescent="0.25">
      <c r="A1023" s="29">
        <v>10020041</v>
      </c>
      <c r="B1023" s="30">
        <v>44986</v>
      </c>
    </row>
    <row r="1024" spans="1:2" x14ac:dyDescent="0.25">
      <c r="A1024" s="29">
        <v>10020042</v>
      </c>
      <c r="B1024" s="30">
        <v>45009</v>
      </c>
    </row>
    <row r="1025" spans="1:2" x14ac:dyDescent="0.25">
      <c r="A1025" s="29">
        <v>10020043</v>
      </c>
      <c r="B1025" s="30">
        <v>45012</v>
      </c>
    </row>
    <row r="1026" spans="1:2" x14ac:dyDescent="0.25">
      <c r="A1026" s="29">
        <v>10020044</v>
      </c>
      <c r="B1026" s="30">
        <v>45064</v>
      </c>
    </row>
    <row r="1027" spans="1:2" x14ac:dyDescent="0.25">
      <c r="A1027" s="29">
        <v>10020045</v>
      </c>
      <c r="B1027" s="30">
        <v>45106</v>
      </c>
    </row>
    <row r="1028" spans="1:2" x14ac:dyDescent="0.25">
      <c r="A1028" s="29">
        <v>10020046</v>
      </c>
      <c r="B1028" s="30">
        <v>45117</v>
      </c>
    </row>
    <row r="1029" spans="1:2" x14ac:dyDescent="0.25">
      <c r="A1029" s="29">
        <v>10020047</v>
      </c>
      <c r="B1029" s="30">
        <v>45156</v>
      </c>
    </row>
    <row r="1030" spans="1:2" x14ac:dyDescent="0.25">
      <c r="A1030" s="29">
        <v>10020048</v>
      </c>
      <c r="B1030" s="30">
        <v>45156</v>
      </c>
    </row>
    <row r="1031" spans="1:2" x14ac:dyDescent="0.25">
      <c r="A1031" s="29">
        <v>10020049</v>
      </c>
      <c r="B1031" s="30">
        <v>45168</v>
      </c>
    </row>
    <row r="1032" spans="1:2" x14ac:dyDescent="0.25">
      <c r="A1032" s="29">
        <v>10020050</v>
      </c>
      <c r="B1032" s="30">
        <v>45168</v>
      </c>
    </row>
    <row r="1033" spans="1:2" x14ac:dyDescent="0.25">
      <c r="A1033" s="29">
        <v>10020051</v>
      </c>
      <c r="B1033" s="30">
        <v>44544</v>
      </c>
    </row>
    <row r="1034" spans="1:2" x14ac:dyDescent="0.25">
      <c r="A1034" s="29">
        <v>10020052</v>
      </c>
      <c r="B1034" s="30">
        <v>44652</v>
      </c>
    </row>
    <row r="1035" spans="1:2" x14ac:dyDescent="0.25">
      <c r="A1035" s="29">
        <v>10020053</v>
      </c>
      <c r="B1035" s="30">
        <v>44652</v>
      </c>
    </row>
    <row r="1036" spans="1:2" x14ac:dyDescent="0.25">
      <c r="A1036" s="29">
        <v>10020054</v>
      </c>
      <c r="B1036" s="30">
        <v>44710</v>
      </c>
    </row>
    <row r="1037" spans="1:2" x14ac:dyDescent="0.25">
      <c r="A1037" s="29">
        <v>10020055</v>
      </c>
      <c r="B1037" s="30">
        <v>44652</v>
      </c>
    </row>
    <row r="1038" spans="1:2" x14ac:dyDescent="0.25">
      <c r="A1038" s="29">
        <v>10020056</v>
      </c>
      <c r="B1038" s="30">
        <v>44652</v>
      </c>
    </row>
    <row r="1039" spans="1:2" x14ac:dyDescent="0.25">
      <c r="A1039" s="29">
        <v>10020057</v>
      </c>
      <c r="B1039" s="30">
        <v>45248</v>
      </c>
    </row>
    <row r="1040" spans="1:2" x14ac:dyDescent="0.25">
      <c r="A1040" s="29">
        <v>10020058</v>
      </c>
      <c r="B1040" s="30">
        <v>45283</v>
      </c>
    </row>
    <row r="1041" spans="1:2" x14ac:dyDescent="0.25">
      <c r="A1041" s="29">
        <v>10020059</v>
      </c>
      <c r="B1041" s="30">
        <v>45268</v>
      </c>
    </row>
    <row r="1042" spans="1:2" x14ac:dyDescent="0.25">
      <c r="A1042" s="29">
        <v>10020060</v>
      </c>
      <c r="B1042" s="30">
        <v>45279</v>
      </c>
    </row>
    <row r="1043" spans="1:2" x14ac:dyDescent="0.25">
      <c r="A1043" s="29">
        <v>10020061</v>
      </c>
      <c r="B1043" s="30">
        <v>45212</v>
      </c>
    </row>
    <row r="1044" spans="1:2" x14ac:dyDescent="0.25">
      <c r="A1044" s="29">
        <v>10020062</v>
      </c>
      <c r="B1044" s="30">
        <v>45205</v>
      </c>
    </row>
    <row r="1045" spans="1:2" x14ac:dyDescent="0.25">
      <c r="A1045" s="29">
        <v>10020063</v>
      </c>
      <c r="B1045" s="30">
        <v>45198</v>
      </c>
    </row>
    <row r="1046" spans="1:2" x14ac:dyDescent="0.25">
      <c r="A1046" s="29">
        <v>10020064</v>
      </c>
      <c r="B1046" s="30">
        <v>44958</v>
      </c>
    </row>
    <row r="1047" spans="1:2" x14ac:dyDescent="0.25">
      <c r="A1047" s="29">
        <v>10020065</v>
      </c>
      <c r="B1047" s="30">
        <v>45288</v>
      </c>
    </row>
    <row r="1048" spans="1:2" x14ac:dyDescent="0.25">
      <c r="A1048" s="29">
        <v>10020066</v>
      </c>
      <c r="B1048" s="30">
        <v>45282</v>
      </c>
    </row>
    <row r="1049" spans="1:2" x14ac:dyDescent="0.25">
      <c r="A1049" s="29">
        <v>10160001</v>
      </c>
      <c r="B1049" s="30">
        <v>42979</v>
      </c>
    </row>
    <row r="1050" spans="1:2" x14ac:dyDescent="0.25">
      <c r="A1050" s="29">
        <v>10180001</v>
      </c>
      <c r="B1050" s="30">
        <v>43510</v>
      </c>
    </row>
    <row r="1051" spans="1:2" x14ac:dyDescent="0.25">
      <c r="A1051" s="29">
        <v>10190001</v>
      </c>
      <c r="B1051" s="30">
        <v>42979</v>
      </c>
    </row>
    <row r="1052" spans="1:2" x14ac:dyDescent="0.25">
      <c r="A1052" s="29">
        <v>10200001</v>
      </c>
      <c r="B1052" s="30">
        <v>42979</v>
      </c>
    </row>
    <row r="1053" spans="1:2" x14ac:dyDescent="0.25">
      <c r="A1053" s="29">
        <v>10210001</v>
      </c>
      <c r="B1053" s="30">
        <v>42979</v>
      </c>
    </row>
    <row r="1054" spans="1:2" x14ac:dyDescent="0.25">
      <c r="A1054" s="29">
        <v>10020067</v>
      </c>
      <c r="B1054" s="30">
        <v>45423</v>
      </c>
    </row>
    <row r="1055" spans="1:2" x14ac:dyDescent="0.25">
      <c r="A1055" s="29">
        <v>10020068</v>
      </c>
      <c r="B1055" s="30">
        <v>45491</v>
      </c>
    </row>
    <row r="1056" spans="1:2" x14ac:dyDescent="0.25">
      <c r="A1056" s="29">
        <v>10020069</v>
      </c>
      <c r="B1056" s="30">
        <v>45567</v>
      </c>
    </row>
    <row r="1057" spans="1:2" x14ac:dyDescent="0.25">
      <c r="A1057" s="29">
        <v>10020070</v>
      </c>
      <c r="B1057" s="30">
        <v>45618</v>
      </c>
    </row>
    <row r="1058" spans="1:2" x14ac:dyDescent="0.25">
      <c r="A1058" s="29">
        <v>10020073</v>
      </c>
      <c r="B1058" s="30">
        <v>45638</v>
      </c>
    </row>
    <row r="1059" spans="1:2" x14ac:dyDescent="0.25">
      <c r="A1059" s="29">
        <v>10020071</v>
      </c>
      <c r="B1059" s="30">
        <v>45645</v>
      </c>
    </row>
    <row r="1060" spans="1:2" x14ac:dyDescent="0.25">
      <c r="A1060" s="29">
        <v>10020072</v>
      </c>
      <c r="B1060" s="30">
        <v>45645</v>
      </c>
    </row>
    <row r="1061" spans="1:2" x14ac:dyDescent="0.25">
      <c r="A1061" s="29">
        <v>10020076</v>
      </c>
      <c r="B1061" s="30">
        <v>45869</v>
      </c>
    </row>
    <row r="1062" spans="1:2" x14ac:dyDescent="0.25">
      <c r="A1062" s="29">
        <v>10020075</v>
      </c>
      <c r="B1062" s="30">
        <v>45869</v>
      </c>
    </row>
    <row r="1063" spans="1:2" x14ac:dyDescent="0.25">
      <c r="A1063" s="29">
        <v>10020077</v>
      </c>
      <c r="B1063" s="30">
        <v>45869</v>
      </c>
    </row>
    <row r="1064" spans="1:2" x14ac:dyDescent="0.25">
      <c r="A1064" s="29">
        <v>10020078</v>
      </c>
      <c r="B1064" s="30">
        <v>45869</v>
      </c>
    </row>
    <row r="1065" spans="1:2" x14ac:dyDescent="0.25">
      <c r="A1065" s="29">
        <v>10020079</v>
      </c>
      <c r="B1065" s="30">
        <v>45869</v>
      </c>
    </row>
    <row r="1066" spans="1:2" x14ac:dyDescent="0.25">
      <c r="A1066" s="29">
        <v>10020080</v>
      </c>
      <c r="B1066" s="30">
        <v>45900</v>
      </c>
    </row>
    <row r="1067" spans="1:2" x14ac:dyDescent="0.25">
      <c r="A1067" s="29">
        <v>10020082</v>
      </c>
      <c r="B1067" s="30">
        <v>45915</v>
      </c>
    </row>
    <row r="1068" spans="1:2" x14ac:dyDescent="0.25">
      <c r="A1068" s="29">
        <v>10020081</v>
      </c>
      <c r="B1068" s="30">
        <v>45915</v>
      </c>
    </row>
    <row r="1069" spans="1:2" x14ac:dyDescent="0.25">
      <c r="A1069" s="29">
        <v>10020084</v>
      </c>
      <c r="B1069" s="30">
        <v>45980</v>
      </c>
    </row>
    <row r="1070" spans="1:2" x14ac:dyDescent="0.25">
      <c r="A1070" s="29">
        <v>10020083</v>
      </c>
      <c r="B1070" s="30">
        <v>45988</v>
      </c>
    </row>
    <row r="1071" spans="1:2" x14ac:dyDescent="0.25">
      <c r="A1071" s="29">
        <v>10020086</v>
      </c>
      <c r="B1071" s="30">
        <v>46112</v>
      </c>
    </row>
    <row r="1072" spans="1:2" x14ac:dyDescent="0.25">
      <c r="A1072" s="29">
        <v>10020085</v>
      </c>
      <c r="B1072" s="30">
        <v>46112</v>
      </c>
    </row>
    <row r="1073" spans="1:2" x14ac:dyDescent="0.25">
      <c r="A1073" s="29">
        <v>10020087</v>
      </c>
      <c r="B1073" s="30">
        <v>46152</v>
      </c>
    </row>
    <row r="1074" spans="1:2" x14ac:dyDescent="0.25">
      <c r="A1074" s="29">
        <v>10020088</v>
      </c>
      <c r="B1074" s="30">
        <v>46176</v>
      </c>
    </row>
    <row r="1075" spans="1:2" x14ac:dyDescent="0.25">
      <c r="A1075" s="29">
        <v>10020089</v>
      </c>
      <c r="B1075" s="30">
        <v>46238</v>
      </c>
    </row>
    <row r="1076" spans="1:2" x14ac:dyDescent="0.25">
      <c r="A1076" s="29">
        <v>10480031</v>
      </c>
      <c r="B1076" s="30">
        <v>45745</v>
      </c>
    </row>
    <row r="1077" spans="1:2" x14ac:dyDescent="0.25">
      <c r="A1077" s="29">
        <v>10480029</v>
      </c>
      <c r="B1077" s="30">
        <v>45761</v>
      </c>
    </row>
    <row r="1078" spans="1:2" x14ac:dyDescent="0.25">
      <c r="A1078" s="29">
        <v>10480034</v>
      </c>
      <c r="B1078" s="30">
        <v>45865</v>
      </c>
    </row>
    <row r="1079" spans="1:2" x14ac:dyDescent="0.25">
      <c r="A1079" s="29">
        <v>10480035</v>
      </c>
      <c r="B1079" s="30">
        <v>45865</v>
      </c>
    </row>
    <row r="1080" spans="1:2" x14ac:dyDescent="0.25">
      <c r="A1080" s="29">
        <v>10480032</v>
      </c>
      <c r="B1080" s="30">
        <v>45901</v>
      </c>
    </row>
    <row r="1081" spans="1:2" x14ac:dyDescent="0.25">
      <c r="A1081" s="29">
        <v>10480036</v>
      </c>
      <c r="B1081" s="30">
        <v>46024</v>
      </c>
    </row>
    <row r="1082" spans="1:2" x14ac:dyDescent="0.25">
      <c r="A1082" s="29">
        <v>10610022</v>
      </c>
      <c r="B1082" s="30">
        <v>46097</v>
      </c>
    </row>
    <row r="1083" spans="1:2" x14ac:dyDescent="0.25">
      <c r="A1083" s="29">
        <v>10610018</v>
      </c>
      <c r="B1083" s="30">
        <v>46097</v>
      </c>
    </row>
    <row r="1084" spans="1:2" x14ac:dyDescent="0.25">
      <c r="A1084" s="29">
        <v>10610003</v>
      </c>
      <c r="B1084" s="30">
        <v>46097</v>
      </c>
    </row>
    <row r="1085" spans="1:2" x14ac:dyDescent="0.25">
      <c r="A1085" s="29">
        <v>10610004</v>
      </c>
      <c r="B1085" s="30">
        <v>46097</v>
      </c>
    </row>
    <row r="1086" spans="1:2" x14ac:dyDescent="0.25">
      <c r="A1086" s="29">
        <v>10610001</v>
      </c>
      <c r="B1086" s="30">
        <v>46097</v>
      </c>
    </row>
    <row r="1087" spans="1:2" x14ac:dyDescent="0.25">
      <c r="A1087" s="29">
        <v>10610020</v>
      </c>
      <c r="B1087" s="30">
        <v>46097</v>
      </c>
    </row>
    <row r="1088" spans="1:2" x14ac:dyDescent="0.25">
      <c r="A1088" s="29">
        <v>10610017</v>
      </c>
      <c r="B1088" s="30">
        <v>46097</v>
      </c>
    </row>
    <row r="1089" spans="1:2" x14ac:dyDescent="0.25">
      <c r="A1089" s="29">
        <v>10610025</v>
      </c>
      <c r="B1089" s="30">
        <v>46097</v>
      </c>
    </row>
    <row r="1090" spans="1:2" x14ac:dyDescent="0.25">
      <c r="A1090" s="29">
        <v>10610011</v>
      </c>
      <c r="B1090" s="30">
        <v>46097</v>
      </c>
    </row>
    <row r="1091" spans="1:2" x14ac:dyDescent="0.25">
      <c r="A1091" s="29">
        <v>10610005</v>
      </c>
      <c r="B1091" s="30">
        <v>46097</v>
      </c>
    </row>
    <row r="1092" spans="1:2" x14ac:dyDescent="0.25">
      <c r="A1092" s="29">
        <v>10610023</v>
      </c>
      <c r="B1092" s="30">
        <v>46097</v>
      </c>
    </row>
    <row r="1093" spans="1:2" x14ac:dyDescent="0.25">
      <c r="A1093" s="29">
        <v>10610014</v>
      </c>
      <c r="B1093" s="30">
        <v>46097</v>
      </c>
    </row>
    <row r="1094" spans="1:2" x14ac:dyDescent="0.25">
      <c r="A1094" s="29">
        <v>10610016</v>
      </c>
      <c r="B1094" s="30">
        <v>46097</v>
      </c>
    </row>
    <row r="1095" spans="1:2" x14ac:dyDescent="0.25">
      <c r="A1095" s="29">
        <v>10610013</v>
      </c>
      <c r="B1095" s="30">
        <v>46097</v>
      </c>
    </row>
    <row r="1096" spans="1:2" x14ac:dyDescent="0.25">
      <c r="A1096" s="29">
        <v>10610015</v>
      </c>
      <c r="B1096" s="30">
        <v>46097</v>
      </c>
    </row>
    <row r="1097" spans="1:2" x14ac:dyDescent="0.25">
      <c r="A1097" s="29">
        <v>10610021</v>
      </c>
      <c r="B1097" s="30">
        <v>46102</v>
      </c>
    </row>
    <row r="1098" spans="1:2" x14ac:dyDescent="0.25">
      <c r="A1098" s="29">
        <v>10610019</v>
      </c>
      <c r="B1098" s="30">
        <v>46103</v>
      </c>
    </row>
    <row r="1099" spans="1:2" x14ac:dyDescent="0.25">
      <c r="A1099" s="29">
        <v>10610040</v>
      </c>
      <c r="B1099" s="30">
        <v>46106</v>
      </c>
    </row>
    <row r="1100" spans="1:2" x14ac:dyDescent="0.25">
      <c r="A1100" s="29">
        <v>10610024</v>
      </c>
      <c r="B1100" s="30">
        <v>46107</v>
      </c>
    </row>
    <row r="1101" spans="1:2" x14ac:dyDescent="0.25">
      <c r="A1101" s="29">
        <v>10610030</v>
      </c>
      <c r="B1101" s="30">
        <v>46108</v>
      </c>
    </row>
    <row r="1102" spans="1:2" x14ac:dyDescent="0.25">
      <c r="A1102" s="29">
        <v>10610033</v>
      </c>
      <c r="B1102" s="30">
        <v>46108</v>
      </c>
    </row>
    <row r="1103" spans="1:2" x14ac:dyDescent="0.25">
      <c r="A1103" s="29">
        <v>10610036</v>
      </c>
      <c r="B1103" s="30">
        <v>46108</v>
      </c>
    </row>
    <row r="1104" spans="1:2" x14ac:dyDescent="0.25">
      <c r="A1104" s="29">
        <v>10610034</v>
      </c>
      <c r="B1104" s="30">
        <v>46108</v>
      </c>
    </row>
    <row r="1105" spans="1:2" x14ac:dyDescent="0.25">
      <c r="A1105" s="29">
        <v>10610027</v>
      </c>
      <c r="B1105" s="30">
        <v>46108</v>
      </c>
    </row>
    <row r="1106" spans="1:2" x14ac:dyDescent="0.25">
      <c r="A1106" s="29">
        <v>10610031</v>
      </c>
      <c r="B1106" s="30">
        <v>46108</v>
      </c>
    </row>
    <row r="1107" spans="1:2" x14ac:dyDescent="0.25">
      <c r="A1107" s="29">
        <v>10610038</v>
      </c>
      <c r="B1107" s="30">
        <v>46108</v>
      </c>
    </row>
    <row r="1108" spans="1:2" x14ac:dyDescent="0.25">
      <c r="A1108" s="29">
        <v>10610039</v>
      </c>
      <c r="B1108" s="30">
        <v>46108</v>
      </c>
    </row>
    <row r="1109" spans="1:2" x14ac:dyDescent="0.25">
      <c r="A1109" s="29">
        <v>10610035</v>
      </c>
      <c r="B1109" s="30">
        <v>46108</v>
      </c>
    </row>
    <row r="1110" spans="1:2" x14ac:dyDescent="0.25">
      <c r="A1110" s="29">
        <v>10610028</v>
      </c>
      <c r="B1110" s="30">
        <v>46109</v>
      </c>
    </row>
    <row r="1111" spans="1:2" x14ac:dyDescent="0.25">
      <c r="A1111" s="29">
        <v>10610042</v>
      </c>
      <c r="B1111" s="30">
        <v>46109</v>
      </c>
    </row>
    <row r="1112" spans="1:2" x14ac:dyDescent="0.25">
      <c r="A1112" s="29">
        <v>10610043</v>
      </c>
      <c r="B1112" s="30">
        <v>46110</v>
      </c>
    </row>
    <row r="1113" spans="1:2" x14ac:dyDescent="0.25">
      <c r="A1113" s="29">
        <v>10610026</v>
      </c>
      <c r="B1113" s="30">
        <v>46112</v>
      </c>
    </row>
    <row r="1114" spans="1:2" x14ac:dyDescent="0.25">
      <c r="A1114" s="29">
        <v>10610032</v>
      </c>
      <c r="B1114" s="30">
        <v>46113</v>
      </c>
    </row>
    <row r="1115" spans="1:2" x14ac:dyDescent="0.25">
      <c r="A1115" s="29">
        <v>10610047</v>
      </c>
      <c r="B1115" s="30">
        <v>46115</v>
      </c>
    </row>
    <row r="1116" spans="1:2" x14ac:dyDescent="0.25">
      <c r="A1116" s="29">
        <v>10610046</v>
      </c>
      <c r="B1116" s="30">
        <v>46115</v>
      </c>
    </row>
    <row r="1117" spans="1:2" x14ac:dyDescent="0.25">
      <c r="A1117" s="29">
        <v>10610045</v>
      </c>
      <c r="B1117" s="30">
        <v>46115</v>
      </c>
    </row>
    <row r="1118" spans="1:2" x14ac:dyDescent="0.25">
      <c r="A1118" s="29">
        <v>10610049</v>
      </c>
      <c r="B1118" s="30">
        <v>46115</v>
      </c>
    </row>
    <row r="1119" spans="1:2" x14ac:dyDescent="0.25">
      <c r="A1119" s="29">
        <v>10610044</v>
      </c>
      <c r="B1119" s="30">
        <v>46115</v>
      </c>
    </row>
    <row r="1120" spans="1:2" x14ac:dyDescent="0.25">
      <c r="A1120" s="29">
        <v>10610048</v>
      </c>
      <c r="B1120" s="30">
        <v>46119</v>
      </c>
    </row>
    <row r="1121" spans="1:2" x14ac:dyDescent="0.25">
      <c r="A1121" s="29">
        <v>10610050</v>
      </c>
      <c r="B1121" s="30">
        <v>46130</v>
      </c>
    </row>
    <row r="1122" spans="1:2" x14ac:dyDescent="0.25">
      <c r="A1122" s="29">
        <v>10610051</v>
      </c>
      <c r="B1122" s="30">
        <v>46131</v>
      </c>
    </row>
    <row r="1123" spans="1:2" x14ac:dyDescent="0.25">
      <c r="A1123" s="29">
        <v>10610052</v>
      </c>
      <c r="B1123" s="30">
        <v>46138</v>
      </c>
    </row>
    <row r="1124" spans="1:2" x14ac:dyDescent="0.25">
      <c r="A1124" s="29">
        <v>10610041</v>
      </c>
      <c r="B1124" s="30">
        <v>46152</v>
      </c>
    </row>
    <row r="1125" spans="1:2" x14ac:dyDescent="0.25">
      <c r="A1125" s="29">
        <v>10610055</v>
      </c>
      <c r="B1125" s="30">
        <v>46159</v>
      </c>
    </row>
    <row r="1126" spans="1:2" x14ac:dyDescent="0.25">
      <c r="A1126" s="29">
        <v>10610056</v>
      </c>
      <c r="B1126" s="30">
        <v>46160</v>
      </c>
    </row>
    <row r="1127" spans="1:2" x14ac:dyDescent="0.25">
      <c r="A1127" s="29">
        <v>10610059</v>
      </c>
      <c r="B1127" s="30">
        <v>46176</v>
      </c>
    </row>
    <row r="1128" spans="1:2" x14ac:dyDescent="0.25">
      <c r="A1128" s="29">
        <v>10610054</v>
      </c>
      <c r="B1128" s="30">
        <v>46184</v>
      </c>
    </row>
    <row r="1129" spans="1:2" x14ac:dyDescent="0.25">
      <c r="A1129" s="29">
        <v>10610064</v>
      </c>
      <c r="B1129" s="30">
        <v>46202</v>
      </c>
    </row>
    <row r="1130" spans="1:2" x14ac:dyDescent="0.25">
      <c r="A1130" s="29">
        <v>10610060</v>
      </c>
      <c r="B1130" s="30">
        <v>46207</v>
      </c>
    </row>
    <row r="1131" spans="1:2" x14ac:dyDescent="0.25">
      <c r="A1131" s="29">
        <v>10610074</v>
      </c>
      <c r="B1131" s="30">
        <v>46214</v>
      </c>
    </row>
    <row r="1132" spans="1:2" x14ac:dyDescent="0.25">
      <c r="A1132" s="29">
        <v>10610072</v>
      </c>
      <c r="B1132" s="30">
        <v>46214</v>
      </c>
    </row>
    <row r="1133" spans="1:2" x14ac:dyDescent="0.25">
      <c r="A1133" s="29">
        <v>10610071</v>
      </c>
      <c r="B1133" s="30">
        <v>46214</v>
      </c>
    </row>
    <row r="1134" spans="1:2" x14ac:dyDescent="0.25">
      <c r="A1134" s="29">
        <v>10610073</v>
      </c>
      <c r="B1134" s="30">
        <v>46215</v>
      </c>
    </row>
    <row r="1135" spans="1:2" x14ac:dyDescent="0.25">
      <c r="A1135" s="29">
        <v>10610077</v>
      </c>
      <c r="B1135" s="30">
        <v>46226</v>
      </c>
    </row>
    <row r="1136" spans="1:2" x14ac:dyDescent="0.25">
      <c r="A1136" s="29">
        <v>10610076</v>
      </c>
      <c r="B1136" s="30">
        <v>46226</v>
      </c>
    </row>
    <row r="1137" spans="1:2" x14ac:dyDescent="0.25">
      <c r="A1137" s="29">
        <v>10610075</v>
      </c>
      <c r="B1137" s="30">
        <v>46228</v>
      </c>
    </row>
    <row r="1138" spans="1:2" x14ac:dyDescent="0.25">
      <c r="A1138" s="29">
        <v>10010001</v>
      </c>
      <c r="B1138" s="30">
        <v>45000</v>
      </c>
    </row>
    <row r="1139" spans="1:2" x14ac:dyDescent="0.25">
      <c r="A1139" s="29">
        <v>10010002</v>
      </c>
      <c r="B1139" s="30">
        <v>45000</v>
      </c>
    </row>
    <row r="1140" spans="1:2" x14ac:dyDescent="0.25">
      <c r="A1140" s="29">
        <v>10010003</v>
      </c>
      <c r="B1140" s="30">
        <v>45000</v>
      </c>
    </row>
    <row r="1141" spans="1:2" x14ac:dyDescent="0.25">
      <c r="A1141" s="29">
        <v>10010004</v>
      </c>
      <c r="B1141" s="30">
        <v>45000</v>
      </c>
    </row>
    <row r="1142" spans="1:2" x14ac:dyDescent="0.25">
      <c r="A1142" s="29">
        <v>10010005</v>
      </c>
      <c r="B1142" s="30">
        <v>45005</v>
      </c>
    </row>
    <row r="1143" spans="1:2" x14ac:dyDescent="0.25">
      <c r="A1143" s="29">
        <v>10010006</v>
      </c>
      <c r="B1143" s="30">
        <v>45007</v>
      </c>
    </row>
    <row r="1144" spans="1:2" x14ac:dyDescent="0.25">
      <c r="A1144" s="29">
        <v>10010007</v>
      </c>
      <c r="B1144" s="30">
        <v>45007</v>
      </c>
    </row>
    <row r="1145" spans="1:2" x14ac:dyDescent="0.25">
      <c r="A1145" s="29">
        <v>10010008</v>
      </c>
      <c r="B1145" s="30">
        <v>45007</v>
      </c>
    </row>
    <row r="1146" spans="1:2" x14ac:dyDescent="0.25">
      <c r="A1146" s="29">
        <v>10010009</v>
      </c>
      <c r="B1146" s="30">
        <v>45007</v>
      </c>
    </row>
    <row r="1147" spans="1:2" x14ac:dyDescent="0.25">
      <c r="A1147" s="29">
        <v>10010010</v>
      </c>
      <c r="B1147" s="30">
        <v>45009</v>
      </c>
    </row>
    <row r="1148" spans="1:2" x14ac:dyDescent="0.25">
      <c r="A1148" s="29">
        <v>10010011</v>
      </c>
      <c r="B1148" s="30">
        <v>45009</v>
      </c>
    </row>
    <row r="1149" spans="1:2" x14ac:dyDescent="0.25">
      <c r="A1149" s="29">
        <v>10010012</v>
      </c>
      <c r="B1149" s="30">
        <v>45012</v>
      </c>
    </row>
    <row r="1150" spans="1:2" x14ac:dyDescent="0.25">
      <c r="A1150" s="29">
        <v>10010013</v>
      </c>
      <c r="B1150" s="30">
        <v>45013</v>
      </c>
    </row>
    <row r="1151" spans="1:2" x14ac:dyDescent="0.25">
      <c r="A1151" s="29">
        <v>10010014</v>
      </c>
      <c r="B1151" s="30">
        <v>45013</v>
      </c>
    </row>
    <row r="1152" spans="1:2" x14ac:dyDescent="0.25">
      <c r="A1152" s="29">
        <v>10010015</v>
      </c>
      <c r="B1152" s="30">
        <v>45013</v>
      </c>
    </row>
    <row r="1153" spans="1:2" x14ac:dyDescent="0.25">
      <c r="A1153" s="29">
        <v>10010016</v>
      </c>
      <c r="B1153" s="30">
        <v>45015</v>
      </c>
    </row>
    <row r="1154" spans="1:2" x14ac:dyDescent="0.25">
      <c r="A1154" s="29">
        <v>10010017</v>
      </c>
      <c r="B1154" s="30">
        <v>45016</v>
      </c>
    </row>
    <row r="1155" spans="1:2" x14ac:dyDescent="0.25">
      <c r="A1155" s="29">
        <v>10010018</v>
      </c>
      <c r="B1155" s="30">
        <v>45016</v>
      </c>
    </row>
    <row r="1156" spans="1:2" x14ac:dyDescent="0.25">
      <c r="A1156" s="29">
        <v>10010019</v>
      </c>
      <c r="B1156" s="30">
        <v>45040</v>
      </c>
    </row>
    <row r="1157" spans="1:2" x14ac:dyDescent="0.25">
      <c r="A1157" s="29">
        <v>10010020</v>
      </c>
      <c r="B1157" s="30">
        <v>45042</v>
      </c>
    </row>
    <row r="1158" spans="1:2" x14ac:dyDescent="0.25">
      <c r="A1158" s="29">
        <v>10010021</v>
      </c>
      <c r="B1158" s="30">
        <v>45043</v>
      </c>
    </row>
    <row r="1159" spans="1:2" x14ac:dyDescent="0.25">
      <c r="A1159" s="29">
        <v>10010022</v>
      </c>
      <c r="B1159" s="30">
        <v>45017</v>
      </c>
    </row>
    <row r="1160" spans="1:2" x14ac:dyDescent="0.25">
      <c r="A1160" s="29">
        <v>10010023</v>
      </c>
      <c r="B1160" s="30">
        <v>45051</v>
      </c>
    </row>
    <row r="1161" spans="1:2" x14ac:dyDescent="0.25">
      <c r="A1161" s="29">
        <v>10010024</v>
      </c>
      <c r="B1161" s="30">
        <v>45068</v>
      </c>
    </row>
    <row r="1162" spans="1:2" x14ac:dyDescent="0.25">
      <c r="A1162" s="29">
        <v>10010025</v>
      </c>
      <c r="B1162" s="30">
        <v>45070</v>
      </c>
    </row>
    <row r="1163" spans="1:2" x14ac:dyDescent="0.25">
      <c r="A1163" s="29">
        <v>10010026</v>
      </c>
      <c r="B1163" s="30">
        <v>45070</v>
      </c>
    </row>
    <row r="1164" spans="1:2" x14ac:dyDescent="0.25">
      <c r="A1164" s="29">
        <v>10010027</v>
      </c>
      <c r="B1164" s="30">
        <v>45070</v>
      </c>
    </row>
    <row r="1165" spans="1:2" x14ac:dyDescent="0.25">
      <c r="A1165" s="29">
        <v>10010028</v>
      </c>
      <c r="B1165" s="30">
        <v>45070</v>
      </c>
    </row>
    <row r="1166" spans="1:2" x14ac:dyDescent="0.25">
      <c r="A1166" s="29">
        <v>10010029</v>
      </c>
      <c r="B1166" s="30">
        <v>45070</v>
      </c>
    </row>
    <row r="1167" spans="1:2" x14ac:dyDescent="0.25">
      <c r="A1167" s="29">
        <v>10010030</v>
      </c>
      <c r="B1167" s="30">
        <v>45070</v>
      </c>
    </row>
    <row r="1168" spans="1:2" x14ac:dyDescent="0.25">
      <c r="A1168" s="29">
        <v>10010031</v>
      </c>
      <c r="B1168" s="30">
        <v>45116</v>
      </c>
    </row>
    <row r="1169" spans="1:2" x14ac:dyDescent="0.25">
      <c r="A1169" s="29">
        <v>10010032</v>
      </c>
      <c r="B1169" s="30">
        <v>45116</v>
      </c>
    </row>
    <row r="1170" spans="1:2" x14ac:dyDescent="0.25">
      <c r="A1170" s="29">
        <v>10010033</v>
      </c>
      <c r="B1170" s="30">
        <v>45122</v>
      </c>
    </row>
    <row r="1171" spans="1:2" x14ac:dyDescent="0.25">
      <c r="A1171" s="29">
        <v>10010034</v>
      </c>
      <c r="B1171" s="30">
        <v>45122</v>
      </c>
    </row>
    <row r="1172" spans="1:2" x14ac:dyDescent="0.25">
      <c r="A1172" s="29">
        <v>10010035</v>
      </c>
      <c r="B1172" s="30">
        <v>45122</v>
      </c>
    </row>
    <row r="1173" spans="1:2" x14ac:dyDescent="0.25">
      <c r="A1173" s="29">
        <v>10010036</v>
      </c>
      <c r="B1173" s="30">
        <v>45125</v>
      </c>
    </row>
    <row r="1174" spans="1:2" x14ac:dyDescent="0.25">
      <c r="A1174" s="29">
        <v>10010037</v>
      </c>
      <c r="B1174" s="30">
        <v>45128</v>
      </c>
    </row>
    <row r="1175" spans="1:2" x14ac:dyDescent="0.25">
      <c r="A1175" s="29">
        <v>10010039</v>
      </c>
      <c r="B1175" s="30">
        <v>45141</v>
      </c>
    </row>
    <row r="1176" spans="1:2" x14ac:dyDescent="0.25">
      <c r="A1176" s="29">
        <v>10010040</v>
      </c>
      <c r="B1176" s="30">
        <v>45141</v>
      </c>
    </row>
    <row r="1177" spans="1:2" x14ac:dyDescent="0.25">
      <c r="A1177" s="29">
        <v>10010041</v>
      </c>
      <c r="B1177" s="30">
        <v>45148</v>
      </c>
    </row>
    <row r="1178" spans="1:2" x14ac:dyDescent="0.25">
      <c r="A1178" s="29">
        <v>10010042</v>
      </c>
      <c r="B1178" s="30">
        <v>45149</v>
      </c>
    </row>
    <row r="1179" spans="1:2" x14ac:dyDescent="0.25">
      <c r="A1179" s="29">
        <v>10010043</v>
      </c>
      <c r="B1179" s="30">
        <v>45157</v>
      </c>
    </row>
    <row r="1180" spans="1:2" x14ac:dyDescent="0.25">
      <c r="A1180" s="29">
        <v>10010045</v>
      </c>
      <c r="B1180" s="30">
        <v>45161</v>
      </c>
    </row>
    <row r="1181" spans="1:2" x14ac:dyDescent="0.25">
      <c r="A1181" s="29">
        <v>10010046</v>
      </c>
      <c r="B1181" s="30">
        <v>45000</v>
      </c>
    </row>
    <row r="1182" spans="1:2" x14ac:dyDescent="0.25">
      <c r="A1182" s="29">
        <v>10010047</v>
      </c>
      <c r="B1182" s="30">
        <v>45121</v>
      </c>
    </row>
    <row r="1183" spans="1:2" x14ac:dyDescent="0.25">
      <c r="A1183" s="29">
        <v>10010048</v>
      </c>
      <c r="B1183" s="30">
        <v>45006</v>
      </c>
    </row>
    <row r="1184" spans="1:2" x14ac:dyDescent="0.25">
      <c r="A1184" s="29">
        <v>10010049</v>
      </c>
      <c r="B1184" s="30">
        <v>45098</v>
      </c>
    </row>
    <row r="1185" spans="1:2" x14ac:dyDescent="0.25">
      <c r="A1185" s="29">
        <v>10010052</v>
      </c>
      <c r="B1185" s="30">
        <v>45219</v>
      </c>
    </row>
    <row r="1186" spans="1:2" x14ac:dyDescent="0.25">
      <c r="A1186" s="29">
        <v>10010053</v>
      </c>
      <c r="B1186" s="30">
        <v>45232</v>
      </c>
    </row>
    <row r="1187" spans="1:2" x14ac:dyDescent="0.25">
      <c r="A1187" s="29">
        <v>10010054</v>
      </c>
      <c r="B1187" s="30">
        <v>45258</v>
      </c>
    </row>
    <row r="1188" spans="1:2" x14ac:dyDescent="0.25">
      <c r="A1188" s="29">
        <v>10010055</v>
      </c>
      <c r="B1188" s="30">
        <v>45231</v>
      </c>
    </row>
    <row r="1189" spans="1:2" x14ac:dyDescent="0.25">
      <c r="A1189" s="29">
        <v>10010057</v>
      </c>
      <c r="B1189" s="30">
        <v>45000</v>
      </c>
    </row>
    <row r="1190" spans="1:2" x14ac:dyDescent="0.25">
      <c r="A1190" s="29">
        <v>10010058</v>
      </c>
      <c r="B1190" s="30">
        <v>45323</v>
      </c>
    </row>
    <row r="1191" spans="1:2" x14ac:dyDescent="0.25">
      <c r="A1191" s="29">
        <v>10010059</v>
      </c>
      <c r="B1191" s="30">
        <v>45323</v>
      </c>
    </row>
    <row r="1192" spans="1:2" x14ac:dyDescent="0.25">
      <c r="A1192" s="29">
        <v>10010060</v>
      </c>
      <c r="B1192" s="30">
        <v>45323</v>
      </c>
    </row>
    <row r="1193" spans="1:2" x14ac:dyDescent="0.25">
      <c r="A1193" s="29">
        <v>10010061</v>
      </c>
      <c r="B1193" s="30">
        <v>45323</v>
      </c>
    </row>
    <row r="1194" spans="1:2" x14ac:dyDescent="0.25">
      <c r="A1194" s="29">
        <v>10010062</v>
      </c>
      <c r="B1194" s="30">
        <v>45292</v>
      </c>
    </row>
    <row r="1195" spans="1:2" x14ac:dyDescent="0.25">
      <c r="A1195" s="29">
        <v>10010063</v>
      </c>
      <c r="B1195" s="30">
        <v>45258</v>
      </c>
    </row>
    <row r="1196" spans="1:2" x14ac:dyDescent="0.25">
      <c r="A1196" s="29">
        <v>10010064</v>
      </c>
      <c r="B1196" s="30">
        <v>45258</v>
      </c>
    </row>
    <row r="1197" spans="1:2" x14ac:dyDescent="0.25">
      <c r="A1197" s="29">
        <v>10010065</v>
      </c>
      <c r="B1197" s="30">
        <v>45323</v>
      </c>
    </row>
    <row r="1198" spans="1:2" x14ac:dyDescent="0.25">
      <c r="A1198" s="29">
        <v>10010067</v>
      </c>
      <c r="B1198" s="30">
        <v>45323</v>
      </c>
    </row>
    <row r="1199" spans="1:2" x14ac:dyDescent="0.25">
      <c r="A1199" s="29">
        <v>10010068</v>
      </c>
      <c r="B1199" s="30">
        <v>45258</v>
      </c>
    </row>
    <row r="1200" spans="1:2" x14ac:dyDescent="0.25">
      <c r="A1200" s="29">
        <v>10010069</v>
      </c>
      <c r="B1200" s="30">
        <v>45323</v>
      </c>
    </row>
    <row r="1201" spans="1:2" x14ac:dyDescent="0.25">
      <c r="A1201" s="29">
        <v>10010070</v>
      </c>
      <c r="B1201" s="30">
        <v>45258</v>
      </c>
    </row>
    <row r="1202" spans="1:2" x14ac:dyDescent="0.25">
      <c r="A1202" s="29">
        <v>10010071</v>
      </c>
      <c r="B1202" s="30">
        <v>45323</v>
      </c>
    </row>
    <row r="1203" spans="1:2" x14ac:dyDescent="0.25">
      <c r="A1203" s="29">
        <v>10010075</v>
      </c>
      <c r="B1203" s="30">
        <v>45457</v>
      </c>
    </row>
    <row r="1204" spans="1:2" x14ac:dyDescent="0.25">
      <c r="A1204" s="29">
        <v>10010073</v>
      </c>
      <c r="B1204" s="30">
        <v>45457</v>
      </c>
    </row>
    <row r="1205" spans="1:2" x14ac:dyDescent="0.25">
      <c r="A1205" s="29">
        <v>10010079</v>
      </c>
      <c r="B1205" s="30">
        <v>45469</v>
      </c>
    </row>
    <row r="1206" spans="1:2" x14ac:dyDescent="0.25">
      <c r="A1206" s="29">
        <v>10010076</v>
      </c>
      <c r="B1206" s="30">
        <v>45471</v>
      </c>
    </row>
    <row r="1207" spans="1:2" x14ac:dyDescent="0.25">
      <c r="A1207" s="29">
        <v>10010078</v>
      </c>
      <c r="B1207" s="30">
        <v>45475</v>
      </c>
    </row>
    <row r="1208" spans="1:2" x14ac:dyDescent="0.25">
      <c r="A1208" s="29">
        <v>10010074</v>
      </c>
      <c r="B1208" s="30">
        <v>45476</v>
      </c>
    </row>
    <row r="1209" spans="1:2" x14ac:dyDescent="0.25">
      <c r="A1209" s="29">
        <v>10010081</v>
      </c>
      <c r="B1209" s="30">
        <v>45504</v>
      </c>
    </row>
    <row r="1210" spans="1:2" x14ac:dyDescent="0.25">
      <c r="A1210" s="29">
        <v>10010080</v>
      </c>
      <c r="B1210" s="30">
        <v>45513</v>
      </c>
    </row>
    <row r="1211" spans="1:2" x14ac:dyDescent="0.25">
      <c r="A1211" s="29">
        <v>10010083</v>
      </c>
      <c r="B1211" s="30">
        <v>45567</v>
      </c>
    </row>
    <row r="1212" spans="1:2" x14ac:dyDescent="0.25">
      <c r="A1212" s="29">
        <v>10010084</v>
      </c>
      <c r="B1212" s="30">
        <v>45567</v>
      </c>
    </row>
    <row r="1213" spans="1:2" x14ac:dyDescent="0.25">
      <c r="A1213" s="29">
        <v>10010082</v>
      </c>
      <c r="B1213" s="30">
        <v>45568</v>
      </c>
    </row>
    <row r="1214" spans="1:2" x14ac:dyDescent="0.25">
      <c r="A1214" s="29">
        <v>10010088</v>
      </c>
      <c r="B1214" s="30">
        <v>45631</v>
      </c>
    </row>
    <row r="1215" spans="1:2" x14ac:dyDescent="0.25">
      <c r="A1215" s="29">
        <v>10010090</v>
      </c>
      <c r="B1215" s="30">
        <v>45643</v>
      </c>
    </row>
    <row r="1216" spans="1:2" x14ac:dyDescent="0.25">
      <c r="A1216" s="29">
        <v>10010091</v>
      </c>
      <c r="B1216" s="30">
        <v>45644</v>
      </c>
    </row>
    <row r="1217" spans="1:2" x14ac:dyDescent="0.25">
      <c r="A1217" s="31">
        <v>10010093</v>
      </c>
      <c r="B1217" s="30">
        <v>45681</v>
      </c>
    </row>
    <row r="1218" spans="1:2" x14ac:dyDescent="0.25">
      <c r="A1218" s="29">
        <v>10010092</v>
      </c>
      <c r="B1218" s="30">
        <v>45689</v>
      </c>
    </row>
    <row r="1219" spans="1:2" x14ac:dyDescent="0.25">
      <c r="A1219" s="29">
        <v>10010094</v>
      </c>
      <c r="B1219" s="30">
        <v>45700</v>
      </c>
    </row>
    <row r="1220" spans="1:2" x14ac:dyDescent="0.25">
      <c r="A1220" s="29">
        <v>10010096</v>
      </c>
      <c r="B1220" s="30">
        <v>45708</v>
      </c>
    </row>
    <row r="1221" spans="1:2" x14ac:dyDescent="0.25">
      <c r="A1221" s="29">
        <v>10010097</v>
      </c>
      <c r="B1221" s="30">
        <v>45708</v>
      </c>
    </row>
    <row r="1222" spans="1:2" x14ac:dyDescent="0.25">
      <c r="A1222" s="29">
        <v>10010102</v>
      </c>
      <c r="B1222" s="30">
        <v>45745</v>
      </c>
    </row>
    <row r="1223" spans="1:2" x14ac:dyDescent="0.25">
      <c r="A1223" s="29">
        <v>10010100</v>
      </c>
      <c r="B1223" s="30">
        <v>45745</v>
      </c>
    </row>
    <row r="1224" spans="1:2" x14ac:dyDescent="0.25">
      <c r="A1224" s="29">
        <v>10010101</v>
      </c>
      <c r="B1224" s="30">
        <v>45745</v>
      </c>
    </row>
    <row r="1225" spans="1:2" x14ac:dyDescent="0.25">
      <c r="A1225" s="29">
        <v>10010104</v>
      </c>
      <c r="B1225" s="30">
        <v>45745</v>
      </c>
    </row>
    <row r="1226" spans="1:2" x14ac:dyDescent="0.25">
      <c r="A1226" s="29">
        <v>10010105</v>
      </c>
      <c r="B1226" s="30">
        <v>45745</v>
      </c>
    </row>
    <row r="1227" spans="1:2" x14ac:dyDescent="0.25">
      <c r="A1227" s="29">
        <v>10010108</v>
      </c>
      <c r="B1227" s="30">
        <v>45777</v>
      </c>
    </row>
    <row r="1228" spans="1:2" x14ac:dyDescent="0.25">
      <c r="A1228" s="29">
        <v>10010110</v>
      </c>
      <c r="B1228" s="30">
        <v>45777</v>
      </c>
    </row>
    <row r="1229" spans="1:2" x14ac:dyDescent="0.25">
      <c r="A1229" s="29">
        <v>10010106</v>
      </c>
      <c r="B1229" s="30">
        <v>45777</v>
      </c>
    </row>
    <row r="1230" spans="1:2" x14ac:dyDescent="0.25">
      <c r="A1230" s="29">
        <v>10010109</v>
      </c>
      <c r="B1230" s="30">
        <v>45777</v>
      </c>
    </row>
    <row r="1231" spans="1:2" x14ac:dyDescent="0.25">
      <c r="A1231" s="29">
        <v>10010107</v>
      </c>
      <c r="B1231" s="30">
        <v>45778</v>
      </c>
    </row>
    <row r="1232" spans="1:2" x14ac:dyDescent="0.25">
      <c r="A1232" s="29">
        <v>10010112</v>
      </c>
      <c r="B1232" s="30">
        <v>45794</v>
      </c>
    </row>
    <row r="1233" spans="1:2" x14ac:dyDescent="0.25">
      <c r="A1233" s="29">
        <v>10010111</v>
      </c>
      <c r="B1233" s="30">
        <v>45806</v>
      </c>
    </row>
    <row r="1234" spans="1:2" x14ac:dyDescent="0.25">
      <c r="A1234" s="29">
        <v>10010113</v>
      </c>
      <c r="B1234" s="30">
        <v>45810</v>
      </c>
    </row>
    <row r="1235" spans="1:2" x14ac:dyDescent="0.25">
      <c r="A1235" s="29">
        <v>10010116</v>
      </c>
      <c r="B1235" s="30">
        <v>45840</v>
      </c>
    </row>
    <row r="1236" spans="1:2" x14ac:dyDescent="0.25">
      <c r="A1236" s="29">
        <v>10010117</v>
      </c>
      <c r="B1236" s="30">
        <v>45841</v>
      </c>
    </row>
    <row r="1237" spans="1:2" x14ac:dyDescent="0.25">
      <c r="A1237" s="29">
        <v>10010120</v>
      </c>
      <c r="B1237" s="30">
        <v>45842</v>
      </c>
    </row>
    <row r="1238" spans="1:2" x14ac:dyDescent="0.25">
      <c r="A1238" s="29">
        <v>10010121</v>
      </c>
      <c r="B1238" s="30">
        <v>45842</v>
      </c>
    </row>
    <row r="1239" spans="1:2" x14ac:dyDescent="0.25">
      <c r="A1239" s="29">
        <v>10010124</v>
      </c>
      <c r="B1239" s="30">
        <v>45856</v>
      </c>
    </row>
    <row r="1240" spans="1:2" x14ac:dyDescent="0.25">
      <c r="A1240" s="29">
        <v>10010123</v>
      </c>
      <c r="B1240" s="30">
        <v>45866</v>
      </c>
    </row>
    <row r="1241" spans="1:2" x14ac:dyDescent="0.25">
      <c r="A1241" s="29">
        <v>10010127</v>
      </c>
      <c r="B1241" s="30">
        <v>45869</v>
      </c>
    </row>
    <row r="1242" spans="1:2" x14ac:dyDescent="0.25">
      <c r="A1242" s="29">
        <v>10010128</v>
      </c>
      <c r="B1242" s="30">
        <v>45869</v>
      </c>
    </row>
    <row r="1243" spans="1:2" x14ac:dyDescent="0.25">
      <c r="A1243" s="29">
        <v>10010125</v>
      </c>
      <c r="B1243" s="30">
        <v>45869</v>
      </c>
    </row>
    <row r="1244" spans="1:2" x14ac:dyDescent="0.25">
      <c r="A1244" s="29">
        <v>10010129</v>
      </c>
      <c r="B1244" s="30">
        <v>45869</v>
      </c>
    </row>
    <row r="1245" spans="1:2" x14ac:dyDescent="0.25">
      <c r="A1245" s="29">
        <v>10010122</v>
      </c>
      <c r="B1245" s="30">
        <v>45869</v>
      </c>
    </row>
    <row r="1246" spans="1:2" x14ac:dyDescent="0.25">
      <c r="A1246" s="29">
        <v>10010126</v>
      </c>
      <c r="B1246" s="30">
        <v>45869</v>
      </c>
    </row>
    <row r="1247" spans="1:2" x14ac:dyDescent="0.25">
      <c r="A1247" s="29">
        <v>10010130</v>
      </c>
      <c r="B1247" s="30">
        <v>45870</v>
      </c>
    </row>
    <row r="1248" spans="1:2" x14ac:dyDescent="0.25">
      <c r="A1248" s="29">
        <v>10010131</v>
      </c>
      <c r="B1248" s="30">
        <v>45870</v>
      </c>
    </row>
    <row r="1249" spans="1:2" x14ac:dyDescent="0.25">
      <c r="A1249" s="29">
        <v>10010132</v>
      </c>
      <c r="B1249" s="30">
        <v>45895</v>
      </c>
    </row>
    <row r="1250" spans="1:2" x14ac:dyDescent="0.25">
      <c r="A1250" s="29">
        <v>10010136</v>
      </c>
      <c r="B1250" s="30">
        <v>45922</v>
      </c>
    </row>
    <row r="1251" spans="1:2" x14ac:dyDescent="0.25">
      <c r="A1251" s="29">
        <v>10010133</v>
      </c>
      <c r="B1251" s="30">
        <v>45922</v>
      </c>
    </row>
    <row r="1252" spans="1:2" x14ac:dyDescent="0.25">
      <c r="A1252" s="29">
        <v>10010134</v>
      </c>
      <c r="B1252" s="30">
        <v>45922</v>
      </c>
    </row>
    <row r="1253" spans="1:2" x14ac:dyDescent="0.25">
      <c r="A1253" s="29">
        <v>10010114</v>
      </c>
      <c r="B1253" s="30">
        <v>45922</v>
      </c>
    </row>
    <row r="1254" spans="1:2" x14ac:dyDescent="0.25">
      <c r="A1254" s="29">
        <v>10580003</v>
      </c>
      <c r="B1254" s="30">
        <v>45968</v>
      </c>
    </row>
    <row r="1255" spans="1:2" x14ac:dyDescent="0.25">
      <c r="A1255" s="29">
        <v>10010138</v>
      </c>
      <c r="B1255" s="30">
        <v>45987</v>
      </c>
    </row>
    <row r="1256" spans="1:2" x14ac:dyDescent="0.25">
      <c r="A1256" s="29">
        <v>10580006</v>
      </c>
      <c r="B1256" s="30">
        <v>45991</v>
      </c>
    </row>
    <row r="1257" spans="1:2" x14ac:dyDescent="0.25">
      <c r="A1257" s="29">
        <v>10010140</v>
      </c>
      <c r="B1257" s="30">
        <v>45996</v>
      </c>
    </row>
    <row r="1258" spans="1:2" x14ac:dyDescent="0.25">
      <c r="A1258" s="29">
        <v>10010141</v>
      </c>
      <c r="B1258" s="30">
        <v>46042</v>
      </c>
    </row>
    <row r="1259" spans="1:2" x14ac:dyDescent="0.25">
      <c r="A1259" s="29">
        <v>10010143</v>
      </c>
      <c r="B1259" s="30">
        <v>46112</v>
      </c>
    </row>
    <row r="1260" spans="1:2" x14ac:dyDescent="0.25">
      <c r="A1260" s="29">
        <v>10010146</v>
      </c>
      <c r="B1260" s="30">
        <v>46112</v>
      </c>
    </row>
    <row r="1261" spans="1:2" x14ac:dyDescent="0.25">
      <c r="A1261" s="29">
        <v>10010144</v>
      </c>
      <c r="B1261" s="30">
        <v>46112</v>
      </c>
    </row>
    <row r="1262" spans="1:2" x14ac:dyDescent="0.25">
      <c r="A1262" s="29">
        <v>10010145</v>
      </c>
      <c r="B1262" s="30">
        <v>46112</v>
      </c>
    </row>
    <row r="1263" spans="1:2" x14ac:dyDescent="0.25">
      <c r="A1263" s="29">
        <v>10010147</v>
      </c>
      <c r="B1263" s="30">
        <v>46112</v>
      </c>
    </row>
    <row r="1264" spans="1:2" x14ac:dyDescent="0.25">
      <c r="A1264" s="29">
        <v>10010148</v>
      </c>
      <c r="B1264" s="30">
        <v>46112</v>
      </c>
    </row>
    <row r="1265" spans="1:2" x14ac:dyDescent="0.25">
      <c r="A1265" s="29">
        <v>10010142</v>
      </c>
      <c r="B1265" s="30">
        <v>46112</v>
      </c>
    </row>
    <row r="1266" spans="1:2" x14ac:dyDescent="0.25">
      <c r="A1266" s="29">
        <v>10010149</v>
      </c>
      <c r="B1266" s="30">
        <v>46112</v>
      </c>
    </row>
    <row r="1267" spans="1:2" x14ac:dyDescent="0.25">
      <c r="A1267" s="29">
        <v>10010066</v>
      </c>
      <c r="B1267" s="30">
        <v>46170</v>
      </c>
    </row>
    <row r="1268" spans="1:2" x14ac:dyDescent="0.25">
      <c r="A1268" s="29">
        <v>10010151</v>
      </c>
      <c r="B1268" s="30">
        <v>46228</v>
      </c>
    </row>
    <row r="1269" spans="1:2" x14ac:dyDescent="0.25">
      <c r="A1269" s="29">
        <v>10110048</v>
      </c>
      <c r="B1269" s="30">
        <v>45212</v>
      </c>
    </row>
    <row r="1270" spans="1:2" x14ac:dyDescent="0.25">
      <c r="A1270" s="29">
        <v>10110111</v>
      </c>
      <c r="B1270" s="30">
        <v>45716</v>
      </c>
    </row>
    <row r="1271" spans="1:2" x14ac:dyDescent="0.25">
      <c r="A1271" s="29">
        <v>10110110</v>
      </c>
      <c r="B1271" s="30">
        <v>45745</v>
      </c>
    </row>
    <row r="1272" spans="1:2" x14ac:dyDescent="0.25">
      <c r="A1272" s="29">
        <v>10110113</v>
      </c>
      <c r="B1272" s="30">
        <v>45745</v>
      </c>
    </row>
    <row r="1273" spans="1:2" x14ac:dyDescent="0.25">
      <c r="A1273" s="29">
        <v>10110123</v>
      </c>
      <c r="B1273" s="30">
        <v>45745</v>
      </c>
    </row>
    <row r="1274" spans="1:2" x14ac:dyDescent="0.25">
      <c r="A1274" s="29">
        <v>10110124</v>
      </c>
      <c r="B1274" s="30">
        <v>45745</v>
      </c>
    </row>
    <row r="1275" spans="1:2" x14ac:dyDescent="0.25">
      <c r="A1275" s="29">
        <v>10110128</v>
      </c>
      <c r="B1275" s="30">
        <v>45745</v>
      </c>
    </row>
    <row r="1276" spans="1:2" x14ac:dyDescent="0.25">
      <c r="A1276" s="29">
        <v>10110131</v>
      </c>
      <c r="B1276" s="30">
        <v>45756</v>
      </c>
    </row>
    <row r="1277" spans="1:2" x14ac:dyDescent="0.25">
      <c r="A1277" s="29">
        <v>10110145</v>
      </c>
      <c r="B1277" s="30">
        <v>45777</v>
      </c>
    </row>
    <row r="1278" spans="1:2" x14ac:dyDescent="0.25">
      <c r="A1278" s="29">
        <v>10110155</v>
      </c>
      <c r="B1278" s="30">
        <v>45828</v>
      </c>
    </row>
    <row r="1279" spans="1:2" x14ac:dyDescent="0.25">
      <c r="A1279" s="29">
        <v>10110156</v>
      </c>
      <c r="B1279" s="30">
        <v>45828</v>
      </c>
    </row>
    <row r="1280" spans="1:2" x14ac:dyDescent="0.25">
      <c r="A1280" s="29">
        <v>10110157</v>
      </c>
      <c r="B1280" s="30">
        <v>45828</v>
      </c>
    </row>
    <row r="1281" spans="1:2" x14ac:dyDescent="0.25">
      <c r="A1281" s="29">
        <v>10110163</v>
      </c>
      <c r="B1281" s="30">
        <v>45858</v>
      </c>
    </row>
    <row r="1282" spans="1:2" x14ac:dyDescent="0.25">
      <c r="A1282" s="29">
        <v>10550001</v>
      </c>
      <c r="B1282" s="30">
        <v>45863</v>
      </c>
    </row>
    <row r="1283" spans="1:2" x14ac:dyDescent="0.25">
      <c r="A1283" s="29">
        <v>10550002</v>
      </c>
      <c r="B1283" s="30">
        <v>45937</v>
      </c>
    </row>
    <row r="1284" spans="1:2" x14ac:dyDescent="0.25">
      <c r="A1284" s="29">
        <v>10550003</v>
      </c>
      <c r="B1284" s="30">
        <v>45990</v>
      </c>
    </row>
    <row r="1285" spans="1:2" x14ac:dyDescent="0.25">
      <c r="A1285" s="29">
        <v>10550004</v>
      </c>
      <c r="B1285" s="30">
        <v>46043</v>
      </c>
    </row>
    <row r="1286" spans="1:2" x14ac:dyDescent="0.25">
      <c r="A1286" s="29">
        <v>10110138</v>
      </c>
      <c r="B1286" s="30">
        <v>46074</v>
      </c>
    </row>
    <row r="1287" spans="1:2" x14ac:dyDescent="0.25">
      <c r="A1287" s="29">
        <v>10550005</v>
      </c>
      <c r="B1287" s="30">
        <v>46080</v>
      </c>
    </row>
    <row r="1288" spans="1:2" x14ac:dyDescent="0.25">
      <c r="A1288" s="29">
        <v>10550007</v>
      </c>
      <c r="B1288" s="30">
        <v>46080</v>
      </c>
    </row>
    <row r="1289" spans="1:2" x14ac:dyDescent="0.25">
      <c r="A1289" s="29">
        <v>10550008</v>
      </c>
      <c r="B1289" s="30">
        <v>46102</v>
      </c>
    </row>
    <row r="1290" spans="1:2" x14ac:dyDescent="0.25">
      <c r="A1290" s="29">
        <v>10550009</v>
      </c>
      <c r="B1290" s="30">
        <v>46122</v>
      </c>
    </row>
    <row r="1291" spans="1:2" x14ac:dyDescent="0.25">
      <c r="A1291" s="29">
        <v>10550011</v>
      </c>
      <c r="B1291" s="30">
        <v>46179</v>
      </c>
    </row>
    <row r="1292" spans="1:2" x14ac:dyDescent="0.25">
      <c r="A1292" s="29">
        <v>10550010</v>
      </c>
      <c r="B1292" s="30">
        <v>46191</v>
      </c>
    </row>
    <row r="1293" spans="1:2" x14ac:dyDescent="0.25">
      <c r="A1293" s="29">
        <v>10550012</v>
      </c>
      <c r="B1293" s="30">
        <v>46232</v>
      </c>
    </row>
    <row r="1294" spans="1:2" x14ac:dyDescent="0.25">
      <c r="A1294" s="29">
        <v>10130001</v>
      </c>
      <c r="B1294" s="30">
        <v>43622</v>
      </c>
    </row>
    <row r="1295" spans="1:2" x14ac:dyDescent="0.25">
      <c r="A1295" s="29">
        <v>10130002</v>
      </c>
      <c r="B1295" s="30">
        <v>43756</v>
      </c>
    </row>
    <row r="1296" spans="1:2" x14ac:dyDescent="0.25">
      <c r="A1296" s="29">
        <v>10130003</v>
      </c>
      <c r="B1296" s="30">
        <v>43756</v>
      </c>
    </row>
    <row r="1297" spans="1:2" x14ac:dyDescent="0.25">
      <c r="A1297" s="29">
        <v>10130004</v>
      </c>
      <c r="B1297" s="30">
        <v>43758</v>
      </c>
    </row>
    <row r="1298" spans="1:2" x14ac:dyDescent="0.25">
      <c r="A1298" s="29">
        <v>10130005</v>
      </c>
      <c r="B1298" s="30">
        <v>43758</v>
      </c>
    </row>
    <row r="1299" spans="1:2" x14ac:dyDescent="0.25">
      <c r="A1299" s="29">
        <v>10130006</v>
      </c>
      <c r="B1299" s="30">
        <v>43786</v>
      </c>
    </row>
    <row r="1300" spans="1:2" x14ac:dyDescent="0.25">
      <c r="A1300" s="29">
        <v>10130007</v>
      </c>
      <c r="B1300" s="30">
        <v>43896</v>
      </c>
    </row>
    <row r="1301" spans="1:2" x14ac:dyDescent="0.25">
      <c r="A1301" s="29">
        <v>10130008</v>
      </c>
      <c r="B1301" s="30">
        <v>43913</v>
      </c>
    </row>
    <row r="1302" spans="1:2" x14ac:dyDescent="0.25">
      <c r="A1302" s="29">
        <v>10130009</v>
      </c>
      <c r="B1302" s="30">
        <v>43914</v>
      </c>
    </row>
    <row r="1303" spans="1:2" x14ac:dyDescent="0.25">
      <c r="A1303" s="29">
        <v>10130010</v>
      </c>
      <c r="B1303" s="30">
        <v>43915</v>
      </c>
    </row>
    <row r="1304" spans="1:2" x14ac:dyDescent="0.25">
      <c r="A1304" s="29">
        <v>10130011</v>
      </c>
      <c r="B1304" s="30">
        <v>43970</v>
      </c>
    </row>
    <row r="1305" spans="1:2" x14ac:dyDescent="0.25">
      <c r="A1305" s="29">
        <v>10130012</v>
      </c>
      <c r="B1305" s="30">
        <v>44102</v>
      </c>
    </row>
    <row r="1306" spans="1:2" x14ac:dyDescent="0.25">
      <c r="A1306" s="29">
        <v>10130013</v>
      </c>
      <c r="B1306" s="30">
        <v>44123</v>
      </c>
    </row>
    <row r="1307" spans="1:2" x14ac:dyDescent="0.25">
      <c r="A1307" s="29">
        <v>10130014</v>
      </c>
      <c r="B1307" s="30">
        <v>44135</v>
      </c>
    </row>
    <row r="1308" spans="1:2" x14ac:dyDescent="0.25">
      <c r="A1308" s="29">
        <v>10130015</v>
      </c>
      <c r="B1308" s="30">
        <v>44225</v>
      </c>
    </row>
    <row r="1309" spans="1:2" x14ac:dyDescent="0.25">
      <c r="A1309" s="29">
        <v>10130016</v>
      </c>
      <c r="B1309" s="30">
        <v>44256</v>
      </c>
    </row>
    <row r="1310" spans="1:2" x14ac:dyDescent="0.25">
      <c r="A1310" s="29">
        <v>10130017</v>
      </c>
      <c r="B1310" s="30">
        <v>44652</v>
      </c>
    </row>
    <row r="1311" spans="1:2" x14ac:dyDescent="0.25">
      <c r="A1311" s="29">
        <v>10130018</v>
      </c>
      <c r="B1311" s="30">
        <v>44699</v>
      </c>
    </row>
    <row r="1312" spans="1:2" x14ac:dyDescent="0.25">
      <c r="A1312" s="29">
        <v>10130019</v>
      </c>
      <c r="B1312" s="30">
        <v>44702</v>
      </c>
    </row>
    <row r="1313" spans="1:2" x14ac:dyDescent="0.25">
      <c r="A1313" s="29">
        <v>10130020</v>
      </c>
      <c r="B1313" s="30">
        <v>44724</v>
      </c>
    </row>
    <row r="1314" spans="1:2" x14ac:dyDescent="0.25">
      <c r="A1314" s="29">
        <v>10130021</v>
      </c>
      <c r="B1314" s="30">
        <v>44774</v>
      </c>
    </row>
    <row r="1315" spans="1:2" x14ac:dyDescent="0.25">
      <c r="A1315" s="29">
        <v>10130022</v>
      </c>
      <c r="B1315" s="30">
        <v>44785</v>
      </c>
    </row>
    <row r="1316" spans="1:2" x14ac:dyDescent="0.25">
      <c r="A1316" s="29">
        <v>10130023</v>
      </c>
      <c r="B1316" s="30">
        <v>44835</v>
      </c>
    </row>
    <row r="1317" spans="1:2" x14ac:dyDescent="0.25">
      <c r="A1317" s="29">
        <v>10130024</v>
      </c>
      <c r="B1317" s="30">
        <v>44835</v>
      </c>
    </row>
    <row r="1318" spans="1:2" x14ac:dyDescent="0.25">
      <c r="A1318" s="29">
        <v>10130025</v>
      </c>
      <c r="B1318" s="30">
        <v>44949</v>
      </c>
    </row>
    <row r="1319" spans="1:2" x14ac:dyDescent="0.25">
      <c r="A1319" s="29">
        <v>10130026</v>
      </c>
      <c r="B1319" s="30">
        <v>44982</v>
      </c>
    </row>
    <row r="1320" spans="1:2" x14ac:dyDescent="0.25">
      <c r="A1320" s="29">
        <v>10130027</v>
      </c>
      <c r="B1320" s="30">
        <v>43846</v>
      </c>
    </row>
    <row r="1321" spans="1:2" x14ac:dyDescent="0.25">
      <c r="A1321" s="29">
        <v>10130028</v>
      </c>
      <c r="B1321" s="30">
        <v>45024</v>
      </c>
    </row>
    <row r="1322" spans="1:2" x14ac:dyDescent="0.25">
      <c r="A1322" s="29">
        <v>10130029</v>
      </c>
      <c r="B1322" s="30">
        <v>45026</v>
      </c>
    </row>
    <row r="1323" spans="1:2" x14ac:dyDescent="0.25">
      <c r="A1323" s="29">
        <v>10130030</v>
      </c>
      <c r="B1323" s="30">
        <v>45038</v>
      </c>
    </row>
    <row r="1324" spans="1:2" x14ac:dyDescent="0.25">
      <c r="A1324" s="29">
        <v>10130031</v>
      </c>
      <c r="B1324" s="30">
        <v>45074</v>
      </c>
    </row>
    <row r="1325" spans="1:2" x14ac:dyDescent="0.25">
      <c r="A1325" s="29">
        <v>10130032</v>
      </c>
      <c r="B1325" s="30">
        <v>45076</v>
      </c>
    </row>
    <row r="1326" spans="1:2" x14ac:dyDescent="0.25">
      <c r="A1326" s="29">
        <v>10130033</v>
      </c>
      <c r="B1326" s="30">
        <v>45076</v>
      </c>
    </row>
    <row r="1327" spans="1:2" x14ac:dyDescent="0.25">
      <c r="A1327" s="29">
        <v>10130034</v>
      </c>
      <c r="B1327" s="30">
        <v>45127</v>
      </c>
    </row>
    <row r="1328" spans="1:2" x14ac:dyDescent="0.25">
      <c r="A1328" s="29">
        <v>10130035</v>
      </c>
      <c r="B1328" s="30">
        <v>43871</v>
      </c>
    </row>
    <row r="1329" spans="1:2" x14ac:dyDescent="0.25">
      <c r="A1329" s="29">
        <v>10130036</v>
      </c>
      <c r="B1329" s="30">
        <v>45151</v>
      </c>
    </row>
    <row r="1330" spans="1:2" x14ac:dyDescent="0.25">
      <c r="A1330" s="29">
        <v>10130037</v>
      </c>
      <c r="B1330" s="30">
        <v>45151</v>
      </c>
    </row>
    <row r="1331" spans="1:2" x14ac:dyDescent="0.25">
      <c r="A1331" s="29">
        <v>10130038</v>
      </c>
      <c r="B1331" s="30">
        <v>45151</v>
      </c>
    </row>
    <row r="1332" spans="1:2" x14ac:dyDescent="0.25">
      <c r="A1332" s="29">
        <v>10130039</v>
      </c>
      <c r="B1332" s="30">
        <v>45151</v>
      </c>
    </row>
    <row r="1333" spans="1:2" x14ac:dyDescent="0.25">
      <c r="A1333" s="29">
        <v>10130040</v>
      </c>
      <c r="B1333" s="30">
        <v>45151</v>
      </c>
    </row>
    <row r="1334" spans="1:2" x14ac:dyDescent="0.25">
      <c r="A1334" s="29">
        <v>10130041</v>
      </c>
      <c r="B1334" s="30">
        <v>44911</v>
      </c>
    </row>
    <row r="1335" spans="1:2" x14ac:dyDescent="0.25">
      <c r="A1335" s="29">
        <v>10130042</v>
      </c>
      <c r="B1335" s="30">
        <v>45212</v>
      </c>
    </row>
    <row r="1336" spans="1:2" x14ac:dyDescent="0.25">
      <c r="A1336" s="29">
        <v>10130043</v>
      </c>
      <c r="B1336" s="30">
        <v>45152</v>
      </c>
    </row>
    <row r="1337" spans="1:2" x14ac:dyDescent="0.25">
      <c r="A1337" s="29">
        <v>10130044</v>
      </c>
      <c r="B1337" s="30">
        <v>44915</v>
      </c>
    </row>
    <row r="1338" spans="1:2" x14ac:dyDescent="0.25">
      <c r="A1338" s="29">
        <v>10130045</v>
      </c>
      <c r="B1338" s="30">
        <v>45233</v>
      </c>
    </row>
    <row r="1339" spans="1:2" x14ac:dyDescent="0.25">
      <c r="A1339" s="29">
        <v>10130046</v>
      </c>
      <c r="B1339" s="30">
        <v>45238</v>
      </c>
    </row>
    <row r="1340" spans="1:2" x14ac:dyDescent="0.25">
      <c r="A1340" s="29">
        <v>10130047</v>
      </c>
      <c r="B1340" s="30">
        <v>45232</v>
      </c>
    </row>
    <row r="1341" spans="1:2" x14ac:dyDescent="0.25">
      <c r="A1341" s="29">
        <v>10130048</v>
      </c>
      <c r="B1341" s="30">
        <v>45205</v>
      </c>
    </row>
    <row r="1342" spans="1:2" x14ac:dyDescent="0.25">
      <c r="A1342" s="29">
        <v>10130050</v>
      </c>
      <c r="B1342" s="30">
        <v>44372</v>
      </c>
    </row>
    <row r="1343" spans="1:2" x14ac:dyDescent="0.25">
      <c r="A1343" s="29">
        <v>10130051</v>
      </c>
      <c r="B1343" s="30">
        <v>45392</v>
      </c>
    </row>
    <row r="1344" spans="1:2" x14ac:dyDescent="0.25">
      <c r="A1344" s="29">
        <v>10130052</v>
      </c>
      <c r="B1344" s="30">
        <v>45392</v>
      </c>
    </row>
    <row r="1345" spans="1:2" x14ac:dyDescent="0.25">
      <c r="A1345" s="29">
        <v>10130053</v>
      </c>
      <c r="B1345" s="30">
        <v>45392</v>
      </c>
    </row>
    <row r="1346" spans="1:2" x14ac:dyDescent="0.25">
      <c r="A1346" s="29">
        <v>10130054</v>
      </c>
      <c r="B1346" s="30">
        <v>45392</v>
      </c>
    </row>
    <row r="1347" spans="1:2" x14ac:dyDescent="0.25">
      <c r="A1347" s="29">
        <v>10130055</v>
      </c>
      <c r="B1347" s="30">
        <v>45392</v>
      </c>
    </row>
    <row r="1348" spans="1:2" x14ac:dyDescent="0.25">
      <c r="A1348" s="29">
        <v>10130056</v>
      </c>
      <c r="B1348" s="30">
        <v>45409</v>
      </c>
    </row>
    <row r="1349" spans="1:2" x14ac:dyDescent="0.25">
      <c r="A1349" s="29">
        <v>10130058</v>
      </c>
      <c r="B1349" s="30">
        <v>45412</v>
      </c>
    </row>
    <row r="1350" spans="1:2" x14ac:dyDescent="0.25">
      <c r="A1350" s="29">
        <v>10130059</v>
      </c>
      <c r="B1350" s="30">
        <v>45414</v>
      </c>
    </row>
    <row r="1351" spans="1:2" x14ac:dyDescent="0.25">
      <c r="A1351" s="29">
        <v>10130061</v>
      </c>
      <c r="B1351" s="30">
        <v>45414</v>
      </c>
    </row>
    <row r="1352" spans="1:2" x14ac:dyDescent="0.25">
      <c r="A1352" s="29">
        <v>10130064</v>
      </c>
      <c r="B1352" s="30">
        <v>45440</v>
      </c>
    </row>
    <row r="1353" spans="1:2" x14ac:dyDescent="0.25">
      <c r="A1353" s="29">
        <v>10130062</v>
      </c>
      <c r="B1353" s="30">
        <v>45440</v>
      </c>
    </row>
    <row r="1354" spans="1:2" x14ac:dyDescent="0.25">
      <c r="A1354" s="29">
        <v>10130063</v>
      </c>
      <c r="B1354" s="30">
        <v>45444</v>
      </c>
    </row>
    <row r="1355" spans="1:2" x14ac:dyDescent="0.25">
      <c r="A1355" s="29">
        <v>10130065</v>
      </c>
      <c r="B1355" s="30">
        <v>45440</v>
      </c>
    </row>
    <row r="1356" spans="1:2" x14ac:dyDescent="0.25">
      <c r="A1356" s="29">
        <v>10130067</v>
      </c>
      <c r="B1356" s="30">
        <v>45471</v>
      </c>
    </row>
    <row r="1357" spans="1:2" x14ac:dyDescent="0.25">
      <c r="A1357" s="29">
        <v>10130069</v>
      </c>
      <c r="B1357" s="30">
        <v>45521</v>
      </c>
    </row>
    <row r="1358" spans="1:2" x14ac:dyDescent="0.25">
      <c r="A1358" s="29">
        <v>10130071</v>
      </c>
      <c r="B1358" s="30">
        <v>45529</v>
      </c>
    </row>
    <row r="1359" spans="1:2" x14ac:dyDescent="0.25">
      <c r="A1359" s="29">
        <v>10130072</v>
      </c>
      <c r="B1359" s="30">
        <v>45529</v>
      </c>
    </row>
    <row r="1360" spans="1:2" x14ac:dyDescent="0.25">
      <c r="A1360" s="29">
        <v>10120082</v>
      </c>
      <c r="B1360" s="30">
        <v>45532</v>
      </c>
    </row>
    <row r="1361" spans="1:2" x14ac:dyDescent="0.25">
      <c r="A1361" s="29">
        <v>10130070</v>
      </c>
      <c r="B1361" s="30">
        <v>45536</v>
      </c>
    </row>
    <row r="1362" spans="1:2" x14ac:dyDescent="0.25">
      <c r="A1362" s="29">
        <v>10130076</v>
      </c>
      <c r="B1362" s="30">
        <v>45564</v>
      </c>
    </row>
    <row r="1363" spans="1:2" x14ac:dyDescent="0.25">
      <c r="A1363" s="29">
        <v>10130074</v>
      </c>
      <c r="B1363" s="30">
        <v>45583</v>
      </c>
    </row>
    <row r="1364" spans="1:2" x14ac:dyDescent="0.25">
      <c r="A1364" s="29">
        <v>10130075</v>
      </c>
      <c r="B1364" s="30">
        <v>45590</v>
      </c>
    </row>
    <row r="1365" spans="1:2" x14ac:dyDescent="0.25">
      <c r="A1365" s="29">
        <v>10130073</v>
      </c>
      <c r="B1365" s="30">
        <v>45599</v>
      </c>
    </row>
    <row r="1366" spans="1:2" x14ac:dyDescent="0.25">
      <c r="A1366" s="29">
        <v>10130080</v>
      </c>
      <c r="B1366" s="30">
        <v>45630</v>
      </c>
    </row>
    <row r="1367" spans="1:2" x14ac:dyDescent="0.25">
      <c r="A1367" s="29">
        <v>10130081</v>
      </c>
      <c r="B1367" s="30">
        <v>45630</v>
      </c>
    </row>
    <row r="1368" spans="1:2" x14ac:dyDescent="0.25">
      <c r="A1368" s="29">
        <v>10130077</v>
      </c>
      <c r="B1368" s="30">
        <v>45631</v>
      </c>
    </row>
    <row r="1369" spans="1:2" x14ac:dyDescent="0.25">
      <c r="A1369" s="29">
        <v>10130078</v>
      </c>
      <c r="B1369" s="30">
        <v>45631</v>
      </c>
    </row>
    <row r="1370" spans="1:2" x14ac:dyDescent="0.25">
      <c r="A1370" s="29">
        <v>10130079</v>
      </c>
      <c r="B1370" s="30">
        <v>45631</v>
      </c>
    </row>
    <row r="1371" spans="1:2" x14ac:dyDescent="0.25">
      <c r="A1371" s="29">
        <v>10130082</v>
      </c>
      <c r="B1371" s="30">
        <v>45638</v>
      </c>
    </row>
    <row r="1372" spans="1:2" x14ac:dyDescent="0.25">
      <c r="A1372" s="29">
        <v>10130083</v>
      </c>
      <c r="B1372" s="30">
        <v>45645</v>
      </c>
    </row>
    <row r="1373" spans="1:2" x14ac:dyDescent="0.25">
      <c r="A1373" s="29">
        <v>10130086</v>
      </c>
      <c r="B1373" s="30">
        <v>45649</v>
      </c>
    </row>
    <row r="1374" spans="1:2" x14ac:dyDescent="0.25">
      <c r="A1374" s="29">
        <v>10130085</v>
      </c>
      <c r="B1374" s="30">
        <v>45657</v>
      </c>
    </row>
    <row r="1375" spans="1:2" x14ac:dyDescent="0.25">
      <c r="A1375" s="29">
        <v>10130087</v>
      </c>
      <c r="B1375" s="30">
        <v>45672</v>
      </c>
    </row>
    <row r="1376" spans="1:2" x14ac:dyDescent="0.25">
      <c r="A1376" s="29">
        <v>10130084</v>
      </c>
      <c r="B1376" s="30">
        <v>45673</v>
      </c>
    </row>
    <row r="1377" spans="1:2" x14ac:dyDescent="0.25">
      <c r="A1377" s="29">
        <v>10130088</v>
      </c>
      <c r="B1377" s="30">
        <v>45690</v>
      </c>
    </row>
    <row r="1378" spans="1:2" x14ac:dyDescent="0.25">
      <c r="A1378" s="29">
        <v>10130091</v>
      </c>
      <c r="B1378" s="30">
        <v>45698</v>
      </c>
    </row>
    <row r="1379" spans="1:2" x14ac:dyDescent="0.25">
      <c r="A1379" s="29">
        <v>10130092</v>
      </c>
      <c r="B1379" s="30">
        <v>45701</v>
      </c>
    </row>
    <row r="1380" spans="1:2" x14ac:dyDescent="0.25">
      <c r="A1380" s="29">
        <v>10130090</v>
      </c>
      <c r="B1380" s="30">
        <v>45740</v>
      </c>
    </row>
    <row r="1381" spans="1:2" x14ac:dyDescent="0.25">
      <c r="A1381" s="29">
        <v>10130093</v>
      </c>
      <c r="B1381" s="30">
        <v>45740</v>
      </c>
    </row>
    <row r="1382" spans="1:2" x14ac:dyDescent="0.25">
      <c r="A1382" s="29">
        <v>10130095</v>
      </c>
      <c r="B1382" s="30">
        <v>45740</v>
      </c>
    </row>
    <row r="1383" spans="1:2" x14ac:dyDescent="0.25">
      <c r="A1383" s="29">
        <v>10130094</v>
      </c>
      <c r="B1383" s="30">
        <v>45741</v>
      </c>
    </row>
    <row r="1384" spans="1:2" x14ac:dyDescent="0.25">
      <c r="A1384" s="29">
        <v>10130096</v>
      </c>
      <c r="B1384" s="30">
        <v>45752</v>
      </c>
    </row>
    <row r="1385" spans="1:2" x14ac:dyDescent="0.25">
      <c r="A1385" s="29">
        <v>10130098</v>
      </c>
      <c r="B1385" s="30">
        <v>45765</v>
      </c>
    </row>
    <row r="1386" spans="1:2" x14ac:dyDescent="0.25">
      <c r="A1386" s="29">
        <v>10130101</v>
      </c>
      <c r="B1386" s="30">
        <v>45788</v>
      </c>
    </row>
    <row r="1387" spans="1:2" x14ac:dyDescent="0.25">
      <c r="A1387" s="29">
        <v>10130100</v>
      </c>
      <c r="B1387" s="30">
        <v>45809</v>
      </c>
    </row>
    <row r="1388" spans="1:2" x14ac:dyDescent="0.25">
      <c r="A1388" s="29">
        <v>10130103</v>
      </c>
      <c r="B1388" s="30">
        <v>45820</v>
      </c>
    </row>
    <row r="1389" spans="1:2" x14ac:dyDescent="0.25">
      <c r="A1389" s="29">
        <v>10130097</v>
      </c>
      <c r="B1389" s="30">
        <v>45826</v>
      </c>
    </row>
    <row r="1390" spans="1:2" x14ac:dyDescent="0.25">
      <c r="A1390" s="29">
        <v>10130104</v>
      </c>
      <c r="B1390" s="30">
        <v>45842</v>
      </c>
    </row>
    <row r="1391" spans="1:2" x14ac:dyDescent="0.25">
      <c r="A1391" s="29">
        <v>10130105</v>
      </c>
      <c r="B1391" s="30">
        <v>45845</v>
      </c>
    </row>
    <row r="1392" spans="1:2" x14ac:dyDescent="0.25">
      <c r="A1392" s="29">
        <v>10130102</v>
      </c>
      <c r="B1392" s="30">
        <v>45847</v>
      </c>
    </row>
    <row r="1393" spans="1:2" x14ac:dyDescent="0.25">
      <c r="A1393" s="29">
        <v>10130107</v>
      </c>
      <c r="B1393" s="30">
        <v>45868</v>
      </c>
    </row>
    <row r="1394" spans="1:2" x14ac:dyDescent="0.25">
      <c r="A1394" s="29">
        <v>10130106</v>
      </c>
      <c r="B1394" s="30">
        <v>45869</v>
      </c>
    </row>
    <row r="1395" spans="1:2" x14ac:dyDescent="0.25">
      <c r="A1395" s="29">
        <v>10130110</v>
      </c>
      <c r="B1395" s="30">
        <v>45940</v>
      </c>
    </row>
    <row r="1396" spans="1:2" x14ac:dyDescent="0.25">
      <c r="A1396" s="29">
        <v>10130111</v>
      </c>
      <c r="B1396" s="30">
        <v>45942</v>
      </c>
    </row>
    <row r="1397" spans="1:2" x14ac:dyDescent="0.25">
      <c r="A1397" s="29">
        <v>10130109</v>
      </c>
      <c r="B1397" s="30">
        <v>45943</v>
      </c>
    </row>
    <row r="1398" spans="1:2" x14ac:dyDescent="0.25">
      <c r="A1398" s="29">
        <v>10130108</v>
      </c>
      <c r="B1398" s="30">
        <v>45944</v>
      </c>
    </row>
    <row r="1399" spans="1:2" x14ac:dyDescent="0.25">
      <c r="A1399" s="29">
        <v>10130112</v>
      </c>
      <c r="B1399" s="30">
        <v>46004</v>
      </c>
    </row>
    <row r="1400" spans="1:2" x14ac:dyDescent="0.25">
      <c r="A1400" s="29">
        <v>10130113</v>
      </c>
      <c r="B1400" s="30">
        <v>46011</v>
      </c>
    </row>
    <row r="1401" spans="1:2" x14ac:dyDescent="0.25">
      <c r="A1401" s="29">
        <v>10130114</v>
      </c>
      <c r="B1401" s="30">
        <v>46027</v>
      </c>
    </row>
    <row r="1402" spans="1:2" x14ac:dyDescent="0.25">
      <c r="A1402" s="29">
        <v>10130116</v>
      </c>
      <c r="B1402" s="30">
        <v>46053</v>
      </c>
    </row>
    <row r="1403" spans="1:2" x14ac:dyDescent="0.25">
      <c r="A1403" s="29">
        <v>10610008</v>
      </c>
      <c r="B1403" s="30">
        <v>46053</v>
      </c>
    </row>
    <row r="1404" spans="1:2" x14ac:dyDescent="0.25">
      <c r="A1404" s="29">
        <v>10610006</v>
      </c>
      <c r="B1404" s="30">
        <v>46053</v>
      </c>
    </row>
    <row r="1405" spans="1:2" x14ac:dyDescent="0.25">
      <c r="A1405" s="29">
        <v>10610010</v>
      </c>
      <c r="B1405" s="30">
        <v>46053</v>
      </c>
    </row>
    <row r="1406" spans="1:2" x14ac:dyDescent="0.25">
      <c r="A1406" s="29">
        <v>10610002</v>
      </c>
      <c r="B1406" s="30">
        <v>46053</v>
      </c>
    </row>
    <row r="1407" spans="1:2" x14ac:dyDescent="0.25">
      <c r="A1407" s="29">
        <v>10610007</v>
      </c>
      <c r="B1407" s="30">
        <v>46053</v>
      </c>
    </row>
    <row r="1408" spans="1:2" x14ac:dyDescent="0.25">
      <c r="A1408" s="29">
        <v>10130115</v>
      </c>
      <c r="B1408" s="30">
        <v>46054</v>
      </c>
    </row>
    <row r="1409" spans="1:2" x14ac:dyDescent="0.25">
      <c r="A1409" s="29">
        <v>10130117</v>
      </c>
      <c r="B1409" s="30">
        <v>46069</v>
      </c>
    </row>
    <row r="1410" spans="1:2" x14ac:dyDescent="0.25">
      <c r="A1410" s="29">
        <v>10610009</v>
      </c>
      <c r="B1410" s="30">
        <v>46071</v>
      </c>
    </row>
    <row r="1411" spans="1:2" x14ac:dyDescent="0.25">
      <c r="A1411" s="29">
        <v>10130118</v>
      </c>
      <c r="B1411" s="30">
        <v>46076</v>
      </c>
    </row>
    <row r="1412" spans="1:2" x14ac:dyDescent="0.25">
      <c r="A1412" s="29">
        <v>10130119</v>
      </c>
      <c r="B1412" s="30">
        <v>46120</v>
      </c>
    </row>
    <row r="1413" spans="1:2" x14ac:dyDescent="0.25">
      <c r="A1413" s="29">
        <v>10130121</v>
      </c>
      <c r="B1413" s="30">
        <v>46144</v>
      </c>
    </row>
    <row r="1414" spans="1:2" x14ac:dyDescent="0.25">
      <c r="A1414" s="29">
        <v>10130120</v>
      </c>
      <c r="B1414" s="30">
        <v>46150</v>
      </c>
    </row>
    <row r="1415" spans="1:2" x14ac:dyDescent="0.25">
      <c r="A1415" s="29">
        <v>10130122</v>
      </c>
      <c r="B1415" s="30">
        <v>46180</v>
      </c>
    </row>
    <row r="1416" spans="1:2" x14ac:dyDescent="0.25">
      <c r="A1416" s="29">
        <v>10070034</v>
      </c>
      <c r="B1416" s="30">
        <v>45205</v>
      </c>
    </row>
    <row r="1417" spans="1:2" x14ac:dyDescent="0.25">
      <c r="A1417" s="29">
        <v>10100001</v>
      </c>
      <c r="B1417" s="30">
        <v>43020</v>
      </c>
    </row>
    <row r="1418" spans="1:2" x14ac:dyDescent="0.25">
      <c r="A1418" s="29">
        <v>10100002</v>
      </c>
      <c r="B1418" s="30">
        <v>43721</v>
      </c>
    </row>
    <row r="1419" spans="1:2" x14ac:dyDescent="0.25">
      <c r="A1419" s="29">
        <v>10100003</v>
      </c>
      <c r="B1419" s="30">
        <v>44974</v>
      </c>
    </row>
    <row r="1420" spans="1:2" x14ac:dyDescent="0.25">
      <c r="A1420" s="29">
        <v>10100004</v>
      </c>
      <c r="B1420" s="30">
        <v>44987</v>
      </c>
    </row>
    <row r="1421" spans="1:2" x14ac:dyDescent="0.25">
      <c r="A1421" s="29">
        <v>10100005</v>
      </c>
      <c r="B1421" s="30">
        <v>45012</v>
      </c>
    </row>
    <row r="1422" spans="1:2" x14ac:dyDescent="0.25">
      <c r="A1422" s="29">
        <v>10100006</v>
      </c>
      <c r="B1422" s="30">
        <v>45012</v>
      </c>
    </row>
    <row r="1423" spans="1:2" x14ac:dyDescent="0.25">
      <c r="A1423" s="29">
        <v>10100007</v>
      </c>
      <c r="B1423" s="30">
        <v>45012</v>
      </c>
    </row>
    <row r="1424" spans="1:2" x14ac:dyDescent="0.25">
      <c r="A1424" s="29">
        <v>10100008</v>
      </c>
      <c r="B1424" s="30">
        <v>45012</v>
      </c>
    </row>
    <row r="1425" spans="1:2" x14ac:dyDescent="0.25">
      <c r="A1425" s="29">
        <v>10100009</v>
      </c>
      <c r="B1425" s="30">
        <v>45012</v>
      </c>
    </row>
    <row r="1426" spans="1:2" x14ac:dyDescent="0.25">
      <c r="A1426" s="29">
        <v>10100010</v>
      </c>
      <c r="B1426" s="30">
        <v>45012</v>
      </c>
    </row>
    <row r="1427" spans="1:2" x14ac:dyDescent="0.25">
      <c r="A1427" s="29">
        <v>10100011</v>
      </c>
      <c r="B1427" s="30">
        <v>45015</v>
      </c>
    </row>
    <row r="1428" spans="1:2" x14ac:dyDescent="0.25">
      <c r="A1428" s="29">
        <v>10100012</v>
      </c>
      <c r="B1428" s="30">
        <v>45015</v>
      </c>
    </row>
    <row r="1429" spans="1:2" x14ac:dyDescent="0.25">
      <c r="A1429" s="29">
        <v>10100013</v>
      </c>
      <c r="B1429" s="30">
        <v>45016</v>
      </c>
    </row>
    <row r="1430" spans="1:2" x14ac:dyDescent="0.25">
      <c r="A1430" s="29">
        <v>10100014</v>
      </c>
      <c r="B1430" s="30">
        <v>45016</v>
      </c>
    </row>
    <row r="1431" spans="1:2" x14ac:dyDescent="0.25">
      <c r="A1431" s="29">
        <v>10100015</v>
      </c>
      <c r="B1431" s="30">
        <v>45016</v>
      </c>
    </row>
    <row r="1432" spans="1:2" x14ac:dyDescent="0.25">
      <c r="A1432" s="29">
        <v>10100016</v>
      </c>
      <c r="B1432" s="30">
        <v>45016</v>
      </c>
    </row>
    <row r="1433" spans="1:2" x14ac:dyDescent="0.25">
      <c r="A1433" s="29">
        <v>10100017</v>
      </c>
      <c r="B1433" s="30">
        <v>45039</v>
      </c>
    </row>
    <row r="1434" spans="1:2" x14ac:dyDescent="0.25">
      <c r="A1434" s="29">
        <v>10100018</v>
      </c>
      <c r="B1434" s="30">
        <v>45041</v>
      </c>
    </row>
    <row r="1435" spans="1:2" x14ac:dyDescent="0.25">
      <c r="A1435" s="29">
        <v>10100019</v>
      </c>
      <c r="B1435" s="30">
        <v>45043</v>
      </c>
    </row>
    <row r="1436" spans="1:2" x14ac:dyDescent="0.25">
      <c r="A1436" s="29">
        <v>10100020</v>
      </c>
      <c r="B1436" s="30">
        <v>45044</v>
      </c>
    </row>
    <row r="1437" spans="1:2" x14ac:dyDescent="0.25">
      <c r="A1437" s="29">
        <v>10100021</v>
      </c>
      <c r="B1437" s="30">
        <v>45017</v>
      </c>
    </row>
    <row r="1438" spans="1:2" x14ac:dyDescent="0.25">
      <c r="A1438" s="29">
        <v>10100022</v>
      </c>
      <c r="B1438" s="30">
        <v>45017</v>
      </c>
    </row>
    <row r="1439" spans="1:2" x14ac:dyDescent="0.25">
      <c r="A1439" s="29">
        <v>10100023</v>
      </c>
      <c r="B1439" s="30">
        <v>45017</v>
      </c>
    </row>
    <row r="1440" spans="1:2" x14ac:dyDescent="0.25">
      <c r="A1440" s="29">
        <v>10100024</v>
      </c>
      <c r="B1440" s="30">
        <v>45017</v>
      </c>
    </row>
    <row r="1441" spans="1:2" x14ac:dyDescent="0.25">
      <c r="A1441" s="29">
        <v>10100025</v>
      </c>
      <c r="B1441" s="30">
        <v>45145</v>
      </c>
    </row>
    <row r="1442" spans="1:2" x14ac:dyDescent="0.25">
      <c r="A1442" s="29">
        <v>10100026</v>
      </c>
      <c r="B1442" s="30">
        <v>45147</v>
      </c>
    </row>
    <row r="1443" spans="1:2" x14ac:dyDescent="0.25">
      <c r="A1443" s="29">
        <v>10100027</v>
      </c>
      <c r="B1443" s="30">
        <v>44652</v>
      </c>
    </row>
    <row r="1444" spans="1:2" x14ac:dyDescent="0.25">
      <c r="A1444" s="29">
        <v>10100028</v>
      </c>
      <c r="B1444" s="30">
        <v>45149</v>
      </c>
    </row>
    <row r="1445" spans="1:2" x14ac:dyDescent="0.25">
      <c r="A1445" s="29">
        <v>10100029</v>
      </c>
      <c r="B1445" s="30">
        <v>44652</v>
      </c>
    </row>
    <row r="1446" spans="1:2" x14ac:dyDescent="0.25">
      <c r="A1446" s="29">
        <v>10100030</v>
      </c>
      <c r="B1446" s="30">
        <v>44652</v>
      </c>
    </row>
    <row r="1447" spans="1:2" x14ac:dyDescent="0.25">
      <c r="A1447" s="29">
        <v>10100031</v>
      </c>
      <c r="B1447" s="30">
        <v>45212</v>
      </c>
    </row>
    <row r="1448" spans="1:2" x14ac:dyDescent="0.25">
      <c r="A1448" s="29">
        <v>10100032</v>
      </c>
      <c r="B1448" s="30">
        <v>45219</v>
      </c>
    </row>
    <row r="1449" spans="1:2" x14ac:dyDescent="0.25">
      <c r="A1449" s="29">
        <v>10100033</v>
      </c>
      <c r="B1449" s="30">
        <v>45238</v>
      </c>
    </row>
    <row r="1450" spans="1:2" x14ac:dyDescent="0.25">
      <c r="A1450" s="29">
        <v>10100034</v>
      </c>
      <c r="B1450" s="30">
        <v>45260</v>
      </c>
    </row>
    <row r="1451" spans="1:2" x14ac:dyDescent="0.25">
      <c r="A1451" s="29">
        <v>10100035</v>
      </c>
      <c r="B1451" s="30">
        <v>45238</v>
      </c>
    </row>
    <row r="1452" spans="1:2" x14ac:dyDescent="0.25">
      <c r="A1452" s="29">
        <v>10100036</v>
      </c>
      <c r="B1452" s="30">
        <v>45258</v>
      </c>
    </row>
    <row r="1453" spans="1:2" x14ac:dyDescent="0.25">
      <c r="A1453" s="29">
        <v>10100037</v>
      </c>
      <c r="B1453" s="30">
        <v>45260</v>
      </c>
    </row>
    <row r="1454" spans="1:2" x14ac:dyDescent="0.25">
      <c r="A1454" s="29">
        <v>10100038</v>
      </c>
      <c r="B1454" s="30">
        <v>45260</v>
      </c>
    </row>
    <row r="1455" spans="1:2" x14ac:dyDescent="0.25">
      <c r="A1455" s="29">
        <v>10100039</v>
      </c>
      <c r="B1455" s="30">
        <v>45260</v>
      </c>
    </row>
    <row r="1456" spans="1:2" x14ac:dyDescent="0.25">
      <c r="A1456" s="29">
        <v>10100040</v>
      </c>
      <c r="B1456" s="30">
        <v>45260</v>
      </c>
    </row>
    <row r="1457" spans="1:2" x14ac:dyDescent="0.25">
      <c r="A1457" s="29">
        <v>10100041</v>
      </c>
      <c r="B1457" s="30">
        <v>45012</v>
      </c>
    </row>
    <row r="1458" spans="1:2" x14ac:dyDescent="0.25">
      <c r="A1458" s="29">
        <v>10100042</v>
      </c>
      <c r="B1458" s="30">
        <v>45012</v>
      </c>
    </row>
    <row r="1459" spans="1:2" x14ac:dyDescent="0.25">
      <c r="A1459" s="29">
        <v>10100043</v>
      </c>
      <c r="B1459" s="30">
        <v>45198</v>
      </c>
    </row>
    <row r="1460" spans="1:2" x14ac:dyDescent="0.25">
      <c r="A1460" s="29">
        <v>10100044</v>
      </c>
      <c r="B1460" s="30">
        <v>45471</v>
      </c>
    </row>
    <row r="1461" spans="1:2" x14ac:dyDescent="0.25">
      <c r="A1461" s="29">
        <v>10100045</v>
      </c>
      <c r="B1461" s="30">
        <v>45471</v>
      </c>
    </row>
    <row r="1462" spans="1:2" x14ac:dyDescent="0.25">
      <c r="A1462" s="29">
        <v>10100050</v>
      </c>
      <c r="B1462" s="30">
        <v>45555</v>
      </c>
    </row>
    <row r="1463" spans="1:2" x14ac:dyDescent="0.25">
      <c r="A1463" s="29">
        <v>10100051</v>
      </c>
      <c r="B1463" s="30">
        <v>45556</v>
      </c>
    </row>
    <row r="1464" spans="1:2" x14ac:dyDescent="0.25">
      <c r="A1464" s="29">
        <v>10100047</v>
      </c>
      <c r="B1464" s="30">
        <v>45564</v>
      </c>
    </row>
    <row r="1465" spans="1:2" x14ac:dyDescent="0.25">
      <c r="A1465" s="29">
        <v>10100049</v>
      </c>
      <c r="B1465" s="30">
        <v>45562</v>
      </c>
    </row>
    <row r="1466" spans="1:2" x14ac:dyDescent="0.25">
      <c r="A1466" s="29">
        <v>10100052</v>
      </c>
      <c r="B1466" s="30">
        <v>45593</v>
      </c>
    </row>
    <row r="1467" spans="1:2" x14ac:dyDescent="0.25">
      <c r="A1467" s="29">
        <v>10100053</v>
      </c>
      <c r="B1467" s="30">
        <v>45593</v>
      </c>
    </row>
    <row r="1468" spans="1:2" x14ac:dyDescent="0.25">
      <c r="A1468" s="29">
        <v>10100057</v>
      </c>
      <c r="B1468" s="30">
        <v>45653</v>
      </c>
    </row>
    <row r="1469" spans="1:2" x14ac:dyDescent="0.25">
      <c r="A1469" s="29">
        <v>10100058</v>
      </c>
      <c r="B1469" s="30">
        <v>45654</v>
      </c>
    </row>
    <row r="1470" spans="1:2" x14ac:dyDescent="0.25">
      <c r="A1470" s="29">
        <v>10100054</v>
      </c>
      <c r="B1470" s="30">
        <v>45657</v>
      </c>
    </row>
    <row r="1471" spans="1:2" x14ac:dyDescent="0.25">
      <c r="A1471" s="29">
        <v>10100060</v>
      </c>
      <c r="B1471" s="30">
        <v>45657</v>
      </c>
    </row>
    <row r="1472" spans="1:2" x14ac:dyDescent="0.25">
      <c r="A1472" s="29">
        <v>10100055</v>
      </c>
      <c r="B1472" s="30">
        <v>45658</v>
      </c>
    </row>
    <row r="1473" spans="1:2" x14ac:dyDescent="0.25">
      <c r="A1473" s="29">
        <v>10100056</v>
      </c>
      <c r="B1473" s="30">
        <v>45661</v>
      </c>
    </row>
    <row r="1474" spans="1:2" x14ac:dyDescent="0.25">
      <c r="A1474" s="29">
        <v>10100062</v>
      </c>
      <c r="B1474" s="30">
        <v>46050</v>
      </c>
    </row>
    <row r="1475" spans="1:2" x14ac:dyDescent="0.25">
      <c r="A1475" s="29">
        <v>10100063</v>
      </c>
      <c r="B1475" s="30">
        <v>46058</v>
      </c>
    </row>
    <row r="1476" spans="1:2" x14ac:dyDescent="0.25">
      <c r="A1476" s="29">
        <v>10100065</v>
      </c>
      <c r="B1476" s="30">
        <v>46063</v>
      </c>
    </row>
    <row r="1477" spans="1:2" x14ac:dyDescent="0.25">
      <c r="A1477" s="29">
        <v>10100064</v>
      </c>
      <c r="B1477" s="30">
        <v>46080</v>
      </c>
    </row>
    <row r="1478" spans="1:2" x14ac:dyDescent="0.25">
      <c r="A1478" s="29">
        <v>10100068</v>
      </c>
      <c r="B1478" s="30">
        <v>46097</v>
      </c>
    </row>
    <row r="1479" spans="1:2" x14ac:dyDescent="0.25">
      <c r="A1479" s="29">
        <v>10100061</v>
      </c>
      <c r="B1479" s="30">
        <v>46098</v>
      </c>
    </row>
    <row r="1480" spans="1:2" x14ac:dyDescent="0.25">
      <c r="A1480" s="29">
        <v>10100070</v>
      </c>
      <c r="B1480" s="30">
        <v>46108</v>
      </c>
    </row>
    <row r="1481" spans="1:2" x14ac:dyDescent="0.25">
      <c r="A1481" s="29">
        <v>10100069</v>
      </c>
      <c r="B1481" s="30">
        <v>46108</v>
      </c>
    </row>
    <row r="1482" spans="1:2" x14ac:dyDescent="0.25">
      <c r="A1482" s="29">
        <v>10100059</v>
      </c>
      <c r="B1482" s="30">
        <v>46115</v>
      </c>
    </row>
    <row r="1483" spans="1:2" x14ac:dyDescent="0.25">
      <c r="A1483" s="29">
        <v>10520011</v>
      </c>
      <c r="B1483" s="30">
        <v>46124</v>
      </c>
    </row>
    <row r="1484" spans="1:2" x14ac:dyDescent="0.25">
      <c r="A1484" s="29">
        <v>10100067</v>
      </c>
      <c r="B1484" s="30">
        <v>46129</v>
      </c>
    </row>
    <row r="1485" spans="1:2" x14ac:dyDescent="0.25">
      <c r="A1485" s="29">
        <v>10100071</v>
      </c>
      <c r="B1485" s="30">
        <v>46159</v>
      </c>
    </row>
    <row r="1486" spans="1:2" x14ac:dyDescent="0.25">
      <c r="A1486" s="29">
        <v>10100073</v>
      </c>
      <c r="B1486" s="30">
        <v>46168</v>
      </c>
    </row>
    <row r="1487" spans="1:2" x14ac:dyDescent="0.25">
      <c r="A1487" s="29">
        <v>10100066</v>
      </c>
      <c r="B1487" s="30">
        <v>46221</v>
      </c>
    </row>
    <row r="1488" spans="1:2" x14ac:dyDescent="0.25">
      <c r="A1488" s="29">
        <v>10620001</v>
      </c>
      <c r="B1488" s="30">
        <v>46054</v>
      </c>
    </row>
    <row r="1489" spans="1:2" x14ac:dyDescent="0.25">
      <c r="A1489" s="29">
        <v>10620006</v>
      </c>
      <c r="B1489" s="30">
        <v>46054</v>
      </c>
    </row>
    <row r="1490" spans="1:2" x14ac:dyDescent="0.25">
      <c r="A1490" s="29">
        <v>10620007</v>
      </c>
      <c r="B1490" s="30">
        <v>46054</v>
      </c>
    </row>
    <row r="1491" spans="1:2" x14ac:dyDescent="0.25">
      <c r="A1491" s="29">
        <v>10620012</v>
      </c>
      <c r="B1491" s="30">
        <v>46054</v>
      </c>
    </row>
    <row r="1492" spans="1:2" x14ac:dyDescent="0.25">
      <c r="A1492" s="29">
        <v>10620015</v>
      </c>
      <c r="B1492" s="30">
        <v>46054</v>
      </c>
    </row>
    <row r="1493" spans="1:2" x14ac:dyDescent="0.25">
      <c r="A1493" s="29">
        <v>10620017</v>
      </c>
      <c r="B1493" s="30">
        <v>46054</v>
      </c>
    </row>
    <row r="1494" spans="1:2" x14ac:dyDescent="0.25">
      <c r="A1494" s="29">
        <v>10620019</v>
      </c>
      <c r="B1494" s="30">
        <v>46054</v>
      </c>
    </row>
    <row r="1495" spans="1:2" x14ac:dyDescent="0.25">
      <c r="A1495" s="29">
        <v>10620020</v>
      </c>
      <c r="B1495" s="30">
        <v>46054</v>
      </c>
    </row>
    <row r="1496" spans="1:2" x14ac:dyDescent="0.25">
      <c r="A1496" s="29">
        <v>10620021</v>
      </c>
      <c r="B1496" s="30">
        <v>46054</v>
      </c>
    </row>
    <row r="1497" spans="1:2" x14ac:dyDescent="0.25">
      <c r="A1497" s="29">
        <v>10620022</v>
      </c>
      <c r="B1497" s="30">
        <v>46054</v>
      </c>
    </row>
    <row r="1498" spans="1:2" x14ac:dyDescent="0.25">
      <c r="A1498" s="29">
        <v>10620023</v>
      </c>
      <c r="B1498" s="30">
        <v>46054</v>
      </c>
    </row>
    <row r="1499" spans="1:2" x14ac:dyDescent="0.25">
      <c r="A1499" s="29">
        <v>10620024</v>
      </c>
      <c r="B1499" s="30">
        <v>46054</v>
      </c>
    </row>
    <row r="1500" spans="1:2" x14ac:dyDescent="0.25">
      <c r="A1500" s="29">
        <v>10620025</v>
      </c>
      <c r="B1500" s="30">
        <v>46054</v>
      </c>
    </row>
    <row r="1501" spans="1:2" x14ac:dyDescent="0.25">
      <c r="A1501" s="29">
        <v>10620026</v>
      </c>
      <c r="B1501" s="30">
        <v>46054</v>
      </c>
    </row>
    <row r="1502" spans="1:2" x14ac:dyDescent="0.25">
      <c r="A1502" s="29">
        <v>10620027</v>
      </c>
      <c r="B1502" s="30">
        <v>46054</v>
      </c>
    </row>
    <row r="1503" spans="1:2" x14ac:dyDescent="0.25">
      <c r="A1503" s="29">
        <v>10620028</v>
      </c>
      <c r="B1503" s="30">
        <v>46054</v>
      </c>
    </row>
    <row r="1504" spans="1:2" x14ac:dyDescent="0.25">
      <c r="A1504" s="29">
        <v>10620029</v>
      </c>
      <c r="B1504" s="30">
        <v>46054</v>
      </c>
    </row>
    <row r="1505" spans="1:2" x14ac:dyDescent="0.25">
      <c r="A1505" s="29">
        <v>10620030</v>
      </c>
      <c r="B1505" s="30">
        <v>46054</v>
      </c>
    </row>
    <row r="1506" spans="1:2" x14ac:dyDescent="0.25">
      <c r="A1506" s="29">
        <v>10620035</v>
      </c>
      <c r="B1506" s="30">
        <v>46054</v>
      </c>
    </row>
    <row r="1507" spans="1:2" x14ac:dyDescent="0.25">
      <c r="A1507" s="29">
        <v>10620099</v>
      </c>
      <c r="B1507" s="30">
        <v>46054</v>
      </c>
    </row>
    <row r="1508" spans="1:2" x14ac:dyDescent="0.25">
      <c r="A1508" s="29">
        <v>10620036</v>
      </c>
      <c r="B1508" s="30">
        <v>46054</v>
      </c>
    </row>
    <row r="1509" spans="1:2" x14ac:dyDescent="0.25">
      <c r="A1509" s="29">
        <v>10620037</v>
      </c>
      <c r="B1509" s="30">
        <v>46054</v>
      </c>
    </row>
    <row r="1510" spans="1:2" x14ac:dyDescent="0.25">
      <c r="A1510" s="29">
        <v>10620038</v>
      </c>
      <c r="B1510" s="30">
        <v>46054</v>
      </c>
    </row>
    <row r="1511" spans="1:2" x14ac:dyDescent="0.25">
      <c r="A1511" s="29">
        <v>10620039</v>
      </c>
      <c r="B1511" s="30">
        <v>46054</v>
      </c>
    </row>
    <row r="1512" spans="1:2" x14ac:dyDescent="0.25">
      <c r="A1512" s="29">
        <v>10620040</v>
      </c>
      <c r="B1512" s="30">
        <v>46054</v>
      </c>
    </row>
    <row r="1513" spans="1:2" x14ac:dyDescent="0.25">
      <c r="A1513" s="29">
        <v>10620042</v>
      </c>
      <c r="B1513" s="30">
        <v>46054</v>
      </c>
    </row>
    <row r="1514" spans="1:2" x14ac:dyDescent="0.25">
      <c r="A1514" s="29">
        <v>10620043</v>
      </c>
      <c r="B1514" s="30">
        <v>46054</v>
      </c>
    </row>
    <row r="1515" spans="1:2" x14ac:dyDescent="0.25">
      <c r="A1515" s="29">
        <v>10620044</v>
      </c>
      <c r="B1515" s="30">
        <v>46054</v>
      </c>
    </row>
    <row r="1516" spans="1:2" x14ac:dyDescent="0.25">
      <c r="A1516" s="29">
        <v>10620045</v>
      </c>
      <c r="B1516" s="30">
        <v>46054</v>
      </c>
    </row>
    <row r="1517" spans="1:2" x14ac:dyDescent="0.25">
      <c r="A1517" s="29">
        <v>10620047</v>
      </c>
      <c r="B1517" s="30">
        <v>46054</v>
      </c>
    </row>
    <row r="1518" spans="1:2" x14ac:dyDescent="0.25">
      <c r="A1518" s="29">
        <v>10620048</v>
      </c>
      <c r="B1518" s="30">
        <v>46054</v>
      </c>
    </row>
    <row r="1519" spans="1:2" x14ac:dyDescent="0.25">
      <c r="A1519" s="29">
        <v>10620049</v>
      </c>
      <c r="B1519" s="30">
        <v>46054</v>
      </c>
    </row>
    <row r="1520" spans="1:2" x14ac:dyDescent="0.25">
      <c r="A1520" s="29">
        <v>10620050</v>
      </c>
      <c r="B1520" s="30">
        <v>46054</v>
      </c>
    </row>
    <row r="1521" spans="1:2" x14ac:dyDescent="0.25">
      <c r="A1521" s="29">
        <v>10620051</v>
      </c>
      <c r="B1521" s="30">
        <v>46054</v>
      </c>
    </row>
    <row r="1522" spans="1:2" x14ac:dyDescent="0.25">
      <c r="A1522" s="29">
        <v>10620052</v>
      </c>
      <c r="B1522" s="30">
        <v>46054</v>
      </c>
    </row>
    <row r="1523" spans="1:2" x14ac:dyDescent="0.25">
      <c r="A1523" s="29">
        <v>10620053</v>
      </c>
      <c r="B1523" s="30">
        <v>46054</v>
      </c>
    </row>
    <row r="1524" spans="1:2" x14ac:dyDescent="0.25">
      <c r="A1524" s="29">
        <v>10620054</v>
      </c>
      <c r="B1524" s="30">
        <v>46054</v>
      </c>
    </row>
    <row r="1525" spans="1:2" x14ac:dyDescent="0.25">
      <c r="A1525" s="29">
        <v>10620055</v>
      </c>
      <c r="B1525" s="30">
        <v>46054</v>
      </c>
    </row>
    <row r="1526" spans="1:2" x14ac:dyDescent="0.25">
      <c r="A1526" s="29">
        <v>10620056</v>
      </c>
      <c r="B1526" s="30">
        <v>46054</v>
      </c>
    </row>
    <row r="1527" spans="1:2" x14ac:dyDescent="0.25">
      <c r="A1527" s="29">
        <v>10620057</v>
      </c>
      <c r="B1527" s="30">
        <v>46054</v>
      </c>
    </row>
    <row r="1528" spans="1:2" x14ac:dyDescent="0.25">
      <c r="A1528" s="29">
        <v>10620058</v>
      </c>
      <c r="B1528" s="30">
        <v>46054</v>
      </c>
    </row>
    <row r="1529" spans="1:2" x14ac:dyDescent="0.25">
      <c r="A1529" s="29">
        <v>10620059</v>
      </c>
      <c r="B1529" s="30">
        <v>46054</v>
      </c>
    </row>
    <row r="1530" spans="1:2" x14ac:dyDescent="0.25">
      <c r="A1530" s="29">
        <v>10620060</v>
      </c>
      <c r="B1530" s="30">
        <v>46054</v>
      </c>
    </row>
    <row r="1531" spans="1:2" x14ac:dyDescent="0.25">
      <c r="A1531" s="29">
        <v>10620062</v>
      </c>
      <c r="B1531" s="30">
        <v>46054</v>
      </c>
    </row>
    <row r="1532" spans="1:2" x14ac:dyDescent="0.25">
      <c r="A1532" s="29">
        <v>10620064</v>
      </c>
      <c r="B1532" s="30">
        <v>46054</v>
      </c>
    </row>
    <row r="1533" spans="1:2" x14ac:dyDescent="0.25">
      <c r="A1533" s="29">
        <v>10620065</v>
      </c>
      <c r="B1533" s="30">
        <v>46054</v>
      </c>
    </row>
    <row r="1534" spans="1:2" x14ac:dyDescent="0.25">
      <c r="A1534" s="29">
        <v>10620066</v>
      </c>
      <c r="B1534" s="30">
        <v>46054</v>
      </c>
    </row>
    <row r="1535" spans="1:2" x14ac:dyDescent="0.25">
      <c r="A1535" s="29">
        <v>10620067</v>
      </c>
      <c r="B1535" s="30">
        <v>46054</v>
      </c>
    </row>
    <row r="1536" spans="1:2" x14ac:dyDescent="0.25">
      <c r="A1536" s="29">
        <v>10620068</v>
      </c>
      <c r="B1536" s="30">
        <v>46054</v>
      </c>
    </row>
    <row r="1537" spans="1:2" x14ac:dyDescent="0.25">
      <c r="A1537" s="29">
        <v>10620069</v>
      </c>
      <c r="B1537" s="30">
        <v>46054</v>
      </c>
    </row>
    <row r="1538" spans="1:2" x14ac:dyDescent="0.25">
      <c r="A1538" s="29">
        <v>10620070</v>
      </c>
      <c r="B1538" s="30">
        <v>46054</v>
      </c>
    </row>
    <row r="1539" spans="1:2" x14ac:dyDescent="0.25">
      <c r="A1539" s="29">
        <v>10620071</v>
      </c>
      <c r="B1539" s="30">
        <v>46054</v>
      </c>
    </row>
    <row r="1540" spans="1:2" x14ac:dyDescent="0.25">
      <c r="A1540" s="29">
        <v>10620072</v>
      </c>
      <c r="B1540" s="30">
        <v>46054</v>
      </c>
    </row>
    <row r="1541" spans="1:2" x14ac:dyDescent="0.25">
      <c r="A1541" s="29">
        <v>10620073</v>
      </c>
      <c r="B1541" s="30">
        <v>46054</v>
      </c>
    </row>
    <row r="1542" spans="1:2" x14ac:dyDescent="0.25">
      <c r="A1542" s="29">
        <v>10620074</v>
      </c>
      <c r="B1542" s="30">
        <v>46054</v>
      </c>
    </row>
    <row r="1543" spans="1:2" x14ac:dyDescent="0.25">
      <c r="A1543" s="29">
        <v>10620075</v>
      </c>
      <c r="B1543" s="30">
        <v>46054</v>
      </c>
    </row>
    <row r="1544" spans="1:2" x14ac:dyDescent="0.25">
      <c r="A1544" s="29">
        <v>10620081</v>
      </c>
      <c r="B1544" s="30">
        <v>46054</v>
      </c>
    </row>
    <row r="1545" spans="1:2" x14ac:dyDescent="0.25">
      <c r="A1545" s="29">
        <v>10620085</v>
      </c>
      <c r="B1545" s="30">
        <v>46054</v>
      </c>
    </row>
    <row r="1546" spans="1:2" x14ac:dyDescent="0.25">
      <c r="A1546" s="29">
        <v>10620087</v>
      </c>
      <c r="B1546" s="30">
        <v>46054</v>
      </c>
    </row>
    <row r="1547" spans="1:2" x14ac:dyDescent="0.25">
      <c r="A1547" s="29">
        <v>10620088</v>
      </c>
      <c r="B1547" s="30">
        <v>46054</v>
      </c>
    </row>
    <row r="1548" spans="1:2" x14ac:dyDescent="0.25">
      <c r="A1548" s="29">
        <v>10620089</v>
      </c>
      <c r="B1548" s="30">
        <v>46054</v>
      </c>
    </row>
    <row r="1549" spans="1:2" x14ac:dyDescent="0.25">
      <c r="A1549" s="29">
        <v>10620090</v>
      </c>
      <c r="B1549" s="30">
        <v>46054</v>
      </c>
    </row>
    <row r="1550" spans="1:2" x14ac:dyDescent="0.25">
      <c r="A1550" s="29">
        <v>10620092</v>
      </c>
      <c r="B1550" s="30">
        <v>46054</v>
      </c>
    </row>
    <row r="1551" spans="1:2" x14ac:dyDescent="0.25">
      <c r="A1551" s="29">
        <v>10620094</v>
      </c>
      <c r="B1551" s="30">
        <v>46054</v>
      </c>
    </row>
    <row r="1552" spans="1:2" x14ac:dyDescent="0.25">
      <c r="A1552" s="29">
        <v>10620095</v>
      </c>
      <c r="B1552" s="30">
        <v>46054</v>
      </c>
    </row>
    <row r="1553" spans="1:2" x14ac:dyDescent="0.25">
      <c r="A1553" s="29">
        <v>10620097</v>
      </c>
      <c r="B1553" s="30">
        <v>46054</v>
      </c>
    </row>
    <row r="1554" spans="1:2" x14ac:dyDescent="0.25">
      <c r="A1554" s="29">
        <v>10620018</v>
      </c>
      <c r="B1554" s="30">
        <v>46054</v>
      </c>
    </row>
    <row r="1555" spans="1:2" x14ac:dyDescent="0.25">
      <c r="A1555" s="29">
        <v>10620033</v>
      </c>
      <c r="B1555" s="30">
        <v>46054</v>
      </c>
    </row>
    <row r="1556" spans="1:2" x14ac:dyDescent="0.25">
      <c r="A1556" s="29">
        <v>10620034</v>
      </c>
      <c r="B1556" s="30">
        <v>46054</v>
      </c>
    </row>
    <row r="1557" spans="1:2" x14ac:dyDescent="0.25">
      <c r="A1557" s="29">
        <v>10620041</v>
      </c>
      <c r="B1557" s="30">
        <v>46054</v>
      </c>
    </row>
    <row r="1558" spans="1:2" x14ac:dyDescent="0.25">
      <c r="A1558" s="29">
        <v>10620061</v>
      </c>
      <c r="B1558" s="30">
        <v>46054</v>
      </c>
    </row>
    <row r="1559" spans="1:2" x14ac:dyDescent="0.25">
      <c r="A1559" s="29">
        <v>10620077</v>
      </c>
      <c r="B1559" s="30">
        <v>46054</v>
      </c>
    </row>
    <row r="1560" spans="1:2" x14ac:dyDescent="0.25">
      <c r="A1560" s="29">
        <v>10620078</v>
      </c>
      <c r="B1560" s="30">
        <v>46054</v>
      </c>
    </row>
    <row r="1561" spans="1:2" x14ac:dyDescent="0.25">
      <c r="A1561" s="29">
        <v>10620096</v>
      </c>
      <c r="B1561" s="30">
        <v>46054</v>
      </c>
    </row>
    <row r="1562" spans="1:2" x14ac:dyDescent="0.25">
      <c r="A1562" s="29">
        <v>10620084</v>
      </c>
      <c r="B1562" s="30">
        <v>46054</v>
      </c>
    </row>
    <row r="1563" spans="1:2" x14ac:dyDescent="0.25">
      <c r="A1563" s="29">
        <v>10620083</v>
      </c>
      <c r="B1563" s="30">
        <v>46054</v>
      </c>
    </row>
    <row r="1564" spans="1:2" x14ac:dyDescent="0.25">
      <c r="A1564" s="29">
        <v>10620076</v>
      </c>
      <c r="B1564" s="30">
        <v>46059</v>
      </c>
    </row>
    <row r="1565" spans="1:2" x14ac:dyDescent="0.25">
      <c r="A1565" s="29">
        <v>10620014</v>
      </c>
      <c r="B1565" s="30">
        <v>46059</v>
      </c>
    </row>
    <row r="1566" spans="1:2" x14ac:dyDescent="0.25">
      <c r="A1566" s="29">
        <v>10620005</v>
      </c>
      <c r="B1566" s="30">
        <v>46059</v>
      </c>
    </row>
    <row r="1567" spans="1:2" x14ac:dyDescent="0.25">
      <c r="A1567" s="29">
        <v>10620010</v>
      </c>
      <c r="B1567" s="30">
        <v>46059</v>
      </c>
    </row>
    <row r="1568" spans="1:2" x14ac:dyDescent="0.25">
      <c r="A1568" s="29">
        <v>10620016</v>
      </c>
      <c r="B1568" s="30">
        <v>46059</v>
      </c>
    </row>
    <row r="1569" spans="1:2" x14ac:dyDescent="0.25">
      <c r="A1569" s="29">
        <v>10620013</v>
      </c>
      <c r="B1569" s="30">
        <v>46059</v>
      </c>
    </row>
    <row r="1570" spans="1:2" x14ac:dyDescent="0.25">
      <c r="A1570" s="29">
        <v>10620063</v>
      </c>
      <c r="B1570" s="30">
        <v>46059</v>
      </c>
    </row>
    <row r="1571" spans="1:2" x14ac:dyDescent="0.25">
      <c r="A1571" s="29">
        <v>10620031</v>
      </c>
      <c r="B1571" s="30">
        <v>46059</v>
      </c>
    </row>
    <row r="1572" spans="1:2" x14ac:dyDescent="0.25">
      <c r="A1572" s="29">
        <v>10620011</v>
      </c>
      <c r="B1572" s="30">
        <v>46059</v>
      </c>
    </row>
    <row r="1573" spans="1:2" x14ac:dyDescent="0.25">
      <c r="A1573" s="29">
        <v>10620079</v>
      </c>
      <c r="B1573" s="30">
        <v>46059</v>
      </c>
    </row>
    <row r="1574" spans="1:2" x14ac:dyDescent="0.25">
      <c r="A1574" s="29">
        <v>10620009</v>
      </c>
      <c r="B1574" s="30">
        <v>46059</v>
      </c>
    </row>
    <row r="1575" spans="1:2" x14ac:dyDescent="0.25">
      <c r="A1575" s="29">
        <v>10620002</v>
      </c>
      <c r="B1575" s="30">
        <v>46059</v>
      </c>
    </row>
    <row r="1576" spans="1:2" x14ac:dyDescent="0.25">
      <c r="A1576" s="29">
        <v>10620032</v>
      </c>
      <c r="B1576" s="30">
        <v>46059</v>
      </c>
    </row>
    <row r="1577" spans="1:2" x14ac:dyDescent="0.25">
      <c r="A1577" s="29">
        <v>10620004</v>
      </c>
      <c r="B1577" s="30">
        <v>46059</v>
      </c>
    </row>
    <row r="1578" spans="1:2" x14ac:dyDescent="0.25">
      <c r="A1578" s="29">
        <v>10620093</v>
      </c>
      <c r="B1578" s="30">
        <v>46059</v>
      </c>
    </row>
    <row r="1579" spans="1:2" x14ac:dyDescent="0.25">
      <c r="A1579" s="29">
        <v>10620098</v>
      </c>
      <c r="B1579" s="30">
        <v>46059</v>
      </c>
    </row>
    <row r="1580" spans="1:2" x14ac:dyDescent="0.25">
      <c r="A1580" s="29">
        <v>10620091</v>
      </c>
      <c r="B1580" s="30">
        <v>46059</v>
      </c>
    </row>
    <row r="1581" spans="1:2" x14ac:dyDescent="0.25">
      <c r="A1581" s="29">
        <v>10620100</v>
      </c>
      <c r="B1581" s="30">
        <v>46059</v>
      </c>
    </row>
    <row r="1582" spans="1:2" x14ac:dyDescent="0.25">
      <c r="A1582" s="29">
        <v>10620102</v>
      </c>
      <c r="B1582" s="30">
        <v>46068</v>
      </c>
    </row>
    <row r="1583" spans="1:2" x14ac:dyDescent="0.25">
      <c r="A1583" s="29">
        <v>10620101</v>
      </c>
      <c r="B1583" s="30">
        <v>46069</v>
      </c>
    </row>
    <row r="1584" spans="1:2" x14ac:dyDescent="0.25">
      <c r="A1584" s="29">
        <v>10620111</v>
      </c>
      <c r="B1584" s="30">
        <v>46071</v>
      </c>
    </row>
    <row r="1585" spans="1:2" x14ac:dyDescent="0.25">
      <c r="A1585" s="29">
        <v>10620110</v>
      </c>
      <c r="B1585" s="30">
        <v>46074</v>
      </c>
    </row>
    <row r="1586" spans="1:2" x14ac:dyDescent="0.25">
      <c r="A1586" s="29">
        <v>10620109</v>
      </c>
      <c r="B1586" s="30">
        <v>46075</v>
      </c>
    </row>
    <row r="1587" spans="1:2" x14ac:dyDescent="0.25">
      <c r="A1587" s="29">
        <v>10620114</v>
      </c>
      <c r="B1587" s="30">
        <v>46079</v>
      </c>
    </row>
    <row r="1588" spans="1:2" x14ac:dyDescent="0.25">
      <c r="A1588" s="29">
        <v>10620115</v>
      </c>
      <c r="B1588" s="30">
        <v>46079</v>
      </c>
    </row>
    <row r="1589" spans="1:2" x14ac:dyDescent="0.25">
      <c r="A1589" s="29">
        <v>10620008</v>
      </c>
      <c r="B1589" s="30">
        <v>46083</v>
      </c>
    </row>
    <row r="1590" spans="1:2" x14ac:dyDescent="0.25">
      <c r="A1590" s="29">
        <v>10620113</v>
      </c>
      <c r="B1590" s="30">
        <v>46087</v>
      </c>
    </row>
    <row r="1591" spans="1:2" x14ac:dyDescent="0.25">
      <c r="A1591" s="29">
        <v>10620112</v>
      </c>
      <c r="B1591" s="30">
        <v>46095</v>
      </c>
    </row>
    <row r="1592" spans="1:2" x14ac:dyDescent="0.25">
      <c r="A1592" s="29">
        <v>10620116</v>
      </c>
      <c r="B1592" s="30">
        <v>46101</v>
      </c>
    </row>
    <row r="1593" spans="1:2" x14ac:dyDescent="0.25">
      <c r="A1593" s="29">
        <v>10620104</v>
      </c>
      <c r="B1593" s="30">
        <v>46103</v>
      </c>
    </row>
    <row r="1594" spans="1:2" x14ac:dyDescent="0.25">
      <c r="A1594" s="29">
        <v>10620106</v>
      </c>
      <c r="B1594" s="30">
        <v>46104</v>
      </c>
    </row>
    <row r="1595" spans="1:2" x14ac:dyDescent="0.25">
      <c r="A1595" s="29">
        <v>10620117</v>
      </c>
      <c r="B1595" s="30">
        <v>46104</v>
      </c>
    </row>
    <row r="1596" spans="1:2" x14ac:dyDescent="0.25">
      <c r="A1596" s="29">
        <v>10620119</v>
      </c>
      <c r="B1596" s="30">
        <v>46104</v>
      </c>
    </row>
    <row r="1597" spans="1:2" x14ac:dyDescent="0.25">
      <c r="A1597" s="29">
        <v>10620120</v>
      </c>
      <c r="B1597" s="30">
        <v>46108</v>
      </c>
    </row>
    <row r="1598" spans="1:2" x14ac:dyDescent="0.25">
      <c r="A1598" s="29">
        <v>10620107</v>
      </c>
      <c r="B1598" s="30">
        <v>46113</v>
      </c>
    </row>
    <row r="1599" spans="1:2" x14ac:dyDescent="0.25">
      <c r="A1599" s="29">
        <v>10620121</v>
      </c>
      <c r="B1599" s="30">
        <v>46123</v>
      </c>
    </row>
    <row r="1600" spans="1:2" x14ac:dyDescent="0.25">
      <c r="A1600" s="29">
        <v>10620122</v>
      </c>
      <c r="B1600" s="30">
        <v>46125</v>
      </c>
    </row>
    <row r="1601" spans="1:2" x14ac:dyDescent="0.25">
      <c r="A1601" s="29">
        <v>10620123</v>
      </c>
      <c r="B1601" s="30">
        <v>46160</v>
      </c>
    </row>
    <row r="1602" spans="1:2" x14ac:dyDescent="0.25">
      <c r="A1602" s="29">
        <v>10620124</v>
      </c>
      <c r="B1602" s="30">
        <v>46197</v>
      </c>
    </row>
    <row r="1603" spans="1:2" x14ac:dyDescent="0.25">
      <c r="A1603" s="29">
        <v>10620125</v>
      </c>
      <c r="B1603" s="30">
        <v>46198</v>
      </c>
    </row>
    <row r="1604" spans="1:2" x14ac:dyDescent="0.25">
      <c r="A1604" s="29">
        <v>10620127</v>
      </c>
      <c r="B1604" s="30">
        <v>46216</v>
      </c>
    </row>
    <row r="1605" spans="1:2" x14ac:dyDescent="0.25">
      <c r="A1605" s="29">
        <v>10620126</v>
      </c>
      <c r="B1605" s="30">
        <v>46217</v>
      </c>
    </row>
    <row r="1606" spans="1:2" x14ac:dyDescent="0.25">
      <c r="A1606" s="29">
        <v>10620130</v>
      </c>
      <c r="B1606" s="30">
        <v>46223</v>
      </c>
    </row>
    <row r="1607" spans="1:2" x14ac:dyDescent="0.25">
      <c r="A1607" s="29">
        <v>10620129</v>
      </c>
      <c r="B1607" s="30">
        <v>46237</v>
      </c>
    </row>
    <row r="1608" spans="1:2" x14ac:dyDescent="0.25">
      <c r="A1608" s="29">
        <v>10630021</v>
      </c>
      <c r="B1608" s="30">
        <v>46190</v>
      </c>
    </row>
    <row r="1609" spans="1:2" x14ac:dyDescent="0.25">
      <c r="A1609" s="29">
        <v>10630032</v>
      </c>
      <c r="B1609" s="30">
        <v>46196</v>
      </c>
    </row>
    <row r="1610" spans="1:2" x14ac:dyDescent="0.25">
      <c r="A1610" s="29">
        <v>10630033</v>
      </c>
      <c r="B1610" s="30">
        <v>46196</v>
      </c>
    </row>
    <row r="1611" spans="1:2" x14ac:dyDescent="0.25">
      <c r="A1611" s="29">
        <v>10630024</v>
      </c>
      <c r="B1611" s="30">
        <v>46196</v>
      </c>
    </row>
    <row r="1612" spans="1:2" x14ac:dyDescent="0.25">
      <c r="A1612" s="29">
        <v>10630030</v>
      </c>
      <c r="B1612" s="30">
        <v>46196</v>
      </c>
    </row>
    <row r="1613" spans="1:2" x14ac:dyDescent="0.25">
      <c r="A1613" s="29">
        <v>10630035</v>
      </c>
      <c r="B1613" s="30">
        <v>46197</v>
      </c>
    </row>
    <row r="1614" spans="1:2" x14ac:dyDescent="0.25">
      <c r="A1614" s="29">
        <v>10630034</v>
      </c>
      <c r="B1614" s="30">
        <v>46197</v>
      </c>
    </row>
    <row r="1615" spans="1:2" x14ac:dyDescent="0.25">
      <c r="A1615" s="29">
        <v>10630036</v>
      </c>
      <c r="B1615" s="30">
        <v>46204</v>
      </c>
    </row>
    <row r="1616" spans="1:2" x14ac:dyDescent="0.25">
      <c r="A1616" s="29">
        <v>10630028</v>
      </c>
      <c r="B1616" s="30">
        <v>46204</v>
      </c>
    </row>
    <row r="1617" spans="1:2" x14ac:dyDescent="0.25">
      <c r="A1617" s="29">
        <v>10630025</v>
      </c>
      <c r="B1617" s="30">
        <v>46206</v>
      </c>
    </row>
    <row r="1618" spans="1:2" x14ac:dyDescent="0.25">
      <c r="A1618" s="29">
        <v>10630026</v>
      </c>
      <c r="B1618" s="30">
        <v>46206</v>
      </c>
    </row>
    <row r="1619" spans="1:2" x14ac:dyDescent="0.25">
      <c r="A1619" s="29">
        <v>10630037</v>
      </c>
      <c r="B1619" s="30">
        <v>46209</v>
      </c>
    </row>
    <row r="1620" spans="1:2" x14ac:dyDescent="0.25">
      <c r="A1620" s="29">
        <v>10630042</v>
      </c>
      <c r="B1620" s="30">
        <v>46213</v>
      </c>
    </row>
    <row r="1621" spans="1:2" x14ac:dyDescent="0.25">
      <c r="A1621" s="29">
        <v>10630043</v>
      </c>
      <c r="B1621" s="30">
        <v>46213</v>
      </c>
    </row>
    <row r="1622" spans="1:2" x14ac:dyDescent="0.25">
      <c r="A1622" s="29">
        <v>10630038</v>
      </c>
      <c r="B1622" s="30">
        <v>46214</v>
      </c>
    </row>
    <row r="1623" spans="1:2" x14ac:dyDescent="0.25">
      <c r="A1623" s="29">
        <v>10630040</v>
      </c>
      <c r="B1623" s="30">
        <v>46214</v>
      </c>
    </row>
    <row r="1624" spans="1:2" x14ac:dyDescent="0.25">
      <c r="A1624" s="29">
        <v>10630041</v>
      </c>
      <c r="B1624" s="30">
        <v>46214</v>
      </c>
    </row>
    <row r="1625" spans="1:2" x14ac:dyDescent="0.25">
      <c r="A1625" s="29">
        <v>10630039</v>
      </c>
      <c r="B1625" s="30">
        <v>46216</v>
      </c>
    </row>
    <row r="1626" spans="1:2" x14ac:dyDescent="0.25">
      <c r="A1626" s="29">
        <v>10630023</v>
      </c>
      <c r="B1626" s="30">
        <v>46217</v>
      </c>
    </row>
    <row r="1627" spans="1:2" x14ac:dyDescent="0.25">
      <c r="A1627" s="29">
        <v>10630027</v>
      </c>
      <c r="B1627" s="30">
        <v>46237</v>
      </c>
    </row>
    <row r="1628" spans="1:2" x14ac:dyDescent="0.25">
      <c r="A1628" s="29">
        <v>10110001</v>
      </c>
      <c r="B1628" s="30">
        <v>42979</v>
      </c>
    </row>
    <row r="1629" spans="1:2" x14ac:dyDescent="0.25">
      <c r="A1629" s="29">
        <v>10110002</v>
      </c>
      <c r="B1629" s="30">
        <v>42979</v>
      </c>
    </row>
    <row r="1630" spans="1:2" x14ac:dyDescent="0.25">
      <c r="A1630" s="29">
        <v>10110003</v>
      </c>
      <c r="B1630" s="30">
        <v>42979</v>
      </c>
    </row>
    <row r="1631" spans="1:2" x14ac:dyDescent="0.25">
      <c r="A1631" s="29">
        <v>10110004</v>
      </c>
      <c r="B1631" s="30">
        <v>42979</v>
      </c>
    </row>
    <row r="1632" spans="1:2" x14ac:dyDescent="0.25">
      <c r="A1632" s="29">
        <v>10110005</v>
      </c>
      <c r="B1632" s="30">
        <v>42979</v>
      </c>
    </row>
    <row r="1633" spans="1:2" x14ac:dyDescent="0.25">
      <c r="A1633" s="29">
        <v>10110006</v>
      </c>
      <c r="B1633" s="30">
        <v>42979</v>
      </c>
    </row>
    <row r="1634" spans="1:2" x14ac:dyDescent="0.25">
      <c r="A1634" s="29">
        <v>10110007</v>
      </c>
      <c r="B1634" s="30">
        <v>42979</v>
      </c>
    </row>
    <row r="1635" spans="1:2" x14ac:dyDescent="0.25">
      <c r="A1635" s="29">
        <v>10110008</v>
      </c>
      <c r="B1635" s="30">
        <v>42979</v>
      </c>
    </row>
    <row r="1636" spans="1:2" x14ac:dyDescent="0.25">
      <c r="A1636" s="29">
        <v>10110009</v>
      </c>
      <c r="B1636" s="30">
        <v>42979</v>
      </c>
    </row>
    <row r="1637" spans="1:2" x14ac:dyDescent="0.25">
      <c r="A1637" s="29">
        <v>10110010</v>
      </c>
      <c r="B1637" s="30">
        <v>43406</v>
      </c>
    </row>
    <row r="1638" spans="1:2" x14ac:dyDescent="0.25">
      <c r="A1638" s="29">
        <v>10110011</v>
      </c>
      <c r="B1638" s="30">
        <v>44373</v>
      </c>
    </row>
    <row r="1639" spans="1:2" x14ac:dyDescent="0.25">
      <c r="A1639" s="29">
        <v>10110012</v>
      </c>
      <c r="B1639" s="30">
        <v>44652</v>
      </c>
    </row>
    <row r="1640" spans="1:2" x14ac:dyDescent="0.25">
      <c r="A1640" s="29">
        <v>10110013</v>
      </c>
      <c r="B1640" s="30">
        <v>44681</v>
      </c>
    </row>
    <row r="1641" spans="1:2" x14ac:dyDescent="0.25">
      <c r="A1641" s="29">
        <v>10110014</v>
      </c>
      <c r="B1641" s="30">
        <v>44681</v>
      </c>
    </row>
    <row r="1642" spans="1:2" x14ac:dyDescent="0.25">
      <c r="A1642" s="29">
        <v>10110015</v>
      </c>
      <c r="B1642" s="30">
        <v>44694</v>
      </c>
    </row>
    <row r="1643" spans="1:2" x14ac:dyDescent="0.25">
      <c r="A1643" s="29">
        <v>10110016</v>
      </c>
      <c r="B1643" s="30">
        <v>44694</v>
      </c>
    </row>
    <row r="1644" spans="1:2" x14ac:dyDescent="0.25">
      <c r="A1644" s="29">
        <v>10110017</v>
      </c>
      <c r="B1644" s="30">
        <v>44746</v>
      </c>
    </row>
    <row r="1645" spans="1:2" x14ac:dyDescent="0.25">
      <c r="A1645" s="29">
        <v>10110018</v>
      </c>
      <c r="B1645" s="30">
        <v>44748</v>
      </c>
    </row>
    <row r="1646" spans="1:2" x14ac:dyDescent="0.25">
      <c r="A1646" s="29">
        <v>10110019</v>
      </c>
      <c r="B1646" s="30">
        <v>44750</v>
      </c>
    </row>
    <row r="1647" spans="1:2" x14ac:dyDescent="0.25">
      <c r="A1647" s="29">
        <v>10110020</v>
      </c>
      <c r="B1647" s="30">
        <v>44757</v>
      </c>
    </row>
    <row r="1648" spans="1:2" x14ac:dyDescent="0.25">
      <c r="A1648" s="29">
        <v>10110021</v>
      </c>
      <c r="B1648" s="30">
        <v>44759</v>
      </c>
    </row>
    <row r="1649" spans="1:2" x14ac:dyDescent="0.25">
      <c r="A1649" s="29">
        <v>10110022</v>
      </c>
      <c r="B1649" s="30">
        <v>44777</v>
      </c>
    </row>
    <row r="1650" spans="1:2" x14ac:dyDescent="0.25">
      <c r="A1650" s="29">
        <v>10110023</v>
      </c>
      <c r="B1650" s="30">
        <v>44901</v>
      </c>
    </row>
    <row r="1651" spans="1:2" x14ac:dyDescent="0.25">
      <c r="A1651" s="29">
        <v>10110024</v>
      </c>
      <c r="B1651" s="30">
        <v>44866</v>
      </c>
    </row>
    <row r="1652" spans="1:2" x14ac:dyDescent="0.25">
      <c r="A1652" s="29">
        <v>10110025</v>
      </c>
      <c r="B1652" s="30">
        <v>44904</v>
      </c>
    </row>
    <row r="1653" spans="1:2" x14ac:dyDescent="0.25">
      <c r="A1653" s="29">
        <v>10110026</v>
      </c>
      <c r="B1653" s="30">
        <v>44927</v>
      </c>
    </row>
    <row r="1654" spans="1:2" x14ac:dyDescent="0.25">
      <c r="A1654" s="29">
        <v>10110027</v>
      </c>
      <c r="B1654" s="30">
        <v>44935</v>
      </c>
    </row>
    <row r="1655" spans="1:2" x14ac:dyDescent="0.25">
      <c r="A1655" s="29">
        <v>10110028</v>
      </c>
      <c r="B1655" s="30">
        <v>44961</v>
      </c>
    </row>
    <row r="1656" spans="1:2" x14ac:dyDescent="0.25">
      <c r="A1656" s="29">
        <v>10110029</v>
      </c>
      <c r="B1656" s="30">
        <v>44962</v>
      </c>
    </row>
    <row r="1657" spans="1:2" x14ac:dyDescent="0.25">
      <c r="A1657" s="29">
        <v>10110030</v>
      </c>
      <c r="B1657" s="30">
        <v>44963</v>
      </c>
    </row>
    <row r="1658" spans="1:2" x14ac:dyDescent="0.25">
      <c r="A1658" s="29">
        <v>10110031</v>
      </c>
      <c r="B1658" s="30">
        <v>44984</v>
      </c>
    </row>
    <row r="1659" spans="1:2" x14ac:dyDescent="0.25">
      <c r="A1659" s="29">
        <v>10110032</v>
      </c>
      <c r="B1659" s="30">
        <v>45012</v>
      </c>
    </row>
    <row r="1660" spans="1:2" x14ac:dyDescent="0.25">
      <c r="A1660" s="29">
        <v>10110033</v>
      </c>
      <c r="B1660" s="30">
        <v>45015</v>
      </c>
    </row>
    <row r="1661" spans="1:2" x14ac:dyDescent="0.25">
      <c r="A1661" s="29">
        <v>10110034</v>
      </c>
      <c r="B1661" s="30">
        <v>45018</v>
      </c>
    </row>
    <row r="1662" spans="1:2" x14ac:dyDescent="0.25">
      <c r="A1662" s="29">
        <v>10110035</v>
      </c>
      <c r="B1662" s="30">
        <v>45042</v>
      </c>
    </row>
    <row r="1663" spans="1:2" x14ac:dyDescent="0.25">
      <c r="A1663" s="29">
        <v>10110036</v>
      </c>
      <c r="B1663" s="30">
        <v>45058</v>
      </c>
    </row>
    <row r="1664" spans="1:2" x14ac:dyDescent="0.25">
      <c r="A1664" s="29">
        <v>10110037</v>
      </c>
      <c r="B1664" s="30">
        <v>45125</v>
      </c>
    </row>
    <row r="1665" spans="1:2" x14ac:dyDescent="0.25">
      <c r="A1665" s="29">
        <v>10110038</v>
      </c>
      <c r="B1665" s="30">
        <v>45161</v>
      </c>
    </row>
    <row r="1666" spans="1:2" x14ac:dyDescent="0.25">
      <c r="A1666" s="29">
        <v>10110039</v>
      </c>
      <c r="B1666" s="30">
        <v>45162</v>
      </c>
    </row>
    <row r="1667" spans="1:2" x14ac:dyDescent="0.25">
      <c r="A1667" s="29">
        <v>10110040</v>
      </c>
      <c r="B1667" s="30">
        <v>45226</v>
      </c>
    </row>
    <row r="1668" spans="1:2" x14ac:dyDescent="0.25">
      <c r="A1668" s="29">
        <v>10110041</v>
      </c>
      <c r="B1668" s="30">
        <v>45226</v>
      </c>
    </row>
    <row r="1669" spans="1:2" x14ac:dyDescent="0.25">
      <c r="A1669" s="29">
        <v>10110042</v>
      </c>
      <c r="B1669" s="30">
        <v>45226</v>
      </c>
    </row>
    <row r="1670" spans="1:2" x14ac:dyDescent="0.25">
      <c r="A1670" s="29">
        <v>10110043</v>
      </c>
      <c r="B1670" s="30">
        <v>45226</v>
      </c>
    </row>
    <row r="1671" spans="1:2" x14ac:dyDescent="0.25">
      <c r="A1671" s="29">
        <v>10110044</v>
      </c>
      <c r="B1671" s="30">
        <v>45226</v>
      </c>
    </row>
    <row r="1672" spans="1:2" x14ac:dyDescent="0.25">
      <c r="A1672" s="29">
        <v>10110045</v>
      </c>
      <c r="B1672" s="30">
        <v>45259</v>
      </c>
    </row>
    <row r="1673" spans="1:2" x14ac:dyDescent="0.25">
      <c r="A1673" s="29">
        <v>10110046</v>
      </c>
      <c r="B1673" s="30">
        <v>44776</v>
      </c>
    </row>
    <row r="1674" spans="1:2" x14ac:dyDescent="0.25">
      <c r="A1674" s="29">
        <v>10110047</v>
      </c>
      <c r="B1674" s="30">
        <v>44961</v>
      </c>
    </row>
    <row r="1675" spans="1:2" x14ac:dyDescent="0.25">
      <c r="A1675" s="29">
        <v>10110049</v>
      </c>
      <c r="B1675" s="30">
        <v>45212</v>
      </c>
    </row>
    <row r="1676" spans="1:2" x14ac:dyDescent="0.25">
      <c r="A1676" s="29">
        <v>10110050</v>
      </c>
      <c r="B1676" s="30">
        <v>45205</v>
      </c>
    </row>
    <row r="1677" spans="1:2" x14ac:dyDescent="0.25">
      <c r="A1677" s="29">
        <v>10110051</v>
      </c>
      <c r="B1677" s="30">
        <v>45226</v>
      </c>
    </row>
    <row r="1678" spans="1:2" x14ac:dyDescent="0.25">
      <c r="A1678" s="29">
        <v>10110052</v>
      </c>
      <c r="B1678" s="30">
        <v>45230</v>
      </c>
    </row>
    <row r="1679" spans="1:2" x14ac:dyDescent="0.25">
      <c r="A1679" s="29">
        <v>10110053</v>
      </c>
      <c r="B1679" s="30">
        <v>45323</v>
      </c>
    </row>
    <row r="1680" spans="1:2" x14ac:dyDescent="0.25">
      <c r="A1680" s="29">
        <v>10110054</v>
      </c>
      <c r="B1680" s="30">
        <v>45259</v>
      </c>
    </row>
    <row r="1681" spans="1:2" x14ac:dyDescent="0.25">
      <c r="A1681" s="29">
        <v>10110055</v>
      </c>
      <c r="B1681" s="30">
        <v>45323</v>
      </c>
    </row>
    <row r="1682" spans="1:2" x14ac:dyDescent="0.25">
      <c r="A1682" s="29">
        <v>10110056</v>
      </c>
      <c r="B1682" s="30">
        <v>45323</v>
      </c>
    </row>
    <row r="1683" spans="1:2" x14ac:dyDescent="0.25">
      <c r="A1683" s="29">
        <v>10110057</v>
      </c>
      <c r="B1683" s="30">
        <v>45323</v>
      </c>
    </row>
    <row r="1684" spans="1:2" x14ac:dyDescent="0.25">
      <c r="A1684" s="29">
        <v>10110058</v>
      </c>
      <c r="B1684" s="30">
        <v>45259</v>
      </c>
    </row>
    <row r="1685" spans="1:2" x14ac:dyDescent="0.25">
      <c r="A1685" s="29">
        <v>10110059</v>
      </c>
      <c r="B1685" s="30">
        <v>45323</v>
      </c>
    </row>
    <row r="1686" spans="1:2" x14ac:dyDescent="0.25">
      <c r="A1686" s="29">
        <v>10110060</v>
      </c>
      <c r="B1686" s="30">
        <v>45323</v>
      </c>
    </row>
    <row r="1687" spans="1:2" x14ac:dyDescent="0.25">
      <c r="A1687" s="29">
        <v>10110062</v>
      </c>
      <c r="B1687" s="30">
        <v>45323</v>
      </c>
    </row>
    <row r="1688" spans="1:2" x14ac:dyDescent="0.25">
      <c r="A1688" s="29">
        <v>10110063</v>
      </c>
      <c r="B1688" s="30">
        <v>45323</v>
      </c>
    </row>
    <row r="1689" spans="1:2" x14ac:dyDescent="0.25">
      <c r="A1689" s="29">
        <v>10110065</v>
      </c>
      <c r="B1689" s="30">
        <v>45323</v>
      </c>
    </row>
    <row r="1690" spans="1:2" x14ac:dyDescent="0.25">
      <c r="A1690" s="29">
        <v>10110066</v>
      </c>
      <c r="B1690" s="30">
        <v>45323</v>
      </c>
    </row>
    <row r="1691" spans="1:2" x14ac:dyDescent="0.25">
      <c r="A1691" s="29">
        <v>10110067</v>
      </c>
      <c r="B1691" s="30">
        <v>45323</v>
      </c>
    </row>
    <row r="1692" spans="1:2" x14ac:dyDescent="0.25">
      <c r="A1692" s="29">
        <v>10110069</v>
      </c>
      <c r="B1692" s="30">
        <v>45323</v>
      </c>
    </row>
    <row r="1693" spans="1:2" x14ac:dyDescent="0.25">
      <c r="A1693" s="29">
        <v>10110070</v>
      </c>
      <c r="B1693" s="30">
        <v>45259</v>
      </c>
    </row>
    <row r="1694" spans="1:2" x14ac:dyDescent="0.25">
      <c r="A1694" s="29">
        <v>10110071</v>
      </c>
      <c r="B1694" s="30">
        <v>44986</v>
      </c>
    </row>
    <row r="1695" spans="1:2" x14ac:dyDescent="0.25">
      <c r="A1695" s="29">
        <v>10110072</v>
      </c>
      <c r="B1695" s="30">
        <v>45014</v>
      </c>
    </row>
    <row r="1696" spans="1:2" x14ac:dyDescent="0.25">
      <c r="A1696" s="29">
        <v>10110073</v>
      </c>
      <c r="B1696" s="30">
        <v>45323</v>
      </c>
    </row>
    <row r="1697" spans="1:2" x14ac:dyDescent="0.25">
      <c r="A1697" s="29">
        <v>10110074</v>
      </c>
      <c r="B1697" s="30">
        <v>44724</v>
      </c>
    </row>
    <row r="1698" spans="1:2" x14ac:dyDescent="0.25">
      <c r="A1698" s="29">
        <v>10430001</v>
      </c>
      <c r="B1698" s="30">
        <v>42979</v>
      </c>
    </row>
    <row r="1699" spans="1:2" x14ac:dyDescent="0.25">
      <c r="A1699" s="29">
        <v>10440001</v>
      </c>
      <c r="B1699" s="30">
        <v>42979</v>
      </c>
    </row>
    <row r="1700" spans="1:2" x14ac:dyDescent="0.25">
      <c r="A1700" s="29">
        <v>10450001</v>
      </c>
      <c r="B1700" s="30">
        <v>42979</v>
      </c>
    </row>
    <row r="1701" spans="1:2" x14ac:dyDescent="0.25">
      <c r="A1701" s="29">
        <v>10110076</v>
      </c>
      <c r="B1701" s="30">
        <v>45429</v>
      </c>
    </row>
    <row r="1702" spans="1:2" x14ac:dyDescent="0.25">
      <c r="A1702" s="29">
        <v>10110079</v>
      </c>
      <c r="B1702" s="30">
        <v>45429</v>
      </c>
    </row>
    <row r="1703" spans="1:2" x14ac:dyDescent="0.25">
      <c r="A1703" s="29">
        <v>10110078</v>
      </c>
      <c r="B1703" s="30">
        <v>45429</v>
      </c>
    </row>
    <row r="1704" spans="1:2" x14ac:dyDescent="0.25">
      <c r="A1704" s="29">
        <v>10110080</v>
      </c>
      <c r="B1704" s="30">
        <v>45459</v>
      </c>
    </row>
    <row r="1705" spans="1:2" x14ac:dyDescent="0.25">
      <c r="A1705" s="29">
        <v>10110084</v>
      </c>
      <c r="B1705" s="30">
        <v>45472</v>
      </c>
    </row>
    <row r="1706" spans="1:2" x14ac:dyDescent="0.25">
      <c r="A1706" s="29">
        <v>10110085</v>
      </c>
      <c r="B1706" s="30">
        <v>45472</v>
      </c>
    </row>
    <row r="1707" spans="1:2" x14ac:dyDescent="0.25">
      <c r="A1707" s="29">
        <v>10110082</v>
      </c>
      <c r="B1707" s="30">
        <v>45475</v>
      </c>
    </row>
    <row r="1708" spans="1:2" x14ac:dyDescent="0.25">
      <c r="A1708" s="29">
        <v>10110083</v>
      </c>
      <c r="B1708" s="30">
        <v>45477</v>
      </c>
    </row>
    <row r="1709" spans="1:2" x14ac:dyDescent="0.25">
      <c r="A1709" s="29">
        <v>10110086</v>
      </c>
      <c r="B1709" s="30">
        <v>45523</v>
      </c>
    </row>
    <row r="1710" spans="1:2" x14ac:dyDescent="0.25">
      <c r="A1710" s="29">
        <v>10110087</v>
      </c>
      <c r="B1710" s="30">
        <v>45535</v>
      </c>
    </row>
    <row r="1711" spans="1:2" x14ac:dyDescent="0.25">
      <c r="A1711" s="29">
        <v>10110089</v>
      </c>
      <c r="B1711" s="30">
        <v>45559</v>
      </c>
    </row>
    <row r="1712" spans="1:2" x14ac:dyDescent="0.25">
      <c r="A1712" s="29">
        <v>10110090</v>
      </c>
      <c r="B1712" s="30">
        <v>45590</v>
      </c>
    </row>
    <row r="1713" spans="1:2" x14ac:dyDescent="0.25">
      <c r="A1713" s="29">
        <v>10110088</v>
      </c>
      <c r="B1713" s="30">
        <v>45595</v>
      </c>
    </row>
    <row r="1714" spans="1:2" x14ac:dyDescent="0.25">
      <c r="A1714" s="29">
        <v>10110091</v>
      </c>
      <c r="B1714" s="30">
        <v>45596</v>
      </c>
    </row>
    <row r="1715" spans="1:2" x14ac:dyDescent="0.25">
      <c r="A1715" s="29">
        <v>10110092</v>
      </c>
      <c r="B1715" s="30">
        <v>45625</v>
      </c>
    </row>
    <row r="1716" spans="1:2" x14ac:dyDescent="0.25">
      <c r="A1716" s="29">
        <v>10110093</v>
      </c>
      <c r="B1716" s="30">
        <v>45629</v>
      </c>
    </row>
    <row r="1717" spans="1:2" x14ac:dyDescent="0.25">
      <c r="A1717" s="29">
        <v>10110095</v>
      </c>
      <c r="B1717" s="30">
        <v>45629</v>
      </c>
    </row>
    <row r="1718" spans="1:2" x14ac:dyDescent="0.25">
      <c r="A1718" s="29">
        <v>10110094</v>
      </c>
      <c r="B1718" s="30">
        <v>45631</v>
      </c>
    </row>
    <row r="1719" spans="1:2" x14ac:dyDescent="0.25">
      <c r="A1719" s="29">
        <v>10110081</v>
      </c>
      <c r="B1719" s="30">
        <v>45632</v>
      </c>
    </row>
    <row r="1720" spans="1:2" x14ac:dyDescent="0.25">
      <c r="A1720" s="29">
        <v>10110102</v>
      </c>
      <c r="B1720" s="30">
        <v>45641</v>
      </c>
    </row>
    <row r="1721" spans="1:2" x14ac:dyDescent="0.25">
      <c r="A1721" s="29">
        <v>10110099</v>
      </c>
      <c r="B1721" s="30">
        <v>45653</v>
      </c>
    </row>
    <row r="1722" spans="1:2" x14ac:dyDescent="0.25">
      <c r="A1722" s="29">
        <v>10110106</v>
      </c>
      <c r="B1722" s="30">
        <v>45692</v>
      </c>
    </row>
    <row r="1723" spans="1:2" x14ac:dyDescent="0.25">
      <c r="A1723" s="29">
        <v>10110105</v>
      </c>
      <c r="B1723" s="30">
        <v>45700</v>
      </c>
    </row>
    <row r="1724" spans="1:2" x14ac:dyDescent="0.25">
      <c r="A1724" s="29">
        <v>10110117</v>
      </c>
      <c r="B1724" s="30">
        <v>45745</v>
      </c>
    </row>
    <row r="1725" spans="1:2" x14ac:dyDescent="0.25">
      <c r="A1725" s="29">
        <v>10110122</v>
      </c>
      <c r="B1725" s="30">
        <v>45745</v>
      </c>
    </row>
    <row r="1726" spans="1:2" x14ac:dyDescent="0.25">
      <c r="A1726" s="29">
        <v>10110126</v>
      </c>
      <c r="B1726" s="30">
        <v>45745</v>
      </c>
    </row>
    <row r="1727" spans="1:2" x14ac:dyDescent="0.25">
      <c r="A1727" s="29">
        <v>10110139</v>
      </c>
      <c r="B1727" s="30">
        <v>45751</v>
      </c>
    </row>
    <row r="1728" spans="1:2" x14ac:dyDescent="0.25">
      <c r="A1728" s="29">
        <v>10110125</v>
      </c>
      <c r="B1728" s="30">
        <v>45757</v>
      </c>
    </row>
    <row r="1729" spans="1:2" x14ac:dyDescent="0.25">
      <c r="A1729" s="29">
        <v>10110146</v>
      </c>
      <c r="B1729" s="30">
        <v>45768</v>
      </c>
    </row>
    <row r="1730" spans="1:2" x14ac:dyDescent="0.25">
      <c r="A1730" s="29">
        <v>10110136</v>
      </c>
      <c r="B1730" s="30">
        <v>45800</v>
      </c>
    </row>
    <row r="1731" spans="1:2" x14ac:dyDescent="0.25">
      <c r="A1731" s="29">
        <v>10110153</v>
      </c>
      <c r="B1731" s="30">
        <v>45821</v>
      </c>
    </row>
    <row r="1732" spans="1:2" x14ac:dyDescent="0.25">
      <c r="A1732" s="29">
        <v>10110159</v>
      </c>
      <c r="B1732" s="30">
        <v>45839</v>
      </c>
    </row>
    <row r="1733" spans="1:2" x14ac:dyDescent="0.25">
      <c r="A1733" s="29">
        <v>10110158</v>
      </c>
      <c r="B1733" s="30">
        <v>45845</v>
      </c>
    </row>
    <row r="1734" spans="1:2" x14ac:dyDescent="0.25">
      <c r="A1734" s="29">
        <v>10110161</v>
      </c>
      <c r="B1734" s="30">
        <v>45849</v>
      </c>
    </row>
    <row r="1735" spans="1:2" x14ac:dyDescent="0.25">
      <c r="A1735" s="29">
        <v>10110160</v>
      </c>
      <c r="B1735" s="30">
        <v>45850</v>
      </c>
    </row>
    <row r="1736" spans="1:2" x14ac:dyDescent="0.25">
      <c r="A1736" s="29">
        <v>10110162</v>
      </c>
      <c r="B1736" s="30">
        <v>45851</v>
      </c>
    </row>
    <row r="1737" spans="1:2" x14ac:dyDescent="0.25">
      <c r="A1737" s="29">
        <v>10110166</v>
      </c>
      <c r="B1737" s="30">
        <v>45863</v>
      </c>
    </row>
    <row r="1738" spans="1:2" x14ac:dyDescent="0.25">
      <c r="A1738" s="29">
        <v>10110164</v>
      </c>
      <c r="B1738" s="30">
        <v>45869</v>
      </c>
    </row>
    <row r="1739" spans="1:2" x14ac:dyDescent="0.25">
      <c r="A1739" s="29">
        <v>10110165</v>
      </c>
      <c r="B1739" s="30">
        <v>45869</v>
      </c>
    </row>
    <row r="1740" spans="1:2" x14ac:dyDescent="0.25">
      <c r="A1740" s="29">
        <v>10110147</v>
      </c>
      <c r="B1740" s="30">
        <v>45910</v>
      </c>
    </row>
    <row r="1741" spans="1:2" x14ac:dyDescent="0.25">
      <c r="A1741" s="29">
        <v>10110167</v>
      </c>
      <c r="B1741" s="30">
        <v>45919</v>
      </c>
    </row>
    <row r="1742" spans="1:2" x14ac:dyDescent="0.25">
      <c r="A1742" s="29">
        <v>10110168</v>
      </c>
      <c r="B1742" s="30">
        <v>45975</v>
      </c>
    </row>
    <row r="1743" spans="1:2" x14ac:dyDescent="0.25">
      <c r="A1743" s="29">
        <v>10110173</v>
      </c>
      <c r="B1743" s="30">
        <v>45980</v>
      </c>
    </row>
    <row r="1744" spans="1:2" x14ac:dyDescent="0.25">
      <c r="A1744" s="29">
        <v>10110172</v>
      </c>
      <c r="B1744" s="30">
        <v>45991</v>
      </c>
    </row>
    <row r="1745" spans="1:2" x14ac:dyDescent="0.25">
      <c r="A1745" s="29">
        <v>10110171</v>
      </c>
      <c r="B1745" s="30">
        <v>45991</v>
      </c>
    </row>
    <row r="1746" spans="1:2" x14ac:dyDescent="0.25">
      <c r="A1746" s="29">
        <v>10110176</v>
      </c>
      <c r="B1746" s="30">
        <v>45996</v>
      </c>
    </row>
    <row r="1747" spans="1:2" x14ac:dyDescent="0.25">
      <c r="A1747" s="29">
        <v>10110178</v>
      </c>
      <c r="B1747" s="30">
        <v>46015</v>
      </c>
    </row>
    <row r="1748" spans="1:2" x14ac:dyDescent="0.25">
      <c r="A1748" s="29">
        <v>10110179</v>
      </c>
      <c r="B1748" s="30">
        <v>46025</v>
      </c>
    </row>
    <row r="1749" spans="1:2" x14ac:dyDescent="0.25">
      <c r="A1749" s="29">
        <v>10110177</v>
      </c>
      <c r="B1749" s="30">
        <v>46067</v>
      </c>
    </row>
    <row r="1750" spans="1:2" x14ac:dyDescent="0.25">
      <c r="A1750" s="29">
        <v>10110184</v>
      </c>
      <c r="B1750" s="30">
        <v>46073</v>
      </c>
    </row>
    <row r="1751" spans="1:2" x14ac:dyDescent="0.25">
      <c r="A1751" s="29">
        <v>10110183</v>
      </c>
      <c r="B1751" s="30">
        <v>46073</v>
      </c>
    </row>
    <row r="1752" spans="1:2" x14ac:dyDescent="0.25">
      <c r="A1752" s="29">
        <v>10110181</v>
      </c>
      <c r="B1752" s="30">
        <v>46075</v>
      </c>
    </row>
    <row r="1753" spans="1:2" x14ac:dyDescent="0.25">
      <c r="A1753" s="29">
        <v>10110180</v>
      </c>
      <c r="B1753" s="30">
        <v>46081</v>
      </c>
    </row>
    <row r="1754" spans="1:2" x14ac:dyDescent="0.25">
      <c r="A1754" s="29">
        <v>10110175</v>
      </c>
      <c r="B1754" s="30">
        <v>46081</v>
      </c>
    </row>
    <row r="1755" spans="1:2" x14ac:dyDescent="0.25">
      <c r="A1755" s="29">
        <v>10110185</v>
      </c>
      <c r="B1755" s="30">
        <v>46086</v>
      </c>
    </row>
    <row r="1756" spans="1:2" x14ac:dyDescent="0.25">
      <c r="A1756" s="29">
        <v>10110188</v>
      </c>
      <c r="B1756" s="30">
        <v>46102</v>
      </c>
    </row>
    <row r="1757" spans="1:2" x14ac:dyDescent="0.25">
      <c r="A1757" s="29">
        <v>10110186</v>
      </c>
      <c r="B1757" s="30">
        <v>46112</v>
      </c>
    </row>
    <row r="1758" spans="1:2" x14ac:dyDescent="0.25">
      <c r="A1758" s="29">
        <v>10110187</v>
      </c>
      <c r="B1758" s="30">
        <v>46112</v>
      </c>
    </row>
    <row r="1759" spans="1:2" x14ac:dyDescent="0.25">
      <c r="A1759" s="29">
        <v>10110190</v>
      </c>
      <c r="B1759" s="30">
        <v>46203</v>
      </c>
    </row>
    <row r="1760" spans="1:2" x14ac:dyDescent="0.25">
      <c r="A1760" s="29">
        <v>10110189</v>
      </c>
      <c r="B1760" s="30">
        <v>46236</v>
      </c>
    </row>
    <row r="1761" spans="1:2" x14ac:dyDescent="0.25">
      <c r="A1761" s="29">
        <v>10110192</v>
      </c>
      <c r="B1761" s="30">
        <v>46240</v>
      </c>
    </row>
    <row r="1762" spans="1:2" x14ac:dyDescent="0.25">
      <c r="A1762" s="29">
        <v>10640003</v>
      </c>
      <c r="B1762" s="30">
        <v>46090</v>
      </c>
    </row>
    <row r="1763" spans="1:2" x14ac:dyDescent="0.25">
      <c r="A1763" s="29">
        <v>10640001</v>
      </c>
      <c r="B1763" s="30">
        <v>46090</v>
      </c>
    </row>
    <row r="1764" spans="1:2" x14ac:dyDescent="0.25">
      <c r="A1764" s="29">
        <v>10640006</v>
      </c>
      <c r="B1764" s="30">
        <v>46090</v>
      </c>
    </row>
    <row r="1765" spans="1:2" x14ac:dyDescent="0.25">
      <c r="A1765" s="29">
        <v>10640005</v>
      </c>
      <c r="B1765" s="30">
        <v>46090</v>
      </c>
    </row>
    <row r="1766" spans="1:2" x14ac:dyDescent="0.25">
      <c r="A1766" s="29">
        <v>10640004</v>
      </c>
      <c r="B1766" s="30">
        <v>46091</v>
      </c>
    </row>
    <row r="1767" spans="1:2" x14ac:dyDescent="0.25">
      <c r="A1767" s="29">
        <v>10640007</v>
      </c>
      <c r="B1767" s="30">
        <v>46092</v>
      </c>
    </row>
    <row r="1768" spans="1:2" x14ac:dyDescent="0.25">
      <c r="A1768" s="29">
        <v>10640010</v>
      </c>
      <c r="B1768" s="30">
        <v>46104</v>
      </c>
    </row>
    <row r="1769" spans="1:2" x14ac:dyDescent="0.25">
      <c r="A1769" s="29">
        <v>10640011</v>
      </c>
      <c r="B1769" s="30">
        <v>46104</v>
      </c>
    </row>
    <row r="1770" spans="1:2" x14ac:dyDescent="0.25">
      <c r="A1770" s="29">
        <v>10640009</v>
      </c>
      <c r="B1770" s="30">
        <v>46112</v>
      </c>
    </row>
    <row r="1771" spans="1:2" x14ac:dyDescent="0.25">
      <c r="A1771" s="29">
        <v>10640008</v>
      </c>
      <c r="B1771" s="30">
        <v>46112</v>
      </c>
    </row>
    <row r="1772" spans="1:2" x14ac:dyDescent="0.25">
      <c r="A1772" s="29">
        <v>10640002</v>
      </c>
      <c r="B1772" s="30">
        <v>46122</v>
      </c>
    </row>
    <row r="1773" spans="1:2" x14ac:dyDescent="0.25">
      <c r="A1773" s="29">
        <v>10060001</v>
      </c>
      <c r="B1773" s="30">
        <v>42979</v>
      </c>
    </row>
    <row r="1774" spans="1:2" x14ac:dyDescent="0.25">
      <c r="A1774" s="29">
        <v>10060002</v>
      </c>
      <c r="B1774" s="30">
        <v>42979</v>
      </c>
    </row>
    <row r="1775" spans="1:2" x14ac:dyDescent="0.25">
      <c r="A1775" s="29">
        <v>10060003</v>
      </c>
      <c r="B1775" s="30">
        <v>42979</v>
      </c>
    </row>
    <row r="1776" spans="1:2" x14ac:dyDescent="0.25">
      <c r="A1776" s="29">
        <v>10060004</v>
      </c>
      <c r="B1776" s="30">
        <v>42979</v>
      </c>
    </row>
    <row r="1777" spans="1:2" x14ac:dyDescent="0.25">
      <c r="A1777" s="29">
        <v>10060005</v>
      </c>
      <c r="B1777" s="30">
        <v>42979</v>
      </c>
    </row>
    <row r="1778" spans="1:2" x14ac:dyDescent="0.25">
      <c r="A1778" s="29">
        <v>10060006</v>
      </c>
      <c r="B1778" s="30">
        <v>42979</v>
      </c>
    </row>
    <row r="1779" spans="1:2" x14ac:dyDescent="0.25">
      <c r="A1779" s="29">
        <v>10060007</v>
      </c>
      <c r="B1779" s="30">
        <v>42979</v>
      </c>
    </row>
    <row r="1780" spans="1:2" x14ac:dyDescent="0.25">
      <c r="A1780" s="29">
        <v>10060008</v>
      </c>
      <c r="B1780" s="30">
        <v>42979</v>
      </c>
    </row>
    <row r="1781" spans="1:2" x14ac:dyDescent="0.25">
      <c r="A1781" s="29">
        <v>10060009</v>
      </c>
      <c r="B1781" s="30">
        <v>43799</v>
      </c>
    </row>
    <row r="1782" spans="1:2" x14ac:dyDescent="0.25">
      <c r="A1782" s="29">
        <v>10060010</v>
      </c>
      <c r="B1782" s="30">
        <v>43975</v>
      </c>
    </row>
    <row r="1783" spans="1:2" x14ac:dyDescent="0.25">
      <c r="A1783" s="29">
        <v>10060012</v>
      </c>
      <c r="B1783" s="30">
        <v>44197</v>
      </c>
    </row>
    <row r="1784" spans="1:2" x14ac:dyDescent="0.25">
      <c r="A1784" s="29">
        <v>10060013</v>
      </c>
      <c r="B1784" s="30">
        <v>44200</v>
      </c>
    </row>
    <row r="1785" spans="1:2" x14ac:dyDescent="0.25">
      <c r="A1785" s="29">
        <v>10060014</v>
      </c>
      <c r="B1785" s="30">
        <v>44256</v>
      </c>
    </row>
    <row r="1786" spans="1:2" x14ac:dyDescent="0.25">
      <c r="A1786" s="29">
        <v>10060015</v>
      </c>
      <c r="B1786" s="30">
        <v>44260</v>
      </c>
    </row>
    <row r="1787" spans="1:2" x14ac:dyDescent="0.25">
      <c r="A1787" s="29">
        <v>10060016</v>
      </c>
      <c r="B1787" s="30">
        <v>44281</v>
      </c>
    </row>
    <row r="1788" spans="1:2" x14ac:dyDescent="0.25">
      <c r="A1788" s="29">
        <v>10060017</v>
      </c>
      <c r="B1788" s="30">
        <v>44424</v>
      </c>
    </row>
    <row r="1789" spans="1:2" x14ac:dyDescent="0.25">
      <c r="A1789" s="29">
        <v>10060018</v>
      </c>
      <c r="B1789" s="30">
        <v>44620</v>
      </c>
    </row>
    <row r="1790" spans="1:2" x14ac:dyDescent="0.25">
      <c r="A1790" s="29">
        <v>10060019</v>
      </c>
      <c r="B1790" s="30">
        <v>43715</v>
      </c>
    </row>
    <row r="1791" spans="1:2" x14ac:dyDescent="0.25">
      <c r="A1791" s="29">
        <v>10060020</v>
      </c>
      <c r="B1791" s="30">
        <v>44652</v>
      </c>
    </row>
    <row r="1792" spans="1:2" x14ac:dyDescent="0.25">
      <c r="A1792" s="29">
        <v>10060021</v>
      </c>
      <c r="B1792" s="30">
        <v>44652</v>
      </c>
    </row>
    <row r="1793" spans="1:2" x14ac:dyDescent="0.25">
      <c r="A1793" s="29">
        <v>10060022</v>
      </c>
      <c r="B1793" s="30">
        <v>44697</v>
      </c>
    </row>
    <row r="1794" spans="1:2" x14ac:dyDescent="0.25">
      <c r="A1794" s="29">
        <v>10060023</v>
      </c>
      <c r="B1794" s="30">
        <v>44717</v>
      </c>
    </row>
    <row r="1795" spans="1:2" x14ac:dyDescent="0.25">
      <c r="A1795" s="29">
        <v>10060024</v>
      </c>
      <c r="B1795" s="30">
        <v>44737</v>
      </c>
    </row>
    <row r="1796" spans="1:2" x14ac:dyDescent="0.25">
      <c r="A1796" s="29">
        <v>10060025</v>
      </c>
      <c r="B1796" s="30">
        <v>44866</v>
      </c>
    </row>
    <row r="1797" spans="1:2" x14ac:dyDescent="0.25">
      <c r="A1797" s="29">
        <v>10060026</v>
      </c>
      <c r="B1797" s="30">
        <v>44866</v>
      </c>
    </row>
    <row r="1798" spans="1:2" x14ac:dyDescent="0.25">
      <c r="A1798" s="29">
        <v>10060028</v>
      </c>
      <c r="B1798" s="30">
        <v>44950</v>
      </c>
    </row>
    <row r="1799" spans="1:2" x14ac:dyDescent="0.25">
      <c r="A1799" s="29">
        <v>10060029</v>
      </c>
      <c r="B1799" s="30">
        <v>44958</v>
      </c>
    </row>
    <row r="1800" spans="1:2" x14ac:dyDescent="0.25">
      <c r="A1800" s="29">
        <v>10060030</v>
      </c>
      <c r="B1800" s="30">
        <v>44985</v>
      </c>
    </row>
    <row r="1801" spans="1:2" x14ac:dyDescent="0.25">
      <c r="A1801" s="29">
        <v>10060031</v>
      </c>
      <c r="B1801" s="30">
        <v>45049</v>
      </c>
    </row>
    <row r="1802" spans="1:2" x14ac:dyDescent="0.25">
      <c r="A1802" s="29">
        <v>10060034</v>
      </c>
      <c r="B1802" s="30">
        <v>45120</v>
      </c>
    </row>
    <row r="1803" spans="1:2" x14ac:dyDescent="0.25">
      <c r="A1803" s="29">
        <v>10060035</v>
      </c>
      <c r="B1803" s="30">
        <v>45120</v>
      </c>
    </row>
    <row r="1804" spans="1:2" x14ac:dyDescent="0.25">
      <c r="A1804" s="29">
        <v>10060036</v>
      </c>
      <c r="B1804" s="30">
        <v>45121</v>
      </c>
    </row>
    <row r="1805" spans="1:2" x14ac:dyDescent="0.25">
      <c r="A1805" s="29">
        <v>10060037</v>
      </c>
      <c r="B1805" s="30">
        <v>45155</v>
      </c>
    </row>
    <row r="1806" spans="1:2" x14ac:dyDescent="0.25">
      <c r="A1806" s="29">
        <v>10060038</v>
      </c>
      <c r="B1806" s="30">
        <v>45155</v>
      </c>
    </row>
    <row r="1807" spans="1:2" x14ac:dyDescent="0.25">
      <c r="A1807" s="29">
        <v>10060039</v>
      </c>
      <c r="B1807" s="30">
        <v>45155</v>
      </c>
    </row>
    <row r="1808" spans="1:2" x14ac:dyDescent="0.25">
      <c r="A1808" s="29">
        <v>10060040</v>
      </c>
      <c r="B1808" s="30">
        <v>45156</v>
      </c>
    </row>
    <row r="1809" spans="1:2" x14ac:dyDescent="0.25">
      <c r="A1809" s="29">
        <v>10060041</v>
      </c>
      <c r="B1809" s="30">
        <v>45156</v>
      </c>
    </row>
    <row r="1810" spans="1:2" x14ac:dyDescent="0.25">
      <c r="A1810" s="29">
        <v>10060042</v>
      </c>
      <c r="B1810" s="30">
        <v>44981</v>
      </c>
    </row>
    <row r="1811" spans="1:2" x14ac:dyDescent="0.25">
      <c r="A1811" s="29">
        <v>10060043</v>
      </c>
      <c r="B1811" s="30">
        <v>44958</v>
      </c>
    </row>
    <row r="1812" spans="1:2" x14ac:dyDescent="0.25">
      <c r="A1812" s="29">
        <v>10060044</v>
      </c>
      <c r="B1812" s="30">
        <v>44958</v>
      </c>
    </row>
    <row r="1813" spans="1:2" x14ac:dyDescent="0.25">
      <c r="A1813" s="29">
        <v>10060045</v>
      </c>
      <c r="B1813" s="30">
        <v>45150</v>
      </c>
    </row>
    <row r="1814" spans="1:2" x14ac:dyDescent="0.25">
      <c r="A1814" s="29">
        <v>10060046</v>
      </c>
      <c r="B1814" s="30">
        <v>44652</v>
      </c>
    </row>
    <row r="1815" spans="1:2" x14ac:dyDescent="0.25">
      <c r="A1815" s="29">
        <v>10060047</v>
      </c>
      <c r="B1815" s="30">
        <v>44921</v>
      </c>
    </row>
    <row r="1816" spans="1:2" x14ac:dyDescent="0.25">
      <c r="A1816" s="29">
        <v>10060048</v>
      </c>
      <c r="B1816" s="30">
        <v>44958</v>
      </c>
    </row>
    <row r="1817" spans="1:2" x14ac:dyDescent="0.25">
      <c r="A1817" s="29">
        <v>10060051</v>
      </c>
      <c r="B1817" s="30">
        <v>45254</v>
      </c>
    </row>
    <row r="1818" spans="1:2" x14ac:dyDescent="0.25">
      <c r="A1818" s="29">
        <v>10060052</v>
      </c>
      <c r="B1818" s="30">
        <v>45254</v>
      </c>
    </row>
    <row r="1819" spans="1:2" x14ac:dyDescent="0.25">
      <c r="A1819" s="29">
        <v>10060053</v>
      </c>
      <c r="B1819" s="30">
        <v>45267</v>
      </c>
    </row>
    <row r="1820" spans="1:2" x14ac:dyDescent="0.25">
      <c r="A1820" s="29">
        <v>10060054</v>
      </c>
      <c r="B1820" s="30">
        <v>45205</v>
      </c>
    </row>
    <row r="1821" spans="1:2" x14ac:dyDescent="0.25">
      <c r="A1821" s="29">
        <v>10060055</v>
      </c>
      <c r="B1821" s="30">
        <v>44361</v>
      </c>
    </row>
    <row r="1822" spans="1:2" x14ac:dyDescent="0.25">
      <c r="A1822" s="29">
        <v>10060056</v>
      </c>
      <c r="B1822" s="30">
        <v>45235</v>
      </c>
    </row>
    <row r="1823" spans="1:2" x14ac:dyDescent="0.25">
      <c r="A1823" s="29">
        <v>10060057</v>
      </c>
      <c r="B1823" s="30">
        <v>45205</v>
      </c>
    </row>
    <row r="1824" spans="1:2" x14ac:dyDescent="0.25">
      <c r="A1824" s="29">
        <v>10060058</v>
      </c>
      <c r="B1824" s="30">
        <v>45198</v>
      </c>
    </row>
    <row r="1825" spans="1:2" x14ac:dyDescent="0.25">
      <c r="A1825" s="29">
        <v>10060059</v>
      </c>
      <c r="B1825" s="30">
        <v>45232</v>
      </c>
    </row>
    <row r="1826" spans="1:2" x14ac:dyDescent="0.25">
      <c r="A1826" s="29">
        <v>10060060</v>
      </c>
      <c r="B1826" s="30">
        <v>45259</v>
      </c>
    </row>
    <row r="1827" spans="1:2" x14ac:dyDescent="0.25">
      <c r="A1827" s="29">
        <v>10060061</v>
      </c>
      <c r="B1827" s="30">
        <v>45205</v>
      </c>
    </row>
    <row r="1828" spans="1:2" x14ac:dyDescent="0.25">
      <c r="A1828" s="29">
        <v>10060062</v>
      </c>
      <c r="B1828" s="30">
        <v>45323</v>
      </c>
    </row>
    <row r="1829" spans="1:2" x14ac:dyDescent="0.25">
      <c r="A1829" s="29">
        <v>10060063</v>
      </c>
      <c r="B1829" s="30">
        <v>45323</v>
      </c>
    </row>
    <row r="1830" spans="1:2" x14ac:dyDescent="0.25">
      <c r="A1830" s="29">
        <v>10060064</v>
      </c>
      <c r="B1830" s="30">
        <v>45323</v>
      </c>
    </row>
    <row r="1831" spans="1:2" x14ac:dyDescent="0.25">
      <c r="A1831" s="29">
        <v>10290001</v>
      </c>
      <c r="B1831" s="30">
        <v>42979</v>
      </c>
    </row>
    <row r="1832" spans="1:2" x14ac:dyDescent="0.25">
      <c r="A1832" s="29">
        <v>10300001</v>
      </c>
      <c r="B1832" s="30">
        <v>42979</v>
      </c>
    </row>
    <row r="1833" spans="1:2" x14ac:dyDescent="0.25">
      <c r="A1833" s="29">
        <v>10310001</v>
      </c>
      <c r="B1833" s="30">
        <v>42979</v>
      </c>
    </row>
    <row r="1834" spans="1:2" x14ac:dyDescent="0.25">
      <c r="A1834" s="29">
        <v>10320001</v>
      </c>
      <c r="B1834" s="30">
        <v>42979</v>
      </c>
    </row>
    <row r="1835" spans="1:2" x14ac:dyDescent="0.25">
      <c r="A1835" s="29">
        <v>10330001</v>
      </c>
      <c r="B1835" s="30">
        <v>42979</v>
      </c>
    </row>
    <row r="1836" spans="1:2" x14ac:dyDescent="0.25">
      <c r="A1836" s="29">
        <v>10340001</v>
      </c>
      <c r="B1836" s="30">
        <v>42979</v>
      </c>
    </row>
    <row r="1837" spans="1:2" x14ac:dyDescent="0.25">
      <c r="A1837" s="29">
        <v>10350001</v>
      </c>
      <c r="B1837" s="30">
        <v>42979</v>
      </c>
    </row>
    <row r="1838" spans="1:2" x14ac:dyDescent="0.25">
      <c r="A1838" s="29">
        <v>10060068</v>
      </c>
      <c r="B1838" s="30">
        <v>45487</v>
      </c>
    </row>
    <row r="1839" spans="1:2" x14ac:dyDescent="0.25">
      <c r="A1839" s="29">
        <v>10060066</v>
      </c>
      <c r="B1839" s="30">
        <v>45490</v>
      </c>
    </row>
    <row r="1840" spans="1:2" x14ac:dyDescent="0.25">
      <c r="A1840" s="29">
        <v>10060067</v>
      </c>
      <c r="B1840" s="30">
        <v>45490</v>
      </c>
    </row>
    <row r="1841" spans="1:2" x14ac:dyDescent="0.25">
      <c r="A1841" s="29">
        <v>10060070</v>
      </c>
      <c r="B1841" s="30">
        <v>45578</v>
      </c>
    </row>
    <row r="1842" spans="1:2" x14ac:dyDescent="0.25">
      <c r="A1842" s="29">
        <v>10060071</v>
      </c>
      <c r="B1842" s="30">
        <v>45607</v>
      </c>
    </row>
    <row r="1843" spans="1:2" x14ac:dyDescent="0.25">
      <c r="A1843" s="29">
        <v>10060073</v>
      </c>
      <c r="B1843" s="30">
        <v>45631</v>
      </c>
    </row>
    <row r="1844" spans="1:2" x14ac:dyDescent="0.25">
      <c r="A1844" s="29">
        <v>10060079</v>
      </c>
      <c r="B1844" s="30">
        <v>45646</v>
      </c>
    </row>
    <row r="1845" spans="1:2" x14ac:dyDescent="0.25">
      <c r="A1845" s="29">
        <v>10060081</v>
      </c>
      <c r="B1845" s="30">
        <v>45647</v>
      </c>
    </row>
    <row r="1846" spans="1:2" x14ac:dyDescent="0.25">
      <c r="A1846" s="29">
        <v>10060082</v>
      </c>
      <c r="B1846" s="30">
        <v>45650</v>
      </c>
    </row>
    <row r="1847" spans="1:2" x14ac:dyDescent="0.25">
      <c r="A1847" s="29">
        <v>10060083</v>
      </c>
      <c r="B1847" s="30">
        <v>45650</v>
      </c>
    </row>
    <row r="1848" spans="1:2" x14ac:dyDescent="0.25">
      <c r="A1848" s="29">
        <v>10060085</v>
      </c>
      <c r="B1848" s="30">
        <v>45650</v>
      </c>
    </row>
    <row r="1849" spans="1:2" x14ac:dyDescent="0.25">
      <c r="A1849" s="29">
        <v>10060084</v>
      </c>
      <c r="B1849" s="30">
        <v>45651</v>
      </c>
    </row>
    <row r="1850" spans="1:2" x14ac:dyDescent="0.25">
      <c r="A1850" s="29">
        <v>10060078</v>
      </c>
      <c r="B1850" s="30">
        <v>45653</v>
      </c>
    </row>
    <row r="1851" spans="1:2" x14ac:dyDescent="0.25">
      <c r="A1851" s="29">
        <v>10060077</v>
      </c>
      <c r="B1851" s="30">
        <v>45653</v>
      </c>
    </row>
    <row r="1852" spans="1:2" x14ac:dyDescent="0.25">
      <c r="A1852" s="29">
        <v>10060087</v>
      </c>
      <c r="B1852" s="30">
        <v>45658</v>
      </c>
    </row>
    <row r="1853" spans="1:2" x14ac:dyDescent="0.25">
      <c r="A1853" s="29">
        <v>10060089</v>
      </c>
      <c r="B1853" s="30">
        <v>45659</v>
      </c>
    </row>
    <row r="1854" spans="1:2" x14ac:dyDescent="0.25">
      <c r="A1854" s="29">
        <v>10060088</v>
      </c>
      <c r="B1854" s="30">
        <v>45660</v>
      </c>
    </row>
    <row r="1855" spans="1:2" x14ac:dyDescent="0.25">
      <c r="A1855" s="29">
        <v>10060076</v>
      </c>
      <c r="B1855" s="30">
        <v>45664</v>
      </c>
    </row>
    <row r="1856" spans="1:2" x14ac:dyDescent="0.25">
      <c r="A1856" s="29">
        <v>10060092</v>
      </c>
      <c r="B1856" s="30">
        <v>45683</v>
      </c>
    </row>
    <row r="1857" spans="1:2" x14ac:dyDescent="0.25">
      <c r="A1857" s="29">
        <v>10060091</v>
      </c>
      <c r="B1857" s="30">
        <v>45702</v>
      </c>
    </row>
    <row r="1858" spans="1:2" x14ac:dyDescent="0.25">
      <c r="A1858" s="29">
        <v>10060096</v>
      </c>
      <c r="B1858" s="30">
        <v>45704</v>
      </c>
    </row>
    <row r="1859" spans="1:2" x14ac:dyDescent="0.25">
      <c r="A1859" s="29">
        <v>10060095</v>
      </c>
      <c r="B1859" s="30">
        <v>45709</v>
      </c>
    </row>
    <row r="1860" spans="1:2" x14ac:dyDescent="0.25">
      <c r="A1860" s="29">
        <v>10060093</v>
      </c>
      <c r="B1860" s="30">
        <v>45716</v>
      </c>
    </row>
    <row r="1861" spans="1:2" x14ac:dyDescent="0.25">
      <c r="A1861" s="29">
        <v>10060097</v>
      </c>
      <c r="B1861" s="30">
        <v>45743</v>
      </c>
    </row>
    <row r="1862" spans="1:2" x14ac:dyDescent="0.25">
      <c r="A1862" s="29">
        <v>10060099</v>
      </c>
      <c r="B1862" s="30">
        <v>45743</v>
      </c>
    </row>
    <row r="1863" spans="1:2" x14ac:dyDescent="0.25">
      <c r="A1863" s="29">
        <v>10060101</v>
      </c>
      <c r="B1863" s="30">
        <v>45748</v>
      </c>
    </row>
    <row r="1864" spans="1:2" x14ac:dyDescent="0.25">
      <c r="A1864" s="29">
        <v>10060103</v>
      </c>
      <c r="B1864" s="30">
        <v>45759</v>
      </c>
    </row>
    <row r="1865" spans="1:2" x14ac:dyDescent="0.25">
      <c r="A1865" s="29">
        <v>10060100</v>
      </c>
      <c r="B1865" s="30">
        <v>45769</v>
      </c>
    </row>
    <row r="1866" spans="1:2" x14ac:dyDescent="0.25">
      <c r="A1866" s="29">
        <v>10060105</v>
      </c>
      <c r="B1866" s="30">
        <v>45802</v>
      </c>
    </row>
    <row r="1867" spans="1:2" x14ac:dyDescent="0.25">
      <c r="A1867" s="29">
        <v>10060107</v>
      </c>
      <c r="B1867" s="30">
        <v>45791</v>
      </c>
    </row>
    <row r="1868" spans="1:2" x14ac:dyDescent="0.25">
      <c r="A1868" s="29">
        <v>10060108</v>
      </c>
      <c r="B1868" s="30">
        <v>45791</v>
      </c>
    </row>
    <row r="1869" spans="1:2" x14ac:dyDescent="0.25">
      <c r="A1869" s="29">
        <v>10060098</v>
      </c>
      <c r="B1869" s="30">
        <v>45795</v>
      </c>
    </row>
    <row r="1870" spans="1:2" x14ac:dyDescent="0.25">
      <c r="A1870" s="29">
        <v>10060104</v>
      </c>
      <c r="B1870" s="30">
        <v>45800</v>
      </c>
    </row>
    <row r="1871" spans="1:2" x14ac:dyDescent="0.25">
      <c r="A1871" s="29">
        <v>10060110</v>
      </c>
      <c r="B1871" s="30">
        <v>45838</v>
      </c>
    </row>
    <row r="1872" spans="1:2" x14ac:dyDescent="0.25">
      <c r="A1872" s="29">
        <v>10060111</v>
      </c>
      <c r="B1872" s="30">
        <v>45838</v>
      </c>
    </row>
    <row r="1873" spans="1:2" x14ac:dyDescent="0.25">
      <c r="A1873" s="29">
        <v>10060113</v>
      </c>
      <c r="B1873" s="30">
        <v>45838</v>
      </c>
    </row>
    <row r="1874" spans="1:2" x14ac:dyDescent="0.25">
      <c r="A1874" s="29">
        <v>10060109</v>
      </c>
      <c r="B1874" s="30">
        <v>45853</v>
      </c>
    </row>
    <row r="1875" spans="1:2" x14ac:dyDescent="0.25">
      <c r="A1875" s="29">
        <v>10060114</v>
      </c>
      <c r="B1875" s="30">
        <v>45856</v>
      </c>
    </row>
    <row r="1876" spans="1:2" x14ac:dyDescent="0.25">
      <c r="A1876" s="29">
        <v>10060115</v>
      </c>
      <c r="B1876" s="30">
        <v>45869</v>
      </c>
    </row>
    <row r="1877" spans="1:2" x14ac:dyDescent="0.25">
      <c r="A1877" s="29">
        <v>10060116</v>
      </c>
      <c r="B1877" s="30">
        <v>45899</v>
      </c>
    </row>
    <row r="1878" spans="1:2" x14ac:dyDescent="0.25">
      <c r="A1878" s="29">
        <v>10060117</v>
      </c>
      <c r="B1878" s="30">
        <v>45906</v>
      </c>
    </row>
    <row r="1879" spans="1:2" x14ac:dyDescent="0.25">
      <c r="A1879" s="29">
        <v>10060118</v>
      </c>
      <c r="B1879" s="30">
        <v>45906</v>
      </c>
    </row>
    <row r="1880" spans="1:2" x14ac:dyDescent="0.25">
      <c r="A1880" s="29">
        <v>10060120</v>
      </c>
      <c r="B1880" s="30">
        <v>45925</v>
      </c>
    </row>
    <row r="1881" spans="1:2" x14ac:dyDescent="0.25">
      <c r="A1881" s="29">
        <v>10060122</v>
      </c>
      <c r="B1881" s="30">
        <v>45933</v>
      </c>
    </row>
    <row r="1882" spans="1:2" x14ac:dyDescent="0.25">
      <c r="A1882" s="29">
        <v>10060119</v>
      </c>
      <c r="B1882" s="30">
        <v>45936</v>
      </c>
    </row>
    <row r="1883" spans="1:2" x14ac:dyDescent="0.25">
      <c r="A1883" s="29">
        <v>10060121</v>
      </c>
      <c r="B1883" s="30">
        <v>45946</v>
      </c>
    </row>
    <row r="1884" spans="1:2" x14ac:dyDescent="0.25">
      <c r="A1884" s="29">
        <v>10060123</v>
      </c>
      <c r="B1884" s="30">
        <v>45976</v>
      </c>
    </row>
    <row r="1885" spans="1:2" x14ac:dyDescent="0.25">
      <c r="A1885" s="29">
        <v>10060106</v>
      </c>
      <c r="B1885" s="30">
        <v>45978</v>
      </c>
    </row>
    <row r="1886" spans="1:2" x14ac:dyDescent="0.25">
      <c r="A1886" s="29">
        <v>10060126</v>
      </c>
      <c r="B1886" s="30">
        <v>46021</v>
      </c>
    </row>
    <row r="1887" spans="1:2" x14ac:dyDescent="0.25">
      <c r="A1887" s="29">
        <v>10060125</v>
      </c>
      <c r="B1887" s="30">
        <v>46021</v>
      </c>
    </row>
    <row r="1888" spans="1:2" x14ac:dyDescent="0.25">
      <c r="A1888" s="29">
        <v>10060128</v>
      </c>
      <c r="B1888" s="30">
        <v>46039</v>
      </c>
    </row>
    <row r="1889" spans="1:2" x14ac:dyDescent="0.25">
      <c r="A1889" s="29">
        <v>10060130</v>
      </c>
      <c r="B1889" s="30">
        <v>46064</v>
      </c>
    </row>
    <row r="1890" spans="1:2" x14ac:dyDescent="0.25">
      <c r="A1890" s="29">
        <v>10060129</v>
      </c>
      <c r="B1890" s="30">
        <v>46073</v>
      </c>
    </row>
    <row r="1891" spans="1:2" x14ac:dyDescent="0.25">
      <c r="A1891" s="29">
        <v>10060132</v>
      </c>
      <c r="B1891" s="30">
        <v>46121</v>
      </c>
    </row>
    <row r="1892" spans="1:2" x14ac:dyDescent="0.25">
      <c r="A1892" s="29">
        <v>10060127</v>
      </c>
      <c r="B1892" s="30">
        <v>46122</v>
      </c>
    </row>
    <row r="1893" spans="1:2" x14ac:dyDescent="0.25">
      <c r="A1893" s="29">
        <v>10060133</v>
      </c>
      <c r="B1893" s="30">
        <v>46126</v>
      </c>
    </row>
    <row r="1894" spans="1:2" x14ac:dyDescent="0.25">
      <c r="A1894" s="29">
        <v>10060112</v>
      </c>
      <c r="B1894" s="30">
        <v>46164</v>
      </c>
    </row>
    <row r="1895" spans="1:2" x14ac:dyDescent="0.25">
      <c r="A1895" s="29">
        <v>10060136</v>
      </c>
      <c r="B1895" s="30">
        <v>46205</v>
      </c>
    </row>
    <row r="1896" spans="1:2" x14ac:dyDescent="0.25">
      <c r="A1896" s="29">
        <v>10060135</v>
      </c>
      <c r="B1896" s="30">
        <v>46213</v>
      </c>
    </row>
    <row r="1897" spans="1:2" x14ac:dyDescent="0.25">
      <c r="A1897" s="29">
        <v>10060138</v>
      </c>
      <c r="B1897" s="30">
        <v>46230</v>
      </c>
    </row>
    <row r="1898" spans="1:2" x14ac:dyDescent="0.25">
      <c r="A1898" s="29">
        <v>10080001</v>
      </c>
      <c r="B1898" s="30">
        <v>42996</v>
      </c>
    </row>
    <row r="1899" spans="1:2" x14ac:dyDescent="0.25">
      <c r="A1899" s="29">
        <v>10080002</v>
      </c>
      <c r="B1899" s="30">
        <v>42997</v>
      </c>
    </row>
    <row r="1900" spans="1:2" x14ac:dyDescent="0.25">
      <c r="A1900" s="29">
        <v>10080003</v>
      </c>
      <c r="B1900" s="30">
        <v>42999</v>
      </c>
    </row>
    <row r="1901" spans="1:2" x14ac:dyDescent="0.25">
      <c r="A1901" s="29">
        <v>10080004</v>
      </c>
      <c r="B1901" s="30">
        <v>43077</v>
      </c>
    </row>
    <row r="1902" spans="1:2" x14ac:dyDescent="0.25">
      <c r="A1902" s="29">
        <v>10080005</v>
      </c>
      <c r="B1902" s="30">
        <v>43150</v>
      </c>
    </row>
    <row r="1903" spans="1:2" x14ac:dyDescent="0.25">
      <c r="A1903" s="29">
        <v>10080006</v>
      </c>
      <c r="B1903" s="30">
        <v>43407</v>
      </c>
    </row>
    <row r="1904" spans="1:2" x14ac:dyDescent="0.25">
      <c r="A1904" s="29">
        <v>10080007</v>
      </c>
      <c r="B1904" s="30">
        <v>43785</v>
      </c>
    </row>
    <row r="1905" spans="1:2" x14ac:dyDescent="0.25">
      <c r="A1905" s="29">
        <v>10080008</v>
      </c>
      <c r="B1905" s="30">
        <v>43789</v>
      </c>
    </row>
    <row r="1906" spans="1:2" x14ac:dyDescent="0.25">
      <c r="A1906" s="29">
        <v>10080009</v>
      </c>
      <c r="B1906" s="30">
        <v>43791</v>
      </c>
    </row>
    <row r="1907" spans="1:2" x14ac:dyDescent="0.25">
      <c r="A1907" s="29">
        <v>10080010</v>
      </c>
      <c r="B1907" s="30">
        <v>43917</v>
      </c>
    </row>
    <row r="1908" spans="1:2" x14ac:dyDescent="0.25">
      <c r="A1908" s="29">
        <v>10080011</v>
      </c>
      <c r="B1908" s="30">
        <v>43923</v>
      </c>
    </row>
    <row r="1909" spans="1:2" x14ac:dyDescent="0.25">
      <c r="A1909" s="29">
        <v>10080012</v>
      </c>
      <c r="B1909" s="30">
        <v>44257</v>
      </c>
    </row>
    <row r="1910" spans="1:2" x14ac:dyDescent="0.25">
      <c r="A1910" s="29">
        <v>10080013</v>
      </c>
      <c r="B1910" s="30">
        <v>44373</v>
      </c>
    </row>
    <row r="1911" spans="1:2" x14ac:dyDescent="0.25">
      <c r="A1911" s="29">
        <v>10080014</v>
      </c>
      <c r="B1911" s="30">
        <v>44375</v>
      </c>
    </row>
    <row r="1912" spans="1:2" x14ac:dyDescent="0.25">
      <c r="A1912" s="29">
        <v>10080015</v>
      </c>
      <c r="B1912" s="30">
        <v>44693</v>
      </c>
    </row>
    <row r="1913" spans="1:2" x14ac:dyDescent="0.25">
      <c r="A1913" s="29">
        <v>10080016</v>
      </c>
      <c r="B1913" s="30">
        <v>44694</v>
      </c>
    </row>
    <row r="1914" spans="1:2" x14ac:dyDescent="0.25">
      <c r="A1914" s="29">
        <v>10080017</v>
      </c>
      <c r="B1914" s="30">
        <v>44752</v>
      </c>
    </row>
    <row r="1915" spans="1:2" x14ac:dyDescent="0.25">
      <c r="A1915" s="29">
        <v>10080018</v>
      </c>
      <c r="B1915" s="30">
        <v>44754</v>
      </c>
    </row>
    <row r="1916" spans="1:2" x14ac:dyDescent="0.25">
      <c r="A1916" s="29">
        <v>10080019</v>
      </c>
      <c r="B1916" s="30">
        <v>44967</v>
      </c>
    </row>
    <row r="1917" spans="1:2" x14ac:dyDescent="0.25">
      <c r="A1917" s="29">
        <v>10080020</v>
      </c>
      <c r="B1917" s="30">
        <v>44967</v>
      </c>
    </row>
    <row r="1918" spans="1:2" x14ac:dyDescent="0.25">
      <c r="A1918" s="29">
        <v>10080021</v>
      </c>
      <c r="B1918" s="30">
        <v>44974</v>
      </c>
    </row>
    <row r="1919" spans="1:2" x14ac:dyDescent="0.25">
      <c r="A1919" s="29">
        <v>10080022</v>
      </c>
      <c r="B1919" s="30">
        <v>44979</v>
      </c>
    </row>
    <row r="1920" spans="1:2" x14ac:dyDescent="0.25">
      <c r="A1920" s="29">
        <v>10080023</v>
      </c>
      <c r="B1920" s="30">
        <v>44987</v>
      </c>
    </row>
    <row r="1921" spans="1:2" x14ac:dyDescent="0.25">
      <c r="A1921" s="29">
        <v>10080024</v>
      </c>
      <c r="B1921" s="30">
        <v>45001</v>
      </c>
    </row>
    <row r="1922" spans="1:2" x14ac:dyDescent="0.25">
      <c r="A1922" s="29">
        <v>10080025</v>
      </c>
      <c r="B1922" s="30">
        <v>45003</v>
      </c>
    </row>
    <row r="1923" spans="1:2" x14ac:dyDescent="0.25">
      <c r="A1923" s="29">
        <v>10080026</v>
      </c>
      <c r="B1923" s="30">
        <v>45004</v>
      </c>
    </row>
    <row r="1924" spans="1:2" x14ac:dyDescent="0.25">
      <c r="A1924" s="29">
        <v>10080027</v>
      </c>
      <c r="B1924" s="30">
        <v>45016</v>
      </c>
    </row>
    <row r="1925" spans="1:2" x14ac:dyDescent="0.25">
      <c r="A1925" s="29">
        <v>10080028</v>
      </c>
      <c r="B1925" s="30">
        <v>45043</v>
      </c>
    </row>
    <row r="1926" spans="1:2" x14ac:dyDescent="0.25">
      <c r="A1926" s="29">
        <v>10080029</v>
      </c>
      <c r="B1926" s="30">
        <v>45017</v>
      </c>
    </row>
    <row r="1927" spans="1:2" x14ac:dyDescent="0.25">
      <c r="A1927" s="29">
        <v>10080030</v>
      </c>
      <c r="B1927" s="30">
        <v>45017</v>
      </c>
    </row>
    <row r="1928" spans="1:2" x14ac:dyDescent="0.25">
      <c r="A1928" s="29">
        <v>10080031</v>
      </c>
      <c r="B1928" s="30">
        <v>45108</v>
      </c>
    </row>
    <row r="1929" spans="1:2" x14ac:dyDescent="0.25">
      <c r="A1929" s="29">
        <v>10080032</v>
      </c>
      <c r="B1929" s="30">
        <v>45148</v>
      </c>
    </row>
    <row r="1930" spans="1:2" x14ac:dyDescent="0.25">
      <c r="A1930" s="29">
        <v>10080033</v>
      </c>
      <c r="B1930" s="30">
        <v>45159</v>
      </c>
    </row>
    <row r="1931" spans="1:2" x14ac:dyDescent="0.25">
      <c r="A1931" s="29">
        <v>10080034</v>
      </c>
      <c r="B1931" s="30">
        <v>45159</v>
      </c>
    </row>
    <row r="1932" spans="1:2" x14ac:dyDescent="0.25">
      <c r="A1932" s="29">
        <v>10080035</v>
      </c>
      <c r="B1932" s="30">
        <v>45259</v>
      </c>
    </row>
    <row r="1933" spans="1:2" x14ac:dyDescent="0.25">
      <c r="A1933" s="29">
        <v>10080036</v>
      </c>
      <c r="B1933" s="30">
        <v>45259</v>
      </c>
    </row>
    <row r="1934" spans="1:2" x14ac:dyDescent="0.25">
      <c r="A1934" s="29">
        <v>10080037</v>
      </c>
      <c r="B1934" s="30">
        <v>45044</v>
      </c>
    </row>
    <row r="1935" spans="1:2" x14ac:dyDescent="0.25">
      <c r="A1935" s="29">
        <v>10080038</v>
      </c>
      <c r="B1935" s="30">
        <v>44866</v>
      </c>
    </row>
    <row r="1936" spans="1:2" x14ac:dyDescent="0.25">
      <c r="A1936" s="29">
        <v>10080039</v>
      </c>
      <c r="B1936" s="30">
        <v>45115</v>
      </c>
    </row>
    <row r="1937" spans="1:2" x14ac:dyDescent="0.25">
      <c r="A1937" s="29">
        <v>10080040</v>
      </c>
      <c r="B1937" s="30">
        <v>44379</v>
      </c>
    </row>
    <row r="1938" spans="1:2" x14ac:dyDescent="0.25">
      <c r="A1938" s="29">
        <v>10080041</v>
      </c>
      <c r="B1938" s="30">
        <v>45126</v>
      </c>
    </row>
    <row r="1939" spans="1:2" x14ac:dyDescent="0.25">
      <c r="A1939" s="29">
        <v>10080042</v>
      </c>
      <c r="B1939" s="30">
        <v>45156</v>
      </c>
    </row>
    <row r="1940" spans="1:2" x14ac:dyDescent="0.25">
      <c r="A1940" s="29">
        <v>10080043</v>
      </c>
      <c r="B1940" s="30">
        <v>45111</v>
      </c>
    </row>
    <row r="1941" spans="1:2" x14ac:dyDescent="0.25">
      <c r="A1941" s="29">
        <v>10080044</v>
      </c>
      <c r="B1941" s="30">
        <v>44652</v>
      </c>
    </row>
    <row r="1942" spans="1:2" x14ac:dyDescent="0.25">
      <c r="A1942" s="29">
        <v>10080045</v>
      </c>
      <c r="B1942" s="30">
        <v>44652</v>
      </c>
    </row>
    <row r="1943" spans="1:2" x14ac:dyDescent="0.25">
      <c r="A1943" s="29">
        <v>10080046</v>
      </c>
      <c r="B1943" s="30">
        <v>45144</v>
      </c>
    </row>
    <row r="1944" spans="1:2" x14ac:dyDescent="0.25">
      <c r="A1944" s="29">
        <v>10080047</v>
      </c>
      <c r="B1944" s="30">
        <v>45283</v>
      </c>
    </row>
    <row r="1945" spans="1:2" x14ac:dyDescent="0.25">
      <c r="A1945" s="29">
        <v>10080048</v>
      </c>
      <c r="B1945" s="30">
        <v>45264</v>
      </c>
    </row>
    <row r="1946" spans="1:2" x14ac:dyDescent="0.25">
      <c r="A1946" s="29">
        <v>10080049</v>
      </c>
      <c r="B1946" s="30">
        <v>45282</v>
      </c>
    </row>
    <row r="1947" spans="1:2" x14ac:dyDescent="0.25">
      <c r="A1947" s="29">
        <v>10080050</v>
      </c>
      <c r="B1947" s="30">
        <v>45264</v>
      </c>
    </row>
    <row r="1948" spans="1:2" x14ac:dyDescent="0.25">
      <c r="A1948" s="29">
        <v>10080051</v>
      </c>
      <c r="B1948" s="30">
        <v>45235</v>
      </c>
    </row>
    <row r="1949" spans="1:2" x14ac:dyDescent="0.25">
      <c r="A1949" s="29">
        <v>10080052</v>
      </c>
      <c r="B1949" s="30">
        <v>45268</v>
      </c>
    </row>
    <row r="1950" spans="1:2" x14ac:dyDescent="0.25">
      <c r="A1950" s="29">
        <v>10080053</v>
      </c>
      <c r="B1950" s="30">
        <v>45287</v>
      </c>
    </row>
    <row r="1951" spans="1:2" x14ac:dyDescent="0.25">
      <c r="A1951" s="29">
        <v>10080054</v>
      </c>
      <c r="B1951" s="30">
        <v>45257</v>
      </c>
    </row>
    <row r="1952" spans="1:2" x14ac:dyDescent="0.25">
      <c r="A1952" s="29">
        <v>10080055</v>
      </c>
      <c r="B1952" s="30">
        <v>45205</v>
      </c>
    </row>
    <row r="1953" spans="1:2" x14ac:dyDescent="0.25">
      <c r="A1953" s="29">
        <v>10080056</v>
      </c>
      <c r="B1953" s="30">
        <v>45297</v>
      </c>
    </row>
    <row r="1954" spans="1:2" x14ac:dyDescent="0.25">
      <c r="A1954" s="29">
        <v>10080057</v>
      </c>
      <c r="B1954" s="30">
        <v>45291</v>
      </c>
    </row>
    <row r="1955" spans="1:2" x14ac:dyDescent="0.25">
      <c r="A1955" s="29">
        <v>10080058</v>
      </c>
      <c r="B1955" s="30">
        <v>45013</v>
      </c>
    </row>
    <row r="1956" spans="1:2" x14ac:dyDescent="0.25">
      <c r="A1956" s="29">
        <v>10080059</v>
      </c>
      <c r="B1956" s="30">
        <v>44979</v>
      </c>
    </row>
    <row r="1957" spans="1:2" x14ac:dyDescent="0.25">
      <c r="A1957" s="29">
        <v>10080060</v>
      </c>
      <c r="B1957" s="30">
        <v>45323</v>
      </c>
    </row>
    <row r="1958" spans="1:2" x14ac:dyDescent="0.25">
      <c r="A1958" s="29">
        <v>10080061</v>
      </c>
      <c r="B1958" s="30">
        <v>45394</v>
      </c>
    </row>
    <row r="1959" spans="1:2" x14ac:dyDescent="0.25">
      <c r="A1959" s="29">
        <v>10080062</v>
      </c>
      <c r="B1959" s="30">
        <v>45323</v>
      </c>
    </row>
    <row r="1960" spans="1:2" x14ac:dyDescent="0.25">
      <c r="A1960" s="29">
        <v>10080063</v>
      </c>
      <c r="B1960" s="30">
        <v>45323</v>
      </c>
    </row>
    <row r="1961" spans="1:2" x14ac:dyDescent="0.25">
      <c r="A1961" s="29">
        <v>10080064</v>
      </c>
      <c r="B1961" s="30">
        <v>45323</v>
      </c>
    </row>
    <row r="1962" spans="1:2" x14ac:dyDescent="0.25">
      <c r="A1962" s="29">
        <v>10080065</v>
      </c>
      <c r="B1962" s="30">
        <v>45323</v>
      </c>
    </row>
    <row r="1963" spans="1:2" x14ac:dyDescent="0.25">
      <c r="A1963" s="29">
        <v>10080066</v>
      </c>
      <c r="B1963" s="30">
        <v>45323</v>
      </c>
    </row>
    <row r="1964" spans="1:2" x14ac:dyDescent="0.25">
      <c r="A1964" s="29">
        <v>10080067</v>
      </c>
      <c r="B1964" s="30">
        <v>45323</v>
      </c>
    </row>
    <row r="1965" spans="1:2" x14ac:dyDescent="0.25">
      <c r="A1965" s="29">
        <v>10080069</v>
      </c>
      <c r="B1965" s="30">
        <v>45259</v>
      </c>
    </row>
    <row r="1966" spans="1:2" x14ac:dyDescent="0.25">
      <c r="A1966" s="29">
        <v>10080072</v>
      </c>
      <c r="B1966" s="30">
        <v>45480</v>
      </c>
    </row>
    <row r="1967" spans="1:2" x14ac:dyDescent="0.25">
      <c r="A1967" s="29">
        <v>10080071</v>
      </c>
      <c r="B1967" s="30">
        <v>45505</v>
      </c>
    </row>
    <row r="1968" spans="1:2" x14ac:dyDescent="0.25">
      <c r="A1968" s="29">
        <v>10080070</v>
      </c>
      <c r="B1968" s="30">
        <v>45513</v>
      </c>
    </row>
    <row r="1969" spans="1:2" x14ac:dyDescent="0.25">
      <c r="A1969" s="29">
        <v>10080073</v>
      </c>
      <c r="B1969" s="30">
        <v>45530</v>
      </c>
    </row>
    <row r="1970" spans="1:2" x14ac:dyDescent="0.25">
      <c r="A1970" s="29">
        <v>10080074</v>
      </c>
      <c r="B1970" s="30">
        <v>45532</v>
      </c>
    </row>
    <row r="1971" spans="1:2" x14ac:dyDescent="0.25">
      <c r="A1971" s="29">
        <v>10080075</v>
      </c>
      <c r="B1971" s="30">
        <v>45594</v>
      </c>
    </row>
    <row r="1972" spans="1:2" x14ac:dyDescent="0.25">
      <c r="A1972" s="29">
        <v>10080076</v>
      </c>
      <c r="B1972" s="30">
        <v>45599</v>
      </c>
    </row>
    <row r="1973" spans="1:2" x14ac:dyDescent="0.25">
      <c r="A1973" s="29">
        <v>10080078</v>
      </c>
      <c r="B1973" s="30">
        <v>45604</v>
      </c>
    </row>
    <row r="1974" spans="1:2" x14ac:dyDescent="0.25">
      <c r="A1974" s="29">
        <v>10080077</v>
      </c>
      <c r="B1974" s="30">
        <v>45614</v>
      </c>
    </row>
    <row r="1975" spans="1:2" x14ac:dyDescent="0.25">
      <c r="A1975" s="29">
        <v>10080079</v>
      </c>
      <c r="B1975" s="30">
        <v>45631</v>
      </c>
    </row>
    <row r="1976" spans="1:2" x14ac:dyDescent="0.25">
      <c r="A1976" s="29">
        <v>10080083</v>
      </c>
      <c r="B1976" s="30">
        <v>45643</v>
      </c>
    </row>
    <row r="1977" spans="1:2" x14ac:dyDescent="0.25">
      <c r="A1977" s="29">
        <v>10080081</v>
      </c>
      <c r="B1977" s="30">
        <v>45644</v>
      </c>
    </row>
    <row r="1978" spans="1:2" x14ac:dyDescent="0.25">
      <c r="A1978" s="29">
        <v>10080082</v>
      </c>
      <c r="B1978" s="30">
        <v>45644</v>
      </c>
    </row>
    <row r="1979" spans="1:2" x14ac:dyDescent="0.25">
      <c r="A1979" s="29">
        <v>10080080</v>
      </c>
      <c r="B1979" s="30">
        <v>45644</v>
      </c>
    </row>
    <row r="1980" spans="1:2" x14ac:dyDescent="0.25">
      <c r="A1980" s="29">
        <v>10080084</v>
      </c>
      <c r="B1980" s="30">
        <v>45687</v>
      </c>
    </row>
    <row r="1981" spans="1:2" x14ac:dyDescent="0.25">
      <c r="A1981" s="29">
        <v>10080086</v>
      </c>
      <c r="B1981" s="30">
        <v>45716</v>
      </c>
    </row>
    <row r="1982" spans="1:2" x14ac:dyDescent="0.25">
      <c r="A1982" s="29">
        <v>10080087</v>
      </c>
      <c r="B1982" s="30">
        <v>45745</v>
      </c>
    </row>
    <row r="1983" spans="1:2" x14ac:dyDescent="0.25">
      <c r="A1983" s="29">
        <v>10080088</v>
      </c>
      <c r="B1983" s="30">
        <v>45745</v>
      </c>
    </row>
    <row r="1984" spans="1:2" x14ac:dyDescent="0.25">
      <c r="A1984" s="29">
        <v>10080090</v>
      </c>
      <c r="B1984" s="30">
        <v>45802</v>
      </c>
    </row>
    <row r="1985" spans="1:2" x14ac:dyDescent="0.25">
      <c r="A1985" s="29">
        <v>10080092</v>
      </c>
      <c r="B1985" s="30">
        <v>45802</v>
      </c>
    </row>
    <row r="1986" spans="1:2" x14ac:dyDescent="0.25">
      <c r="A1986" s="29">
        <v>10080089</v>
      </c>
      <c r="B1986" s="30">
        <v>45802</v>
      </c>
    </row>
    <row r="1987" spans="1:2" x14ac:dyDescent="0.25">
      <c r="A1987" s="29">
        <v>10080085</v>
      </c>
      <c r="B1987" s="30">
        <v>45777</v>
      </c>
    </row>
    <row r="1988" spans="1:2" x14ac:dyDescent="0.25">
      <c r="A1988" s="29">
        <v>10080097</v>
      </c>
      <c r="B1988" s="30">
        <v>45786</v>
      </c>
    </row>
    <row r="1989" spans="1:2" x14ac:dyDescent="0.25">
      <c r="A1989" s="29">
        <v>10080093</v>
      </c>
      <c r="B1989" s="30">
        <v>45809</v>
      </c>
    </row>
    <row r="1990" spans="1:2" x14ac:dyDescent="0.25">
      <c r="A1990" s="29">
        <v>10080094</v>
      </c>
      <c r="B1990" s="30">
        <v>45809</v>
      </c>
    </row>
    <row r="1991" spans="1:2" x14ac:dyDescent="0.25">
      <c r="A1991" s="29">
        <v>10080099</v>
      </c>
      <c r="B1991" s="30">
        <v>45810</v>
      </c>
    </row>
    <row r="1992" spans="1:2" x14ac:dyDescent="0.25">
      <c r="A1992" s="29">
        <v>10080098</v>
      </c>
      <c r="B1992" s="30">
        <v>45815</v>
      </c>
    </row>
    <row r="1993" spans="1:2" x14ac:dyDescent="0.25">
      <c r="A1993" s="29">
        <v>10080096</v>
      </c>
      <c r="B1993" s="30">
        <v>45831</v>
      </c>
    </row>
    <row r="1994" spans="1:2" x14ac:dyDescent="0.25">
      <c r="A1994" s="29">
        <v>10080095</v>
      </c>
      <c r="B1994" s="30">
        <v>45838</v>
      </c>
    </row>
    <row r="1995" spans="1:2" x14ac:dyDescent="0.25">
      <c r="A1995" s="29">
        <v>10080100</v>
      </c>
      <c r="B1995" s="30">
        <v>45843</v>
      </c>
    </row>
    <row r="1996" spans="1:2" x14ac:dyDescent="0.25">
      <c r="A1996" s="29">
        <v>10080104</v>
      </c>
      <c r="B1996" s="30">
        <v>45855</v>
      </c>
    </row>
    <row r="1997" spans="1:2" x14ac:dyDescent="0.25">
      <c r="A1997" s="29">
        <v>10110130</v>
      </c>
      <c r="B1997" s="30">
        <v>45869</v>
      </c>
    </row>
    <row r="1998" spans="1:2" x14ac:dyDescent="0.25">
      <c r="A1998" s="29">
        <v>10080105</v>
      </c>
      <c r="B1998" s="30">
        <v>45869</v>
      </c>
    </row>
    <row r="1999" spans="1:2" x14ac:dyDescent="0.25">
      <c r="A1999" s="29">
        <v>10080107</v>
      </c>
      <c r="B1999" s="30">
        <v>45870</v>
      </c>
    </row>
    <row r="2000" spans="1:2" x14ac:dyDescent="0.25">
      <c r="A2000" s="29">
        <v>10080106</v>
      </c>
      <c r="B2000" s="30">
        <v>45885</v>
      </c>
    </row>
    <row r="2001" spans="1:2" x14ac:dyDescent="0.25">
      <c r="A2001" s="29">
        <v>10080109</v>
      </c>
      <c r="B2001" s="30">
        <v>45896</v>
      </c>
    </row>
    <row r="2002" spans="1:2" x14ac:dyDescent="0.25">
      <c r="A2002" s="29">
        <v>10080110</v>
      </c>
      <c r="B2002" s="30">
        <v>45901</v>
      </c>
    </row>
    <row r="2003" spans="1:2" x14ac:dyDescent="0.25">
      <c r="A2003" s="29">
        <v>10080108</v>
      </c>
      <c r="B2003" s="30">
        <v>45900</v>
      </c>
    </row>
    <row r="2004" spans="1:2" x14ac:dyDescent="0.25">
      <c r="A2004" s="29">
        <v>10080113</v>
      </c>
      <c r="B2004" s="30">
        <v>45940</v>
      </c>
    </row>
    <row r="2005" spans="1:2" x14ac:dyDescent="0.25">
      <c r="A2005" s="29">
        <v>10080112</v>
      </c>
      <c r="B2005" s="30">
        <v>45940</v>
      </c>
    </row>
    <row r="2006" spans="1:2" x14ac:dyDescent="0.25">
      <c r="A2006" s="29">
        <v>10080111</v>
      </c>
      <c r="B2006" s="30">
        <v>45940</v>
      </c>
    </row>
    <row r="2007" spans="1:2" x14ac:dyDescent="0.25">
      <c r="A2007" s="29">
        <v>10080114</v>
      </c>
      <c r="B2007" s="30">
        <v>45962</v>
      </c>
    </row>
    <row r="2008" spans="1:2" x14ac:dyDescent="0.25">
      <c r="A2008" s="29">
        <v>10080115</v>
      </c>
      <c r="B2008" s="30">
        <v>45992</v>
      </c>
    </row>
    <row r="2009" spans="1:2" x14ac:dyDescent="0.25">
      <c r="A2009" s="29">
        <v>10080117</v>
      </c>
      <c r="B2009" s="30">
        <v>46008</v>
      </c>
    </row>
    <row r="2010" spans="1:2" x14ac:dyDescent="0.25">
      <c r="A2010" s="29">
        <v>10080103</v>
      </c>
      <c r="B2010" s="30">
        <v>46010</v>
      </c>
    </row>
    <row r="2011" spans="1:2" x14ac:dyDescent="0.25">
      <c r="A2011" s="29">
        <v>10080119</v>
      </c>
      <c r="B2011" s="30">
        <v>46027</v>
      </c>
    </row>
    <row r="2012" spans="1:2" x14ac:dyDescent="0.25">
      <c r="A2012" s="29">
        <v>10080120</v>
      </c>
      <c r="B2012" s="30">
        <v>46066</v>
      </c>
    </row>
    <row r="2013" spans="1:2" x14ac:dyDescent="0.25">
      <c r="A2013" s="29">
        <v>10080122</v>
      </c>
      <c r="B2013" s="30">
        <v>46077</v>
      </c>
    </row>
    <row r="2014" spans="1:2" x14ac:dyDescent="0.25">
      <c r="A2014" s="29">
        <v>10080121</v>
      </c>
      <c r="B2014" s="30">
        <v>46081</v>
      </c>
    </row>
    <row r="2015" spans="1:2" x14ac:dyDescent="0.25">
      <c r="A2015" s="29">
        <v>10080124</v>
      </c>
      <c r="B2015" s="30">
        <v>46081</v>
      </c>
    </row>
    <row r="2016" spans="1:2" x14ac:dyDescent="0.25">
      <c r="A2016" s="29">
        <v>10080125</v>
      </c>
      <c r="B2016" s="30">
        <v>46081</v>
      </c>
    </row>
    <row r="2017" spans="1:2" x14ac:dyDescent="0.25">
      <c r="A2017" s="29">
        <v>10080118</v>
      </c>
      <c r="B2017" s="30">
        <v>46081</v>
      </c>
    </row>
    <row r="2018" spans="1:2" x14ac:dyDescent="0.25">
      <c r="A2018" s="29">
        <v>10080126</v>
      </c>
      <c r="B2018" s="30">
        <v>46109</v>
      </c>
    </row>
    <row r="2019" spans="1:2" x14ac:dyDescent="0.25">
      <c r="A2019" s="29">
        <v>10080127</v>
      </c>
      <c r="B2019" s="30">
        <v>46112</v>
      </c>
    </row>
    <row r="2020" spans="1:2" x14ac:dyDescent="0.25">
      <c r="A2020" s="29">
        <v>10080128</v>
      </c>
      <c r="B2020" s="30">
        <v>46210</v>
      </c>
    </row>
    <row r="2021" spans="1:2" x14ac:dyDescent="0.25">
      <c r="A2021" s="29">
        <v>10650029</v>
      </c>
      <c r="B2021" s="30">
        <v>46232</v>
      </c>
    </row>
    <row r="2022" spans="1:2" x14ac:dyDescent="0.25">
      <c r="A2022" s="29">
        <v>10650023</v>
      </c>
      <c r="B2022" s="30">
        <v>46235</v>
      </c>
    </row>
    <row r="2023" spans="1:2" x14ac:dyDescent="0.25">
      <c r="A2023" s="29">
        <v>10040001</v>
      </c>
      <c r="B2023" s="30">
        <v>43376</v>
      </c>
    </row>
    <row r="2024" spans="1:2" x14ac:dyDescent="0.25">
      <c r="A2024" s="29">
        <v>10570009</v>
      </c>
      <c r="B2024" s="30">
        <v>45915</v>
      </c>
    </row>
    <row r="2025" spans="1:2" x14ac:dyDescent="0.25">
      <c r="A2025" s="29">
        <v>10570010</v>
      </c>
      <c r="B2025" s="30">
        <v>45915</v>
      </c>
    </row>
    <row r="2026" spans="1:2" x14ac:dyDescent="0.25">
      <c r="A2026" s="29">
        <v>10570001</v>
      </c>
      <c r="B2026" s="30">
        <v>45915</v>
      </c>
    </row>
    <row r="2027" spans="1:2" x14ac:dyDescent="0.25">
      <c r="A2027" s="29">
        <v>10570004</v>
      </c>
      <c r="B2027" s="30">
        <v>45915</v>
      </c>
    </row>
    <row r="2028" spans="1:2" x14ac:dyDescent="0.25">
      <c r="A2028" s="29">
        <v>10570008</v>
      </c>
      <c r="B2028" s="30">
        <v>45915</v>
      </c>
    </row>
    <row r="2029" spans="1:2" x14ac:dyDescent="0.25">
      <c r="A2029" s="29">
        <v>10570002</v>
      </c>
      <c r="B2029" s="30">
        <v>45915</v>
      </c>
    </row>
    <row r="2030" spans="1:2" x14ac:dyDescent="0.25">
      <c r="A2030" s="29">
        <v>10570003</v>
      </c>
      <c r="B2030" s="30">
        <v>45915</v>
      </c>
    </row>
    <row r="2031" spans="1:2" x14ac:dyDescent="0.25">
      <c r="A2031" s="29">
        <v>10570005</v>
      </c>
      <c r="B2031" s="30">
        <v>45915</v>
      </c>
    </row>
    <row r="2032" spans="1:2" x14ac:dyDescent="0.25">
      <c r="A2032" s="29">
        <v>10570011</v>
      </c>
      <c r="B2032" s="30">
        <v>45915</v>
      </c>
    </row>
    <row r="2033" spans="1:2" x14ac:dyDescent="0.25">
      <c r="A2033" s="29">
        <v>10570012</v>
      </c>
      <c r="B2033" s="30">
        <v>45919</v>
      </c>
    </row>
    <row r="2034" spans="1:2" x14ac:dyDescent="0.25">
      <c r="A2034" s="29">
        <v>10570007</v>
      </c>
      <c r="B2034" s="30">
        <v>45926</v>
      </c>
    </row>
    <row r="2035" spans="1:2" x14ac:dyDescent="0.25">
      <c r="A2035" s="29">
        <v>10570013</v>
      </c>
      <c r="B2035" s="30">
        <v>45934</v>
      </c>
    </row>
    <row r="2036" spans="1:2" x14ac:dyDescent="0.25">
      <c r="A2036" s="29">
        <v>10570014</v>
      </c>
      <c r="B2036" s="30">
        <v>45935</v>
      </c>
    </row>
    <row r="2037" spans="1:2" x14ac:dyDescent="0.25">
      <c r="A2037" s="29">
        <v>10570015</v>
      </c>
      <c r="B2037" s="30">
        <v>45936</v>
      </c>
    </row>
    <row r="2038" spans="1:2" x14ac:dyDescent="0.25">
      <c r="A2038" s="29">
        <v>10570016</v>
      </c>
      <c r="B2038" s="30">
        <v>45940</v>
      </c>
    </row>
    <row r="2039" spans="1:2" x14ac:dyDescent="0.25">
      <c r="A2039" s="29">
        <v>10570021</v>
      </c>
      <c r="B2039" s="30">
        <v>45970</v>
      </c>
    </row>
    <row r="2040" spans="1:2" x14ac:dyDescent="0.25">
      <c r="A2040" s="29">
        <v>10570024</v>
      </c>
      <c r="B2040" s="30">
        <v>45970</v>
      </c>
    </row>
    <row r="2041" spans="1:2" x14ac:dyDescent="0.25">
      <c r="A2041" s="29">
        <v>10570023</v>
      </c>
      <c r="B2041" s="30">
        <v>45970</v>
      </c>
    </row>
    <row r="2042" spans="1:2" x14ac:dyDescent="0.25">
      <c r="A2042" s="29">
        <v>10570019</v>
      </c>
      <c r="B2042" s="30">
        <v>45970</v>
      </c>
    </row>
    <row r="2043" spans="1:2" x14ac:dyDescent="0.25">
      <c r="A2043" s="29">
        <v>10570020</v>
      </c>
      <c r="B2043" s="30">
        <v>45970</v>
      </c>
    </row>
    <row r="2044" spans="1:2" x14ac:dyDescent="0.25">
      <c r="A2044" s="29">
        <v>10570018</v>
      </c>
      <c r="B2044" s="30">
        <v>45970</v>
      </c>
    </row>
    <row r="2045" spans="1:2" x14ac:dyDescent="0.25">
      <c r="A2045" s="29">
        <v>10570022</v>
      </c>
      <c r="B2045" s="30">
        <v>45970</v>
      </c>
    </row>
    <row r="2046" spans="1:2" x14ac:dyDescent="0.25">
      <c r="A2046" s="29">
        <v>10570025</v>
      </c>
      <c r="B2046" s="30">
        <v>45981</v>
      </c>
    </row>
    <row r="2047" spans="1:2" x14ac:dyDescent="0.25">
      <c r="A2047" s="29">
        <v>10570026</v>
      </c>
      <c r="B2047" s="30">
        <v>45981</v>
      </c>
    </row>
    <row r="2048" spans="1:2" x14ac:dyDescent="0.25">
      <c r="A2048" s="29">
        <v>10570017</v>
      </c>
      <c r="B2048" s="30">
        <v>45989</v>
      </c>
    </row>
    <row r="2049" spans="1:2" x14ac:dyDescent="0.25">
      <c r="A2049" s="29">
        <v>10570029</v>
      </c>
      <c r="B2049" s="30">
        <v>46005</v>
      </c>
    </row>
    <row r="2050" spans="1:2" x14ac:dyDescent="0.25">
      <c r="A2050" s="29">
        <v>10570028</v>
      </c>
      <c r="B2050" s="30">
        <v>46005</v>
      </c>
    </row>
    <row r="2051" spans="1:2" x14ac:dyDescent="0.25">
      <c r="A2051" s="29">
        <v>10570031</v>
      </c>
      <c r="B2051" s="30">
        <v>46005</v>
      </c>
    </row>
    <row r="2052" spans="1:2" x14ac:dyDescent="0.25">
      <c r="A2052" s="29">
        <v>10570030</v>
      </c>
      <c r="B2052" s="30">
        <v>46006</v>
      </c>
    </row>
    <row r="2053" spans="1:2" x14ac:dyDescent="0.25">
      <c r="A2053" s="29">
        <v>10570033</v>
      </c>
      <c r="B2053" s="30">
        <v>46009</v>
      </c>
    </row>
    <row r="2054" spans="1:2" x14ac:dyDescent="0.25">
      <c r="A2054" s="29">
        <v>10570035</v>
      </c>
      <c r="B2054" s="30">
        <v>46010</v>
      </c>
    </row>
    <row r="2055" spans="1:2" x14ac:dyDescent="0.25">
      <c r="A2055" s="29">
        <v>10570038</v>
      </c>
      <c r="B2055" s="30">
        <v>46018</v>
      </c>
    </row>
    <row r="2056" spans="1:2" x14ac:dyDescent="0.25">
      <c r="A2056" s="29">
        <v>10570037</v>
      </c>
      <c r="B2056" s="30">
        <v>46018</v>
      </c>
    </row>
    <row r="2057" spans="1:2" x14ac:dyDescent="0.25">
      <c r="A2057" s="29">
        <v>10570040</v>
      </c>
      <c r="B2057" s="30">
        <v>46044</v>
      </c>
    </row>
    <row r="2058" spans="1:2" x14ac:dyDescent="0.25">
      <c r="A2058" s="29">
        <v>10570036</v>
      </c>
      <c r="B2058" s="30">
        <v>46057</v>
      </c>
    </row>
    <row r="2059" spans="1:2" x14ac:dyDescent="0.25">
      <c r="A2059" s="29">
        <v>10570045</v>
      </c>
      <c r="B2059" s="30">
        <v>46066</v>
      </c>
    </row>
    <row r="2060" spans="1:2" x14ac:dyDescent="0.25">
      <c r="A2060" s="29">
        <v>10570046</v>
      </c>
      <c r="B2060" s="30">
        <v>46066</v>
      </c>
    </row>
    <row r="2061" spans="1:2" x14ac:dyDescent="0.25">
      <c r="A2061" s="29">
        <v>10630003</v>
      </c>
      <c r="B2061" s="30">
        <v>46073</v>
      </c>
    </row>
    <row r="2062" spans="1:2" x14ac:dyDescent="0.25">
      <c r="A2062" s="29">
        <v>10630007</v>
      </c>
      <c r="B2062" s="30">
        <v>46073</v>
      </c>
    </row>
    <row r="2063" spans="1:2" x14ac:dyDescent="0.25">
      <c r="A2063" s="29">
        <v>10630001</v>
      </c>
      <c r="B2063" s="30">
        <v>46073</v>
      </c>
    </row>
    <row r="2064" spans="1:2" x14ac:dyDescent="0.25">
      <c r="A2064" s="29">
        <v>10630010</v>
      </c>
      <c r="B2064" s="30">
        <v>46073</v>
      </c>
    </row>
    <row r="2065" spans="1:2" x14ac:dyDescent="0.25">
      <c r="A2065" s="29">
        <v>10630008</v>
      </c>
      <c r="B2065" s="30">
        <v>46073</v>
      </c>
    </row>
    <row r="2066" spans="1:2" x14ac:dyDescent="0.25">
      <c r="A2066" s="29">
        <v>10630011</v>
      </c>
      <c r="B2066" s="30">
        <v>46073</v>
      </c>
    </row>
    <row r="2067" spans="1:2" x14ac:dyDescent="0.25">
      <c r="A2067" s="29">
        <v>10630009</v>
      </c>
      <c r="B2067" s="30">
        <v>46073</v>
      </c>
    </row>
    <row r="2068" spans="1:2" x14ac:dyDescent="0.25">
      <c r="A2068" s="29">
        <v>10630012</v>
      </c>
      <c r="B2068" s="30">
        <v>46073</v>
      </c>
    </row>
    <row r="2069" spans="1:2" x14ac:dyDescent="0.25">
      <c r="A2069" s="29">
        <v>10630004</v>
      </c>
      <c r="B2069" s="30">
        <v>46087</v>
      </c>
    </row>
    <row r="2070" spans="1:2" x14ac:dyDescent="0.25">
      <c r="A2070" s="29">
        <v>10570047</v>
      </c>
      <c r="B2070" s="30">
        <v>46092</v>
      </c>
    </row>
    <row r="2071" spans="1:2" x14ac:dyDescent="0.25">
      <c r="A2071" s="29">
        <v>10570044</v>
      </c>
      <c r="B2071" s="30">
        <v>46097</v>
      </c>
    </row>
    <row r="2072" spans="1:2" x14ac:dyDescent="0.25">
      <c r="A2072" s="29">
        <v>10570049</v>
      </c>
      <c r="B2072" s="30">
        <v>46098</v>
      </c>
    </row>
    <row r="2073" spans="1:2" x14ac:dyDescent="0.25">
      <c r="A2073" s="29">
        <v>10630019</v>
      </c>
      <c r="B2073" s="30">
        <v>46099</v>
      </c>
    </row>
    <row r="2074" spans="1:2" x14ac:dyDescent="0.25">
      <c r="A2074" s="29">
        <v>10630020</v>
      </c>
      <c r="B2074" s="30">
        <v>46100</v>
      </c>
    </row>
    <row r="2075" spans="1:2" x14ac:dyDescent="0.25">
      <c r="A2075" s="29">
        <v>10630016</v>
      </c>
      <c r="B2075" s="30">
        <v>46100</v>
      </c>
    </row>
    <row r="2076" spans="1:2" x14ac:dyDescent="0.25">
      <c r="A2076" s="29">
        <v>10630017</v>
      </c>
      <c r="B2076" s="30">
        <v>46100</v>
      </c>
    </row>
    <row r="2077" spans="1:2" x14ac:dyDescent="0.25">
      <c r="A2077" s="29">
        <v>10630015</v>
      </c>
      <c r="B2077" s="30">
        <v>46101</v>
      </c>
    </row>
    <row r="2078" spans="1:2" x14ac:dyDescent="0.25">
      <c r="A2078" s="29">
        <v>10570054</v>
      </c>
      <c r="B2078" s="30">
        <v>46101</v>
      </c>
    </row>
    <row r="2079" spans="1:2" x14ac:dyDescent="0.25">
      <c r="A2079" s="29">
        <v>10570053</v>
      </c>
      <c r="B2079" s="30">
        <v>46107</v>
      </c>
    </row>
    <row r="2080" spans="1:2" x14ac:dyDescent="0.25">
      <c r="A2080" s="29">
        <v>10570055</v>
      </c>
      <c r="B2080" s="30">
        <v>46108</v>
      </c>
    </row>
    <row r="2081" spans="1:2" x14ac:dyDescent="0.25">
      <c r="A2081" s="29">
        <v>10570056</v>
      </c>
      <c r="B2081" s="30">
        <v>46108</v>
      </c>
    </row>
    <row r="2082" spans="1:2" x14ac:dyDescent="0.25">
      <c r="A2082" s="29">
        <v>10570057</v>
      </c>
      <c r="B2082" s="30">
        <v>46108</v>
      </c>
    </row>
    <row r="2083" spans="1:2" x14ac:dyDescent="0.25">
      <c r="A2083" s="29">
        <v>10630002</v>
      </c>
      <c r="B2083" s="30">
        <v>46109</v>
      </c>
    </row>
    <row r="2084" spans="1:2" x14ac:dyDescent="0.25">
      <c r="A2084" s="29">
        <v>10630013</v>
      </c>
      <c r="B2084" s="30">
        <v>46115</v>
      </c>
    </row>
    <row r="2085" spans="1:2" x14ac:dyDescent="0.25">
      <c r="A2085" s="29">
        <v>10630014</v>
      </c>
      <c r="B2085" s="30">
        <v>46115</v>
      </c>
    </row>
    <row r="2086" spans="1:2" x14ac:dyDescent="0.25">
      <c r="A2086" s="29">
        <v>10570042</v>
      </c>
      <c r="B2086" s="30">
        <v>46116</v>
      </c>
    </row>
    <row r="2087" spans="1:2" x14ac:dyDescent="0.25">
      <c r="A2087" s="29">
        <v>10570060</v>
      </c>
      <c r="B2087" s="30">
        <v>46122</v>
      </c>
    </row>
    <row r="2088" spans="1:2" x14ac:dyDescent="0.25">
      <c r="A2088" s="29">
        <v>10570059</v>
      </c>
      <c r="B2088" s="30">
        <v>46122</v>
      </c>
    </row>
    <row r="2089" spans="1:2" x14ac:dyDescent="0.25">
      <c r="A2089" s="29">
        <v>10570058</v>
      </c>
      <c r="B2089" s="30">
        <v>46122</v>
      </c>
    </row>
    <row r="2090" spans="1:2" x14ac:dyDescent="0.25">
      <c r="A2090" s="29">
        <v>10630018</v>
      </c>
      <c r="B2090" s="30">
        <v>46123</v>
      </c>
    </row>
    <row r="2091" spans="1:2" x14ac:dyDescent="0.25">
      <c r="A2091" s="29">
        <v>10570006</v>
      </c>
      <c r="B2091" s="30">
        <v>46140</v>
      </c>
    </row>
    <row r="2092" spans="1:2" x14ac:dyDescent="0.25">
      <c r="A2092" s="29">
        <v>10570062</v>
      </c>
      <c r="B2092" s="30">
        <v>46149</v>
      </c>
    </row>
    <row r="2093" spans="1:2" x14ac:dyDescent="0.25">
      <c r="A2093" s="29">
        <v>10570032</v>
      </c>
      <c r="B2093" s="30">
        <v>46160</v>
      </c>
    </row>
    <row r="2094" spans="1:2" x14ac:dyDescent="0.25">
      <c r="A2094" s="29">
        <v>10570051</v>
      </c>
      <c r="B2094" s="30">
        <v>46174</v>
      </c>
    </row>
    <row r="2095" spans="1:2" x14ac:dyDescent="0.25">
      <c r="A2095" s="29">
        <v>10630022</v>
      </c>
      <c r="B2095" s="30">
        <v>46174</v>
      </c>
    </row>
    <row r="2096" spans="1:2" x14ac:dyDescent="0.25">
      <c r="A2096" s="29">
        <v>10570066</v>
      </c>
      <c r="B2096" s="30">
        <v>46184</v>
      </c>
    </row>
    <row r="2097" spans="1:2" x14ac:dyDescent="0.25">
      <c r="A2097" s="29">
        <v>10570065</v>
      </c>
      <c r="B2097" s="30">
        <v>46184</v>
      </c>
    </row>
    <row r="2098" spans="1:2" x14ac:dyDescent="0.25">
      <c r="A2098" s="29">
        <v>10570067</v>
      </c>
      <c r="B2098" s="30">
        <v>46199</v>
      </c>
    </row>
    <row r="2099" spans="1:2" x14ac:dyDescent="0.25">
      <c r="A2099" s="29">
        <v>10570071</v>
      </c>
      <c r="B2099" s="30">
        <v>46199</v>
      </c>
    </row>
    <row r="2100" spans="1:2" x14ac:dyDescent="0.25">
      <c r="A2100" s="29">
        <v>10570068</v>
      </c>
      <c r="B2100" s="30">
        <v>46199</v>
      </c>
    </row>
    <row r="2101" spans="1:2" x14ac:dyDescent="0.25">
      <c r="A2101" s="29">
        <v>10570070</v>
      </c>
      <c r="B2101" s="30">
        <v>46204</v>
      </c>
    </row>
    <row r="2102" spans="1:2" x14ac:dyDescent="0.25">
      <c r="A2102" s="29">
        <v>10570069</v>
      </c>
      <c r="B2102" s="30">
        <v>46212</v>
      </c>
    </row>
    <row r="2103" spans="1:2" x14ac:dyDescent="0.25">
      <c r="A2103" s="29">
        <v>10570074</v>
      </c>
      <c r="B2103" s="30">
        <v>46232</v>
      </c>
    </row>
    <row r="2104" spans="1:2" x14ac:dyDescent="0.25">
      <c r="A2104" s="29">
        <v>10570073</v>
      </c>
      <c r="B2104" s="30">
        <v>46233</v>
      </c>
    </row>
  </sheetData>
  <conditionalFormatting sqref="A2:A576 A578:A2104">
    <cfRule type="duplicateValues" dxfId="3" priority="4"/>
  </conditionalFormatting>
  <conditionalFormatting sqref="A258">
    <cfRule type="duplicateValues" dxfId="2" priority="2"/>
  </conditionalFormatting>
  <conditionalFormatting sqref="A259:A263 A3:A257">
    <cfRule type="duplicateValues" dxfId="1" priority="3"/>
  </conditionalFormatting>
  <conditionalFormatting sqref="A5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cp:lastPrinted>2026-06-26T11:33:27Z</cp:lastPrinted>
  <dcterms:created xsi:type="dcterms:W3CDTF">2026-01-13T10:21:25Z</dcterms:created>
  <dcterms:modified xsi:type="dcterms:W3CDTF">2026-08-13T12:12:10Z</dcterms:modified>
</cp:coreProperties>
</file>