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"/>
    </mc:Choice>
  </mc:AlternateContent>
  <xr:revisionPtr revIDLastSave="0" documentId="8_{DF988222-6298-4B95-B7ED-A0EFF85372A1}" xr6:coauthVersionLast="47" xr6:coauthVersionMax="47" xr10:uidLastSave="{00000000-0000-0000-0000-000000000000}"/>
  <bookViews>
    <workbookView xWindow="-120" yWindow="-120" windowWidth="29040" windowHeight="15720" xr2:uid="{E4BB4F88-94FA-4E28-A38D-3545E0820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  <c r="I7" i="1"/>
  <c r="J7" i="1"/>
  <c r="K7" i="1"/>
  <c r="L7" i="1"/>
  <c r="M7" i="1"/>
</calcChain>
</file>

<file path=xl/sharedStrings.xml><?xml version="1.0" encoding="utf-8"?>
<sst xmlns="http://schemas.openxmlformats.org/spreadsheetml/2006/main" count="81" uniqueCount="56">
  <si>
    <t xml:space="preserve">Code </t>
  </si>
  <si>
    <t xml:space="preserve">MPG NAME </t>
  </si>
  <si>
    <t>Farmer Payment</t>
  </si>
  <si>
    <t>MCC</t>
  </si>
  <si>
    <t>status</t>
  </si>
  <si>
    <t>Start Date</t>
  </si>
  <si>
    <t>BMC Volume</t>
  </si>
  <si>
    <t>BMC Amount</t>
  </si>
  <si>
    <t>Net Sahayak Income</t>
  </si>
  <si>
    <t>New Assets EMI</t>
  </si>
  <si>
    <t>Net Payble</t>
  </si>
  <si>
    <t xml:space="preserve">Payment relase </t>
  </si>
  <si>
    <t>Remarks</t>
  </si>
  <si>
    <t>Pending Down Payment</t>
  </si>
  <si>
    <t>Recommendation</t>
  </si>
  <si>
    <t>RAMDEV TOLA</t>
  </si>
  <si>
    <t>Direct</t>
  </si>
  <si>
    <t>Sonvarsha</t>
  </si>
  <si>
    <t>Old</t>
  </si>
  <si>
    <t>Release</t>
  </si>
  <si>
    <t xml:space="preserve">Down Payment </t>
  </si>
  <si>
    <t>Release1</t>
  </si>
  <si>
    <t>Gomukh Rajpur</t>
  </si>
  <si>
    <t>Dumraon</t>
  </si>
  <si>
    <t>MASUDAN</t>
  </si>
  <si>
    <t>Sadpur-2</t>
  </si>
  <si>
    <t>Sahibpur Kamal</t>
  </si>
  <si>
    <t>TOTAL</t>
  </si>
  <si>
    <t>GOMUKH MANIAPPA</t>
  </si>
  <si>
    <t>Matihani</t>
  </si>
  <si>
    <t>Farmer</t>
  </si>
  <si>
    <t>0002</t>
  </si>
  <si>
    <t>ID</t>
  </si>
  <si>
    <t>Farmers Account Name</t>
  </si>
  <si>
    <t>Account no</t>
  </si>
  <si>
    <t>IFSC code</t>
  </si>
  <si>
    <t xml:space="preserve">Bank Of name </t>
  </si>
  <si>
    <t xml:space="preserve">Nitish Kumar </t>
  </si>
  <si>
    <t>41728219873</t>
  </si>
  <si>
    <t>SBIN0012593</t>
  </si>
  <si>
    <t xml:space="preserve">State Bank of India </t>
  </si>
  <si>
    <t>Gopesh Kumar</t>
  </si>
  <si>
    <t>20395297069</t>
  </si>
  <si>
    <t>SBIN0018026</t>
  </si>
  <si>
    <t>Dhirendra Thakur</t>
  </si>
  <si>
    <t>1748101011324</t>
  </si>
  <si>
    <t>CNRB0001748</t>
  </si>
  <si>
    <t xml:space="preserve">Canara Bank </t>
  </si>
  <si>
    <t>Raunak Kumar</t>
  </si>
  <si>
    <t>31070110049160</t>
  </si>
  <si>
    <t>PUNB0MBGB06</t>
  </si>
  <si>
    <t>Bihar Gramin Bank</t>
  </si>
  <si>
    <t>Ranjit yadav</t>
  </si>
  <si>
    <t>1157000100094835</t>
  </si>
  <si>
    <t>PUNB0115700</t>
  </si>
  <si>
    <t>Punjab National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</si>
</sst>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7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/>
    <xf numFmtId="165" fontId="3" fillId="3" borderId="1" xfId="1" applyNumberFormat="1" applyFont="1" applyFill="1" applyBorder="1" applyAlignment="1">
      <alignment horizontal="right"/>
    </xf>
    <xf numFmtId="166" fontId="3" fillId="0" borderId="1" xfId="2" applyNumberFormat="1" applyFont="1" applyFill="1" applyBorder="1"/>
    <xf numFmtId="165" fontId="6" fillId="0" borderId="1" xfId="1" applyNumberFormat="1" applyFont="1" applyBorder="1"/>
    <xf numFmtId="166" fontId="2" fillId="4" borderId="1" xfId="0" applyNumberFormat="1" applyFont="1" applyFill="1" applyBorder="1"/>
    <xf numFmtId="166" fontId="2" fillId="4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/>
    <xf numFmtId="166" fontId="3" fillId="0" borderId="1" xfId="2" applyNumberFormat="1" applyFont="1" applyFill="1" applyBorder="1" applyAlignment="1">
      <alignment horizontal="center"/>
    </xf>
    <xf numFmtId="0" fontId="4" fillId="0" borderId="1" xfId="0" applyFont="1" applyBorder="1"/>
    <xf numFmtId="43" fontId="2" fillId="2" borderId="1" xfId="2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/>
    </xf>
    <xf numFmtId="166" fontId="5" fillId="0" borderId="1" xfId="2" applyNumberFormat="1" applyFont="1" applyFill="1" applyBorder="1"/>
    <xf numFmtId="165" fontId="6" fillId="0" borderId="1" xfId="1" applyNumberFormat="1" applyFont="1" applyFill="1" applyBorder="1" applyAlignment="1">
      <alignment horizontal="right"/>
    </xf>
  </cellXfs>
  <cellStyles count="3">
    <cellStyle name="Comma" xfId="1" builtinId="3"/>
    <cellStyle name="Comma 2" xfId="2" xr:uid="{8EF6DEEF-6E5C-4074-BD74-D10CCA43FA96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E7A5-1AAC-4B23-BE78-F19D95AB7715}">
  <dimension ref="A1:U7"/>
  <sheetViews>
    <sheetView tabSelected="1" workbookViewId="0">
      <selection activeCell="O19" sqref="O19"/>
    </sheetView>
  </sheetViews>
  <sheetFormatPr defaultRowHeight="13.5" x14ac:dyDescent="0.25"/>
  <cols>
    <col min="1" max="1" width="13.140625" style="1" bestFit="1" customWidth="1"/>
    <col min="2" max="2" width="9" style="1" bestFit="1" customWidth="1"/>
    <col min="3" max="3" width="6.5703125" style="1" bestFit="1" customWidth="1"/>
    <col min="4" max="4" width="16.28515625" style="1" bestFit="1" customWidth="1"/>
    <col min="5" max="5" width="7.7109375" style="1" bestFit="1" customWidth="1"/>
    <col min="6" max="6" width="12.7109375" style="1" bestFit="1" customWidth="1"/>
    <col min="7" max="7" width="6" style="1" bestFit="1" customWidth="1"/>
    <col min="8" max="8" width="10.140625" style="1" bestFit="1" customWidth="1"/>
    <col min="9" max="9" width="7" style="1" bestFit="1" customWidth="1"/>
    <col min="10" max="10" width="11.140625" style="1" bestFit="1" customWidth="1"/>
    <col min="11" max="11" width="7.28515625" style="1" bestFit="1" customWidth="1"/>
    <col min="12" max="13" width="7" style="1" bestFit="1" customWidth="1"/>
    <col min="14" max="14" width="7.85546875" style="1" bestFit="1" customWidth="1"/>
    <col min="15" max="15" width="13.7109375" style="1" bestFit="1" customWidth="1"/>
    <col min="16" max="16" width="7.7109375" style="1" bestFit="1" customWidth="1"/>
    <col min="17" max="17" width="8.85546875" style="1" bestFit="1" customWidth="1"/>
    <col min="18" max="18" width="14" style="1" bestFit="1" customWidth="1"/>
    <col min="19" max="19" width="17.28515625" style="1" bestFit="1" customWidth="1"/>
    <col min="20" max="20" width="12.7109375" style="1" bestFit="1" customWidth="1"/>
    <col min="21" max="21" width="17" style="1" bestFit="1" customWidth="1"/>
    <col min="22" max="16384" width="9.140625" style="1"/>
  </cols>
  <sheetData>
    <row r="1" spans="1:21" ht="40.5" x14ac:dyDescent="0.25">
      <c r="A1" s="13" t="s">
        <v>32</v>
      </c>
      <c r="B1" s="13" t="s">
        <v>0</v>
      </c>
      <c r="C1" s="13" t="s">
        <v>30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33</v>
      </c>
      <c r="S1" s="13" t="s">
        <v>34</v>
      </c>
      <c r="T1" s="13" t="s">
        <v>35</v>
      </c>
      <c r="U1" s="13" t="s">
        <v>36</v>
      </c>
    </row>
    <row r="2" spans="1:21" x14ac:dyDescent="0.25">
      <c r="A2" s="12" t="str">
        <f>CONCATENATE(B2,C2)</f>
        <v>100600980002</v>
      </c>
      <c r="B2" s="2">
        <v>10060098</v>
      </c>
      <c r="C2" s="14" t="s">
        <v>31</v>
      </c>
      <c r="D2" s="15" t="s">
        <v>15</v>
      </c>
      <c r="E2" s="3" t="s">
        <v>16</v>
      </c>
      <c r="F2" s="3" t="s">
        <v>17</v>
      </c>
      <c r="G2" s="16" t="s">
        <v>18</v>
      </c>
      <c r="H2" s="16">
        <v>45795</v>
      </c>
      <c r="I2" s="17">
        <v>6604.3</v>
      </c>
      <c r="J2" s="17">
        <v>301635.54000000004</v>
      </c>
      <c r="K2" s="6">
        <v>12570</v>
      </c>
      <c r="L2" s="4">
        <v>6032.7108000000007</v>
      </c>
      <c r="M2" s="5">
        <v>6537</v>
      </c>
      <c r="N2" s="11" t="s">
        <v>19</v>
      </c>
      <c r="O2" s="7" t="s">
        <v>20</v>
      </c>
      <c r="P2" s="18">
        <v>6308</v>
      </c>
      <c r="Q2" s="7" t="s">
        <v>21</v>
      </c>
      <c r="R2" s="12" t="s">
        <v>37</v>
      </c>
      <c r="S2" s="12" t="s">
        <v>38</v>
      </c>
      <c r="T2" s="12" t="s">
        <v>39</v>
      </c>
      <c r="U2" s="12" t="s">
        <v>40</v>
      </c>
    </row>
    <row r="3" spans="1:21" x14ac:dyDescent="0.25">
      <c r="A3" s="12" t="str">
        <f t="shared" ref="A3:A6" si="0">CONCATENATE(B3,C3)</f>
        <v>101101280002</v>
      </c>
      <c r="B3" s="2">
        <v>10110128</v>
      </c>
      <c r="C3" s="14" t="s">
        <v>31</v>
      </c>
      <c r="D3" s="15" t="s">
        <v>28</v>
      </c>
      <c r="E3" s="3" t="s">
        <v>16</v>
      </c>
      <c r="F3" s="3" t="s">
        <v>29</v>
      </c>
      <c r="G3" s="16" t="s">
        <v>18</v>
      </c>
      <c r="H3" s="16">
        <v>45745</v>
      </c>
      <c r="I3" s="17">
        <v>2037.3000000000002</v>
      </c>
      <c r="J3" s="17">
        <v>83900.57</v>
      </c>
      <c r="K3" s="6">
        <v>3101</v>
      </c>
      <c r="L3" s="4">
        <v>1861</v>
      </c>
      <c r="M3" s="5">
        <v>1240</v>
      </c>
      <c r="N3" s="11" t="s">
        <v>19</v>
      </c>
      <c r="O3" s="7" t="s">
        <v>20</v>
      </c>
      <c r="P3" s="18">
        <v>2885</v>
      </c>
      <c r="Q3" s="7" t="s">
        <v>21</v>
      </c>
      <c r="R3" s="12" t="s">
        <v>41</v>
      </c>
      <c r="S3" s="12" t="s">
        <v>42</v>
      </c>
      <c r="T3" s="12" t="s">
        <v>43</v>
      </c>
      <c r="U3" s="12" t="s">
        <v>40</v>
      </c>
    </row>
    <row r="4" spans="1:21" x14ac:dyDescent="0.25">
      <c r="A4" s="12" t="str">
        <f t="shared" si="0"/>
        <v>101401790002</v>
      </c>
      <c r="B4" s="2">
        <v>10140179</v>
      </c>
      <c r="C4" s="14" t="s">
        <v>31</v>
      </c>
      <c r="D4" s="15" t="s">
        <v>22</v>
      </c>
      <c r="E4" s="3" t="s">
        <v>16</v>
      </c>
      <c r="F4" s="3" t="s">
        <v>23</v>
      </c>
      <c r="G4" s="16" t="s">
        <v>18</v>
      </c>
      <c r="H4" s="16">
        <v>45800</v>
      </c>
      <c r="I4" s="17">
        <v>4223.6000000000004</v>
      </c>
      <c r="J4" s="17">
        <v>178940.55000000005</v>
      </c>
      <c r="K4" s="6">
        <v>8934</v>
      </c>
      <c r="L4" s="4">
        <v>3578.8110000000011</v>
      </c>
      <c r="M4" s="5">
        <v>5355</v>
      </c>
      <c r="N4" s="11" t="s">
        <v>19</v>
      </c>
      <c r="O4" s="7" t="s">
        <v>20</v>
      </c>
      <c r="P4" s="18">
        <v>3737</v>
      </c>
      <c r="Q4" s="7" t="s">
        <v>21</v>
      </c>
      <c r="R4" s="12" t="s">
        <v>44</v>
      </c>
      <c r="S4" s="12" t="s">
        <v>45</v>
      </c>
      <c r="T4" s="12" t="s">
        <v>46</v>
      </c>
      <c r="U4" s="12" t="s">
        <v>47</v>
      </c>
    </row>
    <row r="5" spans="1:21" x14ac:dyDescent="0.25">
      <c r="A5" s="12" t="str">
        <f t="shared" si="0"/>
        <v>100601300002</v>
      </c>
      <c r="B5" s="2">
        <v>10060130</v>
      </c>
      <c r="C5" s="14" t="s">
        <v>31</v>
      </c>
      <c r="D5" s="15" t="s">
        <v>24</v>
      </c>
      <c r="E5" s="3" t="s">
        <v>16</v>
      </c>
      <c r="F5" s="3" t="s">
        <v>17</v>
      </c>
      <c r="G5" s="16" t="s">
        <v>18</v>
      </c>
      <c r="H5" s="16">
        <v>46064</v>
      </c>
      <c r="I5" s="17">
        <v>7881.4000000000015</v>
      </c>
      <c r="J5" s="17">
        <v>352631.53</v>
      </c>
      <c r="K5" s="6">
        <v>14146</v>
      </c>
      <c r="L5" s="4">
        <v>7052.6306000000004</v>
      </c>
      <c r="M5" s="5">
        <v>7093</v>
      </c>
      <c r="N5" s="11" t="s">
        <v>19</v>
      </c>
      <c r="O5" s="7" t="s">
        <v>20</v>
      </c>
      <c r="P5" s="18">
        <v>10000</v>
      </c>
      <c r="Q5" s="7" t="s">
        <v>21</v>
      </c>
      <c r="R5" s="12" t="s">
        <v>48</v>
      </c>
      <c r="S5" s="12" t="s">
        <v>49</v>
      </c>
      <c r="T5" s="12" t="s">
        <v>50</v>
      </c>
      <c r="U5" s="12" t="s">
        <v>51</v>
      </c>
    </row>
    <row r="6" spans="1:21" x14ac:dyDescent="0.25">
      <c r="A6" s="12" t="str">
        <f t="shared" si="0"/>
        <v>101101870002</v>
      </c>
      <c r="B6" s="2">
        <v>10110187</v>
      </c>
      <c r="C6" s="14" t="s">
        <v>31</v>
      </c>
      <c r="D6" s="15" t="s">
        <v>25</v>
      </c>
      <c r="E6" s="3" t="s">
        <v>16</v>
      </c>
      <c r="F6" s="3" t="s">
        <v>26</v>
      </c>
      <c r="G6" s="16" t="s">
        <v>18</v>
      </c>
      <c r="H6" s="16">
        <v>46112</v>
      </c>
      <c r="I6" s="17">
        <v>3240.4000000000005</v>
      </c>
      <c r="J6" s="17">
        <v>121129.08</v>
      </c>
      <c r="K6" s="6">
        <v>5159</v>
      </c>
      <c r="L6" s="4">
        <v>0</v>
      </c>
      <c r="M6" s="5">
        <v>5159</v>
      </c>
      <c r="N6" s="11" t="s">
        <v>19</v>
      </c>
      <c r="O6" s="7"/>
      <c r="P6" s="18">
        <v>0</v>
      </c>
      <c r="Q6" s="7" t="s">
        <v>21</v>
      </c>
      <c r="R6" s="12" t="s">
        <v>52</v>
      </c>
      <c r="S6" s="12" t="s">
        <v>53</v>
      </c>
      <c r="T6" s="12" t="s">
        <v>54</v>
      </c>
      <c r="U6" s="12" t="s">
        <v>55</v>
      </c>
    </row>
    <row r="7" spans="1:21" x14ac:dyDescent="0.25">
      <c r="A7" s="9">
        <v>1054</v>
      </c>
      <c r="B7" s="9"/>
      <c r="C7" s="9"/>
      <c r="D7" s="8" t="s">
        <v>27</v>
      </c>
      <c r="E7" s="8"/>
      <c r="F7" s="8"/>
      <c r="G7" s="9"/>
      <c r="H7" s="9"/>
      <c r="I7" s="8">
        <f>SUM(I2:I6)</f>
        <v>23987.000000000004</v>
      </c>
      <c r="J7" s="8">
        <f>SUM(J2:J6)</f>
        <v>1038237.2700000001</v>
      </c>
      <c r="K7" s="8">
        <f>SUM(K2:K6)</f>
        <v>43910</v>
      </c>
      <c r="L7" s="8">
        <f>SUM(L2:L6)</f>
        <v>18525.152400000003</v>
      </c>
      <c r="M7" s="10">
        <f>SUM(M2:M6)</f>
        <v>25384</v>
      </c>
      <c r="N7" s="11">
        <v>122</v>
      </c>
      <c r="O7" s="10"/>
      <c r="P7" s="10"/>
      <c r="Q7" s="10"/>
      <c r="R7" s="12"/>
      <c r="S7" s="12"/>
      <c r="T7" s="12"/>
      <c r="U7" s="12"/>
    </row>
  </sheetData>
  <conditionalFormatting sqref="A1:U1">
    <cfRule type="duplicateValues" dxfId="4" priority="7" stopIfTrue="1"/>
  </conditionalFormatting>
  <conditionalFormatting sqref="G1:G6">
    <cfRule type="containsText" dxfId="3" priority="6" stopIfTrue="1" operator="containsText" text="100%">
      <formula>NOT(ISERROR(SEARCH("100%",G1)))</formula>
    </cfRule>
  </conditionalFormatting>
  <conditionalFormatting sqref="G2:G6">
    <cfRule type="containsText" dxfId="2" priority="5" stopIfTrue="1" operator="containsText" text="Direct Farfmer Payment ">
      <formula>NOT(ISERROR(SEARCH("Direct Farfmer Payment ",G2)))</formula>
    </cfRule>
  </conditionalFormatting>
  <conditionalFormatting sqref="N7 K2:K7 M2:N6">
    <cfRule type="cellIs" dxfId="1" priority="4" operator="lessThan">
      <formula>0</formula>
    </cfRule>
  </conditionalFormatting>
  <conditionalFormatting sqref="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2026-09-01T05:50:00Z</dcterms:created>
  <dcterms:modified xsi:type="dcterms:W3CDTF">2026-09-01T06:07:44Z</dcterms:modified>
</cp:coreProperties>
</file>