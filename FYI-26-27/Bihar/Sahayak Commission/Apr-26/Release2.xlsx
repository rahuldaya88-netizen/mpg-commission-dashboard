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"/>
    </mc:Choice>
  </mc:AlternateContent>
  <xr:revisionPtr revIDLastSave="0" documentId="8_{7A1D3861-E7A6-4192-B977-CF43AA27E0CD}" xr6:coauthVersionLast="47" xr6:coauthVersionMax="47" xr10:uidLastSave="{00000000-0000-0000-0000-000000000000}"/>
  <bookViews>
    <workbookView xWindow="-120" yWindow="-120" windowWidth="29040" windowHeight="15720" xr2:uid="{B9E4F0BE-EAC6-44BA-B5C3-EC8C86D90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G4" i="1"/>
  <c r="F4" i="1"/>
</calcChain>
</file>

<file path=xl/sharedStrings.xml><?xml version="1.0" encoding="utf-8"?>
<sst xmlns="http://schemas.openxmlformats.org/spreadsheetml/2006/main" count="33" uniqueCount="30">
  <si>
    <t xml:space="preserve">Code </t>
  </si>
  <si>
    <t xml:space="preserve">MPG NAME </t>
  </si>
  <si>
    <t>Farmer Payment</t>
  </si>
  <si>
    <t>MCC</t>
  </si>
  <si>
    <t>status</t>
  </si>
  <si>
    <t>BMC Volume</t>
  </si>
  <si>
    <t>BMC Amount</t>
  </si>
  <si>
    <t>Net Sahayak Income</t>
  </si>
  <si>
    <t>Net Payble</t>
  </si>
  <si>
    <t xml:space="preserve">Payment relase </t>
  </si>
  <si>
    <t>Anik Kumar</t>
  </si>
  <si>
    <t>Indirect</t>
  </si>
  <si>
    <t>Kalyanpur</t>
  </si>
  <si>
    <t>Old</t>
  </si>
  <si>
    <t>Release</t>
  </si>
  <si>
    <t>Nand Kishor Kumar</t>
  </si>
  <si>
    <t>Parbatta</t>
  </si>
  <si>
    <t>New</t>
  </si>
  <si>
    <t>TOTAL</t>
  </si>
  <si>
    <t>Beneficiary Name</t>
  </si>
  <si>
    <t>Account no</t>
  </si>
  <si>
    <t>IFSC code</t>
  </si>
  <si>
    <t xml:space="preserve">Bank Of name </t>
  </si>
  <si>
    <t>20391463780</t>
  </si>
  <si>
    <t>SBIN0002953</t>
  </si>
  <si>
    <t>sbi</t>
  </si>
  <si>
    <t>Nand Kishor kumar</t>
  </si>
  <si>
    <t>20100079919832</t>
  </si>
  <si>
    <t>BDBL0001332</t>
  </si>
  <si>
    <t>Bandhan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</si>
</sst>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3" fillId="4" borderId="1" xfId="1" applyNumberFormat="1" applyFont="1" applyFill="1" applyBorder="1" applyAlignment="1">
      <alignment horizontal="right"/>
    </xf>
    <xf numFmtId="166" fontId="3" fillId="0" borderId="1" xfId="2" applyNumberFormat="1" applyFont="1" applyFill="1" applyBorder="1"/>
    <xf numFmtId="0" fontId="4" fillId="0" borderId="1" xfId="0" applyFont="1" applyBorder="1"/>
    <xf numFmtId="0" fontId="4" fillId="0" borderId="0" xfId="0" applyFont="1"/>
    <xf numFmtId="166" fontId="2" fillId="6" borderId="1" xfId="0" applyNumberFormat="1" applyFont="1" applyFill="1" applyBorder="1"/>
    <xf numFmtId="166" fontId="2" fillId="6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/>
    <xf numFmtId="166" fontId="3" fillId="0" borderId="1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166" fontId="4" fillId="0" borderId="1" xfId="2" applyNumberFormat="1" applyFont="1" applyFill="1" applyBorder="1"/>
    <xf numFmtId="0" fontId="0" fillId="0" borderId="1" xfId="0" applyBorder="1"/>
    <xf numFmtId="43" fontId="2" fillId="2" borderId="1" xfId="2" applyFont="1" applyFill="1" applyBorder="1" applyAlignment="1">
      <alignment horizontal="center" vertical="center" wrapText="1"/>
    </xf>
    <xf numFmtId="43" fontId="2" fillId="3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CF6FB975-054E-4D5D-AEA8-CADC3E08B6A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FCD0-02CD-4A70-9D87-54AD7D51D9EA}">
  <dimension ref="A1:N4"/>
  <sheetViews>
    <sheetView tabSelected="1" zoomScale="80" zoomScaleNormal="80" workbookViewId="0">
      <selection sqref="A1:N4"/>
    </sheetView>
  </sheetViews>
  <sheetFormatPr defaultRowHeight="15" x14ac:dyDescent="0.25"/>
  <cols>
    <col min="1" max="1" width="11.42578125" bestFit="1" customWidth="1"/>
    <col min="2" max="2" width="20.140625" bestFit="1" customWidth="1"/>
    <col min="3" max="3" width="21.42578125" bestFit="1" customWidth="1"/>
    <col min="4" max="4" width="11.28515625" bestFit="1" customWidth="1"/>
    <col min="5" max="5" width="9.5703125" bestFit="1" customWidth="1"/>
    <col min="6" max="6" width="17.140625" bestFit="1" customWidth="1"/>
    <col min="7" max="7" width="18.5703125" bestFit="1" customWidth="1"/>
    <col min="8" max="8" width="26.5703125" bestFit="1" customWidth="1"/>
    <col min="9" max="9" width="15" bestFit="1" customWidth="1"/>
    <col min="10" max="10" width="19.85546875" bestFit="1" customWidth="1"/>
    <col min="11" max="11" width="18.42578125" bestFit="1" customWidth="1"/>
    <col min="12" max="12" width="16.42578125" bestFit="1" customWidth="1"/>
    <col min="13" max="13" width="13.5703125" bestFit="1" customWidth="1"/>
    <col min="14" max="14" width="14" bestFit="1" customWidth="1"/>
  </cols>
  <sheetData>
    <row r="1" spans="1:14" s="1" customFormat="1" ht="29.1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8" t="s">
        <v>9</v>
      </c>
      <c r="K1" s="18" t="s">
        <v>19</v>
      </c>
      <c r="L1" s="18" t="s">
        <v>20</v>
      </c>
      <c r="M1" s="18" t="s">
        <v>21</v>
      </c>
      <c r="N1" s="18" t="s">
        <v>22</v>
      </c>
    </row>
    <row r="2" spans="1:14" s="7" customFormat="1" x14ac:dyDescent="0.25">
      <c r="A2" s="2">
        <v>10520010</v>
      </c>
      <c r="B2" s="12" t="s">
        <v>10</v>
      </c>
      <c r="C2" s="3" t="s">
        <v>11</v>
      </c>
      <c r="D2" s="3" t="s">
        <v>12</v>
      </c>
      <c r="E2" s="13" t="s">
        <v>13</v>
      </c>
      <c r="F2" s="14">
        <v>25135</v>
      </c>
      <c r="G2" s="14">
        <v>1024110.4400000002</v>
      </c>
      <c r="H2" s="5">
        <v>42730</v>
      </c>
      <c r="I2" s="4">
        <v>42730</v>
      </c>
      <c r="J2" s="11" t="s">
        <v>14</v>
      </c>
      <c r="K2" s="6" t="s">
        <v>10</v>
      </c>
      <c r="L2" s="6" t="s">
        <v>23</v>
      </c>
      <c r="M2" s="6" t="s">
        <v>24</v>
      </c>
      <c r="N2" s="6" t="s">
        <v>25</v>
      </c>
    </row>
    <row r="3" spans="1:14" s="7" customFormat="1" x14ac:dyDescent="0.25">
      <c r="A3" s="2">
        <v>10520011</v>
      </c>
      <c r="B3" s="12" t="s">
        <v>15</v>
      </c>
      <c r="C3" s="3" t="s">
        <v>11</v>
      </c>
      <c r="D3" s="3" t="s">
        <v>16</v>
      </c>
      <c r="E3" s="13" t="s">
        <v>17</v>
      </c>
      <c r="F3" s="14">
        <v>22971</v>
      </c>
      <c r="G3" s="14">
        <v>760873.76</v>
      </c>
      <c r="H3" s="5">
        <v>39051</v>
      </c>
      <c r="I3" s="4">
        <v>39051</v>
      </c>
      <c r="J3" s="11" t="s">
        <v>14</v>
      </c>
      <c r="K3" s="6" t="s">
        <v>26</v>
      </c>
      <c r="L3" s="6" t="s">
        <v>27</v>
      </c>
      <c r="M3" s="6" t="s">
        <v>28</v>
      </c>
      <c r="N3" s="6" t="s">
        <v>29</v>
      </c>
    </row>
    <row r="4" spans="1:14" x14ac:dyDescent="0.25">
      <c r="A4" s="9">
        <v>1070</v>
      </c>
      <c r="B4" s="8" t="s">
        <v>18</v>
      </c>
      <c r="C4" s="8"/>
      <c r="D4" s="8"/>
      <c r="E4" s="9"/>
      <c r="F4" s="8">
        <f>SUM(F2:F3)</f>
        <v>48106</v>
      </c>
      <c r="G4" s="8">
        <f>SUM(G2:G3)</f>
        <v>1784984.2000000002</v>
      </c>
      <c r="H4" s="8">
        <f>SUM(H2:H3)</f>
        <v>81781</v>
      </c>
      <c r="I4" s="10">
        <f>SUM(I2:I3)</f>
        <v>81781</v>
      </c>
      <c r="J4" s="11"/>
      <c r="K4" s="15"/>
      <c r="L4" s="15"/>
      <c r="M4" s="15"/>
      <c r="N4" s="15"/>
    </row>
  </sheetData>
  <conditionalFormatting sqref="A1">
    <cfRule type="duplicateValues" dxfId="3" priority="4" stopIfTrue="1"/>
  </conditionalFormatting>
  <conditionalFormatting sqref="E1:E3">
    <cfRule type="containsText" dxfId="2" priority="3" stopIfTrue="1" operator="containsText" text="100%">
      <formula>NOT(ISERROR(SEARCH("100%",E1)))</formula>
    </cfRule>
  </conditionalFormatting>
  <conditionalFormatting sqref="E2:E3">
    <cfRule type="containsText" dxfId="1" priority="2" stopIfTrue="1" operator="containsText" text="Direct Farfmer Payment ">
      <formula>NOT(ISERROR(SEARCH("Direct Farfmer Payment ",E2)))</formula>
    </cfRule>
  </conditionalFormatting>
  <conditionalFormatting sqref="J4 H2:H4 I2:J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2026-06-16T04:53:58Z</dcterms:created>
  <dcterms:modified xsi:type="dcterms:W3CDTF">2026-06-16T05:11:19Z</dcterms:modified>
</cp:coreProperties>
</file>