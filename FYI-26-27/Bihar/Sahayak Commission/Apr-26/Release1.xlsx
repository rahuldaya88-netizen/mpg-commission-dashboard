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Apr-26\"/>
    </mc:Choice>
  </mc:AlternateContent>
  <xr:revisionPtr revIDLastSave="0" documentId="8_{98F72649-2B8B-42B4-B811-940A334DF2EE}" xr6:coauthVersionLast="47" xr6:coauthVersionMax="47" xr10:uidLastSave="{00000000-0000-0000-0000-000000000000}"/>
  <bookViews>
    <workbookView xWindow="-120" yWindow="-120" windowWidth="29040" windowHeight="15720" xr2:uid="{1A3494AE-86E8-40D6-85EC-60F3FD463A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1" l="1"/>
  <c r="J34" i="1"/>
  <c r="K34" i="1"/>
</calcChain>
</file>

<file path=xl/sharedStrings.xml><?xml version="1.0" encoding="utf-8"?>
<sst xmlns="http://schemas.openxmlformats.org/spreadsheetml/2006/main" count="369" uniqueCount="176">
  <si>
    <t xml:space="preserve">Code </t>
  </si>
  <si>
    <t xml:space="preserve">MPG NAME </t>
  </si>
  <si>
    <t>Farmer Payment</t>
  </si>
  <si>
    <t xml:space="preserve">BMC Code </t>
  </si>
  <si>
    <t>MCC</t>
  </si>
  <si>
    <t>status</t>
  </si>
  <si>
    <t>Start Date</t>
  </si>
  <si>
    <t>BMC Volume</t>
  </si>
  <si>
    <t>BMC Amount</t>
  </si>
  <si>
    <t>Net Payble</t>
  </si>
  <si>
    <t>Remarks</t>
  </si>
  <si>
    <t>Pending Down Payment</t>
  </si>
  <si>
    <t>Recommendation</t>
  </si>
  <si>
    <t>RAMDEV TOLA</t>
  </si>
  <si>
    <t>Direct</t>
  </si>
  <si>
    <t>Sonvarsha</t>
  </si>
  <si>
    <t>Old</t>
  </si>
  <si>
    <t>Release1</t>
  </si>
  <si>
    <t>GOMUKH SANTOSHPUL</t>
  </si>
  <si>
    <t xml:space="preserve">Alauli </t>
  </si>
  <si>
    <t>Gomukh Rajpur</t>
  </si>
  <si>
    <t>Behiya BMC</t>
  </si>
  <si>
    <t>Down Payment</t>
  </si>
  <si>
    <t>GOMUKH PREMRAJ</t>
  </si>
  <si>
    <t>Mahua BMC</t>
  </si>
  <si>
    <t>Agreement issue / Down Payment</t>
  </si>
  <si>
    <t>GOMUKH MAGURAHI</t>
  </si>
  <si>
    <t>GOMUKH GANGATI</t>
  </si>
  <si>
    <t>Agreement issue</t>
  </si>
  <si>
    <t>GOMUKH Khanpatti</t>
  </si>
  <si>
    <t>New</t>
  </si>
  <si>
    <t>GOMUKH BHATOLIYA</t>
  </si>
  <si>
    <t>GOMUKH KHAJECHAND</t>
  </si>
  <si>
    <t>GOMUKH SALEMPUR</t>
  </si>
  <si>
    <t>Gomukh Paharpur</t>
  </si>
  <si>
    <t>GOMUKH JHIKTAHI</t>
  </si>
  <si>
    <t>Indirect</t>
  </si>
  <si>
    <t>Non pouring</t>
  </si>
  <si>
    <t>GOMUKH Bheraukhara</t>
  </si>
  <si>
    <t>GOMUKH SUPOLTARIYA</t>
  </si>
  <si>
    <t>GOMUKH Jilwara</t>
  </si>
  <si>
    <t>GOMUKH ABBUCHAK</t>
  </si>
  <si>
    <t>Gomukh Husena</t>
  </si>
  <si>
    <t>Gomukh Vijaiya</t>
  </si>
  <si>
    <t>Bachhwara BMC</t>
  </si>
  <si>
    <t>Gomukh Gangauli</t>
  </si>
  <si>
    <t>GOMUKH Shravanapatti</t>
  </si>
  <si>
    <t>GOMUKH KHANPATTI EAST</t>
  </si>
  <si>
    <t>GOMUKH KAILA JALALPUR</t>
  </si>
  <si>
    <t>GOMUKH BAJITPUR</t>
  </si>
  <si>
    <t>Gomukh Jhitkahi East</t>
  </si>
  <si>
    <t>GOMUKH SHAPUR CHAKUMAR</t>
  </si>
  <si>
    <t>GOMUKH PANSALA</t>
  </si>
  <si>
    <t>GOMUKH PANAPUR</t>
  </si>
  <si>
    <t>GOMUKH BISANPUR SAID</t>
  </si>
  <si>
    <t>GOMUKH KUSIYARI</t>
  </si>
  <si>
    <t>GOMUKH GOVINDPUR</t>
  </si>
  <si>
    <t>GOMUKH SARMASTPUR</t>
  </si>
  <si>
    <t>GOMUKH BALUAR</t>
  </si>
  <si>
    <t>TOTAL</t>
  </si>
  <si>
    <t>Farmer code</t>
  </si>
  <si>
    <t>0002</t>
  </si>
  <si>
    <t>Farmers Account Name</t>
  </si>
  <si>
    <t>Account no</t>
  </si>
  <si>
    <t>IFSC code</t>
  </si>
  <si>
    <t xml:space="preserve">Bank Of name </t>
  </si>
  <si>
    <t>Kunal Ray</t>
  </si>
  <si>
    <t>1001631030120747</t>
  </si>
  <si>
    <t>PUNB0MBGB06</t>
  </si>
  <si>
    <t>BGM</t>
  </si>
  <si>
    <t>Survind Kumar</t>
  </si>
  <si>
    <t>43296678524</t>
  </si>
  <si>
    <t>SBIN0010775</t>
  </si>
  <si>
    <t>State Bank of India</t>
  </si>
  <si>
    <t>Suman Saurav</t>
  </si>
  <si>
    <t>3956648067</t>
  </si>
  <si>
    <t>CBIN0281036</t>
  </si>
  <si>
    <t>Central bank of india</t>
  </si>
  <si>
    <t>SIMA KUMARI</t>
  </si>
  <si>
    <t>5758925246</t>
  </si>
  <si>
    <t>CBIN0282467</t>
  </si>
  <si>
    <t>CBI</t>
  </si>
  <si>
    <t>POOJA DEVI</t>
  </si>
  <si>
    <t>28798100005472</t>
  </si>
  <si>
    <t>BARB0TIRUBS</t>
  </si>
  <si>
    <t>BANK OF BARODA</t>
  </si>
  <si>
    <t>MANOJ KUMAR</t>
  </si>
  <si>
    <t>28841059580</t>
  </si>
  <si>
    <t>UBIN0565253</t>
  </si>
  <si>
    <t>UNION BANK</t>
  </si>
  <si>
    <t>Rajeev Ranjan</t>
  </si>
  <si>
    <t>5901572638</t>
  </si>
  <si>
    <t>CBIN0284772</t>
  </si>
  <si>
    <t>Central Bank of India</t>
  </si>
  <si>
    <t>Arvind Ray</t>
  </si>
  <si>
    <t>5435142526</t>
  </si>
  <si>
    <t>CBIN0282921</t>
  </si>
  <si>
    <t>MITHLESH RAY</t>
  </si>
  <si>
    <t>74122200014000</t>
  </si>
  <si>
    <t>CNRB0017412</t>
  </si>
  <si>
    <t>CANARA BANK</t>
  </si>
  <si>
    <t>Rekha Devi</t>
  </si>
  <si>
    <t>91270200001222</t>
  </si>
  <si>
    <t>BARB0DBRAND</t>
  </si>
  <si>
    <t>Bank of Baroda</t>
  </si>
  <si>
    <t>Pappu Kumar</t>
  </si>
  <si>
    <t>3127727373</t>
  </si>
  <si>
    <t>Arun Kumar Ray</t>
  </si>
  <si>
    <t>20100079698642</t>
  </si>
  <si>
    <t>BDBL0001955</t>
  </si>
  <si>
    <t>Bandhan Bank</t>
  </si>
  <si>
    <t xml:space="preserve">Nitish Kumar </t>
  </si>
  <si>
    <t>41728219873</t>
  </si>
  <si>
    <t>SBIN0012593</t>
  </si>
  <si>
    <t xml:space="preserve">State Bank of India </t>
  </si>
  <si>
    <t>Sanjiv kumar</t>
  </si>
  <si>
    <t>43171789838</t>
  </si>
  <si>
    <t>SBIN0015727</t>
  </si>
  <si>
    <t>Dhirendra Thakur</t>
  </si>
  <si>
    <t>1748101011324</t>
  </si>
  <si>
    <t>CNRB0001748</t>
  </si>
  <si>
    <t xml:space="preserve">Canara Bank </t>
  </si>
  <si>
    <t>Rohit Kumar</t>
  </si>
  <si>
    <t>7322001700282307</t>
  </si>
  <si>
    <t>PUNB0732200</t>
  </si>
  <si>
    <t xml:space="preserve">Punjab National Bank </t>
  </si>
  <si>
    <t>Chandra Devi</t>
  </si>
  <si>
    <t>923010002935567</t>
  </si>
  <si>
    <t>UTIB0003687</t>
  </si>
  <si>
    <t>Axis Bank LTD</t>
  </si>
  <si>
    <t>Rishikesh Kumar</t>
  </si>
  <si>
    <t>20367282535</t>
  </si>
  <si>
    <t>SBIN0008135</t>
  </si>
  <si>
    <t>Birendra Ray</t>
  </si>
  <si>
    <t>44790100007984</t>
  </si>
  <si>
    <t>BARB0MAHUAX</t>
  </si>
  <si>
    <t>Bank Of Baroda</t>
  </si>
  <si>
    <t>Sita Devi</t>
  </si>
  <si>
    <t>41250100000195</t>
  </si>
  <si>
    <t xml:space="preserve">Uttar Bihar Gramin Bank </t>
  </si>
  <si>
    <t>Ravindra Ray</t>
  </si>
  <si>
    <t>7322000100173451</t>
  </si>
  <si>
    <t xml:space="preserve">Manjay Kumar </t>
  </si>
  <si>
    <t>50100306565052</t>
  </si>
  <si>
    <t>HDFC0000235</t>
  </si>
  <si>
    <t xml:space="preserve">HDFC Bank </t>
  </si>
  <si>
    <t>Ajeet Kumar</t>
  </si>
  <si>
    <t>3708797895</t>
  </si>
  <si>
    <t xml:space="preserve">Central Bank Of India </t>
  </si>
  <si>
    <t xml:space="preserve">Shobha Kumari </t>
  </si>
  <si>
    <t>42240209642</t>
  </si>
  <si>
    <t>SBIN0015344</t>
  </si>
  <si>
    <t>State Bank Of India</t>
  </si>
  <si>
    <t>Sunil Kumar Ray</t>
  </si>
  <si>
    <t>1864047700</t>
  </si>
  <si>
    <t>Vishal Kumar</t>
  </si>
  <si>
    <t>7322001700010139</t>
  </si>
  <si>
    <t>Sanjay Kumar Ray</t>
  </si>
  <si>
    <t>1001521010002050</t>
  </si>
  <si>
    <t xml:space="preserve">Uttar Bihar Garmin Bank </t>
  </si>
  <si>
    <t>Rakesh Kumar Yadav</t>
  </si>
  <si>
    <t>11220110091142</t>
  </si>
  <si>
    <t>UCBA0001122</t>
  </si>
  <si>
    <t xml:space="preserve">Uco Bank </t>
  </si>
  <si>
    <t>Abhishek Kumar Chaudhary</t>
  </si>
  <si>
    <t>39230110056832</t>
  </si>
  <si>
    <t>Dakshin Bihar Gramin Bank</t>
  </si>
  <si>
    <t>Santosh Kumar</t>
  </si>
  <si>
    <t>35494891016</t>
  </si>
  <si>
    <t>SBIN0010352</t>
  </si>
  <si>
    <t xml:space="preserve">Vikash Kumar </t>
  </si>
  <si>
    <t>20240262576</t>
  </si>
  <si>
    <t xml:space="preserve">Virchand Ray </t>
  </si>
  <si>
    <t>007910022611</t>
  </si>
  <si>
    <t>IPOS0000001</t>
  </si>
  <si>
    <t>India Post Payment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</si>
</sst>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_(* #,##0_);_(* \(#,##0\);_(* &quot;-&quot;??_);_(@_)"/>
    <numFmt numFmtId="166" formatCode="_ * #,##0_ ;_ * \-#,##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2" tint="-9.982604449598681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859614856410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165" fontId="4" fillId="4" borderId="1" xfId="1" applyNumberFormat="1" applyFont="1" applyFill="1" applyBorder="1" applyAlignment="1">
      <alignment horizontal="right"/>
    </xf>
    <xf numFmtId="165" fontId="2" fillId="0" borderId="1" xfId="1" applyNumberFormat="1" applyFont="1" applyBorder="1"/>
    <xf numFmtId="0" fontId="5" fillId="0" borderId="1" xfId="0" applyFont="1" applyBorder="1"/>
    <xf numFmtId="0" fontId="5" fillId="0" borderId="0" xfId="0" applyFont="1"/>
    <xf numFmtId="166" fontId="3" fillId="7" borderId="1" xfId="0" applyNumberFormat="1" applyFont="1" applyFill="1" applyBorder="1"/>
    <xf numFmtId="166" fontId="3" fillId="7" borderId="1" xfId="0" applyNumberFormat="1" applyFont="1" applyFill="1" applyBorder="1" applyAlignment="1">
      <alignment horizontal="center"/>
    </xf>
    <xf numFmtId="166" fontId="3" fillId="4" borderId="1" xfId="0" applyNumberFormat="1" applyFont="1" applyFill="1" applyBorder="1"/>
    <xf numFmtId="43" fontId="3" fillId="2" borderId="2" xfId="2" applyFont="1" applyFill="1" applyBorder="1" applyAlignment="1">
      <alignment horizontal="center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43" fontId="5" fillId="0" borderId="1" xfId="1" quotePrefix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/>
    </xf>
    <xf numFmtId="166" fontId="5" fillId="0" borderId="1" xfId="2" applyNumberFormat="1" applyFont="1" applyFill="1" applyBorder="1"/>
    <xf numFmtId="165" fontId="2" fillId="0" borderId="1" xfId="1" applyNumberFormat="1" applyFont="1" applyBorder="1" applyAlignment="1">
      <alignment horizontal="right"/>
    </xf>
    <xf numFmtId="165" fontId="2" fillId="6" borderId="1" xfId="1" applyNumberFormat="1" applyFont="1" applyFill="1" applyBorder="1" applyAlignment="1">
      <alignment horizontal="right"/>
    </xf>
  </cellXfs>
  <cellStyles count="3">
    <cellStyle name="Comma" xfId="1" builtinId="3"/>
    <cellStyle name="Comma 2" xfId="2" xr:uid="{68D8E09C-5CFB-4D7D-864A-827CF431E9A0}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D2F0-E06D-4476-B55D-8F6C25FDBA1A}">
  <dimension ref="A1:R34"/>
  <sheetViews>
    <sheetView tabSelected="1" zoomScale="79" workbookViewId="0">
      <selection activeCell="P42" sqref="P42"/>
    </sheetView>
  </sheetViews>
  <sheetFormatPr defaultRowHeight="15" x14ac:dyDescent="0.25"/>
  <cols>
    <col min="1" max="1" width="9.85546875" bestFit="1" customWidth="1"/>
    <col min="2" max="2" width="27.28515625" bestFit="1" customWidth="1"/>
    <col min="3" max="3" width="10.85546875" bestFit="1" customWidth="1"/>
    <col min="4" max="4" width="16.140625" bestFit="1" customWidth="1"/>
    <col min="5" max="5" width="10.85546875" bestFit="1" customWidth="1"/>
    <col min="6" max="6" width="15.42578125" bestFit="1" customWidth="1"/>
    <col min="7" max="7" width="7" bestFit="1" customWidth="1"/>
    <col min="8" max="8" width="11.28515625" bestFit="1" customWidth="1"/>
    <col min="9" max="9" width="12.85546875" bestFit="1" customWidth="1"/>
    <col min="10" max="10" width="13.140625" bestFit="1" customWidth="1"/>
    <col min="11" max="11" width="11.140625" bestFit="1" customWidth="1"/>
    <col min="12" max="12" width="32.140625" bestFit="1" customWidth="1"/>
    <col min="13" max="13" width="22.5703125" bestFit="1" customWidth="1"/>
    <col min="14" max="14" width="17.28515625" bestFit="1" customWidth="1"/>
    <col min="15" max="15" width="26" bestFit="1" customWidth="1"/>
    <col min="16" max="16" width="19" bestFit="1" customWidth="1"/>
    <col min="17" max="17" width="15.28515625" bestFit="1" customWidth="1"/>
    <col min="18" max="18" width="25.85546875" bestFit="1" customWidth="1"/>
  </cols>
  <sheetData>
    <row r="1" spans="1:18" s="1" customFormat="1" ht="29.1" customHeight="1" x14ac:dyDescent="0.25">
      <c r="A1" s="11" t="s">
        <v>0</v>
      </c>
      <c r="B1" s="11" t="s">
        <v>1</v>
      </c>
      <c r="C1" s="11" t="s">
        <v>60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2" t="s">
        <v>9</v>
      </c>
      <c r="L1" s="13" t="s">
        <v>10</v>
      </c>
      <c r="M1" s="13" t="s">
        <v>11</v>
      </c>
      <c r="N1" s="13" t="s">
        <v>12</v>
      </c>
      <c r="O1" s="13" t="s">
        <v>62</v>
      </c>
      <c r="P1" s="13" t="s">
        <v>63</v>
      </c>
      <c r="Q1" s="13" t="s">
        <v>64</v>
      </c>
      <c r="R1" s="13" t="s">
        <v>65</v>
      </c>
    </row>
    <row r="2" spans="1:18" s="7" customFormat="1" x14ac:dyDescent="0.25">
      <c r="A2" s="2">
        <v>10060098</v>
      </c>
      <c r="B2" s="14" t="s">
        <v>13</v>
      </c>
      <c r="C2" s="15" t="s">
        <v>61</v>
      </c>
      <c r="D2" s="3" t="s">
        <v>14</v>
      </c>
      <c r="E2" s="3">
        <v>1006</v>
      </c>
      <c r="F2" s="3" t="s">
        <v>15</v>
      </c>
      <c r="G2" s="16" t="s">
        <v>16</v>
      </c>
      <c r="H2" s="16">
        <v>45795</v>
      </c>
      <c r="I2" s="17">
        <v>5601.5</v>
      </c>
      <c r="J2" s="17">
        <v>243146.44000000003</v>
      </c>
      <c r="K2" s="4">
        <v>5246</v>
      </c>
      <c r="L2" s="5"/>
      <c r="M2" s="18"/>
      <c r="N2" s="5" t="s">
        <v>17</v>
      </c>
      <c r="O2" s="6" t="s">
        <v>111</v>
      </c>
      <c r="P2" s="6" t="s">
        <v>112</v>
      </c>
      <c r="Q2" s="6" t="s">
        <v>113</v>
      </c>
      <c r="R2" s="6" t="s">
        <v>114</v>
      </c>
    </row>
    <row r="3" spans="1:18" s="7" customFormat="1" x14ac:dyDescent="0.25">
      <c r="A3" s="2">
        <v>10110120</v>
      </c>
      <c r="B3" s="14" t="s">
        <v>18</v>
      </c>
      <c r="C3" s="15" t="s">
        <v>61</v>
      </c>
      <c r="D3" s="3" t="s">
        <v>14</v>
      </c>
      <c r="E3" s="3">
        <v>1054</v>
      </c>
      <c r="F3" s="3" t="s">
        <v>19</v>
      </c>
      <c r="G3" s="16" t="s">
        <v>16</v>
      </c>
      <c r="H3" s="16">
        <v>45819</v>
      </c>
      <c r="I3" s="17">
        <v>4501.4000000000005</v>
      </c>
      <c r="J3" s="17">
        <v>193947.40999999997</v>
      </c>
      <c r="K3" s="4">
        <v>3323</v>
      </c>
      <c r="L3" s="5"/>
      <c r="M3" s="18">
        <v>0</v>
      </c>
      <c r="N3" s="5" t="s">
        <v>17</v>
      </c>
      <c r="O3" s="6" t="s">
        <v>115</v>
      </c>
      <c r="P3" s="6" t="s">
        <v>116</v>
      </c>
      <c r="Q3" s="6" t="s">
        <v>117</v>
      </c>
      <c r="R3" s="6" t="s">
        <v>114</v>
      </c>
    </row>
    <row r="4" spans="1:18" s="7" customFormat="1" x14ac:dyDescent="0.25">
      <c r="A4" s="2">
        <v>10140179</v>
      </c>
      <c r="B4" s="14" t="s">
        <v>20</v>
      </c>
      <c r="C4" s="15" t="s">
        <v>61</v>
      </c>
      <c r="D4" s="3" t="s">
        <v>14</v>
      </c>
      <c r="E4" s="3">
        <v>1060</v>
      </c>
      <c r="F4" s="3" t="s">
        <v>21</v>
      </c>
      <c r="G4" s="16" t="s">
        <v>16</v>
      </c>
      <c r="H4" s="16">
        <v>45800</v>
      </c>
      <c r="I4" s="17">
        <v>4760.2</v>
      </c>
      <c r="J4" s="17">
        <v>186199.84</v>
      </c>
      <c r="K4" s="4">
        <v>5936</v>
      </c>
      <c r="L4" s="5" t="s">
        <v>22</v>
      </c>
      <c r="M4" s="18">
        <v>330</v>
      </c>
      <c r="N4" s="5" t="s">
        <v>17</v>
      </c>
      <c r="O4" s="6" t="s">
        <v>118</v>
      </c>
      <c r="P4" s="6" t="s">
        <v>119</v>
      </c>
      <c r="Q4" s="6" t="s">
        <v>120</v>
      </c>
      <c r="R4" s="6" t="s">
        <v>121</v>
      </c>
    </row>
    <row r="5" spans="1:18" s="7" customFormat="1" x14ac:dyDescent="0.25">
      <c r="A5" s="2">
        <v>10610006</v>
      </c>
      <c r="B5" s="14" t="s">
        <v>23</v>
      </c>
      <c r="C5" s="15" t="s">
        <v>61</v>
      </c>
      <c r="D5" s="3" t="s">
        <v>14</v>
      </c>
      <c r="E5" s="3">
        <v>1061</v>
      </c>
      <c r="F5" s="3" t="s">
        <v>24</v>
      </c>
      <c r="G5" s="16" t="s">
        <v>16</v>
      </c>
      <c r="H5" s="16">
        <v>46053</v>
      </c>
      <c r="I5" s="17">
        <v>1836.6000000000001</v>
      </c>
      <c r="J5" s="17">
        <v>85831.83</v>
      </c>
      <c r="K5" s="4">
        <v>748</v>
      </c>
      <c r="L5" s="5" t="s">
        <v>25</v>
      </c>
      <c r="M5" s="19">
        <v>10000</v>
      </c>
      <c r="N5" s="5" t="s">
        <v>17</v>
      </c>
      <c r="O5" s="6" t="s">
        <v>122</v>
      </c>
      <c r="P5" s="6" t="s">
        <v>123</v>
      </c>
      <c r="Q5" s="6" t="s">
        <v>124</v>
      </c>
      <c r="R5" s="6" t="s">
        <v>125</v>
      </c>
    </row>
    <row r="6" spans="1:18" s="7" customFormat="1" x14ac:dyDescent="0.25">
      <c r="A6" s="2">
        <v>10610007</v>
      </c>
      <c r="B6" s="14" t="s">
        <v>26</v>
      </c>
      <c r="C6" s="15" t="s">
        <v>61</v>
      </c>
      <c r="D6" s="3" t="s">
        <v>14</v>
      </c>
      <c r="E6" s="3">
        <v>1061</v>
      </c>
      <c r="F6" s="3" t="s">
        <v>24</v>
      </c>
      <c r="G6" s="16" t="s">
        <v>16</v>
      </c>
      <c r="H6" s="16">
        <v>46053</v>
      </c>
      <c r="I6" s="17">
        <v>1333.2</v>
      </c>
      <c r="J6" s="17">
        <v>65714.039999999994</v>
      </c>
      <c r="K6" s="4">
        <v>4</v>
      </c>
      <c r="L6" s="5" t="s">
        <v>25</v>
      </c>
      <c r="M6" s="19">
        <v>5000</v>
      </c>
      <c r="N6" s="5" t="s">
        <v>17</v>
      </c>
      <c r="O6" s="6" t="s">
        <v>126</v>
      </c>
      <c r="P6" s="6" t="s">
        <v>127</v>
      </c>
      <c r="Q6" s="6" t="s">
        <v>128</v>
      </c>
      <c r="R6" s="6" t="s">
        <v>129</v>
      </c>
    </row>
    <row r="7" spans="1:18" s="7" customFormat="1" x14ac:dyDescent="0.25">
      <c r="A7" s="2">
        <v>10610008</v>
      </c>
      <c r="B7" s="14" t="s">
        <v>27</v>
      </c>
      <c r="C7" s="15" t="s">
        <v>61</v>
      </c>
      <c r="D7" s="3" t="s">
        <v>14</v>
      </c>
      <c r="E7" s="3">
        <v>1061</v>
      </c>
      <c r="F7" s="3" t="s">
        <v>24</v>
      </c>
      <c r="G7" s="16" t="s">
        <v>16</v>
      </c>
      <c r="H7" s="16">
        <v>46053</v>
      </c>
      <c r="I7" s="17">
        <v>2130.4</v>
      </c>
      <c r="J7" s="17">
        <v>90628.33</v>
      </c>
      <c r="K7" s="4">
        <v>806</v>
      </c>
      <c r="L7" s="5" t="s">
        <v>28</v>
      </c>
      <c r="M7" s="18">
        <v>0</v>
      </c>
      <c r="N7" s="5" t="s">
        <v>17</v>
      </c>
      <c r="O7" s="6" t="s">
        <v>130</v>
      </c>
      <c r="P7" s="6" t="s">
        <v>131</v>
      </c>
      <c r="Q7" s="6" t="s">
        <v>132</v>
      </c>
      <c r="R7" s="6" t="s">
        <v>114</v>
      </c>
    </row>
    <row r="8" spans="1:18" s="7" customFormat="1" x14ac:dyDescent="0.25">
      <c r="A8" s="2">
        <v>10610009</v>
      </c>
      <c r="B8" s="14" t="s">
        <v>29</v>
      </c>
      <c r="C8" s="15" t="s">
        <v>61</v>
      </c>
      <c r="D8" s="3" t="s">
        <v>14</v>
      </c>
      <c r="E8" s="3">
        <v>1061</v>
      </c>
      <c r="F8" s="3" t="s">
        <v>24</v>
      </c>
      <c r="G8" s="16" t="s">
        <v>30</v>
      </c>
      <c r="H8" s="16">
        <v>46071</v>
      </c>
      <c r="I8" s="17">
        <v>3332</v>
      </c>
      <c r="J8" s="17">
        <v>149880.76999999999</v>
      </c>
      <c r="K8" s="4">
        <v>6824</v>
      </c>
      <c r="L8" s="5" t="s">
        <v>25</v>
      </c>
      <c r="M8" s="19">
        <v>10000</v>
      </c>
      <c r="N8" s="5" t="s">
        <v>17</v>
      </c>
      <c r="O8" s="6" t="s">
        <v>133</v>
      </c>
      <c r="P8" s="6" t="s">
        <v>134</v>
      </c>
      <c r="Q8" s="6" t="s">
        <v>135</v>
      </c>
      <c r="R8" s="6" t="s">
        <v>136</v>
      </c>
    </row>
    <row r="9" spans="1:18" s="7" customFormat="1" x14ac:dyDescent="0.25">
      <c r="A9" s="2">
        <v>10610001</v>
      </c>
      <c r="B9" s="14" t="s">
        <v>31</v>
      </c>
      <c r="C9" s="15" t="s">
        <v>61</v>
      </c>
      <c r="D9" s="3" t="s">
        <v>14</v>
      </c>
      <c r="E9" s="3">
        <v>1061</v>
      </c>
      <c r="F9" s="3" t="s">
        <v>24</v>
      </c>
      <c r="G9" s="16" t="s">
        <v>30</v>
      </c>
      <c r="H9" s="16">
        <v>46097</v>
      </c>
      <c r="I9" s="17">
        <v>3375.2</v>
      </c>
      <c r="J9" s="17">
        <v>150838.37</v>
      </c>
      <c r="K9" s="4">
        <v>5908</v>
      </c>
      <c r="L9" s="5" t="s">
        <v>28</v>
      </c>
      <c r="M9" s="18">
        <v>0</v>
      </c>
      <c r="N9" s="5" t="s">
        <v>17</v>
      </c>
      <c r="O9" s="6" t="s">
        <v>137</v>
      </c>
      <c r="P9" s="6" t="s">
        <v>138</v>
      </c>
      <c r="Q9" s="6" t="s">
        <v>68</v>
      </c>
      <c r="R9" s="6" t="s">
        <v>139</v>
      </c>
    </row>
    <row r="10" spans="1:18" s="7" customFormat="1" x14ac:dyDescent="0.25">
      <c r="A10" s="2">
        <v>10610003</v>
      </c>
      <c r="B10" s="14" t="s">
        <v>32</v>
      </c>
      <c r="C10" s="15" t="s">
        <v>61</v>
      </c>
      <c r="D10" s="3" t="s">
        <v>14</v>
      </c>
      <c r="E10" s="3">
        <v>1061</v>
      </c>
      <c r="F10" s="3" t="s">
        <v>24</v>
      </c>
      <c r="G10" s="16" t="s">
        <v>30</v>
      </c>
      <c r="H10" s="16">
        <v>46097</v>
      </c>
      <c r="I10" s="17">
        <v>2048.8000000000002</v>
      </c>
      <c r="J10" s="17">
        <v>78225.39</v>
      </c>
      <c r="K10" s="4">
        <v>3315</v>
      </c>
      <c r="L10" s="5" t="s">
        <v>28</v>
      </c>
      <c r="M10" s="18">
        <v>0</v>
      </c>
      <c r="N10" s="5" t="s">
        <v>17</v>
      </c>
      <c r="O10" s="6" t="s">
        <v>140</v>
      </c>
      <c r="P10" s="6" t="s">
        <v>141</v>
      </c>
      <c r="Q10" s="6" t="s">
        <v>124</v>
      </c>
      <c r="R10" s="6" t="s">
        <v>125</v>
      </c>
    </row>
    <row r="11" spans="1:18" s="7" customFormat="1" x14ac:dyDescent="0.25">
      <c r="A11" s="2">
        <v>10610004</v>
      </c>
      <c r="B11" s="14" t="s">
        <v>33</v>
      </c>
      <c r="C11" s="15" t="s">
        <v>61</v>
      </c>
      <c r="D11" s="3" t="s">
        <v>14</v>
      </c>
      <c r="E11" s="3">
        <v>1061</v>
      </c>
      <c r="F11" s="3" t="s">
        <v>24</v>
      </c>
      <c r="G11" s="16" t="s">
        <v>30</v>
      </c>
      <c r="H11" s="16">
        <v>46097</v>
      </c>
      <c r="I11" s="17">
        <v>698.4</v>
      </c>
      <c r="J11" s="17">
        <v>28583.4</v>
      </c>
      <c r="K11" s="4">
        <v>1576</v>
      </c>
      <c r="L11" s="5" t="s">
        <v>25</v>
      </c>
      <c r="M11" s="18">
        <v>10000</v>
      </c>
      <c r="N11" s="5" t="s">
        <v>17</v>
      </c>
      <c r="O11" s="6" t="s">
        <v>142</v>
      </c>
      <c r="P11" s="6" t="s">
        <v>143</v>
      </c>
      <c r="Q11" s="6" t="s">
        <v>144</v>
      </c>
      <c r="R11" s="6" t="s">
        <v>145</v>
      </c>
    </row>
    <row r="12" spans="1:18" s="7" customFormat="1" x14ac:dyDescent="0.25">
      <c r="A12" s="2">
        <v>10610005</v>
      </c>
      <c r="B12" s="14" t="s">
        <v>34</v>
      </c>
      <c r="C12" s="15" t="s">
        <v>61</v>
      </c>
      <c r="D12" s="3" t="s">
        <v>14</v>
      </c>
      <c r="E12" s="3">
        <v>1061</v>
      </c>
      <c r="F12" s="3" t="s">
        <v>24</v>
      </c>
      <c r="G12" s="16" t="s">
        <v>30</v>
      </c>
      <c r="H12" s="16">
        <v>46097</v>
      </c>
      <c r="I12" s="17">
        <v>1212</v>
      </c>
      <c r="J12" s="17">
        <v>46120.070000000007</v>
      </c>
      <c r="K12" s="4">
        <v>1947</v>
      </c>
      <c r="L12" s="5" t="s">
        <v>28</v>
      </c>
      <c r="M12" s="18">
        <v>0</v>
      </c>
      <c r="N12" s="5" t="s">
        <v>17</v>
      </c>
      <c r="O12" s="6" t="s">
        <v>146</v>
      </c>
      <c r="P12" s="6" t="s">
        <v>147</v>
      </c>
      <c r="Q12" s="6" t="s">
        <v>76</v>
      </c>
      <c r="R12" s="6" t="s">
        <v>148</v>
      </c>
    </row>
    <row r="13" spans="1:18" s="7" customFormat="1" x14ac:dyDescent="0.25">
      <c r="A13" s="2">
        <v>10610014</v>
      </c>
      <c r="B13" s="14" t="s">
        <v>35</v>
      </c>
      <c r="C13" s="15" t="s">
        <v>61</v>
      </c>
      <c r="D13" s="3" t="s">
        <v>36</v>
      </c>
      <c r="E13" s="3">
        <v>1061</v>
      </c>
      <c r="F13" s="3" t="s">
        <v>24</v>
      </c>
      <c r="G13" s="16" t="s">
        <v>30</v>
      </c>
      <c r="H13" s="16">
        <v>46097</v>
      </c>
      <c r="I13" s="17">
        <v>38.1</v>
      </c>
      <c r="J13" s="17">
        <v>1433.6399999999999</v>
      </c>
      <c r="K13" s="4">
        <v>61</v>
      </c>
      <c r="L13" s="5" t="s">
        <v>37</v>
      </c>
      <c r="M13" s="18">
        <v>0</v>
      </c>
      <c r="N13" s="5" t="s">
        <v>17</v>
      </c>
      <c r="O13" s="6" t="s">
        <v>66</v>
      </c>
      <c r="P13" s="6" t="s">
        <v>67</v>
      </c>
      <c r="Q13" s="6" t="s">
        <v>68</v>
      </c>
      <c r="R13" s="6" t="s">
        <v>69</v>
      </c>
    </row>
    <row r="14" spans="1:18" s="7" customFormat="1" x14ac:dyDescent="0.25">
      <c r="A14" s="2">
        <v>10610017</v>
      </c>
      <c r="B14" s="14" t="s">
        <v>38</v>
      </c>
      <c r="C14" s="15" t="s">
        <v>61</v>
      </c>
      <c r="D14" s="3" t="s">
        <v>14</v>
      </c>
      <c r="E14" s="3">
        <v>1061</v>
      </c>
      <c r="F14" s="3" t="s">
        <v>24</v>
      </c>
      <c r="G14" s="16" t="s">
        <v>30</v>
      </c>
      <c r="H14" s="16">
        <v>46097</v>
      </c>
      <c r="I14" s="17">
        <v>549.29999999999995</v>
      </c>
      <c r="J14" s="17">
        <v>22027.08</v>
      </c>
      <c r="K14" s="4">
        <v>879</v>
      </c>
      <c r="L14" s="5" t="s">
        <v>25</v>
      </c>
      <c r="M14" s="18">
        <v>10000</v>
      </c>
      <c r="N14" s="5" t="s">
        <v>17</v>
      </c>
      <c r="O14" s="6" t="s">
        <v>149</v>
      </c>
      <c r="P14" s="6" t="s">
        <v>150</v>
      </c>
      <c r="Q14" s="6" t="s">
        <v>151</v>
      </c>
      <c r="R14" s="6" t="s">
        <v>152</v>
      </c>
    </row>
    <row r="15" spans="1:18" s="7" customFormat="1" x14ac:dyDescent="0.25">
      <c r="A15" s="2">
        <v>10610018</v>
      </c>
      <c r="B15" s="14" t="s">
        <v>39</v>
      </c>
      <c r="C15" s="15" t="s">
        <v>61</v>
      </c>
      <c r="D15" s="3" t="s">
        <v>14</v>
      </c>
      <c r="E15" s="3">
        <v>1061</v>
      </c>
      <c r="F15" s="3" t="s">
        <v>24</v>
      </c>
      <c r="G15" s="16" t="s">
        <v>30</v>
      </c>
      <c r="H15" s="16">
        <v>46097</v>
      </c>
      <c r="I15" s="17">
        <v>1559.3000000000002</v>
      </c>
      <c r="J15" s="17">
        <v>71615.459999999992</v>
      </c>
      <c r="K15" s="4">
        <v>2495</v>
      </c>
      <c r="L15" s="5" t="s">
        <v>25</v>
      </c>
      <c r="M15" s="18">
        <v>10000</v>
      </c>
      <c r="N15" s="5" t="s">
        <v>17</v>
      </c>
      <c r="O15" s="6" t="s">
        <v>153</v>
      </c>
      <c r="P15" s="6" t="s">
        <v>154</v>
      </c>
      <c r="Q15" s="6" t="s">
        <v>76</v>
      </c>
      <c r="R15" s="6" t="s">
        <v>148</v>
      </c>
    </row>
    <row r="16" spans="1:18" s="7" customFormat="1" x14ac:dyDescent="0.25">
      <c r="A16" s="2">
        <v>10610020</v>
      </c>
      <c r="B16" s="14" t="s">
        <v>40</v>
      </c>
      <c r="C16" s="15" t="s">
        <v>61</v>
      </c>
      <c r="D16" s="3" t="s">
        <v>14</v>
      </c>
      <c r="E16" s="3">
        <v>1061</v>
      </c>
      <c r="F16" s="3" t="s">
        <v>24</v>
      </c>
      <c r="G16" s="16" t="s">
        <v>30</v>
      </c>
      <c r="H16" s="16">
        <v>46097</v>
      </c>
      <c r="I16" s="17">
        <v>1373.8999999999999</v>
      </c>
      <c r="J16" s="17">
        <v>57486.359999999993</v>
      </c>
      <c r="K16" s="4">
        <v>2198</v>
      </c>
      <c r="L16" s="5" t="s">
        <v>28</v>
      </c>
      <c r="M16" s="18">
        <v>0</v>
      </c>
      <c r="N16" s="5" t="s">
        <v>17</v>
      </c>
      <c r="O16" s="6" t="s">
        <v>155</v>
      </c>
      <c r="P16" s="6" t="s">
        <v>156</v>
      </c>
      <c r="Q16" s="6" t="s">
        <v>124</v>
      </c>
      <c r="R16" s="6" t="s">
        <v>125</v>
      </c>
    </row>
    <row r="17" spans="1:18" s="7" customFormat="1" x14ac:dyDescent="0.25">
      <c r="A17" s="2">
        <v>10610022</v>
      </c>
      <c r="B17" s="14" t="s">
        <v>41</v>
      </c>
      <c r="C17" s="15" t="s">
        <v>61</v>
      </c>
      <c r="D17" s="3" t="s">
        <v>14</v>
      </c>
      <c r="E17" s="3">
        <v>1061</v>
      </c>
      <c r="F17" s="3" t="s">
        <v>24</v>
      </c>
      <c r="G17" s="16" t="s">
        <v>30</v>
      </c>
      <c r="H17" s="16">
        <v>46097</v>
      </c>
      <c r="I17" s="17">
        <v>868.3</v>
      </c>
      <c r="J17" s="17">
        <v>34237.96</v>
      </c>
      <c r="K17" s="4">
        <v>1389</v>
      </c>
      <c r="L17" s="5" t="s">
        <v>25</v>
      </c>
      <c r="M17" s="18">
        <v>20000</v>
      </c>
      <c r="N17" s="5" t="s">
        <v>17</v>
      </c>
      <c r="O17" s="6" t="s">
        <v>157</v>
      </c>
      <c r="P17" s="6" t="s">
        <v>158</v>
      </c>
      <c r="Q17" s="6" t="s">
        <v>68</v>
      </c>
      <c r="R17" s="6" t="s">
        <v>159</v>
      </c>
    </row>
    <row r="18" spans="1:18" s="7" customFormat="1" x14ac:dyDescent="0.25">
      <c r="A18" s="2">
        <v>10610023</v>
      </c>
      <c r="B18" s="14" t="s">
        <v>42</v>
      </c>
      <c r="C18" s="15" t="s">
        <v>61</v>
      </c>
      <c r="D18" s="3" t="s">
        <v>36</v>
      </c>
      <c r="E18" s="3">
        <v>1061</v>
      </c>
      <c r="F18" s="3" t="s">
        <v>24</v>
      </c>
      <c r="G18" s="16" t="s">
        <v>30</v>
      </c>
      <c r="H18" s="16">
        <v>46097</v>
      </c>
      <c r="I18" s="17">
        <v>308.40000000000003</v>
      </c>
      <c r="J18" s="17">
        <v>12176.109999999999</v>
      </c>
      <c r="K18" s="4">
        <v>493</v>
      </c>
      <c r="L18" s="5" t="s">
        <v>37</v>
      </c>
      <c r="M18" s="18">
        <v>0</v>
      </c>
      <c r="N18" s="5" t="s">
        <v>17</v>
      </c>
      <c r="O18" s="6" t="s">
        <v>70</v>
      </c>
      <c r="P18" s="6" t="s">
        <v>71</v>
      </c>
      <c r="Q18" s="6" t="s">
        <v>72</v>
      </c>
      <c r="R18" s="6" t="s">
        <v>73</v>
      </c>
    </row>
    <row r="19" spans="1:18" s="7" customFormat="1" x14ac:dyDescent="0.25">
      <c r="A19" s="2">
        <v>10650001</v>
      </c>
      <c r="B19" s="14" t="s">
        <v>43</v>
      </c>
      <c r="C19" s="15" t="s">
        <v>61</v>
      </c>
      <c r="D19" s="3" t="s">
        <v>14</v>
      </c>
      <c r="E19" s="3">
        <v>1065</v>
      </c>
      <c r="F19" s="3" t="s">
        <v>44</v>
      </c>
      <c r="G19" s="16" t="s">
        <v>30</v>
      </c>
      <c r="H19" s="16">
        <v>46097</v>
      </c>
      <c r="I19" s="17">
        <v>693.2</v>
      </c>
      <c r="J19" s="17">
        <v>31205.31</v>
      </c>
      <c r="K19" s="4">
        <v>1109</v>
      </c>
      <c r="L19" s="5" t="s">
        <v>28</v>
      </c>
      <c r="M19" s="18">
        <v>0</v>
      </c>
      <c r="N19" s="5" t="s">
        <v>17</v>
      </c>
      <c r="O19" s="6" t="s">
        <v>160</v>
      </c>
      <c r="P19" s="6" t="s">
        <v>161</v>
      </c>
      <c r="Q19" s="6" t="s">
        <v>162</v>
      </c>
      <c r="R19" s="6" t="s">
        <v>163</v>
      </c>
    </row>
    <row r="20" spans="1:18" s="7" customFormat="1" x14ac:dyDescent="0.25">
      <c r="A20" s="2">
        <v>10650003</v>
      </c>
      <c r="B20" s="14" t="s">
        <v>45</v>
      </c>
      <c r="C20" s="15" t="s">
        <v>61</v>
      </c>
      <c r="D20" s="3" t="s">
        <v>14</v>
      </c>
      <c r="E20" s="3">
        <v>1065</v>
      </c>
      <c r="F20" s="3" t="s">
        <v>44</v>
      </c>
      <c r="G20" s="16" t="s">
        <v>30</v>
      </c>
      <c r="H20" s="16">
        <v>46097</v>
      </c>
      <c r="I20" s="17">
        <v>4314.6000000000004</v>
      </c>
      <c r="J20" s="17">
        <v>173622.51</v>
      </c>
      <c r="K20" s="4">
        <v>6903</v>
      </c>
      <c r="L20" s="5" t="s">
        <v>28</v>
      </c>
      <c r="M20" s="18">
        <v>0</v>
      </c>
      <c r="N20" s="5" t="s">
        <v>17</v>
      </c>
      <c r="O20" s="6" t="s">
        <v>164</v>
      </c>
      <c r="P20" s="6" t="s">
        <v>165</v>
      </c>
      <c r="Q20" s="6" t="s">
        <v>68</v>
      </c>
      <c r="R20" s="6" t="s">
        <v>166</v>
      </c>
    </row>
    <row r="21" spans="1:18" s="7" customFormat="1" x14ac:dyDescent="0.25">
      <c r="A21" s="2">
        <v>10610019</v>
      </c>
      <c r="B21" s="14" t="s">
        <v>46</v>
      </c>
      <c r="C21" s="15" t="s">
        <v>61</v>
      </c>
      <c r="D21" s="3" t="s">
        <v>14</v>
      </c>
      <c r="E21" s="3">
        <v>1061</v>
      </c>
      <c r="F21" s="3" t="s">
        <v>24</v>
      </c>
      <c r="G21" s="16" t="s">
        <v>30</v>
      </c>
      <c r="H21" s="16">
        <v>46103</v>
      </c>
      <c r="I21" s="17">
        <v>669.2</v>
      </c>
      <c r="J21" s="17">
        <v>36776.74</v>
      </c>
      <c r="K21" s="4">
        <v>1071</v>
      </c>
      <c r="L21" s="5" t="s">
        <v>25</v>
      </c>
      <c r="M21" s="18">
        <v>10000</v>
      </c>
      <c r="N21" s="5" t="s">
        <v>17</v>
      </c>
      <c r="O21" s="6" t="s">
        <v>167</v>
      </c>
      <c r="P21" s="6" t="s">
        <v>168</v>
      </c>
      <c r="Q21" s="6" t="s">
        <v>169</v>
      </c>
      <c r="R21" s="6" t="s">
        <v>114</v>
      </c>
    </row>
    <row r="22" spans="1:18" s="7" customFormat="1" x14ac:dyDescent="0.25">
      <c r="A22" s="2">
        <v>10610021</v>
      </c>
      <c r="B22" s="14" t="s">
        <v>47</v>
      </c>
      <c r="C22" s="15" t="s">
        <v>61</v>
      </c>
      <c r="D22" s="3" t="s">
        <v>36</v>
      </c>
      <c r="E22" s="3">
        <v>1061</v>
      </c>
      <c r="F22" s="3" t="s">
        <v>24</v>
      </c>
      <c r="G22" s="16" t="s">
        <v>30</v>
      </c>
      <c r="H22" s="16">
        <v>46102</v>
      </c>
      <c r="I22" s="17">
        <v>217.3</v>
      </c>
      <c r="J22" s="17">
        <v>9984.07</v>
      </c>
      <c r="K22" s="4">
        <v>348</v>
      </c>
      <c r="L22" s="5" t="s">
        <v>37</v>
      </c>
      <c r="M22" s="18">
        <v>0</v>
      </c>
      <c r="N22" s="5" t="s">
        <v>17</v>
      </c>
      <c r="O22" s="6" t="s">
        <v>74</v>
      </c>
      <c r="P22" s="6" t="s">
        <v>75</v>
      </c>
      <c r="Q22" s="6" t="s">
        <v>76</v>
      </c>
      <c r="R22" s="6" t="s">
        <v>77</v>
      </c>
    </row>
    <row r="23" spans="1:18" s="7" customFormat="1" x14ac:dyDescent="0.25">
      <c r="A23" s="2">
        <v>10610024</v>
      </c>
      <c r="B23" s="14" t="s">
        <v>48</v>
      </c>
      <c r="C23" s="15" t="s">
        <v>61</v>
      </c>
      <c r="D23" s="3" t="s">
        <v>14</v>
      </c>
      <c r="E23" s="3">
        <v>1061</v>
      </c>
      <c r="F23" s="3" t="s">
        <v>24</v>
      </c>
      <c r="G23" s="16" t="s">
        <v>30</v>
      </c>
      <c r="H23" s="16">
        <v>46107</v>
      </c>
      <c r="I23" s="17">
        <v>923.59999999999991</v>
      </c>
      <c r="J23" s="17">
        <v>34028.869999999995</v>
      </c>
      <c r="K23" s="4">
        <v>1651</v>
      </c>
      <c r="L23" s="5" t="s">
        <v>28</v>
      </c>
      <c r="M23" s="18">
        <v>0</v>
      </c>
      <c r="N23" s="5" t="s">
        <v>17</v>
      </c>
      <c r="O23" s="6" t="s">
        <v>170</v>
      </c>
      <c r="P23" s="6" t="s">
        <v>171</v>
      </c>
      <c r="Q23" s="6" t="s">
        <v>132</v>
      </c>
      <c r="R23" s="6" t="s">
        <v>152</v>
      </c>
    </row>
    <row r="24" spans="1:18" s="7" customFormat="1" x14ac:dyDescent="0.25">
      <c r="A24" s="2">
        <v>10610040</v>
      </c>
      <c r="B24" s="14" t="s">
        <v>49</v>
      </c>
      <c r="C24" s="15" t="s">
        <v>61</v>
      </c>
      <c r="D24" s="3" t="s">
        <v>36</v>
      </c>
      <c r="E24" s="3">
        <v>1061</v>
      </c>
      <c r="F24" s="3" t="s">
        <v>24</v>
      </c>
      <c r="G24" s="16" t="s">
        <v>30</v>
      </c>
      <c r="H24" s="16">
        <v>46106</v>
      </c>
      <c r="I24" s="17">
        <v>752.5</v>
      </c>
      <c r="J24" s="17">
        <v>25587.45</v>
      </c>
      <c r="K24" s="4">
        <v>1204</v>
      </c>
      <c r="L24" s="5" t="s">
        <v>37</v>
      </c>
      <c r="M24" s="18">
        <v>0</v>
      </c>
      <c r="N24" s="5" t="s">
        <v>17</v>
      </c>
      <c r="O24" s="6" t="s">
        <v>78</v>
      </c>
      <c r="P24" s="6" t="s">
        <v>79</v>
      </c>
      <c r="Q24" s="6" t="s">
        <v>80</v>
      </c>
      <c r="R24" s="6" t="s">
        <v>81</v>
      </c>
    </row>
    <row r="25" spans="1:18" s="7" customFormat="1" x14ac:dyDescent="0.25">
      <c r="A25" s="2">
        <v>10610026</v>
      </c>
      <c r="B25" s="14" t="s">
        <v>50</v>
      </c>
      <c r="C25" s="15" t="s">
        <v>61</v>
      </c>
      <c r="D25" s="3" t="s">
        <v>14</v>
      </c>
      <c r="E25" s="3">
        <v>1061</v>
      </c>
      <c r="F25" s="3" t="s">
        <v>24</v>
      </c>
      <c r="G25" s="16" t="s">
        <v>30</v>
      </c>
      <c r="H25" s="16">
        <v>46112</v>
      </c>
      <c r="I25" s="17">
        <v>214.1</v>
      </c>
      <c r="J25" s="17">
        <v>11806.279999999999</v>
      </c>
      <c r="K25" s="4">
        <v>343</v>
      </c>
      <c r="L25" s="5" t="s">
        <v>25</v>
      </c>
      <c r="M25" s="18">
        <v>10000</v>
      </c>
      <c r="N25" s="5" t="s">
        <v>17</v>
      </c>
      <c r="O25" s="6" t="s">
        <v>172</v>
      </c>
      <c r="P25" s="6" t="s">
        <v>173</v>
      </c>
      <c r="Q25" s="6" t="s">
        <v>174</v>
      </c>
      <c r="R25" s="6" t="s">
        <v>175</v>
      </c>
    </row>
    <row r="26" spans="1:18" s="7" customFormat="1" x14ac:dyDescent="0.25">
      <c r="A26" s="2">
        <v>10610030</v>
      </c>
      <c r="B26" s="14" t="s">
        <v>51</v>
      </c>
      <c r="C26" s="15" t="s">
        <v>61</v>
      </c>
      <c r="D26" s="3" t="s">
        <v>36</v>
      </c>
      <c r="E26" s="3">
        <v>1061</v>
      </c>
      <c r="F26" s="3" t="s">
        <v>24</v>
      </c>
      <c r="G26" s="16" t="s">
        <v>30</v>
      </c>
      <c r="H26" s="16">
        <v>46108</v>
      </c>
      <c r="I26" s="17">
        <v>322.8</v>
      </c>
      <c r="J26" s="17">
        <v>12362.95</v>
      </c>
      <c r="K26" s="4">
        <v>516</v>
      </c>
      <c r="L26" s="5" t="s">
        <v>37</v>
      </c>
      <c r="M26" s="18">
        <v>0</v>
      </c>
      <c r="N26" s="5" t="s">
        <v>17</v>
      </c>
      <c r="O26" s="6" t="s">
        <v>82</v>
      </c>
      <c r="P26" s="6" t="s">
        <v>83</v>
      </c>
      <c r="Q26" s="6" t="s">
        <v>84</v>
      </c>
      <c r="R26" s="6" t="s">
        <v>85</v>
      </c>
    </row>
    <row r="27" spans="1:18" s="7" customFormat="1" x14ac:dyDescent="0.25">
      <c r="A27" s="2">
        <v>10610031</v>
      </c>
      <c r="B27" s="14" t="s">
        <v>52</v>
      </c>
      <c r="C27" s="15" t="s">
        <v>61</v>
      </c>
      <c r="D27" s="3" t="s">
        <v>36</v>
      </c>
      <c r="E27" s="3">
        <v>1061</v>
      </c>
      <c r="F27" s="3" t="s">
        <v>24</v>
      </c>
      <c r="G27" s="16" t="s">
        <v>30</v>
      </c>
      <c r="H27" s="16">
        <v>46108</v>
      </c>
      <c r="I27" s="17">
        <v>142.20000000000002</v>
      </c>
      <c r="J27" s="17">
        <v>5185.58</v>
      </c>
      <c r="K27" s="4">
        <v>228</v>
      </c>
      <c r="L27" s="5" t="s">
        <v>37</v>
      </c>
      <c r="M27" s="18">
        <v>0</v>
      </c>
      <c r="N27" s="5" t="s">
        <v>17</v>
      </c>
      <c r="O27" s="6" t="s">
        <v>86</v>
      </c>
      <c r="P27" s="6" t="s">
        <v>87</v>
      </c>
      <c r="Q27" s="6" t="s">
        <v>88</v>
      </c>
      <c r="R27" s="6" t="s">
        <v>89</v>
      </c>
    </row>
    <row r="28" spans="1:18" s="7" customFormat="1" x14ac:dyDescent="0.25">
      <c r="A28" s="2">
        <v>10610042</v>
      </c>
      <c r="B28" s="14" t="s">
        <v>53</v>
      </c>
      <c r="C28" s="15" t="s">
        <v>61</v>
      </c>
      <c r="D28" s="3" t="s">
        <v>36</v>
      </c>
      <c r="E28" s="3">
        <v>1061</v>
      </c>
      <c r="F28" s="3" t="s">
        <v>24</v>
      </c>
      <c r="G28" s="16" t="s">
        <v>30</v>
      </c>
      <c r="H28" s="16">
        <v>46109</v>
      </c>
      <c r="I28" s="17">
        <v>2241.9</v>
      </c>
      <c r="J28" s="17">
        <v>76660.62</v>
      </c>
      <c r="K28" s="4">
        <v>3587</v>
      </c>
      <c r="L28" s="5" t="s">
        <v>37</v>
      </c>
      <c r="M28" s="18">
        <v>0</v>
      </c>
      <c r="N28" s="5" t="s">
        <v>17</v>
      </c>
      <c r="O28" s="6" t="s">
        <v>90</v>
      </c>
      <c r="P28" s="6" t="s">
        <v>91</v>
      </c>
      <c r="Q28" s="6" t="s">
        <v>92</v>
      </c>
      <c r="R28" s="6" t="s">
        <v>93</v>
      </c>
    </row>
    <row r="29" spans="1:18" s="7" customFormat="1" x14ac:dyDescent="0.25">
      <c r="A29" s="2">
        <v>10610043</v>
      </c>
      <c r="B29" s="14" t="s">
        <v>54</v>
      </c>
      <c r="C29" s="15" t="s">
        <v>61</v>
      </c>
      <c r="D29" s="3" t="s">
        <v>36</v>
      </c>
      <c r="E29" s="3">
        <v>1061</v>
      </c>
      <c r="F29" s="3" t="s">
        <v>24</v>
      </c>
      <c r="G29" s="16" t="s">
        <v>30</v>
      </c>
      <c r="H29" s="16">
        <v>46110</v>
      </c>
      <c r="I29" s="17">
        <v>1037.9000000000001</v>
      </c>
      <c r="J29" s="17">
        <v>39367.57</v>
      </c>
      <c r="K29" s="4">
        <v>1661</v>
      </c>
      <c r="L29" s="5" t="s">
        <v>37</v>
      </c>
      <c r="M29" s="18">
        <v>0</v>
      </c>
      <c r="N29" s="5" t="s">
        <v>17</v>
      </c>
      <c r="O29" s="6" t="s">
        <v>94</v>
      </c>
      <c r="P29" s="6" t="s">
        <v>95</v>
      </c>
      <c r="Q29" s="6" t="s">
        <v>96</v>
      </c>
      <c r="R29" s="6" t="s">
        <v>93</v>
      </c>
    </row>
    <row r="30" spans="1:18" s="7" customFormat="1" x14ac:dyDescent="0.25">
      <c r="A30" s="2">
        <v>10610032</v>
      </c>
      <c r="B30" s="14" t="s">
        <v>55</v>
      </c>
      <c r="C30" s="15" t="s">
        <v>61</v>
      </c>
      <c r="D30" s="3" t="s">
        <v>36</v>
      </c>
      <c r="E30" s="3">
        <v>1061</v>
      </c>
      <c r="F30" s="3" t="s">
        <v>24</v>
      </c>
      <c r="G30" s="16" t="s">
        <v>30</v>
      </c>
      <c r="H30" s="16">
        <v>46113</v>
      </c>
      <c r="I30" s="17">
        <v>1869.8</v>
      </c>
      <c r="J30" s="17">
        <v>70363.05</v>
      </c>
      <c r="K30" s="4">
        <v>2992</v>
      </c>
      <c r="L30" s="5" t="s">
        <v>37</v>
      </c>
      <c r="M30" s="18">
        <v>0</v>
      </c>
      <c r="N30" s="5" t="s">
        <v>17</v>
      </c>
      <c r="O30" s="6" t="s">
        <v>97</v>
      </c>
      <c r="P30" s="6" t="s">
        <v>98</v>
      </c>
      <c r="Q30" s="6" t="s">
        <v>99</v>
      </c>
      <c r="R30" s="6" t="s">
        <v>100</v>
      </c>
    </row>
    <row r="31" spans="1:18" s="7" customFormat="1" x14ac:dyDescent="0.25">
      <c r="A31" s="2">
        <v>10610047</v>
      </c>
      <c r="B31" s="14" t="s">
        <v>56</v>
      </c>
      <c r="C31" s="15" t="s">
        <v>61</v>
      </c>
      <c r="D31" s="3" t="s">
        <v>36</v>
      </c>
      <c r="E31" s="3">
        <v>1061</v>
      </c>
      <c r="F31" s="3" t="s">
        <v>24</v>
      </c>
      <c r="G31" s="16" t="s">
        <v>30</v>
      </c>
      <c r="H31" s="16">
        <v>46115</v>
      </c>
      <c r="I31" s="17">
        <v>730.49999999999989</v>
      </c>
      <c r="J31" s="17">
        <v>27910.079999999998</v>
      </c>
      <c r="K31" s="4">
        <v>1169</v>
      </c>
      <c r="L31" s="5" t="s">
        <v>37</v>
      </c>
      <c r="M31" s="18">
        <v>0</v>
      </c>
      <c r="N31" s="5" t="s">
        <v>17</v>
      </c>
      <c r="O31" s="6" t="s">
        <v>101</v>
      </c>
      <c r="P31" s="6" t="s">
        <v>102</v>
      </c>
      <c r="Q31" s="6" t="s">
        <v>103</v>
      </c>
      <c r="R31" s="6" t="s">
        <v>104</v>
      </c>
    </row>
    <row r="32" spans="1:18" s="7" customFormat="1" x14ac:dyDescent="0.25">
      <c r="A32" s="2">
        <v>10610048</v>
      </c>
      <c r="B32" s="14" t="s">
        <v>57</v>
      </c>
      <c r="C32" s="15" t="s">
        <v>61</v>
      </c>
      <c r="D32" s="3" t="s">
        <v>36</v>
      </c>
      <c r="E32" s="3">
        <v>1061</v>
      </c>
      <c r="F32" s="3" t="s">
        <v>24</v>
      </c>
      <c r="G32" s="16" t="s">
        <v>30</v>
      </c>
      <c r="H32" s="16">
        <v>46119</v>
      </c>
      <c r="I32" s="17">
        <v>514.1</v>
      </c>
      <c r="J32" s="17">
        <v>16008.640000000001</v>
      </c>
      <c r="K32" s="4">
        <v>823</v>
      </c>
      <c r="L32" s="5" t="s">
        <v>37</v>
      </c>
      <c r="M32" s="18">
        <v>0</v>
      </c>
      <c r="N32" s="5" t="s">
        <v>17</v>
      </c>
      <c r="O32" s="6" t="s">
        <v>105</v>
      </c>
      <c r="P32" s="6" t="s">
        <v>106</v>
      </c>
      <c r="Q32" s="6" t="s">
        <v>96</v>
      </c>
      <c r="R32" s="6" t="s">
        <v>93</v>
      </c>
    </row>
    <row r="33" spans="1:18" s="7" customFormat="1" x14ac:dyDescent="0.25">
      <c r="A33" s="2">
        <v>10610049</v>
      </c>
      <c r="B33" s="14" t="s">
        <v>58</v>
      </c>
      <c r="C33" s="15" t="s">
        <v>61</v>
      </c>
      <c r="D33" s="3" t="s">
        <v>36</v>
      </c>
      <c r="E33" s="3">
        <v>1061</v>
      </c>
      <c r="F33" s="3" t="s">
        <v>24</v>
      </c>
      <c r="G33" s="16" t="s">
        <v>30</v>
      </c>
      <c r="H33" s="16">
        <v>46115</v>
      </c>
      <c r="I33" s="17">
        <v>852</v>
      </c>
      <c r="J33" s="17">
        <v>29221.590000000004</v>
      </c>
      <c r="K33" s="4">
        <v>1363</v>
      </c>
      <c r="L33" s="5" t="s">
        <v>37</v>
      </c>
      <c r="M33" s="18">
        <v>0</v>
      </c>
      <c r="N33" s="5" t="s">
        <v>17</v>
      </c>
      <c r="O33" s="6" t="s">
        <v>107</v>
      </c>
      <c r="P33" s="6" t="s">
        <v>108</v>
      </c>
      <c r="Q33" s="6" t="s">
        <v>109</v>
      </c>
      <c r="R33" s="6" t="s">
        <v>110</v>
      </c>
    </row>
    <row r="34" spans="1:18" x14ac:dyDescent="0.25">
      <c r="A34" s="9">
        <v>1070</v>
      </c>
      <c r="B34" s="8" t="s">
        <v>59</v>
      </c>
      <c r="C34" s="9"/>
      <c r="D34" s="8"/>
      <c r="E34" s="8"/>
      <c r="F34" s="8"/>
      <c r="G34" s="9"/>
      <c r="H34" s="9"/>
      <c r="I34" s="8">
        <f>SUM(I2:I33)</f>
        <v>51022.700000000004</v>
      </c>
      <c r="J34" s="8">
        <f>SUM(J2:J33)</f>
        <v>2118183.81</v>
      </c>
      <c r="K34" s="10">
        <f>SUM(K2:K33)</f>
        <v>68116</v>
      </c>
      <c r="L34" s="10"/>
      <c r="M34" s="10"/>
      <c r="N34" s="10"/>
      <c r="O34" s="10"/>
      <c r="P34" s="10"/>
      <c r="Q34" s="10"/>
      <c r="R34" s="10"/>
    </row>
  </sheetData>
  <conditionalFormatting sqref="A1">
    <cfRule type="duplicateValues" dxfId="4" priority="6" stopIfTrue="1"/>
  </conditionalFormatting>
  <conditionalFormatting sqref="G1:G33">
    <cfRule type="containsText" dxfId="3" priority="5" stopIfTrue="1" operator="containsText" text="100%">
      <formula>NOT(ISERROR(SEARCH("100%",G1)))</formula>
    </cfRule>
  </conditionalFormatting>
  <conditionalFormatting sqref="G2:G33">
    <cfRule type="containsText" dxfId="2" priority="4" stopIfTrue="1" operator="containsText" text="Direct Farfmer Payment ">
      <formula>NOT(ISERROR(SEARCH("Direct Farfmer Payment ",G2)))</formula>
    </cfRule>
  </conditionalFormatting>
  <conditionalFormatting sqref="K2:K33">
    <cfRule type="cellIs" dxfId="1" priority="3" operator="lessThan">
      <formula>0</formula>
    </cfRule>
  </conditionalFormatting>
  <conditionalFormatting sqref="P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2026-06-03T04:26:31Z</dcterms:created>
  <dcterms:modified xsi:type="dcterms:W3CDTF">2026-06-03T04:38:33Z</dcterms:modified>
</cp:coreProperties>
</file>