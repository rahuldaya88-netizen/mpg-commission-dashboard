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Data\"/>
    </mc:Choice>
  </mc:AlternateContent>
  <xr:revisionPtr revIDLastSave="0" documentId="13_ncr:1_{5E7AA0FD-DD7B-4F74-AA56-0EEDC1DAEC6C}" xr6:coauthVersionLast="47" xr6:coauthVersionMax="47" xr10:uidLastSave="{00000000-0000-0000-0000-000000000000}"/>
  <bookViews>
    <workbookView xWindow="-120" yWindow="-120" windowWidth="29040" windowHeight="15720" activeTab="1" xr2:uid="{DA677D64-C393-4E04-A33A-44139C5481EB}"/>
  </bookViews>
  <sheets>
    <sheet name="PCB Details " sheetId="2" r:id="rId1"/>
    <sheet name="Recovery Detail" sheetId="3" r:id="rId2"/>
    <sheet name="Deductable for Apr'26" sheetId="7" r:id="rId3"/>
    <sheet name="Purchase" sheetId="1" r:id="rId4"/>
    <sheet name="Old Purchase " sheetId="6" r:id="rId5"/>
    <sheet name="Not recover Old data" sheetId="4" r:id="rId6"/>
  </sheets>
  <definedNames>
    <definedName name="_xlnm._FilterDatabase" localSheetId="2" hidden="1">'Deductable for Apr''26'!$C$3:$E$79</definedName>
    <definedName name="_xlnm._FilterDatabase" localSheetId="5" hidden="1">'Not recover Old data'!$A$1:$G$1</definedName>
    <definedName name="_xlnm._FilterDatabase" localSheetId="0" hidden="1">'PCB Details '!$B$7:$O$131</definedName>
    <definedName name="_xlnm._FilterDatabase" localSheetId="1" hidden="1">'Recovery Detail'!$A$1:$T$100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9" i="7" l="1"/>
  <c r="S42" i="3"/>
  <c r="S88" i="3" l="1"/>
  <c r="S89" i="3"/>
  <c r="S90" i="3"/>
  <c r="S91" i="3"/>
  <c r="S92" i="3"/>
  <c r="S93" i="3"/>
  <c r="S94" i="3"/>
  <c r="S95" i="3"/>
  <c r="S96" i="3"/>
  <c r="S97" i="3"/>
  <c r="S98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28" i="3" l="1"/>
  <c r="S71" i="3" l="1"/>
  <c r="S70" i="3"/>
  <c r="S69" i="3"/>
  <c r="S68" i="3"/>
  <c r="S67" i="3"/>
  <c r="S66" i="3"/>
  <c r="S65" i="3"/>
  <c r="S64" i="3" l="1"/>
  <c r="S86" i="3"/>
  <c r="S87" i="3"/>
  <c r="S99" i="3"/>
  <c r="S33" i="3" l="1"/>
  <c r="S27" i="3"/>
  <c r="S39" i="3"/>
  <c r="S22" i="3"/>
  <c r="S18" i="3"/>
  <c r="S14" i="3"/>
  <c r="S10" i="3"/>
  <c r="S6" i="3"/>
  <c r="S2" i="3"/>
  <c r="S55" i="3"/>
  <c r="S48" i="3"/>
  <c r="S43" i="3"/>
  <c r="S38" i="3"/>
  <c r="S32" i="3"/>
  <c r="S26" i="3"/>
  <c r="S21" i="3"/>
  <c r="S17" i="3"/>
  <c r="S13" i="3"/>
  <c r="S9" i="3"/>
  <c r="S5" i="3"/>
  <c r="S56" i="3"/>
  <c r="S44" i="3"/>
  <c r="S58" i="3"/>
  <c r="S46" i="3"/>
  <c r="S41" i="3"/>
  <c r="S35" i="3"/>
  <c r="S31" i="3"/>
  <c r="S25" i="3"/>
  <c r="S20" i="3"/>
  <c r="S16" i="3"/>
  <c r="S12" i="3"/>
  <c r="S8" i="3"/>
  <c r="S4" i="3"/>
  <c r="S57" i="3"/>
  <c r="S45" i="3"/>
  <c r="S40" i="3"/>
  <c r="S34" i="3"/>
  <c r="S29" i="3"/>
  <c r="S23" i="3"/>
  <c r="S19" i="3"/>
  <c r="S15" i="3"/>
  <c r="S11" i="3"/>
  <c r="S7" i="3"/>
  <c r="S3" i="3"/>
  <c r="I5" i="1"/>
  <c r="J155" i="2" l="1"/>
  <c r="I155" i="2"/>
  <c r="F11" i="1"/>
  <c r="D15" i="1" s="1"/>
  <c r="F15" i="1" s="1"/>
  <c r="D16" i="1" l="1"/>
  <c r="D18" i="1"/>
  <c r="F18" i="1" s="1"/>
  <c r="D19" i="1"/>
  <c r="F19" i="1" s="1"/>
  <c r="S52" i="3" l="1"/>
  <c r="S53" i="3"/>
  <c r="S54" i="3"/>
  <c r="G7" i="1"/>
  <c r="G6" i="1"/>
  <c r="F22" i="1" l="1"/>
  <c r="G155" i="2"/>
  <c r="G5" i="1" s="1"/>
  <c r="G18" i="1" l="1"/>
  <c r="F6" i="6"/>
  <c r="F15" i="6"/>
  <c r="E15" i="6"/>
  <c r="D15" i="6"/>
  <c r="E13" i="6"/>
  <c r="E12" i="6"/>
  <c r="E11" i="6"/>
  <c r="E18" i="4" l="1"/>
  <c r="F13" i="4"/>
  <c r="E1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F3" i="4"/>
  <c r="F26" i="4" s="1"/>
  <c r="E3" i="4"/>
  <c r="E26" i="4" s="1"/>
  <c r="A3" i="4"/>
  <c r="H10" i="2" l="1"/>
  <c r="H9" i="2"/>
  <c r="H8" i="2"/>
  <c r="H155" i="2" l="1"/>
  <c r="D17" i="1" s="1"/>
  <c r="F17" i="1" s="1"/>
  <c r="F20" i="1" s="1"/>
  <c r="D20" i="1" l="1"/>
  <c r="D23" i="1" s="1"/>
  <c r="F23" i="1" l="1"/>
  <c r="H5" i="1"/>
  <c r="J5" i="1" s="1"/>
  <c r="S47" i="3"/>
  <c r="S59" i="3"/>
  <c r="S62" i="3"/>
  <c r="S61" i="3"/>
  <c r="S60" i="3"/>
  <c r="S30" i="3"/>
  <c r="S51" i="3"/>
  <c r="S37" i="3"/>
  <c r="S36" i="3"/>
  <c r="S49" i="3"/>
  <c r="S63" i="3"/>
  <c r="S50" i="3"/>
  <c r="S24" i="3" l="1"/>
  <c r="S10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41" authorId="0" shapeId="0" xr:uid="{4B622F80-1506-43F8-93DF-DB5AE3F8C9E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263878508382
date 23/07/25</t>
        </r>
      </text>
    </comment>
    <comment ref="F42" authorId="0" shapeId="0" xr:uid="{E19CA77D-E29D-43EE-9254-6DAAEB98C7C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869729618820
date 07/09/25</t>
        </r>
      </text>
    </comment>
    <comment ref="M51" authorId="0" shapeId="0" xr:uid="{9D0290CA-E541-4025-8DBC-150B424F72A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N51" authorId="0" shapeId="0" xr:uid="{3E2FB699-F302-41FE-A6EE-8F09DF0704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O51" authorId="0" shapeId="0" xr:uid="{AF073545-A8E5-469A-BCAA-E4A792692E8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F53" authorId="0" shapeId="0" xr:uid="{0F7A01F7-524C-47F3-BAA8-4C2BC7F8650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85028866012
date 12/10/25
</t>
        </r>
      </text>
    </comment>
    <comment ref="F68" authorId="0" shapeId="0" xr:uid="{8A8B7635-A0FC-43EA-BD39-C700EA7E75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
</t>
        </r>
      </text>
    </comment>
    <comment ref="F76" authorId="0" shapeId="0" xr:uid="{2EC8EDBA-4472-43AD-BCE4-B18095BE15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</t>
        </r>
      </text>
    </comment>
  </commentList>
</comments>
</file>

<file path=xl/sharedStrings.xml><?xml version="1.0" encoding="utf-8"?>
<sst xmlns="http://schemas.openxmlformats.org/spreadsheetml/2006/main" count="1477" uniqueCount="496">
  <si>
    <t>Stipl</t>
  </si>
  <si>
    <t>English Dubauli</t>
  </si>
  <si>
    <t>Dumroan</t>
  </si>
  <si>
    <t>Manish Sir</t>
  </si>
  <si>
    <t>Gaurav</t>
  </si>
  <si>
    <t>Courier</t>
  </si>
  <si>
    <t>Mathura Dera</t>
  </si>
  <si>
    <t>Arak</t>
  </si>
  <si>
    <t>Dumri Purvi</t>
  </si>
  <si>
    <t>GREP041400D4FQH077</t>
  </si>
  <si>
    <t>Mirahati-2</t>
  </si>
  <si>
    <t>Asarganj</t>
  </si>
  <si>
    <t>Babul</t>
  </si>
  <si>
    <t>GREP041400D4FQH103</t>
  </si>
  <si>
    <t>Launa</t>
  </si>
  <si>
    <t>Babul (paid)</t>
  </si>
  <si>
    <t>GREP041400D4FQH079</t>
  </si>
  <si>
    <t>Sangrampur</t>
  </si>
  <si>
    <t>Sonvarsa</t>
  </si>
  <si>
    <t>Umakant</t>
  </si>
  <si>
    <t>GREP041400D4FQH138</t>
  </si>
  <si>
    <t>Mohanpur</t>
  </si>
  <si>
    <t>Laldiyara</t>
  </si>
  <si>
    <t>GREP041400D4FQH080</t>
  </si>
  <si>
    <t>DHARSANDA</t>
  </si>
  <si>
    <t>Halsi</t>
  </si>
  <si>
    <t>GREP041400D4FQH084</t>
  </si>
  <si>
    <t>Halsi BMC</t>
  </si>
  <si>
    <t>GREP041400D4FQH070</t>
  </si>
  <si>
    <t xml:space="preserve">Munger Store </t>
  </si>
  <si>
    <t>Munger</t>
  </si>
  <si>
    <t>Dharmendra Tiwari</t>
  </si>
  <si>
    <t>GREP041400D4FQH126</t>
  </si>
  <si>
    <t>Manjhaul</t>
  </si>
  <si>
    <t>Verma Sir</t>
  </si>
  <si>
    <t>transport</t>
  </si>
  <si>
    <t>Hemadpur</t>
  </si>
  <si>
    <t>GREP041400D4FQH134</t>
  </si>
  <si>
    <t>Tilathi</t>
  </si>
  <si>
    <t>Arun AI</t>
  </si>
  <si>
    <t>GREP041400D4FQH100</t>
  </si>
  <si>
    <t>Basawkala</t>
  </si>
  <si>
    <t>DTDC Courier</t>
  </si>
  <si>
    <t>GREP041400D4FQH123</t>
  </si>
  <si>
    <t>Ramboriya</t>
  </si>
  <si>
    <t>GREP041400D4FQH136</t>
  </si>
  <si>
    <t>Harnaha</t>
  </si>
  <si>
    <t>GREP041400D4FQH112</t>
  </si>
  <si>
    <t>Kabela</t>
  </si>
  <si>
    <t>Araria</t>
  </si>
  <si>
    <t>Devanand</t>
  </si>
  <si>
    <t>GREP041400D4FQH085</t>
  </si>
  <si>
    <t>Thebhay</t>
  </si>
  <si>
    <t>GREP041400D4FQH086</t>
  </si>
  <si>
    <t>Sondiha</t>
  </si>
  <si>
    <t>GREP041400D4FQH119</t>
  </si>
  <si>
    <t>Beri East</t>
  </si>
  <si>
    <t>Simri</t>
  </si>
  <si>
    <t>Shankar sir</t>
  </si>
  <si>
    <t>Shahid</t>
  </si>
  <si>
    <t>Dev Prakash(AI</t>
  </si>
  <si>
    <t>GREP041400D4FQH125</t>
  </si>
  <si>
    <t xml:space="preserve">Ghataho </t>
  </si>
  <si>
    <t>GREP041400D4FQH094</t>
  </si>
  <si>
    <t>Arniyaganj</t>
  </si>
  <si>
    <t>Musrigharari</t>
  </si>
  <si>
    <t>Musrigharari BMC</t>
  </si>
  <si>
    <t>GREP041400D4FQH140</t>
  </si>
  <si>
    <t>Simri Store</t>
  </si>
  <si>
    <t>Gomukh Paharpur</t>
  </si>
  <si>
    <t>Rakesh Sir</t>
  </si>
  <si>
    <t>GREP041400D4FQH127</t>
  </si>
  <si>
    <t xml:space="preserve">TAAL-SHAHARSHA                                                                                      </t>
  </si>
  <si>
    <t>GREP041400D4FQH111</t>
  </si>
  <si>
    <t>Manikpur</t>
  </si>
  <si>
    <t>Umakant(done)</t>
  </si>
  <si>
    <t>GREP041400D4FQH132</t>
  </si>
  <si>
    <t>Jaitpur</t>
  </si>
  <si>
    <t>GREP041400D4FQH118</t>
  </si>
  <si>
    <t>Dedua Balo Tol</t>
  </si>
  <si>
    <t>Kamesh ji</t>
  </si>
  <si>
    <t>GREP041400D4FQH135</t>
  </si>
  <si>
    <t>Transfer to WB</t>
  </si>
  <si>
    <t>Asto</t>
  </si>
  <si>
    <t>GREP041400D4FQH133</t>
  </si>
  <si>
    <t>GREP041400D4FQH067</t>
  </si>
  <si>
    <t>GREP041400D4FQH066</t>
  </si>
  <si>
    <t>GREP041400D4FQH099</t>
  </si>
  <si>
    <t>GREP041400D4FQH073</t>
  </si>
  <si>
    <t>GREP041400D4FQH104</t>
  </si>
  <si>
    <t>GREP041400D4FQH106</t>
  </si>
  <si>
    <t>GREP041400D4FQH124</t>
  </si>
  <si>
    <t>GREP041400D4FQH074</t>
  </si>
  <si>
    <t>GREP041400D4FQH087</t>
  </si>
  <si>
    <t>GREP041400D4FQH129</t>
  </si>
  <si>
    <t>Sibutol-2</t>
  </si>
  <si>
    <t>Teghra</t>
  </si>
  <si>
    <t>Navnit kumar</t>
  </si>
  <si>
    <t>GREP041400D4FQH091</t>
  </si>
  <si>
    <t>Rata</t>
  </si>
  <si>
    <t xml:space="preserve">Ranjeet </t>
  </si>
  <si>
    <t>GREP041400D4FQH075</t>
  </si>
  <si>
    <t>Katni</t>
  </si>
  <si>
    <t>Tinku (Paid)</t>
  </si>
  <si>
    <t>Date</t>
  </si>
  <si>
    <t>Serial No</t>
  </si>
  <si>
    <t>New Code</t>
  </si>
  <si>
    <t>Approved By</t>
  </si>
  <si>
    <t>Delivered By</t>
  </si>
  <si>
    <t>Remarks</t>
  </si>
  <si>
    <t>Receive by</t>
  </si>
  <si>
    <t>AMCU Repair</t>
  </si>
  <si>
    <t>used on non recovery basis in MPG</t>
  </si>
  <si>
    <t>Cost on recovery basis</t>
  </si>
  <si>
    <t>Recovery Basis</t>
  </si>
  <si>
    <t xml:space="preserve">Non -Recovery Basis </t>
  </si>
  <si>
    <t>Used on Non recovery basis in BMC</t>
  </si>
  <si>
    <t>Total Qty</t>
  </si>
  <si>
    <t xml:space="preserve">Purchase </t>
  </si>
  <si>
    <t>Opening</t>
  </si>
  <si>
    <t xml:space="preserve">Closing </t>
  </si>
  <si>
    <t>Receive</t>
  </si>
  <si>
    <t xml:space="preserve">Issue </t>
  </si>
  <si>
    <t>STIPL</t>
  </si>
  <si>
    <t>From Purhcase</t>
  </si>
  <si>
    <t xml:space="preserve">Date </t>
  </si>
  <si>
    <t>Total Closing Stock</t>
  </si>
  <si>
    <t xml:space="preserve">Total Qty </t>
  </si>
  <si>
    <t xml:space="preserve">Closing in Stock </t>
  </si>
  <si>
    <t xml:space="preserve">Rate </t>
  </si>
  <si>
    <t>Amout</t>
  </si>
  <si>
    <t xml:space="preserve">Qty </t>
  </si>
  <si>
    <t xml:space="preserve">Fresh Foulty </t>
  </si>
  <si>
    <t>Fresh Faulty</t>
  </si>
  <si>
    <t>PCB Issued on recoverable Basis</t>
  </si>
  <si>
    <t xml:space="preserve">Total Issue </t>
  </si>
  <si>
    <t>Total Received</t>
  </si>
  <si>
    <t>Particular</t>
  </si>
  <si>
    <t>BMC Name</t>
  </si>
  <si>
    <t>MPG Name</t>
  </si>
  <si>
    <t xml:space="preserve">Issue Date </t>
  </si>
  <si>
    <t>MPG Code</t>
  </si>
  <si>
    <t>New MPG Code</t>
  </si>
  <si>
    <t>Name</t>
  </si>
  <si>
    <t>Total AMT</t>
  </si>
  <si>
    <t>1704</t>
  </si>
  <si>
    <t>Vishnupatti</t>
  </si>
  <si>
    <t>9786</t>
  </si>
  <si>
    <t xml:space="preserve"> Rachiyahi</t>
  </si>
  <si>
    <t>0314</t>
  </si>
  <si>
    <t>Madhepur</t>
  </si>
  <si>
    <t>7101</t>
  </si>
  <si>
    <t>Pachgachiya</t>
  </si>
  <si>
    <t>9149</t>
  </si>
  <si>
    <t>Bachhwara</t>
  </si>
  <si>
    <t>9759</t>
  </si>
  <si>
    <t>Sukhdeo Babutol</t>
  </si>
  <si>
    <t>8574</t>
  </si>
  <si>
    <t>Muradpur</t>
  </si>
  <si>
    <t>5119</t>
  </si>
  <si>
    <t>Barui</t>
  </si>
  <si>
    <t>1198</t>
  </si>
  <si>
    <t>Tetharhat</t>
  </si>
  <si>
    <t>2121</t>
  </si>
  <si>
    <t>Badiya</t>
  </si>
  <si>
    <t>2027</t>
  </si>
  <si>
    <t>Jaunapur</t>
  </si>
  <si>
    <t>7107</t>
  </si>
  <si>
    <t>Mirror Tola</t>
  </si>
  <si>
    <t>8649</t>
  </si>
  <si>
    <t>Bishauni</t>
  </si>
  <si>
    <t>1770</t>
  </si>
  <si>
    <t>Mahipura</t>
  </si>
  <si>
    <t>Rajapur</t>
  </si>
  <si>
    <t>8594</t>
  </si>
  <si>
    <t>Bari Lagar</t>
  </si>
  <si>
    <t>1235</t>
  </si>
  <si>
    <t>Ramsir(10700-4000)</t>
  </si>
  <si>
    <t>0393</t>
  </si>
  <si>
    <t>Matior</t>
  </si>
  <si>
    <t>2460</t>
  </si>
  <si>
    <t>Kaithi</t>
  </si>
  <si>
    <t>1907</t>
  </si>
  <si>
    <t>Gomukh Sarmaspur</t>
  </si>
  <si>
    <t>1287</t>
  </si>
  <si>
    <t>Noma(10700-5400)</t>
  </si>
  <si>
    <t>1723</t>
  </si>
  <si>
    <t>Gomukh BARDIHA TUTRI PETROL PUMP</t>
  </si>
  <si>
    <t>8582</t>
  </si>
  <si>
    <t>Gomukh Kanhaiyachak Pachhim</t>
  </si>
  <si>
    <t>7118</t>
  </si>
  <si>
    <t>Gomukh Amghatta Shreepur</t>
  </si>
  <si>
    <t>2401</t>
  </si>
  <si>
    <t>Dumri Purvi Tola</t>
  </si>
  <si>
    <t>1224</t>
  </si>
  <si>
    <t>Dharsanda(10700-5000)</t>
  </si>
  <si>
    <t>2435</t>
  </si>
  <si>
    <t>HEMDAPUR</t>
  </si>
  <si>
    <t>2415</t>
  </si>
  <si>
    <t>Ramo Bariya</t>
  </si>
  <si>
    <t>2430</t>
  </si>
  <si>
    <t>8613</t>
  </si>
  <si>
    <t>Gomukh Kabela                                                                                       </t>
  </si>
  <si>
    <t>8650</t>
  </si>
  <si>
    <t>Gomukh Tehay</t>
  </si>
  <si>
    <t>10070049</t>
  </si>
  <si>
    <t>10120083</t>
  </si>
  <si>
    <t>2058</t>
  </si>
  <si>
    <t>Gomukh Ghataho</t>
  </si>
  <si>
    <t>1901</t>
  </si>
  <si>
    <t>Gomukha Arniya Ganj</t>
  </si>
  <si>
    <t>1244</t>
  </si>
  <si>
    <t xml:space="preserve">TAAL-SHAHARSHA (10700-5000)                                                                                   </t>
  </si>
  <si>
    <t>1225</t>
  </si>
  <si>
    <t>JAITPUR (10700-1000)</t>
  </si>
  <si>
    <t>10120082</t>
  </si>
  <si>
    <t>1306</t>
  </si>
  <si>
    <t>Rata(10700-5000)</t>
  </si>
  <si>
    <t>Apr'25</t>
  </si>
  <si>
    <t>May'25</t>
  </si>
  <si>
    <t>Jun'25</t>
  </si>
  <si>
    <t>July'25</t>
  </si>
  <si>
    <t>Due</t>
  </si>
  <si>
    <t>1167</t>
  </si>
  <si>
    <t>SANDH MAAF</t>
  </si>
  <si>
    <t>Close</t>
  </si>
  <si>
    <t>1726</t>
  </si>
  <si>
    <t>1916</t>
  </si>
  <si>
    <t>Gomukh Laxminarayanpur</t>
  </si>
  <si>
    <t>1703</t>
  </si>
  <si>
    <t>Mahisor</t>
  </si>
  <si>
    <t>2020</t>
  </si>
  <si>
    <t>Balthara</t>
  </si>
  <si>
    <t>1745</t>
  </si>
  <si>
    <t>Banvira</t>
  </si>
  <si>
    <t>2001</t>
  </si>
  <si>
    <t>Bagnoucha</t>
  </si>
  <si>
    <t>2011</t>
  </si>
  <si>
    <t>Hentanpur</t>
  </si>
  <si>
    <t>0007</t>
  </si>
  <si>
    <t>Jhandapur BMC</t>
  </si>
  <si>
    <t>1701</t>
  </si>
  <si>
    <t>Madhopur</t>
  </si>
  <si>
    <t>0386</t>
  </si>
  <si>
    <t>KURSAHATOL</t>
  </si>
  <si>
    <t>0342</t>
  </si>
  <si>
    <t>PACHPAIKA</t>
  </si>
  <si>
    <t>0316</t>
  </si>
  <si>
    <t>ASHINCHAK</t>
  </si>
  <si>
    <t>0356</t>
  </si>
  <si>
    <t>BHOJPUR</t>
  </si>
  <si>
    <t>0380</t>
  </si>
  <si>
    <t>Hargingpur kothi</t>
  </si>
  <si>
    <t>0118</t>
  </si>
  <si>
    <t>Nandpur</t>
  </si>
  <si>
    <t>9148</t>
  </si>
  <si>
    <t>Gehuni</t>
  </si>
  <si>
    <t>2026</t>
  </si>
  <si>
    <t>SL No.</t>
  </si>
  <si>
    <t xml:space="preserve">BMC Name </t>
  </si>
  <si>
    <t>Lakhisarai Area</t>
  </si>
  <si>
    <t>Samastipur Area</t>
  </si>
  <si>
    <t>Husainipur</t>
  </si>
  <si>
    <t>0936</t>
  </si>
  <si>
    <t>Rachiyahi</t>
  </si>
  <si>
    <t>Bhagalpur Area</t>
  </si>
  <si>
    <t>No deduction from One years</t>
  </si>
  <si>
    <t>Begusarai Area</t>
  </si>
  <si>
    <t>No deduction from Six Month</t>
  </si>
  <si>
    <t>Bisunpur Beri</t>
  </si>
  <si>
    <t xml:space="preserve">Purchase Qty </t>
  </si>
  <si>
    <t xml:space="preserve">Purchase Amount </t>
  </si>
  <si>
    <t>Recovery from LY'23</t>
  </si>
  <si>
    <t>Purchased from CSR</t>
  </si>
  <si>
    <t>Net Recoverable Amount</t>
  </si>
  <si>
    <t>GREP041400D4FQH121</t>
  </si>
  <si>
    <t>GREP041400D4FQH095</t>
  </si>
  <si>
    <t>GREP041400D4FQH081</t>
  </si>
  <si>
    <t>GREP041400D4FQH096</t>
  </si>
  <si>
    <t>Mahasoni</t>
  </si>
  <si>
    <t>Mano-2</t>
  </si>
  <si>
    <t>Umakant (Paid)</t>
  </si>
  <si>
    <t>Aug'25</t>
  </si>
  <si>
    <t>Deduction</t>
  </si>
  <si>
    <t>Sep'25</t>
  </si>
  <si>
    <t>Gomukh Bhith</t>
  </si>
  <si>
    <t>EIPL</t>
  </si>
  <si>
    <t>PFD-12243761</t>
  </si>
  <si>
    <t>Laladiyara</t>
  </si>
  <si>
    <t>Akash kumar</t>
  </si>
  <si>
    <t>used on non recovery basis in BMC</t>
  </si>
  <si>
    <t>PFD-10258649</t>
  </si>
  <si>
    <t>Manjosh</t>
  </si>
  <si>
    <t>Paid</t>
  </si>
  <si>
    <t>PFD-09258542</t>
  </si>
  <si>
    <t>PFD-09258510</t>
  </si>
  <si>
    <t>PFD-09258545</t>
  </si>
  <si>
    <t>PFD-09258544</t>
  </si>
  <si>
    <t>PFD-12243762</t>
  </si>
  <si>
    <t>Mordiwa East</t>
  </si>
  <si>
    <t>Gomukh Bochaha</t>
  </si>
  <si>
    <t>Gomukh Andaha</t>
  </si>
  <si>
    <t>Amardeep</t>
  </si>
  <si>
    <t>Arma</t>
  </si>
  <si>
    <t>Bhandar</t>
  </si>
  <si>
    <t>PFD-09258541</t>
  </si>
  <si>
    <t>PFD-09258547</t>
  </si>
  <si>
    <t>PFD-09258539</t>
  </si>
  <si>
    <t>Bhandar(10700-3000)</t>
  </si>
  <si>
    <t>Mahadatpur</t>
  </si>
  <si>
    <t>Fathepur</t>
  </si>
  <si>
    <t>Bandera</t>
  </si>
  <si>
    <t>Pipra</t>
  </si>
  <si>
    <t>PFD-09258531</t>
  </si>
  <si>
    <t>PFD-09258538</t>
  </si>
  <si>
    <t>PFD-09258536</t>
  </si>
  <si>
    <t>PFD-09258534</t>
  </si>
  <si>
    <t>PFD-09258523</t>
  </si>
  <si>
    <t>PFD-09258535</t>
  </si>
  <si>
    <t>PFD-09258533</t>
  </si>
  <si>
    <t>PFD-09258540</t>
  </si>
  <si>
    <t>PFD-09258517</t>
  </si>
  <si>
    <t>PFD-09258519</t>
  </si>
  <si>
    <t>PFD-09258546</t>
  </si>
  <si>
    <t>PFD-09258548</t>
  </si>
  <si>
    <t>PFD-09258537</t>
  </si>
  <si>
    <t>Sahiyar</t>
  </si>
  <si>
    <t>Adrash Laxmipur - 3</t>
  </si>
  <si>
    <t>Parsama</t>
  </si>
  <si>
    <t>Dhira</t>
  </si>
  <si>
    <t>Nawadih</t>
  </si>
  <si>
    <t>JayNagar</t>
  </si>
  <si>
    <t>Chirinjivipur</t>
  </si>
  <si>
    <t>Hajipur</t>
  </si>
  <si>
    <t>Bith</t>
  </si>
  <si>
    <t>jayant sir</t>
  </si>
  <si>
    <t>Lalan Kumar</t>
  </si>
  <si>
    <t>2407</t>
  </si>
  <si>
    <t>1236</t>
  </si>
  <si>
    <t>ADARSH LAXMIPUR-3(10700-5000)</t>
  </si>
  <si>
    <t>1077</t>
  </si>
  <si>
    <t>Parsama (10700-5000)</t>
  </si>
  <si>
    <t>1217</t>
  </si>
  <si>
    <t>Dhira (10700-5000)</t>
  </si>
  <si>
    <t>Bithh</t>
  </si>
  <si>
    <t>PCB Issued on no recoverable basis </t>
  </si>
  <si>
    <t>PFD-09258543</t>
  </si>
  <si>
    <t>PFD-09258532</t>
  </si>
  <si>
    <t>Gayghat</t>
  </si>
  <si>
    <t>Kudeshawri</t>
  </si>
  <si>
    <t>Birendra Driver</t>
  </si>
  <si>
    <t>PFD-09258530</t>
  </si>
  <si>
    <t>PFD-09258518</t>
  </si>
  <si>
    <t>PFD-09258522</t>
  </si>
  <si>
    <t>Replace GREP041400D4FQH141</t>
  </si>
  <si>
    <t>Sherpur narsari east</t>
  </si>
  <si>
    <t>Shekhpura</t>
  </si>
  <si>
    <t>Oct'25</t>
  </si>
  <si>
    <t>Rasalpur</t>
  </si>
  <si>
    <t>Deduct for milk gain amount payment</t>
  </si>
  <si>
    <t>In Bank</t>
  </si>
  <si>
    <t>PFD-10258631</t>
  </si>
  <si>
    <t>PFD-10258647</t>
  </si>
  <si>
    <t>PFD-10258655</t>
  </si>
  <si>
    <t>PFD-10258646</t>
  </si>
  <si>
    <t>PFD-10258641</t>
  </si>
  <si>
    <t>PFD-10258644</t>
  </si>
  <si>
    <t>Bittu Kumar</t>
  </si>
  <si>
    <t>Tetri</t>
  </si>
  <si>
    <t>S kamal</t>
  </si>
  <si>
    <t>Tulsitol</t>
  </si>
  <si>
    <t>Matihani</t>
  </si>
  <si>
    <t>GOMUKH HANSPUR</t>
  </si>
  <si>
    <t>GOMUKH ROHUA</t>
  </si>
  <si>
    <t>GOMUKH SAIDPUR SAMASTIPUR</t>
  </si>
  <si>
    <t>PFD-10258640</t>
  </si>
  <si>
    <t>Ramjeevan</t>
  </si>
  <si>
    <t>GREP041400D4FQH092</t>
  </si>
  <si>
    <t>GREP041400D4FQH093</t>
  </si>
  <si>
    <t>Showa</t>
  </si>
  <si>
    <t>Kulahriya</t>
  </si>
  <si>
    <t>Naat</t>
  </si>
  <si>
    <t>Gomukh Mangolpur</t>
  </si>
  <si>
    <t>Aure</t>
  </si>
  <si>
    <t>Balahpur</t>
  </si>
  <si>
    <t>PFD-10258633</t>
  </si>
  <si>
    <t>GREP041400D4FQH116</t>
  </si>
  <si>
    <t>Darshan</t>
  </si>
  <si>
    <t>GREP041400D4FQH078</t>
  </si>
  <si>
    <t>GREP041400D4FQH101</t>
  </si>
  <si>
    <t>GREP041400D4FQH071</t>
  </si>
  <si>
    <t>Karauta</t>
  </si>
  <si>
    <t>Chotha</t>
  </si>
  <si>
    <t>Kharagwara</t>
  </si>
  <si>
    <t>Nov'25</t>
  </si>
  <si>
    <t>Dec'25</t>
  </si>
  <si>
    <t>Mar'26</t>
  </si>
  <si>
    <t>Jan'26</t>
  </si>
  <si>
    <t>Feb'26</t>
  </si>
  <si>
    <t>Nandan</t>
  </si>
  <si>
    <t>PFD-10258650</t>
  </si>
  <si>
    <t>Henwa</t>
  </si>
  <si>
    <t>PFD-10258651</t>
  </si>
  <si>
    <t>PFD-10258623</t>
  </si>
  <si>
    <t>Rahimpur Dakshin</t>
  </si>
  <si>
    <t>PFD-10258656</t>
  </si>
  <si>
    <t>Chowki</t>
  </si>
  <si>
    <t>PFD-10258634</t>
  </si>
  <si>
    <t>Sadpur</t>
  </si>
  <si>
    <t>PFD-10258653</t>
  </si>
  <si>
    <t>Mahendrapur</t>
  </si>
  <si>
    <t>PFD-10258654</t>
  </si>
  <si>
    <t>Mathar</t>
  </si>
  <si>
    <t>PFD-10258630</t>
  </si>
  <si>
    <t>Pachrukhi</t>
  </si>
  <si>
    <t>Vikash Kumar</t>
  </si>
  <si>
    <t>PFD-10258617</t>
  </si>
  <si>
    <t>Gowaharnagar</t>
  </si>
  <si>
    <t>PFD-10258614</t>
  </si>
  <si>
    <t>Mohaddinagar</t>
  </si>
  <si>
    <t>PFD-10258648</t>
  </si>
  <si>
    <t>Akalupur</t>
  </si>
  <si>
    <t>2 PCB sent from Store to STIPL for Replace</t>
  </si>
  <si>
    <t>1196</t>
  </si>
  <si>
    <t>Mohanpur (10700-5000)</t>
  </si>
  <si>
    <t/>
  </si>
  <si>
    <t>PFD-032611348</t>
  </si>
  <si>
    <t>PFD-032611331</t>
  </si>
  <si>
    <t>PFD-032611337</t>
  </si>
  <si>
    <t>Araria store</t>
  </si>
  <si>
    <t>PFD-032611350</t>
  </si>
  <si>
    <t>PFD-032611341</t>
  </si>
  <si>
    <t>PFD-032611338</t>
  </si>
  <si>
    <t>PFD-032611334</t>
  </si>
  <si>
    <t>PFD-032611332</t>
  </si>
  <si>
    <t>PFD-032611333</t>
  </si>
  <si>
    <t>Dumroan BMC</t>
  </si>
  <si>
    <t>Gomukh Rajpur</t>
  </si>
  <si>
    <t>RAJAPUR</t>
  </si>
  <si>
    <t>Gomukh Lewar</t>
  </si>
  <si>
    <t>Gomukh Rakshanagar_tola</t>
  </si>
  <si>
    <t>PFD-032611328</t>
  </si>
  <si>
    <t>PFD-032611336</t>
  </si>
  <si>
    <t>PFD-032611342</t>
  </si>
  <si>
    <t>PFD-032611339</t>
  </si>
  <si>
    <t>PFD-032611349</t>
  </si>
  <si>
    <t>PFD-032611351</t>
  </si>
  <si>
    <t>GOMUKH RAMCHANDARPUR II</t>
  </si>
  <si>
    <t>LAXMIPUR</t>
  </si>
  <si>
    <t>SANDH MAAF 2</t>
  </si>
  <si>
    <t>SONDHI</t>
  </si>
  <si>
    <t>BAKHIYA</t>
  </si>
  <si>
    <t>MALIYA</t>
  </si>
  <si>
    <t>PFD-032611352</t>
  </si>
  <si>
    <t>PFD-032611345</t>
  </si>
  <si>
    <t>Barkhanditol</t>
  </si>
  <si>
    <t>Amba-2</t>
  </si>
  <si>
    <t>PFD-032611347</t>
  </si>
  <si>
    <t>PFD-032611329</t>
  </si>
  <si>
    <t>PFD-032611335</t>
  </si>
  <si>
    <t>PFD-032611346</t>
  </si>
  <si>
    <t>PFD-032611343</t>
  </si>
  <si>
    <t>Bajangama</t>
  </si>
  <si>
    <t>Ramiya</t>
  </si>
  <si>
    <t>Manikatol</t>
  </si>
  <si>
    <t>Telgama</t>
  </si>
  <si>
    <t>Tara Dhamaun dakshin</t>
  </si>
  <si>
    <t>Vishnupatti-2</t>
  </si>
  <si>
    <t>Lalbabu</t>
  </si>
  <si>
    <t xml:space="preserve">Remarks </t>
  </si>
  <si>
    <t>Deduct from milk bill payment</t>
  </si>
  <si>
    <t>1305</t>
  </si>
  <si>
    <t>MANJOS(10700-5000)</t>
  </si>
  <si>
    <t>PFD-10258645</t>
  </si>
  <si>
    <t xml:space="preserve">Tinku </t>
  </si>
  <si>
    <t>MASUDAN</t>
  </si>
  <si>
    <t>PFD-032611330</t>
  </si>
  <si>
    <t>PFD-032611340</t>
  </si>
  <si>
    <t>TIYAY</t>
  </si>
  <si>
    <t>PFD-032611707</t>
  </si>
  <si>
    <t>PFD-032611708</t>
  </si>
  <si>
    <t>Amcu Repair</t>
  </si>
  <si>
    <t>PFD-10258643</t>
  </si>
  <si>
    <t>PFD-10258652</t>
  </si>
  <si>
    <t>GOMUKH LAXMIPUR</t>
  </si>
  <si>
    <t>Gomukh Sadananpur</t>
  </si>
  <si>
    <t>PFD-032611705</t>
  </si>
  <si>
    <t>PFD-032611715</t>
  </si>
  <si>
    <t>Vishan pur</t>
  </si>
  <si>
    <t>Parbatta</t>
  </si>
  <si>
    <t>PFD-032611714</t>
  </si>
  <si>
    <t>GREP041400D4FQH120</t>
  </si>
  <si>
    <t>PFD-032611344</t>
  </si>
  <si>
    <t>PFD-10258642</t>
  </si>
  <si>
    <t>Amount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</si>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</sst>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]#,##0.00"/>
    <numFmt numFmtId="165" formatCode="[$₹-820]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1" fontId="0" fillId="0" borderId="0" xfId="0" applyNumberFormat="1"/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14" fontId="0" fillId="0" borderId="1" xfId="0" applyNumberFormat="1" applyBorder="1"/>
    <xf numFmtId="0" fontId="0" fillId="0" borderId="1" xfId="0" quotePrefix="1" applyBorder="1"/>
    <xf numFmtId="0" fontId="2" fillId="0" borderId="1" xfId="0" quotePrefix="1" applyFont="1" applyBorder="1"/>
    <xf numFmtId="0" fontId="5" fillId="0" borderId="1" xfId="0" applyFont="1" applyBorder="1"/>
    <xf numFmtId="164" fontId="7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/>
    <xf numFmtId="0" fontId="2" fillId="0" borderId="0" xfId="1"/>
    <xf numFmtId="0" fontId="2" fillId="0" borderId="1" xfId="1" applyBorder="1"/>
    <xf numFmtId="0" fontId="7" fillId="0" borderId="3" xfId="1" applyFont="1" applyBorder="1"/>
    <xf numFmtId="165" fontId="0" fillId="0" borderId="1" xfId="0" applyNumberFormat="1" applyBorder="1"/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3" xfId="0" applyBorder="1"/>
    <xf numFmtId="164" fontId="6" fillId="0" borderId="6" xfId="0" applyNumberFormat="1" applyFont="1" applyBorder="1" applyAlignment="1">
      <alignment horizontal="right"/>
    </xf>
    <xf numFmtId="164" fontId="0" fillId="0" borderId="0" xfId="0" applyNumberFormat="1"/>
    <xf numFmtId="0" fontId="0" fillId="0" borderId="3" xfId="0" applyBorder="1" applyAlignment="1">
      <alignment horizontal="center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2" fillId="3" borderId="1" xfId="0" applyFont="1" applyFill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DCD3885C-47F9-43A2-A3C4-64F6C3F539D9}"/>
  </cellStyles>
  <dxfs count="1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E54F-F88E-4CF2-BAB5-515FD15DF34E}">
  <dimension ref="B7:O155"/>
  <sheetViews>
    <sheetView topLeftCell="A6" workbookViewId="0">
      <pane xSplit="5" ySplit="2" topLeftCell="F8" activePane="bottomRight" state="frozen"/>
      <selection activeCell="A6" sqref="A6"/>
      <selection pane="topRight" activeCell="J6" sqref="J6"/>
      <selection pane="bottomLeft" activeCell="A7" sqref="A7"/>
      <selection pane="bottomRight" activeCell="G12" sqref="G12"/>
    </sheetView>
  </sheetViews>
  <sheetFormatPr defaultRowHeight="15" x14ac:dyDescent="0.25"/>
  <cols>
    <col min="2" max="2" width="10.28515625" bestFit="1" customWidth="1"/>
    <col min="3" max="3" width="20.28515625" bestFit="1" customWidth="1"/>
    <col min="4" max="4" width="11.7109375" bestFit="1" customWidth="1"/>
    <col min="5" max="5" width="30.42578125" customWidth="1"/>
    <col min="6" max="6" width="11.28515625" bestFit="1" customWidth="1"/>
    <col min="7" max="7" width="13.42578125" customWidth="1"/>
    <col min="8" max="8" width="14.140625" bestFit="1" customWidth="1"/>
    <col min="9" max="9" width="19.140625" bestFit="1" customWidth="1"/>
    <col min="10" max="10" width="24.85546875" bestFit="1" customWidth="1"/>
    <col min="11" max="11" width="18" bestFit="1" customWidth="1"/>
    <col min="12" max="12" width="18" customWidth="1"/>
    <col min="13" max="13" width="16.7109375" bestFit="1" customWidth="1"/>
    <col min="14" max="14" width="36.7109375" bestFit="1" customWidth="1"/>
    <col min="15" max="15" width="29.7109375" bestFit="1" customWidth="1"/>
  </cols>
  <sheetData>
    <row r="7" spans="2:14" ht="15.75" x14ac:dyDescent="0.25">
      <c r="B7" s="7" t="s">
        <v>104</v>
      </c>
      <c r="C7" s="7" t="s">
        <v>105</v>
      </c>
      <c r="D7" s="7" t="s">
        <v>106</v>
      </c>
      <c r="E7" s="7" t="s">
        <v>139</v>
      </c>
      <c r="F7" s="7" t="s">
        <v>138</v>
      </c>
      <c r="G7" s="7" t="s">
        <v>117</v>
      </c>
      <c r="H7" s="7" t="s">
        <v>114</v>
      </c>
      <c r="I7" s="7" t="s">
        <v>115</v>
      </c>
      <c r="J7" s="7" t="s">
        <v>111</v>
      </c>
      <c r="K7" s="7" t="s">
        <v>107</v>
      </c>
      <c r="L7" s="7" t="s">
        <v>108</v>
      </c>
      <c r="M7" s="7" t="s">
        <v>110</v>
      </c>
      <c r="N7" s="7" t="s">
        <v>109</v>
      </c>
    </row>
    <row r="8" spans="2:14" x14ac:dyDescent="0.25">
      <c r="B8" s="3">
        <v>45783</v>
      </c>
      <c r="C8" s="1" t="s">
        <v>0</v>
      </c>
      <c r="D8" s="1">
        <v>10140007</v>
      </c>
      <c r="E8" s="1" t="s">
        <v>1</v>
      </c>
      <c r="F8" s="2" t="s">
        <v>2</v>
      </c>
      <c r="G8" s="2">
        <v>1</v>
      </c>
      <c r="H8" s="2">
        <f>+G8</f>
        <v>1</v>
      </c>
      <c r="I8" s="2">
        <v>0</v>
      </c>
      <c r="J8" s="2">
        <v>0</v>
      </c>
      <c r="K8" s="4" t="s">
        <v>3</v>
      </c>
      <c r="L8" s="1" t="s">
        <v>4</v>
      </c>
      <c r="M8" s="1" t="s">
        <v>5</v>
      </c>
      <c r="N8" s="1" t="s">
        <v>113</v>
      </c>
    </row>
    <row r="9" spans="2:14" x14ac:dyDescent="0.25">
      <c r="B9" s="3">
        <v>45783</v>
      </c>
      <c r="C9" s="1" t="s">
        <v>0</v>
      </c>
      <c r="D9" s="1">
        <v>10140013</v>
      </c>
      <c r="E9" s="1" t="s">
        <v>6</v>
      </c>
      <c r="F9" s="2" t="s">
        <v>2</v>
      </c>
      <c r="G9" s="2">
        <v>1</v>
      </c>
      <c r="H9" s="2">
        <f>+G9</f>
        <v>1</v>
      </c>
      <c r="I9" s="2">
        <v>0</v>
      </c>
      <c r="J9" s="2">
        <v>0</v>
      </c>
      <c r="K9" s="4" t="s">
        <v>3</v>
      </c>
      <c r="L9" s="1" t="s">
        <v>4</v>
      </c>
      <c r="M9" s="1" t="s">
        <v>5</v>
      </c>
      <c r="N9" s="1" t="s">
        <v>113</v>
      </c>
    </row>
    <row r="10" spans="2:14" x14ac:dyDescent="0.25">
      <c r="B10" s="3">
        <v>45783</v>
      </c>
      <c r="C10" s="1" t="s">
        <v>0</v>
      </c>
      <c r="D10" s="1">
        <v>10510001</v>
      </c>
      <c r="E10" s="1" t="s">
        <v>7</v>
      </c>
      <c r="F10" s="2" t="s">
        <v>2</v>
      </c>
      <c r="G10" s="2">
        <v>1</v>
      </c>
      <c r="H10" s="2">
        <f>+G10</f>
        <v>1</v>
      </c>
      <c r="I10" s="2">
        <v>0</v>
      </c>
      <c r="J10" s="2">
        <v>0</v>
      </c>
      <c r="K10" s="4" t="s">
        <v>3</v>
      </c>
      <c r="L10" s="1" t="s">
        <v>4</v>
      </c>
      <c r="M10" s="1" t="s">
        <v>5</v>
      </c>
      <c r="N10" s="1" t="s">
        <v>113</v>
      </c>
    </row>
    <row r="11" spans="2:14" x14ac:dyDescent="0.25">
      <c r="B11" s="3">
        <v>45783</v>
      </c>
      <c r="C11" s="1" t="s">
        <v>0</v>
      </c>
      <c r="D11" s="1">
        <v>10140001</v>
      </c>
      <c r="E11" s="1" t="s">
        <v>8</v>
      </c>
      <c r="F11" s="2" t="s">
        <v>2</v>
      </c>
      <c r="G11" s="2">
        <v>1</v>
      </c>
      <c r="H11" s="2">
        <v>1</v>
      </c>
      <c r="I11" s="2">
        <v>0</v>
      </c>
      <c r="J11" s="2">
        <v>0</v>
      </c>
      <c r="K11" s="4" t="s">
        <v>3</v>
      </c>
      <c r="L11" s="1" t="s">
        <v>4</v>
      </c>
      <c r="M11" s="1" t="s">
        <v>5</v>
      </c>
      <c r="N11" s="1" t="s">
        <v>113</v>
      </c>
    </row>
    <row r="12" spans="2:14" x14ac:dyDescent="0.25">
      <c r="B12" s="3">
        <v>45784</v>
      </c>
      <c r="C12" s="1" t="s">
        <v>9</v>
      </c>
      <c r="D12" s="1">
        <v>10030030</v>
      </c>
      <c r="E12" s="1" t="s">
        <v>10</v>
      </c>
      <c r="F12" s="2" t="s">
        <v>11</v>
      </c>
      <c r="G12" s="2">
        <v>1</v>
      </c>
      <c r="H12" s="2">
        <v>0</v>
      </c>
      <c r="I12" s="2">
        <v>1</v>
      </c>
      <c r="J12" s="2">
        <v>0</v>
      </c>
      <c r="K12" s="4" t="s">
        <v>3</v>
      </c>
      <c r="L12" s="1" t="s">
        <v>4</v>
      </c>
      <c r="M12" s="1" t="s">
        <v>12</v>
      </c>
      <c r="N12" s="1" t="s">
        <v>112</v>
      </c>
    </row>
    <row r="13" spans="2:14" x14ac:dyDescent="0.25">
      <c r="B13" s="3">
        <v>45784</v>
      </c>
      <c r="C13" s="1" t="s">
        <v>13</v>
      </c>
      <c r="D13" s="1">
        <v>10030037</v>
      </c>
      <c r="E13" s="1" t="s">
        <v>14</v>
      </c>
      <c r="F13" s="2" t="s">
        <v>11</v>
      </c>
      <c r="G13" s="2">
        <v>1</v>
      </c>
      <c r="H13" s="2">
        <v>1</v>
      </c>
      <c r="I13" s="2">
        <v>0</v>
      </c>
      <c r="J13" s="2">
        <v>0</v>
      </c>
      <c r="K13" s="4" t="s">
        <v>3</v>
      </c>
      <c r="L13" s="1" t="s">
        <v>4</v>
      </c>
      <c r="M13" s="1" t="s">
        <v>15</v>
      </c>
      <c r="N13" s="1" t="s">
        <v>113</v>
      </c>
    </row>
    <row r="14" spans="2:14" x14ac:dyDescent="0.25">
      <c r="B14" s="3">
        <v>45787</v>
      </c>
      <c r="C14" s="1" t="s">
        <v>16</v>
      </c>
      <c r="D14" s="1">
        <v>10060090</v>
      </c>
      <c r="E14" s="1" t="s">
        <v>17</v>
      </c>
      <c r="F14" s="2" t="s">
        <v>18</v>
      </c>
      <c r="G14" s="2">
        <v>1</v>
      </c>
      <c r="H14" s="2">
        <v>0</v>
      </c>
      <c r="I14" s="2">
        <v>1</v>
      </c>
      <c r="J14" s="2">
        <v>0</v>
      </c>
      <c r="K14" s="4" t="s">
        <v>3</v>
      </c>
      <c r="L14" s="1" t="s">
        <v>4</v>
      </c>
      <c r="M14" s="1" t="s">
        <v>19</v>
      </c>
      <c r="N14" s="1" t="s">
        <v>112</v>
      </c>
    </row>
    <row r="15" spans="2:14" x14ac:dyDescent="0.25">
      <c r="B15" s="3">
        <v>45787</v>
      </c>
      <c r="C15" s="1" t="s">
        <v>20</v>
      </c>
      <c r="D15" s="1">
        <v>10020021</v>
      </c>
      <c r="E15" s="1" t="s">
        <v>21</v>
      </c>
      <c r="F15" s="2" t="s">
        <v>22</v>
      </c>
      <c r="G15" s="2">
        <v>1</v>
      </c>
      <c r="H15" s="2">
        <v>1</v>
      </c>
      <c r="I15" s="2">
        <v>0</v>
      </c>
      <c r="J15" s="2">
        <v>0</v>
      </c>
      <c r="K15" s="4" t="s">
        <v>3</v>
      </c>
      <c r="L15" s="1" t="s">
        <v>4</v>
      </c>
      <c r="M15" s="1" t="s">
        <v>19</v>
      </c>
      <c r="N15" s="1" t="s">
        <v>113</v>
      </c>
    </row>
    <row r="16" spans="2:14" x14ac:dyDescent="0.25">
      <c r="B16" s="3">
        <v>45787</v>
      </c>
      <c r="C16" s="1" t="s">
        <v>23</v>
      </c>
      <c r="D16" s="1">
        <v>10090032</v>
      </c>
      <c r="E16" s="5" t="s">
        <v>24</v>
      </c>
      <c r="F16" s="2" t="s">
        <v>25</v>
      </c>
      <c r="G16" s="2">
        <v>1</v>
      </c>
      <c r="H16" s="2">
        <v>1</v>
      </c>
      <c r="I16" s="2">
        <v>0</v>
      </c>
      <c r="J16" s="2">
        <v>0</v>
      </c>
      <c r="K16" s="4" t="s">
        <v>3</v>
      </c>
      <c r="L16" s="1" t="s">
        <v>4</v>
      </c>
      <c r="M16" s="1" t="s">
        <v>19</v>
      </c>
      <c r="N16" s="1" t="s">
        <v>113</v>
      </c>
    </row>
    <row r="17" spans="2:15" x14ac:dyDescent="0.25">
      <c r="B17" s="3">
        <v>45787</v>
      </c>
      <c r="C17" s="1" t="s">
        <v>26</v>
      </c>
      <c r="D17" s="1">
        <v>1009</v>
      </c>
      <c r="E17" s="1" t="s">
        <v>27</v>
      </c>
      <c r="F17" s="2" t="s">
        <v>25</v>
      </c>
      <c r="G17" s="2">
        <v>1</v>
      </c>
      <c r="H17" s="2">
        <v>0</v>
      </c>
      <c r="I17" s="2">
        <v>1</v>
      </c>
      <c r="J17" s="2">
        <v>0</v>
      </c>
      <c r="K17" s="4" t="s">
        <v>3</v>
      </c>
      <c r="L17" s="1" t="s">
        <v>4</v>
      </c>
      <c r="M17" s="1" t="s">
        <v>19</v>
      </c>
      <c r="N17" s="1" t="s">
        <v>116</v>
      </c>
    </row>
    <row r="18" spans="2:15" x14ac:dyDescent="0.25">
      <c r="B18" s="3">
        <v>45800</v>
      </c>
      <c r="C18" s="1" t="s">
        <v>28</v>
      </c>
      <c r="D18" s="1">
        <v>0</v>
      </c>
      <c r="E18" s="1" t="s">
        <v>29</v>
      </c>
      <c r="F18" s="2" t="s">
        <v>30</v>
      </c>
      <c r="G18" s="2">
        <v>1</v>
      </c>
      <c r="H18" s="2">
        <v>0</v>
      </c>
      <c r="I18" s="2">
        <v>0</v>
      </c>
      <c r="J18" s="2">
        <v>1</v>
      </c>
      <c r="K18" s="4" t="s">
        <v>3</v>
      </c>
      <c r="L18" s="1" t="s">
        <v>4</v>
      </c>
      <c r="M18" s="1" t="s">
        <v>31</v>
      </c>
      <c r="N18" s="1" t="s">
        <v>111</v>
      </c>
    </row>
    <row r="19" spans="2:15" x14ac:dyDescent="0.25">
      <c r="B19" s="3">
        <v>45803</v>
      </c>
      <c r="C19" s="1" t="s">
        <v>32</v>
      </c>
      <c r="D19" s="1">
        <v>10010076</v>
      </c>
      <c r="E19" s="1" t="s">
        <v>285</v>
      </c>
      <c r="F19" s="2" t="s">
        <v>33</v>
      </c>
      <c r="G19" s="2">
        <v>1</v>
      </c>
      <c r="H19" s="2">
        <v>1</v>
      </c>
      <c r="I19" s="2">
        <v>0</v>
      </c>
      <c r="J19" s="2">
        <v>0</v>
      </c>
      <c r="K19" s="4" t="s">
        <v>3</v>
      </c>
      <c r="L19" s="1" t="s">
        <v>4</v>
      </c>
      <c r="M19" s="1" t="s">
        <v>35</v>
      </c>
      <c r="N19" s="1" t="s">
        <v>116</v>
      </c>
    </row>
    <row r="20" spans="2:15" x14ac:dyDescent="0.25">
      <c r="B20" s="3">
        <v>45803</v>
      </c>
      <c r="C20" s="1" t="s">
        <v>276</v>
      </c>
      <c r="D20" s="1">
        <v>10140022</v>
      </c>
      <c r="E20" s="1" t="s">
        <v>36</v>
      </c>
      <c r="F20" s="2" t="s">
        <v>2</v>
      </c>
      <c r="G20" s="2">
        <v>1</v>
      </c>
      <c r="H20" s="2">
        <v>1</v>
      </c>
      <c r="I20" s="2">
        <v>0</v>
      </c>
      <c r="J20" s="2">
        <v>0</v>
      </c>
      <c r="K20" s="4" t="s">
        <v>34</v>
      </c>
      <c r="L20" s="1" t="s">
        <v>4</v>
      </c>
      <c r="M20" s="1" t="s">
        <v>35</v>
      </c>
      <c r="N20" s="1" t="s">
        <v>113</v>
      </c>
    </row>
    <row r="21" spans="2:15" x14ac:dyDescent="0.25">
      <c r="B21" s="3">
        <v>45812</v>
      </c>
      <c r="C21" s="1" t="s">
        <v>37</v>
      </c>
      <c r="D21" s="1">
        <v>10060077</v>
      </c>
      <c r="E21" s="1" t="s">
        <v>38</v>
      </c>
      <c r="F21" s="2" t="s">
        <v>18</v>
      </c>
      <c r="G21" s="2">
        <v>1</v>
      </c>
      <c r="H21" s="2">
        <v>0</v>
      </c>
      <c r="I21" s="2">
        <v>1</v>
      </c>
      <c r="J21" s="2">
        <v>0</v>
      </c>
      <c r="K21" s="4" t="s">
        <v>3</v>
      </c>
      <c r="L21" s="1" t="s">
        <v>4</v>
      </c>
      <c r="M21" s="1" t="s">
        <v>39</v>
      </c>
      <c r="N21" s="1" t="s">
        <v>112</v>
      </c>
    </row>
    <row r="22" spans="2:15" x14ac:dyDescent="0.25">
      <c r="B22" s="3">
        <v>45814</v>
      </c>
      <c r="C22" s="1" t="s">
        <v>40</v>
      </c>
      <c r="D22" s="1">
        <v>10140131</v>
      </c>
      <c r="E22" s="1" t="s">
        <v>41</v>
      </c>
      <c r="F22" s="2" t="s">
        <v>2</v>
      </c>
      <c r="G22" s="2">
        <v>1</v>
      </c>
      <c r="H22" s="2">
        <v>0</v>
      </c>
      <c r="I22" s="2">
        <v>1</v>
      </c>
      <c r="J22" s="2">
        <v>0</v>
      </c>
      <c r="K22" s="4" t="s">
        <v>34</v>
      </c>
      <c r="L22" s="1" t="s">
        <v>4</v>
      </c>
      <c r="M22" s="1" t="s">
        <v>42</v>
      </c>
      <c r="N22" s="1" t="s">
        <v>112</v>
      </c>
    </row>
    <row r="23" spans="2:15" x14ac:dyDescent="0.25">
      <c r="B23" s="3">
        <v>45814</v>
      </c>
      <c r="C23" s="1" t="s">
        <v>43</v>
      </c>
      <c r="D23" s="1">
        <v>10140008</v>
      </c>
      <c r="E23" s="1" t="s">
        <v>44</v>
      </c>
      <c r="F23" s="2" t="s">
        <v>2</v>
      </c>
      <c r="G23" s="2">
        <v>1</v>
      </c>
      <c r="H23" s="2">
        <v>1</v>
      </c>
      <c r="I23" s="2">
        <v>0</v>
      </c>
      <c r="J23" s="2">
        <v>0</v>
      </c>
      <c r="K23" s="4" t="s">
        <v>34</v>
      </c>
      <c r="L23" s="1" t="s">
        <v>4</v>
      </c>
      <c r="M23" s="1" t="s">
        <v>42</v>
      </c>
      <c r="N23" s="1" t="s">
        <v>113</v>
      </c>
    </row>
    <row r="24" spans="2:15" x14ac:dyDescent="0.25">
      <c r="B24" s="3">
        <v>45814</v>
      </c>
      <c r="C24" s="1" t="s">
        <v>45</v>
      </c>
      <c r="D24" s="1">
        <v>10140030</v>
      </c>
      <c r="E24" s="1" t="s">
        <v>46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4" t="s">
        <v>34</v>
      </c>
      <c r="L24" s="1" t="s">
        <v>4</v>
      </c>
      <c r="M24" s="1" t="s">
        <v>42</v>
      </c>
      <c r="N24" s="1" t="s">
        <v>113</v>
      </c>
    </row>
    <row r="25" spans="2:15" x14ac:dyDescent="0.25">
      <c r="B25" s="3">
        <v>45828</v>
      </c>
      <c r="C25" s="1" t="s">
        <v>47</v>
      </c>
      <c r="D25" s="1">
        <v>10070033</v>
      </c>
      <c r="E25" s="1" t="s">
        <v>48</v>
      </c>
      <c r="F25" s="2" t="s">
        <v>49</v>
      </c>
      <c r="G25" s="2">
        <v>1</v>
      </c>
      <c r="H25" s="2">
        <v>1</v>
      </c>
      <c r="I25" s="2">
        <v>0</v>
      </c>
      <c r="J25" s="2">
        <v>0</v>
      </c>
      <c r="K25" s="4" t="s">
        <v>3</v>
      </c>
      <c r="L25" s="1" t="s">
        <v>4</v>
      </c>
      <c r="M25" s="1" t="s">
        <v>50</v>
      </c>
      <c r="N25" s="1" t="s">
        <v>113</v>
      </c>
    </row>
    <row r="26" spans="2:15" x14ac:dyDescent="0.25">
      <c r="B26" s="3">
        <v>45828</v>
      </c>
      <c r="C26" s="1" t="s">
        <v>51</v>
      </c>
      <c r="D26" s="1">
        <v>10100037</v>
      </c>
      <c r="E26" s="1" t="s">
        <v>52</v>
      </c>
      <c r="F26" s="2" t="s">
        <v>49</v>
      </c>
      <c r="G26" s="2">
        <v>1</v>
      </c>
      <c r="H26" s="2">
        <v>1</v>
      </c>
      <c r="I26" s="2">
        <v>0</v>
      </c>
      <c r="J26" s="2">
        <v>0</v>
      </c>
      <c r="K26" s="4" t="s">
        <v>3</v>
      </c>
      <c r="L26" s="1" t="s">
        <v>4</v>
      </c>
      <c r="M26" s="1" t="s">
        <v>50</v>
      </c>
      <c r="N26" s="1" t="s">
        <v>113</v>
      </c>
    </row>
    <row r="27" spans="2:15" x14ac:dyDescent="0.25">
      <c r="B27" s="3">
        <v>45828</v>
      </c>
      <c r="C27" s="1" t="s">
        <v>53</v>
      </c>
      <c r="D27" s="1">
        <v>10070049</v>
      </c>
      <c r="E27" s="1" t="s">
        <v>54</v>
      </c>
      <c r="F27" s="2" t="s">
        <v>49</v>
      </c>
      <c r="G27" s="2">
        <v>1</v>
      </c>
      <c r="H27" s="2">
        <v>1</v>
      </c>
      <c r="I27" s="2">
        <v>0</v>
      </c>
      <c r="J27" s="2">
        <v>0</v>
      </c>
      <c r="K27" s="4" t="s">
        <v>3</v>
      </c>
      <c r="L27" s="1" t="s">
        <v>4</v>
      </c>
      <c r="M27" s="1" t="s">
        <v>50</v>
      </c>
      <c r="N27" s="1" t="s">
        <v>113</v>
      </c>
    </row>
    <row r="28" spans="2:15" x14ac:dyDescent="0.25">
      <c r="B28" s="3">
        <v>45834</v>
      </c>
      <c r="C28" s="1" t="s">
        <v>55</v>
      </c>
      <c r="D28" s="1">
        <v>10120083</v>
      </c>
      <c r="E28" s="1" t="s">
        <v>56</v>
      </c>
      <c r="F28" s="2" t="s">
        <v>57</v>
      </c>
      <c r="G28" s="2">
        <v>1</v>
      </c>
      <c r="H28" s="2">
        <v>1</v>
      </c>
      <c r="I28" s="2">
        <v>0</v>
      </c>
      <c r="J28" s="2">
        <v>0</v>
      </c>
      <c r="K28" s="4" t="s">
        <v>58</v>
      </c>
      <c r="L28" s="1" t="s">
        <v>59</v>
      </c>
      <c r="M28" s="1" t="s">
        <v>60</v>
      </c>
      <c r="N28" s="1" t="s">
        <v>113</v>
      </c>
    </row>
    <row r="29" spans="2:15" x14ac:dyDescent="0.25">
      <c r="B29" s="3">
        <v>45834</v>
      </c>
      <c r="C29" s="1" t="s">
        <v>61</v>
      </c>
      <c r="D29" s="1">
        <v>10120046</v>
      </c>
      <c r="E29" s="1" t="s">
        <v>62</v>
      </c>
      <c r="F29" s="2" t="s">
        <v>57</v>
      </c>
      <c r="G29" s="2">
        <v>1</v>
      </c>
      <c r="H29" s="2">
        <v>1</v>
      </c>
      <c r="I29" s="2">
        <v>0</v>
      </c>
      <c r="J29" s="2">
        <v>0</v>
      </c>
      <c r="K29" s="4" t="s">
        <v>58</v>
      </c>
      <c r="L29" s="1" t="s">
        <v>59</v>
      </c>
      <c r="M29" s="1" t="s">
        <v>60</v>
      </c>
      <c r="N29" s="1" t="s">
        <v>113</v>
      </c>
    </row>
    <row r="30" spans="2:15" x14ac:dyDescent="0.25">
      <c r="B30" s="3">
        <v>45834</v>
      </c>
      <c r="C30" s="1" t="s">
        <v>63</v>
      </c>
      <c r="D30" s="1">
        <v>10130012</v>
      </c>
      <c r="E30" s="1" t="s">
        <v>64</v>
      </c>
      <c r="F30" s="2" t="s">
        <v>65</v>
      </c>
      <c r="G30" s="2">
        <v>1</v>
      </c>
      <c r="H30" s="2">
        <v>1</v>
      </c>
      <c r="I30" s="2">
        <v>0</v>
      </c>
      <c r="J30" s="2">
        <v>0</v>
      </c>
      <c r="K30" s="4" t="s">
        <v>58</v>
      </c>
      <c r="L30" s="1" t="s">
        <v>59</v>
      </c>
      <c r="M30" s="1" t="s">
        <v>60</v>
      </c>
      <c r="N30" s="1" t="s">
        <v>113</v>
      </c>
    </row>
    <row r="31" spans="2:15" x14ac:dyDescent="0.25">
      <c r="B31" s="3">
        <v>45989</v>
      </c>
      <c r="C31" s="39" t="s">
        <v>353</v>
      </c>
      <c r="D31" s="1">
        <v>1013</v>
      </c>
      <c r="E31" s="1" t="s">
        <v>66</v>
      </c>
      <c r="F31" s="2" t="s">
        <v>65</v>
      </c>
      <c r="G31" s="2">
        <v>1</v>
      </c>
      <c r="H31" s="2">
        <v>0</v>
      </c>
      <c r="I31" s="2">
        <v>1</v>
      </c>
      <c r="J31" s="2">
        <v>0</v>
      </c>
      <c r="K31" s="4" t="s">
        <v>58</v>
      </c>
      <c r="L31" s="1" t="s">
        <v>59</v>
      </c>
      <c r="M31" s="1" t="s">
        <v>60</v>
      </c>
      <c r="N31" s="1" t="s">
        <v>116</v>
      </c>
      <c r="O31" s="38" t="s">
        <v>354</v>
      </c>
    </row>
    <row r="32" spans="2:15" x14ac:dyDescent="0.25">
      <c r="B32" s="3">
        <v>45834</v>
      </c>
      <c r="C32" s="6" t="s">
        <v>67</v>
      </c>
      <c r="D32" s="1">
        <v>1012</v>
      </c>
      <c r="E32" s="1" t="s">
        <v>68</v>
      </c>
      <c r="F32" s="2" t="s">
        <v>57</v>
      </c>
      <c r="G32" s="2">
        <v>1</v>
      </c>
      <c r="H32" s="2">
        <v>0</v>
      </c>
      <c r="I32" s="2">
        <v>0</v>
      </c>
      <c r="J32" s="2">
        <v>1</v>
      </c>
      <c r="K32" s="4" t="s">
        <v>58</v>
      </c>
      <c r="L32" s="1" t="s">
        <v>59</v>
      </c>
      <c r="M32" s="1" t="s">
        <v>60</v>
      </c>
      <c r="N32" s="1" t="s">
        <v>111</v>
      </c>
    </row>
    <row r="33" spans="2:14" x14ac:dyDescent="0.25">
      <c r="B33" s="3">
        <v>45845</v>
      </c>
      <c r="C33" s="1" t="s">
        <v>491</v>
      </c>
      <c r="D33" s="1">
        <v>10140129</v>
      </c>
      <c r="E33" s="1" t="s">
        <v>69</v>
      </c>
      <c r="F33" s="2" t="s">
        <v>2</v>
      </c>
      <c r="G33" s="2">
        <v>1</v>
      </c>
      <c r="H33" s="2">
        <v>0</v>
      </c>
      <c r="I33" s="2">
        <v>1</v>
      </c>
      <c r="J33" s="2">
        <v>0</v>
      </c>
      <c r="K33" s="4" t="s">
        <v>58</v>
      </c>
      <c r="L33" s="1" t="s">
        <v>4</v>
      </c>
      <c r="M33" s="1" t="s">
        <v>70</v>
      </c>
      <c r="N33" s="1" t="s">
        <v>112</v>
      </c>
    </row>
    <row r="34" spans="2:14" x14ac:dyDescent="0.25">
      <c r="B34" s="3">
        <v>45845</v>
      </c>
      <c r="C34" s="1" t="s">
        <v>71</v>
      </c>
      <c r="D34" s="1">
        <v>10090036</v>
      </c>
      <c r="E34" s="5" t="s">
        <v>72</v>
      </c>
      <c r="F34" s="2" t="s">
        <v>25</v>
      </c>
      <c r="G34" s="2">
        <v>1</v>
      </c>
      <c r="H34" s="2">
        <v>1</v>
      </c>
      <c r="I34" s="2">
        <v>0</v>
      </c>
      <c r="J34" s="2">
        <v>0</v>
      </c>
      <c r="K34" s="4" t="s">
        <v>3</v>
      </c>
      <c r="L34" s="1" t="s">
        <v>4</v>
      </c>
      <c r="M34" s="1" t="s">
        <v>4</v>
      </c>
      <c r="N34" s="1" t="s">
        <v>113</v>
      </c>
    </row>
    <row r="35" spans="2:14" x14ac:dyDescent="0.25">
      <c r="B35" s="3">
        <v>45852</v>
      </c>
      <c r="C35" s="1" t="s">
        <v>73</v>
      </c>
      <c r="D35" s="1">
        <v>10310001</v>
      </c>
      <c r="E35" s="1" t="s">
        <v>74</v>
      </c>
      <c r="F35" s="2" t="s">
        <v>18</v>
      </c>
      <c r="G35" s="2">
        <v>1</v>
      </c>
      <c r="H35" s="2">
        <v>1</v>
      </c>
      <c r="I35" s="2">
        <v>0</v>
      </c>
      <c r="J35" s="2">
        <v>0</v>
      </c>
      <c r="K35" s="4" t="s">
        <v>3</v>
      </c>
      <c r="L35" s="1" t="s">
        <v>4</v>
      </c>
      <c r="M35" s="1" t="s">
        <v>75</v>
      </c>
      <c r="N35" s="1" t="s">
        <v>113</v>
      </c>
    </row>
    <row r="36" spans="2:14" x14ac:dyDescent="0.25">
      <c r="B36" s="3">
        <v>45852</v>
      </c>
      <c r="C36" s="1" t="s">
        <v>76</v>
      </c>
      <c r="D36" s="1">
        <v>10020037</v>
      </c>
      <c r="E36" s="1" t="s">
        <v>77</v>
      </c>
      <c r="F36" s="2" t="s">
        <v>22</v>
      </c>
      <c r="G36" s="2">
        <v>1</v>
      </c>
      <c r="H36" s="2">
        <v>1</v>
      </c>
      <c r="I36" s="2">
        <v>0</v>
      </c>
      <c r="J36" s="2">
        <v>0</v>
      </c>
      <c r="K36" s="4" t="s">
        <v>3</v>
      </c>
      <c r="L36" s="1" t="s">
        <v>4</v>
      </c>
      <c r="M36" s="1" t="s">
        <v>19</v>
      </c>
      <c r="N36" s="1" t="s">
        <v>113</v>
      </c>
    </row>
    <row r="37" spans="2:14" x14ac:dyDescent="0.25">
      <c r="B37" s="3">
        <v>45852</v>
      </c>
      <c r="C37" s="6" t="s">
        <v>78</v>
      </c>
      <c r="D37" s="1">
        <v>10120082</v>
      </c>
      <c r="E37" s="1" t="s">
        <v>79</v>
      </c>
      <c r="F37" s="4" t="s">
        <v>57</v>
      </c>
      <c r="G37" s="2">
        <v>1</v>
      </c>
      <c r="H37" s="2">
        <v>1</v>
      </c>
      <c r="I37" s="2">
        <v>0</v>
      </c>
      <c r="J37" s="2">
        <v>0</v>
      </c>
      <c r="K37" s="4" t="s">
        <v>58</v>
      </c>
      <c r="L37" s="6" t="s">
        <v>4</v>
      </c>
      <c r="M37" s="6" t="s">
        <v>80</v>
      </c>
      <c r="N37" s="1" t="s">
        <v>113</v>
      </c>
    </row>
    <row r="38" spans="2:14" x14ac:dyDescent="0.25">
      <c r="B38" s="3">
        <v>45852</v>
      </c>
      <c r="C38" s="6" t="s">
        <v>81</v>
      </c>
      <c r="D38" s="1"/>
      <c r="E38" s="6" t="s">
        <v>82</v>
      </c>
      <c r="F38" s="2"/>
      <c r="G38" s="2">
        <v>1</v>
      </c>
      <c r="H38" s="2">
        <v>0</v>
      </c>
      <c r="I38" s="2">
        <v>0</v>
      </c>
      <c r="J38" s="2">
        <v>1</v>
      </c>
      <c r="K38" s="4" t="s">
        <v>70</v>
      </c>
      <c r="L38" s="6" t="s">
        <v>4</v>
      </c>
      <c r="M38" s="6" t="s">
        <v>83</v>
      </c>
      <c r="N38" s="1" t="s">
        <v>111</v>
      </c>
    </row>
    <row r="39" spans="2:14" x14ac:dyDescent="0.25">
      <c r="B39" s="3">
        <v>45852</v>
      </c>
      <c r="C39" s="6" t="s">
        <v>84</v>
      </c>
      <c r="D39" s="1"/>
      <c r="E39" s="6" t="s">
        <v>82</v>
      </c>
      <c r="F39" s="2"/>
      <c r="G39" s="2">
        <v>1</v>
      </c>
      <c r="H39" s="2">
        <v>0</v>
      </c>
      <c r="I39" s="2">
        <v>0</v>
      </c>
      <c r="J39" s="2">
        <v>1</v>
      </c>
      <c r="K39" s="4" t="s">
        <v>70</v>
      </c>
      <c r="L39" s="6" t="s">
        <v>4</v>
      </c>
      <c r="M39" s="6" t="s">
        <v>83</v>
      </c>
      <c r="N39" s="1" t="s">
        <v>111</v>
      </c>
    </row>
    <row r="40" spans="2:14" x14ac:dyDescent="0.25">
      <c r="B40" s="3">
        <v>45852</v>
      </c>
      <c r="C40" s="6" t="s">
        <v>85</v>
      </c>
      <c r="D40" s="1"/>
      <c r="E40" s="6" t="s">
        <v>82</v>
      </c>
      <c r="F40" s="2"/>
      <c r="G40" s="2">
        <v>1</v>
      </c>
      <c r="H40" s="2">
        <v>0</v>
      </c>
      <c r="I40" s="2">
        <v>0</v>
      </c>
      <c r="J40" s="2">
        <v>1</v>
      </c>
      <c r="K40" s="4" t="s">
        <v>70</v>
      </c>
      <c r="L40" s="6" t="s">
        <v>4</v>
      </c>
      <c r="M40" s="6" t="s">
        <v>83</v>
      </c>
      <c r="N40" s="1" t="s">
        <v>111</v>
      </c>
    </row>
    <row r="41" spans="2:14" x14ac:dyDescent="0.25">
      <c r="B41" s="3">
        <v>45852</v>
      </c>
      <c r="C41" s="6" t="s">
        <v>86</v>
      </c>
      <c r="D41" s="1"/>
      <c r="E41" s="6" t="s">
        <v>82</v>
      </c>
      <c r="F41" s="2"/>
      <c r="G41" s="2">
        <v>1</v>
      </c>
      <c r="H41" s="2">
        <v>0</v>
      </c>
      <c r="I41" s="2">
        <v>0</v>
      </c>
      <c r="J41" s="2">
        <v>1</v>
      </c>
      <c r="K41" s="4" t="s">
        <v>70</v>
      </c>
      <c r="L41" s="6" t="s">
        <v>4</v>
      </c>
      <c r="M41" s="6" t="s">
        <v>83</v>
      </c>
      <c r="N41" s="1" t="s">
        <v>111</v>
      </c>
    </row>
    <row r="42" spans="2:14" x14ac:dyDescent="0.25">
      <c r="B42" s="3">
        <v>45852</v>
      </c>
      <c r="C42" s="6" t="s">
        <v>87</v>
      </c>
      <c r="D42" s="1"/>
      <c r="E42" s="6" t="s">
        <v>82</v>
      </c>
      <c r="F42" s="2"/>
      <c r="G42" s="2">
        <v>1</v>
      </c>
      <c r="H42" s="2">
        <v>0</v>
      </c>
      <c r="I42" s="2">
        <v>0</v>
      </c>
      <c r="J42" s="2">
        <v>1</v>
      </c>
      <c r="K42" s="4" t="s">
        <v>70</v>
      </c>
      <c r="L42" s="6" t="s">
        <v>4</v>
      </c>
      <c r="M42" s="6" t="s">
        <v>83</v>
      </c>
      <c r="N42" s="1" t="s">
        <v>111</v>
      </c>
    </row>
    <row r="43" spans="2:14" x14ac:dyDescent="0.25">
      <c r="B43" s="3">
        <v>45852</v>
      </c>
      <c r="C43" s="6" t="s">
        <v>88</v>
      </c>
      <c r="D43" s="1"/>
      <c r="E43" s="6" t="s">
        <v>82</v>
      </c>
      <c r="F43" s="2"/>
      <c r="G43" s="2">
        <v>1</v>
      </c>
      <c r="H43" s="2">
        <v>0</v>
      </c>
      <c r="I43" s="2">
        <v>0</v>
      </c>
      <c r="J43" s="2">
        <v>1</v>
      </c>
      <c r="K43" s="4" t="s">
        <v>70</v>
      </c>
      <c r="L43" s="6" t="s">
        <v>4</v>
      </c>
      <c r="M43" s="6" t="s">
        <v>83</v>
      </c>
      <c r="N43" s="1" t="s">
        <v>111</v>
      </c>
    </row>
    <row r="44" spans="2:14" x14ac:dyDescent="0.25">
      <c r="B44" s="3">
        <v>45852</v>
      </c>
      <c r="C44" s="6" t="s">
        <v>89</v>
      </c>
      <c r="D44" s="1"/>
      <c r="E44" s="6" t="s">
        <v>82</v>
      </c>
      <c r="F44" s="2"/>
      <c r="G44" s="2">
        <v>1</v>
      </c>
      <c r="H44" s="2">
        <v>0</v>
      </c>
      <c r="I44" s="2">
        <v>0</v>
      </c>
      <c r="J44" s="2">
        <v>1</v>
      </c>
      <c r="K44" s="4" t="s">
        <v>70</v>
      </c>
      <c r="L44" s="6" t="s">
        <v>4</v>
      </c>
      <c r="M44" s="6" t="s">
        <v>83</v>
      </c>
      <c r="N44" s="1" t="s">
        <v>111</v>
      </c>
    </row>
    <row r="45" spans="2:14" x14ac:dyDescent="0.25">
      <c r="B45" s="3">
        <v>45852</v>
      </c>
      <c r="C45" s="6" t="s">
        <v>90</v>
      </c>
      <c r="D45" s="1"/>
      <c r="E45" s="6" t="s">
        <v>82</v>
      </c>
      <c r="F45" s="2"/>
      <c r="G45" s="2">
        <v>1</v>
      </c>
      <c r="H45" s="2">
        <v>0</v>
      </c>
      <c r="I45" s="2">
        <v>0</v>
      </c>
      <c r="J45" s="2">
        <v>1</v>
      </c>
      <c r="K45" s="4" t="s">
        <v>70</v>
      </c>
      <c r="L45" s="6" t="s">
        <v>4</v>
      </c>
      <c r="M45" s="6" t="s">
        <v>83</v>
      </c>
      <c r="N45" s="1" t="s">
        <v>111</v>
      </c>
    </row>
    <row r="46" spans="2:14" x14ac:dyDescent="0.25">
      <c r="B46" s="3">
        <v>45852</v>
      </c>
      <c r="C46" s="6" t="s">
        <v>91</v>
      </c>
      <c r="D46" s="1"/>
      <c r="E46" s="6" t="s">
        <v>82</v>
      </c>
      <c r="F46" s="2"/>
      <c r="G46" s="2">
        <v>1</v>
      </c>
      <c r="H46" s="2">
        <v>0</v>
      </c>
      <c r="I46" s="2">
        <v>0</v>
      </c>
      <c r="J46" s="2">
        <v>1</v>
      </c>
      <c r="K46" s="4" t="s">
        <v>70</v>
      </c>
      <c r="L46" s="6" t="s">
        <v>4</v>
      </c>
      <c r="M46" s="6" t="s">
        <v>83</v>
      </c>
      <c r="N46" s="1" t="s">
        <v>111</v>
      </c>
    </row>
    <row r="47" spans="2:14" x14ac:dyDescent="0.25">
      <c r="B47" s="3">
        <v>45852</v>
      </c>
      <c r="C47" s="6" t="s">
        <v>92</v>
      </c>
      <c r="D47" s="1"/>
      <c r="E47" s="6" t="s">
        <v>82</v>
      </c>
      <c r="F47" s="2"/>
      <c r="G47" s="2">
        <v>1</v>
      </c>
      <c r="H47" s="2">
        <v>0</v>
      </c>
      <c r="I47" s="2">
        <v>0</v>
      </c>
      <c r="J47" s="2">
        <v>1</v>
      </c>
      <c r="K47" s="4" t="s">
        <v>70</v>
      </c>
      <c r="L47" s="6" t="s">
        <v>4</v>
      </c>
      <c r="M47" s="6" t="s">
        <v>83</v>
      </c>
      <c r="N47" s="1" t="s">
        <v>111</v>
      </c>
    </row>
    <row r="48" spans="2:14" x14ac:dyDescent="0.25">
      <c r="B48" s="3">
        <v>45852</v>
      </c>
      <c r="C48" s="6" t="s">
        <v>93</v>
      </c>
      <c r="D48" s="1"/>
      <c r="E48" s="6" t="s">
        <v>82</v>
      </c>
      <c r="F48" s="2"/>
      <c r="G48" s="2">
        <v>1</v>
      </c>
      <c r="H48" s="2">
        <v>0</v>
      </c>
      <c r="I48" s="2">
        <v>0</v>
      </c>
      <c r="J48" s="2">
        <v>1</v>
      </c>
      <c r="K48" s="4" t="s">
        <v>70</v>
      </c>
      <c r="L48" s="6" t="s">
        <v>4</v>
      </c>
      <c r="M48" s="6" t="s">
        <v>83</v>
      </c>
      <c r="N48" s="1" t="s">
        <v>111</v>
      </c>
    </row>
    <row r="49" spans="2:14" x14ac:dyDescent="0.25">
      <c r="B49" s="3">
        <v>45856</v>
      </c>
      <c r="C49" s="6" t="s">
        <v>94</v>
      </c>
      <c r="D49" s="1">
        <v>10080100</v>
      </c>
      <c r="E49" s="1" t="s">
        <v>95</v>
      </c>
      <c r="F49" s="2" t="s">
        <v>96</v>
      </c>
      <c r="G49" s="2">
        <v>1</v>
      </c>
      <c r="H49" s="2">
        <v>0</v>
      </c>
      <c r="I49" s="2">
        <v>1</v>
      </c>
      <c r="J49" s="2">
        <v>0</v>
      </c>
      <c r="K49" s="4" t="s">
        <v>3</v>
      </c>
      <c r="L49" s="6" t="s">
        <v>4</v>
      </c>
      <c r="M49" s="1" t="s">
        <v>97</v>
      </c>
      <c r="N49" s="1" t="s">
        <v>112</v>
      </c>
    </row>
    <row r="50" spans="2:14" x14ac:dyDescent="0.25">
      <c r="B50" s="3">
        <v>45867</v>
      </c>
      <c r="C50" s="6" t="s">
        <v>98</v>
      </c>
      <c r="D50" s="1">
        <v>10090046</v>
      </c>
      <c r="E50" s="1" t="s">
        <v>99</v>
      </c>
      <c r="F50" s="2" t="s">
        <v>25</v>
      </c>
      <c r="G50" s="2">
        <v>1</v>
      </c>
      <c r="H50" s="2">
        <v>1</v>
      </c>
      <c r="I50" s="2">
        <v>0</v>
      </c>
      <c r="J50" s="2">
        <v>0</v>
      </c>
      <c r="K50" s="4" t="s">
        <v>3</v>
      </c>
      <c r="L50" s="6" t="s">
        <v>4</v>
      </c>
      <c r="M50" s="1" t="s">
        <v>100</v>
      </c>
      <c r="N50" s="1" t="s">
        <v>113</v>
      </c>
    </row>
    <row r="51" spans="2:14" x14ac:dyDescent="0.25">
      <c r="B51" s="3">
        <v>45869</v>
      </c>
      <c r="C51" s="6"/>
      <c r="D51" s="1"/>
      <c r="E51" s="1" t="s">
        <v>29</v>
      </c>
      <c r="F51" s="2" t="s">
        <v>30</v>
      </c>
      <c r="G51" s="2">
        <v>23</v>
      </c>
      <c r="H51" s="2">
        <v>0</v>
      </c>
      <c r="I51" s="2">
        <v>0</v>
      </c>
      <c r="J51" s="2">
        <v>23</v>
      </c>
      <c r="K51" s="4" t="s">
        <v>3</v>
      </c>
      <c r="L51" s="1" t="s">
        <v>4</v>
      </c>
      <c r="M51" s="1" t="s">
        <v>31</v>
      </c>
      <c r="N51" s="1" t="s">
        <v>111</v>
      </c>
    </row>
    <row r="52" spans="2:14" x14ac:dyDescent="0.25">
      <c r="B52" s="3">
        <v>45874</v>
      </c>
      <c r="C52" s="6" t="s">
        <v>101</v>
      </c>
      <c r="D52" s="1">
        <v>10030010</v>
      </c>
      <c r="E52" s="1" t="s">
        <v>102</v>
      </c>
      <c r="F52" s="2" t="s">
        <v>11</v>
      </c>
      <c r="G52" s="2">
        <v>1</v>
      </c>
      <c r="H52" s="2">
        <v>1</v>
      </c>
      <c r="I52" s="2">
        <v>0</v>
      </c>
      <c r="J52" s="2">
        <v>0</v>
      </c>
      <c r="K52" s="4" t="s">
        <v>3</v>
      </c>
      <c r="L52" s="1" t="s">
        <v>4</v>
      </c>
      <c r="M52" s="1" t="s">
        <v>103</v>
      </c>
      <c r="N52" s="1" t="s">
        <v>113</v>
      </c>
    </row>
    <row r="53" spans="2:14" x14ac:dyDescent="0.25">
      <c r="B53" s="3">
        <v>45908</v>
      </c>
      <c r="C53" s="6" t="s">
        <v>277</v>
      </c>
      <c r="D53" s="1">
        <v>10090008</v>
      </c>
      <c r="E53" s="1" t="s">
        <v>279</v>
      </c>
      <c r="F53" s="2" t="s">
        <v>25</v>
      </c>
      <c r="G53" s="34">
        <v>1</v>
      </c>
      <c r="H53" s="2">
        <v>1</v>
      </c>
      <c r="I53" s="2">
        <v>0</v>
      </c>
      <c r="J53" s="2">
        <v>0</v>
      </c>
      <c r="K53" s="4" t="s">
        <v>3</v>
      </c>
      <c r="L53" s="1" t="s">
        <v>4</v>
      </c>
      <c r="M53" s="1" t="s">
        <v>281</v>
      </c>
      <c r="N53" s="1" t="s">
        <v>113</v>
      </c>
    </row>
    <row r="54" spans="2:14" x14ac:dyDescent="0.25">
      <c r="B54" s="3">
        <v>45908</v>
      </c>
      <c r="C54" s="6" t="s">
        <v>306</v>
      </c>
      <c r="D54" s="1">
        <v>10060114</v>
      </c>
      <c r="E54" s="1" t="s">
        <v>280</v>
      </c>
      <c r="F54" s="2" t="s">
        <v>18</v>
      </c>
      <c r="G54" s="34">
        <v>1</v>
      </c>
      <c r="H54" s="2">
        <v>0</v>
      </c>
      <c r="I54" s="2">
        <v>1</v>
      </c>
      <c r="J54" s="2">
        <v>0</v>
      </c>
      <c r="K54" s="4" t="s">
        <v>3</v>
      </c>
      <c r="L54" s="1" t="s">
        <v>4</v>
      </c>
      <c r="M54" s="1" t="s">
        <v>19</v>
      </c>
      <c r="N54" s="1" t="s">
        <v>112</v>
      </c>
    </row>
    <row r="55" spans="2:14" x14ac:dyDescent="0.25">
      <c r="B55" s="3">
        <v>45917</v>
      </c>
      <c r="C55" s="6" t="s">
        <v>287</v>
      </c>
      <c r="D55" s="1">
        <v>1002</v>
      </c>
      <c r="E55" s="1" t="s">
        <v>288</v>
      </c>
      <c r="F55" s="2" t="s">
        <v>22</v>
      </c>
      <c r="G55" s="34">
        <v>1</v>
      </c>
      <c r="H55" s="2">
        <v>0</v>
      </c>
      <c r="I55" s="2">
        <v>1</v>
      </c>
      <c r="J55" s="2">
        <v>0</v>
      </c>
      <c r="K55" s="4" t="s">
        <v>3</v>
      </c>
      <c r="L55" s="1" t="s">
        <v>4</v>
      </c>
      <c r="M55" s="1" t="s">
        <v>289</v>
      </c>
      <c r="N55" s="1" t="s">
        <v>290</v>
      </c>
    </row>
    <row r="56" spans="2:14" x14ac:dyDescent="0.25">
      <c r="B56" s="3">
        <v>45946</v>
      </c>
      <c r="C56" s="6" t="s">
        <v>291</v>
      </c>
      <c r="D56" s="1">
        <v>10090045</v>
      </c>
      <c r="E56" s="1" t="s">
        <v>292</v>
      </c>
      <c r="F56" s="2" t="s">
        <v>25</v>
      </c>
      <c r="G56" s="34">
        <v>1</v>
      </c>
      <c r="H56" s="2">
        <v>1</v>
      </c>
      <c r="I56" s="2">
        <v>0</v>
      </c>
      <c r="J56" s="2">
        <v>0</v>
      </c>
      <c r="K56" s="4" t="s">
        <v>3</v>
      </c>
      <c r="L56" s="1" t="s">
        <v>4</v>
      </c>
      <c r="M56" s="1" t="s">
        <v>281</v>
      </c>
      <c r="N56" s="1" t="s">
        <v>293</v>
      </c>
    </row>
    <row r="57" spans="2:14" x14ac:dyDescent="0.25">
      <c r="B57" s="3">
        <v>45948</v>
      </c>
      <c r="C57" s="6" t="s">
        <v>294</v>
      </c>
      <c r="D57" s="1">
        <v>10130026</v>
      </c>
      <c r="E57" s="1" t="s">
        <v>358</v>
      </c>
      <c r="F57" s="2" t="s">
        <v>65</v>
      </c>
      <c r="G57" s="34">
        <v>1</v>
      </c>
      <c r="H57" s="2">
        <v>1</v>
      </c>
      <c r="I57" s="2">
        <v>0</v>
      </c>
      <c r="J57" s="2">
        <v>0</v>
      </c>
      <c r="K57" s="4" t="s">
        <v>34</v>
      </c>
      <c r="L57" s="1" t="s">
        <v>4</v>
      </c>
      <c r="M57" s="1" t="s">
        <v>302</v>
      </c>
      <c r="N57" s="1" t="s">
        <v>113</v>
      </c>
    </row>
    <row r="58" spans="2:14" x14ac:dyDescent="0.25">
      <c r="B58" s="3">
        <v>45948</v>
      </c>
      <c r="C58" s="6" t="s">
        <v>295</v>
      </c>
      <c r="D58" s="1">
        <v>10120104</v>
      </c>
      <c r="E58" s="1" t="s">
        <v>299</v>
      </c>
      <c r="F58" s="2" t="s">
        <v>57</v>
      </c>
      <c r="G58" s="34">
        <v>1</v>
      </c>
      <c r="H58" s="2">
        <v>0</v>
      </c>
      <c r="I58" s="2">
        <v>1</v>
      </c>
      <c r="J58" s="2">
        <v>0</v>
      </c>
      <c r="K58" s="4" t="s">
        <v>34</v>
      </c>
      <c r="L58" s="1" t="s">
        <v>4</v>
      </c>
      <c r="M58" s="1" t="s">
        <v>302</v>
      </c>
      <c r="N58" s="1" t="s">
        <v>112</v>
      </c>
    </row>
    <row r="59" spans="2:14" x14ac:dyDescent="0.25">
      <c r="B59" s="3">
        <v>45948</v>
      </c>
      <c r="C59" s="6" t="s">
        <v>296</v>
      </c>
      <c r="D59" s="1">
        <v>10120094</v>
      </c>
      <c r="E59" s="1" t="s">
        <v>300</v>
      </c>
      <c r="F59" s="2" t="s">
        <v>57</v>
      </c>
      <c r="G59" s="34">
        <v>1</v>
      </c>
      <c r="H59" s="2">
        <v>0</v>
      </c>
      <c r="I59" s="2">
        <v>1</v>
      </c>
      <c r="J59" s="2">
        <v>0</v>
      </c>
      <c r="K59" s="4" t="s">
        <v>34</v>
      </c>
      <c r="L59" s="1" t="s">
        <v>4</v>
      </c>
      <c r="M59" s="1" t="s">
        <v>302</v>
      </c>
      <c r="N59" s="1" t="s">
        <v>112</v>
      </c>
    </row>
    <row r="60" spans="2:14" x14ac:dyDescent="0.25">
      <c r="B60" s="3">
        <v>45948</v>
      </c>
      <c r="C60" s="6" t="s">
        <v>297</v>
      </c>
      <c r="D60" s="1">
        <v>10130006</v>
      </c>
      <c r="E60" s="1" t="s">
        <v>301</v>
      </c>
      <c r="F60" s="2" t="s">
        <v>57</v>
      </c>
      <c r="G60" s="34">
        <v>1</v>
      </c>
      <c r="H60" s="2">
        <v>1</v>
      </c>
      <c r="I60" s="2">
        <v>0</v>
      </c>
      <c r="J60" s="2">
        <v>0</v>
      </c>
      <c r="K60" s="4" t="s">
        <v>34</v>
      </c>
      <c r="L60" s="1" t="s">
        <v>4</v>
      </c>
      <c r="M60" s="1" t="s">
        <v>302</v>
      </c>
      <c r="N60" s="1" t="s">
        <v>113</v>
      </c>
    </row>
    <row r="61" spans="2:14" x14ac:dyDescent="0.25">
      <c r="B61" s="3">
        <v>45948</v>
      </c>
      <c r="C61" s="6" t="s">
        <v>298</v>
      </c>
      <c r="D61" s="1">
        <v>10120094</v>
      </c>
      <c r="E61" s="1" t="s">
        <v>300</v>
      </c>
      <c r="F61" s="2" t="s">
        <v>57</v>
      </c>
      <c r="G61" s="34">
        <v>1</v>
      </c>
      <c r="H61" s="2">
        <v>1</v>
      </c>
      <c r="I61" s="2">
        <v>0</v>
      </c>
      <c r="J61" s="2">
        <v>0</v>
      </c>
      <c r="K61" s="4" t="s">
        <v>34</v>
      </c>
      <c r="L61" s="1" t="s">
        <v>4</v>
      </c>
      <c r="M61" s="1" t="s">
        <v>302</v>
      </c>
      <c r="N61" s="1" t="s">
        <v>113</v>
      </c>
    </row>
    <row r="62" spans="2:14" x14ac:dyDescent="0.25">
      <c r="B62" s="3">
        <v>45954</v>
      </c>
      <c r="C62" s="6" t="s">
        <v>305</v>
      </c>
      <c r="D62" s="1">
        <v>10060026</v>
      </c>
      <c r="E62" s="1" t="s">
        <v>303</v>
      </c>
      <c r="F62" s="2" t="s">
        <v>18</v>
      </c>
      <c r="G62" s="34">
        <v>1</v>
      </c>
      <c r="H62" s="2">
        <v>1</v>
      </c>
      <c r="I62" s="2">
        <v>0</v>
      </c>
      <c r="J62" s="2">
        <v>0</v>
      </c>
      <c r="K62" s="4" t="s">
        <v>3</v>
      </c>
      <c r="L62" s="1" t="s">
        <v>4</v>
      </c>
      <c r="M62" s="1" t="s">
        <v>281</v>
      </c>
      <c r="N62" s="1" t="s">
        <v>293</v>
      </c>
    </row>
    <row r="63" spans="2:14" x14ac:dyDescent="0.25">
      <c r="B63" s="3">
        <v>45954</v>
      </c>
      <c r="C63" s="6" t="s">
        <v>307</v>
      </c>
      <c r="D63" s="1">
        <v>10060069</v>
      </c>
      <c r="E63" s="1" t="s">
        <v>304</v>
      </c>
      <c r="F63" s="2" t="s">
        <v>18</v>
      </c>
      <c r="G63" s="34">
        <v>1</v>
      </c>
      <c r="H63" s="2">
        <v>1</v>
      </c>
      <c r="I63" s="2">
        <v>0</v>
      </c>
      <c r="J63" s="2">
        <v>0</v>
      </c>
      <c r="K63" s="4" t="s">
        <v>3</v>
      </c>
      <c r="L63" s="1" t="s">
        <v>4</v>
      </c>
      <c r="M63" s="1" t="s">
        <v>19</v>
      </c>
      <c r="N63" s="1" t="s">
        <v>113</v>
      </c>
    </row>
    <row r="64" spans="2:14" x14ac:dyDescent="0.25">
      <c r="B64" s="18">
        <v>45960</v>
      </c>
      <c r="C64" s="6" t="s">
        <v>313</v>
      </c>
      <c r="D64" s="1">
        <v>10360001</v>
      </c>
      <c r="E64" s="1" t="s">
        <v>309</v>
      </c>
      <c r="F64" s="2" t="s">
        <v>309</v>
      </c>
      <c r="G64" s="34">
        <v>1</v>
      </c>
      <c r="H64" s="2">
        <v>1</v>
      </c>
      <c r="I64" s="2">
        <v>0</v>
      </c>
      <c r="J64" s="2">
        <v>0</v>
      </c>
      <c r="K64" s="4" t="s">
        <v>3</v>
      </c>
      <c r="L64" s="1" t="s">
        <v>4</v>
      </c>
      <c r="M64" s="1" t="s">
        <v>50</v>
      </c>
      <c r="N64" s="1" t="s">
        <v>113</v>
      </c>
    </row>
    <row r="65" spans="2:14" x14ac:dyDescent="0.25">
      <c r="B65" s="18">
        <v>45960</v>
      </c>
      <c r="C65" s="6" t="s">
        <v>314</v>
      </c>
      <c r="D65" s="1">
        <v>10070013</v>
      </c>
      <c r="E65" s="1" t="s">
        <v>310</v>
      </c>
      <c r="F65" s="2" t="s">
        <v>49</v>
      </c>
      <c r="G65" s="34">
        <v>1</v>
      </c>
      <c r="H65" s="2">
        <v>1</v>
      </c>
      <c r="I65" s="2">
        <v>0</v>
      </c>
      <c r="J65" s="2">
        <v>0</v>
      </c>
      <c r="K65" s="4" t="s">
        <v>3</v>
      </c>
      <c r="L65" s="1" t="s">
        <v>4</v>
      </c>
      <c r="M65" s="1" t="s">
        <v>50</v>
      </c>
      <c r="N65" s="1" t="s">
        <v>113</v>
      </c>
    </row>
    <row r="66" spans="2:14" x14ac:dyDescent="0.25">
      <c r="B66" s="18">
        <v>45960</v>
      </c>
      <c r="C66" s="6" t="s">
        <v>315</v>
      </c>
      <c r="D66" s="1">
        <v>10100021</v>
      </c>
      <c r="E66" s="1" t="s">
        <v>311</v>
      </c>
      <c r="F66" s="2" t="s">
        <v>49</v>
      </c>
      <c r="G66" s="34">
        <v>1</v>
      </c>
      <c r="H66" s="2">
        <v>1</v>
      </c>
      <c r="I66" s="2">
        <v>0</v>
      </c>
      <c r="J66" s="2">
        <v>0</v>
      </c>
      <c r="K66" s="4" t="s">
        <v>3</v>
      </c>
      <c r="L66" s="1" t="s">
        <v>4</v>
      </c>
      <c r="M66" s="1" t="s">
        <v>50</v>
      </c>
      <c r="N66" s="1" t="s">
        <v>113</v>
      </c>
    </row>
    <row r="67" spans="2:14" x14ac:dyDescent="0.25">
      <c r="B67" s="18">
        <v>45960</v>
      </c>
      <c r="C67" s="6" t="s">
        <v>316</v>
      </c>
      <c r="D67" s="1">
        <v>10070008</v>
      </c>
      <c r="E67" s="1" t="s">
        <v>312</v>
      </c>
      <c r="F67" s="2" t="s">
        <v>49</v>
      </c>
      <c r="G67" s="34">
        <v>1</v>
      </c>
      <c r="H67" s="2">
        <v>1</v>
      </c>
      <c r="I67" s="2">
        <v>0</v>
      </c>
      <c r="J67" s="2">
        <v>0</v>
      </c>
      <c r="K67" s="4" t="s">
        <v>3</v>
      </c>
      <c r="L67" s="1" t="s">
        <v>4</v>
      </c>
      <c r="M67" s="1" t="s">
        <v>50</v>
      </c>
      <c r="N67" s="1" t="s">
        <v>113</v>
      </c>
    </row>
    <row r="68" spans="2:14" x14ac:dyDescent="0.25">
      <c r="B68" s="3">
        <v>45969</v>
      </c>
      <c r="C68" s="6" t="s">
        <v>317</v>
      </c>
      <c r="D68" s="1">
        <v>10140003</v>
      </c>
      <c r="E68" s="1" t="s">
        <v>326</v>
      </c>
      <c r="F68" s="2" t="s">
        <v>2</v>
      </c>
      <c r="G68" s="34">
        <v>1</v>
      </c>
      <c r="H68" s="2">
        <v>1</v>
      </c>
      <c r="I68" s="2">
        <v>0</v>
      </c>
      <c r="J68" s="2">
        <v>0</v>
      </c>
      <c r="K68" s="4" t="s">
        <v>335</v>
      </c>
      <c r="L68" s="1" t="s">
        <v>4</v>
      </c>
      <c r="M68" s="1" t="s">
        <v>5</v>
      </c>
      <c r="N68" s="1" t="s">
        <v>113</v>
      </c>
    </row>
    <row r="69" spans="2:14" x14ac:dyDescent="0.25">
      <c r="B69" s="3">
        <v>45974</v>
      </c>
      <c r="C69" s="6" t="s">
        <v>318</v>
      </c>
      <c r="D69" s="1">
        <v>10020041</v>
      </c>
      <c r="E69" s="1" t="s">
        <v>327</v>
      </c>
      <c r="F69" s="2" t="s">
        <v>22</v>
      </c>
      <c r="G69" s="34">
        <v>1</v>
      </c>
      <c r="H69" s="2">
        <v>1</v>
      </c>
      <c r="I69" s="2">
        <v>0</v>
      </c>
      <c r="J69" s="2">
        <v>0</v>
      </c>
      <c r="K69" s="4" t="s">
        <v>3</v>
      </c>
      <c r="L69" s="1" t="s">
        <v>4</v>
      </c>
      <c r="M69" s="1" t="s">
        <v>19</v>
      </c>
      <c r="N69" s="1" t="s">
        <v>113</v>
      </c>
    </row>
    <row r="70" spans="2:14" x14ac:dyDescent="0.25">
      <c r="B70" s="3">
        <v>45974</v>
      </c>
      <c r="C70" s="6" t="s">
        <v>319</v>
      </c>
      <c r="D70" s="1">
        <v>10090003</v>
      </c>
      <c r="E70" s="1" t="s">
        <v>328</v>
      </c>
      <c r="F70" s="2" t="s">
        <v>25</v>
      </c>
      <c r="G70" s="34">
        <v>1</v>
      </c>
      <c r="H70" s="2">
        <v>1</v>
      </c>
      <c r="I70" s="2">
        <v>0</v>
      </c>
      <c r="J70" s="2">
        <v>0</v>
      </c>
      <c r="K70" s="4" t="s">
        <v>3</v>
      </c>
      <c r="L70" s="1" t="s">
        <v>4</v>
      </c>
      <c r="M70" s="1" t="s">
        <v>19</v>
      </c>
      <c r="N70" s="1" t="s">
        <v>113</v>
      </c>
    </row>
    <row r="71" spans="2:14" x14ac:dyDescent="0.25">
      <c r="B71" s="3">
        <v>45974</v>
      </c>
      <c r="C71" s="6" t="s">
        <v>320</v>
      </c>
      <c r="D71" s="1">
        <v>10090037</v>
      </c>
      <c r="E71" s="1" t="s">
        <v>329</v>
      </c>
      <c r="F71" s="2" t="s">
        <v>25</v>
      </c>
      <c r="G71" s="34">
        <v>1</v>
      </c>
      <c r="H71" s="2">
        <v>1</v>
      </c>
      <c r="I71" s="2">
        <v>0</v>
      </c>
      <c r="J71" s="2">
        <v>0</v>
      </c>
      <c r="K71" s="4" t="s">
        <v>3</v>
      </c>
      <c r="L71" s="1" t="s">
        <v>4</v>
      </c>
      <c r="M71" s="1" t="s">
        <v>19</v>
      </c>
      <c r="N71" s="1" t="s">
        <v>113</v>
      </c>
    </row>
    <row r="72" spans="2:14" x14ac:dyDescent="0.25">
      <c r="B72" s="3">
        <v>45974</v>
      </c>
      <c r="C72" s="6" t="s">
        <v>321</v>
      </c>
      <c r="D72" s="1">
        <v>10090058</v>
      </c>
      <c r="E72" s="1" t="s">
        <v>330</v>
      </c>
      <c r="F72" s="2" t="s">
        <v>25</v>
      </c>
      <c r="G72" s="34">
        <v>1</v>
      </c>
      <c r="H72" s="2">
        <v>1</v>
      </c>
      <c r="I72" s="2">
        <v>0</v>
      </c>
      <c r="J72" s="2">
        <v>0</v>
      </c>
      <c r="K72" s="4" t="s">
        <v>335</v>
      </c>
      <c r="L72" s="1" t="s">
        <v>4</v>
      </c>
      <c r="M72" s="1" t="s">
        <v>19</v>
      </c>
      <c r="N72" s="1" t="s">
        <v>113</v>
      </c>
    </row>
    <row r="73" spans="2:14" x14ac:dyDescent="0.25">
      <c r="B73" s="3">
        <v>45974</v>
      </c>
      <c r="C73" s="6" t="s">
        <v>322</v>
      </c>
      <c r="D73" s="1">
        <v>10080095</v>
      </c>
      <c r="E73" s="1" t="s">
        <v>331</v>
      </c>
      <c r="F73" s="2" t="s">
        <v>96</v>
      </c>
      <c r="G73" s="34">
        <v>1</v>
      </c>
      <c r="H73" s="2">
        <v>0</v>
      </c>
      <c r="I73" s="2">
        <v>1</v>
      </c>
      <c r="J73" s="2">
        <v>0</v>
      </c>
      <c r="K73" s="4" t="s">
        <v>335</v>
      </c>
      <c r="L73" s="1" t="s">
        <v>4</v>
      </c>
      <c r="M73" s="1" t="s">
        <v>336</v>
      </c>
      <c r="N73" s="1" t="s">
        <v>112</v>
      </c>
    </row>
    <row r="74" spans="2:14" x14ac:dyDescent="0.25">
      <c r="B74" s="3">
        <v>45974</v>
      </c>
      <c r="C74" s="6" t="s">
        <v>323</v>
      </c>
      <c r="D74" s="1">
        <v>10080072</v>
      </c>
      <c r="E74" s="1" t="s">
        <v>332</v>
      </c>
      <c r="F74" s="2" t="s">
        <v>96</v>
      </c>
      <c r="G74" s="34">
        <v>1</v>
      </c>
      <c r="H74" s="2">
        <v>0</v>
      </c>
      <c r="I74" s="2">
        <v>1</v>
      </c>
      <c r="J74" s="2">
        <v>0</v>
      </c>
      <c r="K74" s="4" t="s">
        <v>335</v>
      </c>
      <c r="L74" s="1" t="s">
        <v>4</v>
      </c>
      <c r="M74" s="1" t="s">
        <v>336</v>
      </c>
      <c r="N74" s="1" t="s">
        <v>112</v>
      </c>
    </row>
    <row r="75" spans="2:14" x14ac:dyDescent="0.25">
      <c r="B75" s="3">
        <v>45974</v>
      </c>
      <c r="C75" s="6" t="s">
        <v>324</v>
      </c>
      <c r="D75" s="1">
        <v>10080106</v>
      </c>
      <c r="E75" s="1" t="s">
        <v>333</v>
      </c>
      <c r="F75" s="2" t="s">
        <v>96</v>
      </c>
      <c r="G75" s="34">
        <v>1</v>
      </c>
      <c r="H75" s="2">
        <v>0</v>
      </c>
      <c r="I75" s="2">
        <v>1</v>
      </c>
      <c r="J75" s="2">
        <v>0</v>
      </c>
      <c r="K75" s="4" t="s">
        <v>335</v>
      </c>
      <c r="L75" s="1" t="s">
        <v>4</v>
      </c>
      <c r="M75" s="1" t="s">
        <v>336</v>
      </c>
      <c r="N75" s="1" t="s">
        <v>112</v>
      </c>
    </row>
    <row r="76" spans="2:14" x14ac:dyDescent="0.25">
      <c r="B76" s="3">
        <v>45974</v>
      </c>
      <c r="C76" s="6" t="s">
        <v>325</v>
      </c>
      <c r="D76" s="1">
        <v>10010076</v>
      </c>
      <c r="E76" s="1" t="s">
        <v>334</v>
      </c>
      <c r="F76" s="2" t="s">
        <v>33</v>
      </c>
      <c r="G76" s="34">
        <v>1</v>
      </c>
      <c r="H76" s="2">
        <v>1</v>
      </c>
      <c r="I76" s="2">
        <v>0</v>
      </c>
      <c r="J76" s="2">
        <v>0</v>
      </c>
      <c r="K76" s="4" t="s">
        <v>335</v>
      </c>
      <c r="L76" s="1" t="s">
        <v>4</v>
      </c>
      <c r="M76" s="1" t="s">
        <v>336</v>
      </c>
      <c r="N76" s="1" t="s">
        <v>113</v>
      </c>
    </row>
    <row r="77" spans="2:14" x14ac:dyDescent="0.25">
      <c r="B77" s="3">
        <v>45975</v>
      </c>
      <c r="C77" s="6" t="s">
        <v>346</v>
      </c>
      <c r="D77" s="1">
        <v>10140173</v>
      </c>
      <c r="E77" s="1" t="s">
        <v>348</v>
      </c>
      <c r="F77" s="2" t="s">
        <v>2</v>
      </c>
      <c r="G77" s="34">
        <v>1</v>
      </c>
      <c r="H77" s="2">
        <v>0</v>
      </c>
      <c r="I77" s="2">
        <v>1</v>
      </c>
      <c r="J77" s="2">
        <v>0</v>
      </c>
      <c r="K77" s="4" t="s">
        <v>335</v>
      </c>
      <c r="L77" s="1" t="s">
        <v>4</v>
      </c>
      <c r="M77" s="1" t="s">
        <v>350</v>
      </c>
      <c r="N77" s="1" t="s">
        <v>113</v>
      </c>
    </row>
    <row r="78" spans="2:14" x14ac:dyDescent="0.25">
      <c r="B78" s="3">
        <v>45975</v>
      </c>
      <c r="C78" s="6" t="s">
        <v>347</v>
      </c>
      <c r="D78" s="1">
        <v>10140159</v>
      </c>
      <c r="E78" s="1" t="s">
        <v>349</v>
      </c>
      <c r="F78" s="2" t="s">
        <v>2</v>
      </c>
      <c r="G78" s="34">
        <v>1</v>
      </c>
      <c r="H78" s="2">
        <v>0</v>
      </c>
      <c r="I78" s="2">
        <v>1</v>
      </c>
      <c r="J78" s="2">
        <v>0</v>
      </c>
      <c r="K78" s="4" t="s">
        <v>335</v>
      </c>
      <c r="L78" s="1" t="s">
        <v>4</v>
      </c>
      <c r="M78" s="1" t="s">
        <v>350</v>
      </c>
      <c r="N78" s="1" t="s">
        <v>113</v>
      </c>
    </row>
    <row r="79" spans="2:14" x14ac:dyDescent="0.25">
      <c r="B79" s="3">
        <v>45989</v>
      </c>
      <c r="C79" s="6" t="s">
        <v>351</v>
      </c>
      <c r="D79" s="1">
        <v>10130093</v>
      </c>
      <c r="E79" s="1" t="s">
        <v>355</v>
      </c>
      <c r="F79" s="2" t="s">
        <v>65</v>
      </c>
      <c r="G79" s="34">
        <v>1</v>
      </c>
      <c r="H79" s="2">
        <v>1</v>
      </c>
      <c r="I79" s="2">
        <v>0</v>
      </c>
      <c r="J79" s="2">
        <v>0</v>
      </c>
      <c r="K79" s="4" t="s">
        <v>335</v>
      </c>
      <c r="L79" s="1" t="s">
        <v>4</v>
      </c>
      <c r="M79" s="1" t="s">
        <v>70</v>
      </c>
      <c r="N79" s="1" t="s">
        <v>113</v>
      </c>
    </row>
    <row r="80" spans="2:14" x14ac:dyDescent="0.25">
      <c r="B80" s="3">
        <v>45989</v>
      </c>
      <c r="C80" s="6" t="s">
        <v>352</v>
      </c>
      <c r="D80" s="1">
        <v>10130047</v>
      </c>
      <c r="E80" s="1" t="s">
        <v>356</v>
      </c>
      <c r="F80" s="2" t="s">
        <v>65</v>
      </c>
      <c r="G80" s="34">
        <v>1</v>
      </c>
      <c r="H80" s="2">
        <v>1</v>
      </c>
      <c r="I80" s="2">
        <v>0</v>
      </c>
      <c r="J80" s="2">
        <v>0</v>
      </c>
      <c r="K80" s="4" t="s">
        <v>335</v>
      </c>
      <c r="L80" s="1" t="s">
        <v>4</v>
      </c>
      <c r="M80" s="1" t="s">
        <v>70</v>
      </c>
      <c r="N80" s="1" t="s">
        <v>113</v>
      </c>
    </row>
    <row r="81" spans="2:14" x14ac:dyDescent="0.25">
      <c r="B81" s="3">
        <v>45995</v>
      </c>
      <c r="C81" s="6" t="s">
        <v>361</v>
      </c>
      <c r="D81" s="1">
        <v>1001</v>
      </c>
      <c r="E81" s="1" t="s">
        <v>33</v>
      </c>
      <c r="F81" s="2" t="s">
        <v>33</v>
      </c>
      <c r="G81" s="34">
        <v>1</v>
      </c>
      <c r="H81" s="2">
        <v>0</v>
      </c>
      <c r="I81" s="2">
        <v>1</v>
      </c>
      <c r="J81" s="2">
        <v>0</v>
      </c>
      <c r="K81" s="4" t="s">
        <v>335</v>
      </c>
      <c r="L81" s="1" t="s">
        <v>4</v>
      </c>
      <c r="M81" s="1" t="s">
        <v>367</v>
      </c>
      <c r="N81" s="1" t="s">
        <v>116</v>
      </c>
    </row>
    <row r="82" spans="2:14" x14ac:dyDescent="0.25">
      <c r="B82" s="3">
        <v>45995</v>
      </c>
      <c r="C82" s="6" t="s">
        <v>362</v>
      </c>
      <c r="D82" s="1">
        <v>10110171</v>
      </c>
      <c r="E82" s="1" t="s">
        <v>368</v>
      </c>
      <c r="F82" s="2" t="s">
        <v>369</v>
      </c>
      <c r="G82" s="34">
        <v>1</v>
      </c>
      <c r="H82" s="2">
        <v>0</v>
      </c>
      <c r="I82" s="2">
        <v>1</v>
      </c>
      <c r="J82" s="2">
        <v>0</v>
      </c>
      <c r="K82" s="4" t="s">
        <v>335</v>
      </c>
      <c r="L82" s="1" t="s">
        <v>4</v>
      </c>
      <c r="M82" s="1" t="s">
        <v>367</v>
      </c>
      <c r="N82" s="1" t="s">
        <v>112</v>
      </c>
    </row>
    <row r="83" spans="2:14" x14ac:dyDescent="0.25">
      <c r="B83" s="3">
        <v>45995</v>
      </c>
      <c r="C83" s="6" t="s">
        <v>363</v>
      </c>
      <c r="D83" s="1">
        <v>10550003</v>
      </c>
      <c r="E83" s="1" t="s">
        <v>370</v>
      </c>
      <c r="F83" s="2" t="s">
        <v>371</v>
      </c>
      <c r="G83" s="34">
        <v>1</v>
      </c>
      <c r="H83" s="2">
        <v>0</v>
      </c>
      <c r="I83" s="2">
        <v>1</v>
      </c>
      <c r="J83" s="2">
        <v>0</v>
      </c>
      <c r="K83" s="4" t="s">
        <v>335</v>
      </c>
      <c r="L83" s="1" t="s">
        <v>4</v>
      </c>
      <c r="M83" s="1" t="s">
        <v>367</v>
      </c>
      <c r="N83" s="1" t="s">
        <v>112</v>
      </c>
    </row>
    <row r="84" spans="2:14" x14ac:dyDescent="0.25">
      <c r="B84" s="3">
        <v>45995</v>
      </c>
      <c r="C84" s="6" t="s">
        <v>364</v>
      </c>
      <c r="D84" s="1">
        <v>10110110</v>
      </c>
      <c r="E84" s="1" t="s">
        <v>372</v>
      </c>
      <c r="F84" s="2" t="s">
        <v>369</v>
      </c>
      <c r="G84" s="34">
        <v>1</v>
      </c>
      <c r="H84" s="2">
        <v>0</v>
      </c>
      <c r="I84" s="2">
        <v>1</v>
      </c>
      <c r="J84" s="2">
        <v>0</v>
      </c>
      <c r="K84" s="4" t="s">
        <v>335</v>
      </c>
      <c r="L84" s="1" t="s">
        <v>4</v>
      </c>
      <c r="M84" s="1" t="s">
        <v>367</v>
      </c>
      <c r="N84" s="1" t="s">
        <v>112</v>
      </c>
    </row>
    <row r="85" spans="2:14" x14ac:dyDescent="0.25">
      <c r="B85" s="3">
        <v>45995</v>
      </c>
      <c r="C85" s="6" t="s">
        <v>493</v>
      </c>
      <c r="D85" s="1">
        <v>10110094</v>
      </c>
      <c r="E85" s="1" t="s">
        <v>373</v>
      </c>
      <c r="F85" s="2" t="s">
        <v>369</v>
      </c>
      <c r="G85" s="34">
        <v>1</v>
      </c>
      <c r="H85" s="2">
        <v>0</v>
      </c>
      <c r="I85" s="2">
        <v>1</v>
      </c>
      <c r="J85" s="2">
        <v>0</v>
      </c>
      <c r="K85" s="4" t="s">
        <v>335</v>
      </c>
      <c r="L85" s="1" t="s">
        <v>4</v>
      </c>
      <c r="M85" s="1" t="s">
        <v>367</v>
      </c>
      <c r="N85" s="1" t="s">
        <v>112</v>
      </c>
    </row>
    <row r="86" spans="2:14" x14ac:dyDescent="0.25">
      <c r="B86" s="3">
        <v>45995</v>
      </c>
      <c r="C86" s="6" t="s">
        <v>366</v>
      </c>
      <c r="D86" s="1">
        <v>10110146</v>
      </c>
      <c r="E86" s="1" t="s">
        <v>374</v>
      </c>
      <c r="F86" s="2" t="s">
        <v>369</v>
      </c>
      <c r="G86" s="34">
        <v>1</v>
      </c>
      <c r="H86" s="2">
        <v>0</v>
      </c>
      <c r="I86" s="2">
        <v>1</v>
      </c>
      <c r="J86" s="2">
        <v>0</v>
      </c>
      <c r="K86" s="4" t="s">
        <v>335</v>
      </c>
      <c r="L86" s="1" t="s">
        <v>4</v>
      </c>
      <c r="M86" s="1" t="s">
        <v>367</v>
      </c>
      <c r="N86" s="1" t="s">
        <v>112</v>
      </c>
    </row>
    <row r="87" spans="2:14" x14ac:dyDescent="0.25">
      <c r="B87" s="3">
        <v>46001</v>
      </c>
      <c r="C87" s="6" t="s">
        <v>375</v>
      </c>
      <c r="D87" s="1">
        <v>1012</v>
      </c>
      <c r="E87" s="1" t="s">
        <v>57</v>
      </c>
      <c r="F87" s="2" t="s">
        <v>57</v>
      </c>
      <c r="G87" s="34">
        <v>1</v>
      </c>
      <c r="H87" s="2">
        <v>0</v>
      </c>
      <c r="I87" s="2">
        <v>1</v>
      </c>
      <c r="J87" s="2">
        <v>0</v>
      </c>
      <c r="K87" s="4" t="s">
        <v>335</v>
      </c>
      <c r="L87" s="1" t="s">
        <v>4</v>
      </c>
      <c r="M87" s="1" t="s">
        <v>376</v>
      </c>
      <c r="N87" s="1" t="s">
        <v>116</v>
      </c>
    </row>
    <row r="88" spans="2:14" x14ac:dyDescent="0.25">
      <c r="B88" s="3">
        <v>46004</v>
      </c>
      <c r="C88" s="6" t="s">
        <v>377</v>
      </c>
      <c r="D88" s="1">
        <v>10140132</v>
      </c>
      <c r="E88" s="1" t="s">
        <v>382</v>
      </c>
      <c r="F88" s="2" t="s">
        <v>2</v>
      </c>
      <c r="G88" s="34">
        <v>1</v>
      </c>
      <c r="H88" s="34">
        <v>1</v>
      </c>
      <c r="I88" s="2">
        <v>0</v>
      </c>
      <c r="J88" s="2">
        <v>0</v>
      </c>
      <c r="K88" s="4" t="s">
        <v>335</v>
      </c>
      <c r="L88" s="1" t="s">
        <v>4</v>
      </c>
      <c r="M88" s="1" t="s">
        <v>42</v>
      </c>
      <c r="N88" s="1" t="s">
        <v>113</v>
      </c>
    </row>
    <row r="89" spans="2:14" x14ac:dyDescent="0.25">
      <c r="B89" s="3">
        <v>46004</v>
      </c>
      <c r="C89" s="6" t="s">
        <v>278</v>
      </c>
      <c r="D89" s="1">
        <v>10140054</v>
      </c>
      <c r="E89" s="1" t="s">
        <v>379</v>
      </c>
      <c r="F89" s="2" t="s">
        <v>2</v>
      </c>
      <c r="G89" s="34">
        <v>1</v>
      </c>
      <c r="H89" s="34">
        <v>1</v>
      </c>
      <c r="I89" s="2">
        <v>0</v>
      </c>
      <c r="J89" s="2">
        <v>0</v>
      </c>
      <c r="K89" s="4" t="s">
        <v>335</v>
      </c>
      <c r="L89" s="1" t="s">
        <v>4</v>
      </c>
      <c r="M89" s="1" t="s">
        <v>42</v>
      </c>
      <c r="N89" s="1" t="s">
        <v>113</v>
      </c>
    </row>
    <row r="90" spans="2:14" x14ac:dyDescent="0.25">
      <c r="B90" s="3">
        <v>46004</v>
      </c>
      <c r="C90" s="6" t="s">
        <v>275</v>
      </c>
      <c r="D90" s="1">
        <v>10140068</v>
      </c>
      <c r="E90" s="1" t="s">
        <v>381</v>
      </c>
      <c r="F90" s="2" t="s">
        <v>2</v>
      </c>
      <c r="G90" s="34">
        <v>1</v>
      </c>
      <c r="H90" s="34">
        <v>1</v>
      </c>
      <c r="I90" s="2">
        <v>0</v>
      </c>
      <c r="J90" s="2">
        <v>0</v>
      </c>
      <c r="K90" s="4" t="s">
        <v>335</v>
      </c>
      <c r="L90" s="1" t="s">
        <v>4</v>
      </c>
      <c r="M90" s="1" t="s">
        <v>42</v>
      </c>
      <c r="N90" s="1" t="s">
        <v>113</v>
      </c>
    </row>
    <row r="91" spans="2:14" x14ac:dyDescent="0.25">
      <c r="B91" s="3">
        <v>46004</v>
      </c>
      <c r="C91" s="6" t="s">
        <v>378</v>
      </c>
      <c r="D91" s="1">
        <v>10140098</v>
      </c>
      <c r="E91" s="1" t="s">
        <v>380</v>
      </c>
      <c r="F91" s="2" t="s">
        <v>2</v>
      </c>
      <c r="G91" s="34">
        <v>1</v>
      </c>
      <c r="H91" s="34">
        <v>1</v>
      </c>
      <c r="I91" s="2">
        <v>0</v>
      </c>
      <c r="J91" s="2">
        <v>0</v>
      </c>
      <c r="K91" s="4" t="s">
        <v>335</v>
      </c>
      <c r="L91" s="1" t="s">
        <v>4</v>
      </c>
      <c r="M91" s="1" t="s">
        <v>42</v>
      </c>
      <c r="N91" s="1" t="s">
        <v>113</v>
      </c>
    </row>
    <row r="92" spans="2:14" x14ac:dyDescent="0.25">
      <c r="B92" s="3">
        <v>46006</v>
      </c>
      <c r="C92" s="6" t="s">
        <v>385</v>
      </c>
      <c r="D92" s="1">
        <v>10090002</v>
      </c>
      <c r="E92" s="1" t="s">
        <v>383</v>
      </c>
      <c r="F92" s="2" t="s">
        <v>25</v>
      </c>
      <c r="G92" s="34">
        <v>1</v>
      </c>
      <c r="H92" s="34">
        <v>1</v>
      </c>
      <c r="I92" s="2">
        <v>0</v>
      </c>
      <c r="J92" s="2">
        <v>0</v>
      </c>
      <c r="K92" s="4" t="s">
        <v>335</v>
      </c>
      <c r="L92" s="1" t="s">
        <v>4</v>
      </c>
      <c r="M92" s="1" t="s">
        <v>387</v>
      </c>
      <c r="N92" s="1" t="s">
        <v>113</v>
      </c>
    </row>
    <row r="93" spans="2:14" x14ac:dyDescent="0.25">
      <c r="B93" s="3">
        <v>46006</v>
      </c>
      <c r="C93" s="6" t="s">
        <v>386</v>
      </c>
      <c r="D93" s="1">
        <v>10060011</v>
      </c>
      <c r="E93" s="1" t="s">
        <v>384</v>
      </c>
      <c r="F93" s="2" t="s">
        <v>18</v>
      </c>
      <c r="G93" s="34">
        <v>1</v>
      </c>
      <c r="H93" s="34">
        <v>1</v>
      </c>
      <c r="I93" s="2">
        <v>0</v>
      </c>
      <c r="J93" s="2">
        <v>0</v>
      </c>
      <c r="K93" s="4" t="s">
        <v>335</v>
      </c>
      <c r="L93" s="1" t="s">
        <v>4</v>
      </c>
      <c r="M93" s="1" t="s">
        <v>19</v>
      </c>
      <c r="N93" s="1" t="s">
        <v>113</v>
      </c>
    </row>
    <row r="94" spans="2:14" x14ac:dyDescent="0.25">
      <c r="B94" s="3">
        <v>46013</v>
      </c>
      <c r="C94" s="6" t="s">
        <v>388</v>
      </c>
      <c r="D94" s="1">
        <v>10090066</v>
      </c>
      <c r="E94" s="1" t="s">
        <v>391</v>
      </c>
      <c r="F94" s="2" t="s">
        <v>25</v>
      </c>
      <c r="G94" s="34">
        <v>1</v>
      </c>
      <c r="H94" s="2">
        <v>0</v>
      </c>
      <c r="I94" s="2">
        <v>1</v>
      </c>
      <c r="J94" s="2">
        <v>0</v>
      </c>
      <c r="K94" s="4" t="s">
        <v>335</v>
      </c>
      <c r="L94" s="1" t="s">
        <v>4</v>
      </c>
      <c r="M94" s="1" t="s">
        <v>19</v>
      </c>
      <c r="N94" s="1" t="s">
        <v>112</v>
      </c>
    </row>
    <row r="95" spans="2:14" x14ac:dyDescent="0.25">
      <c r="B95" s="3">
        <v>46013</v>
      </c>
      <c r="C95" s="6" t="s">
        <v>389</v>
      </c>
      <c r="D95" s="1">
        <v>10090059</v>
      </c>
      <c r="E95" s="1" t="s">
        <v>392</v>
      </c>
      <c r="F95" s="2" t="s">
        <v>25</v>
      </c>
      <c r="G95" s="34">
        <v>1</v>
      </c>
      <c r="H95" s="2">
        <v>0</v>
      </c>
      <c r="I95" s="2">
        <v>1</v>
      </c>
      <c r="J95" s="2">
        <v>0</v>
      </c>
      <c r="K95" s="4" t="s">
        <v>335</v>
      </c>
      <c r="L95" s="1" t="s">
        <v>4</v>
      </c>
      <c r="M95" s="1" t="s">
        <v>19</v>
      </c>
      <c r="N95" s="1" t="s">
        <v>112</v>
      </c>
    </row>
    <row r="96" spans="2:14" x14ac:dyDescent="0.25">
      <c r="B96" s="3">
        <v>46013</v>
      </c>
      <c r="C96" s="6" t="s">
        <v>390</v>
      </c>
      <c r="D96" s="1">
        <v>10090060</v>
      </c>
      <c r="E96" s="1" t="s">
        <v>393</v>
      </c>
      <c r="F96" s="2" t="s">
        <v>25</v>
      </c>
      <c r="G96" s="34">
        <v>1</v>
      </c>
      <c r="H96" s="2">
        <v>0</v>
      </c>
      <c r="I96" s="2">
        <v>1</v>
      </c>
      <c r="J96" s="2">
        <v>0</v>
      </c>
      <c r="K96" s="4" t="s">
        <v>335</v>
      </c>
      <c r="L96" s="1" t="s">
        <v>4</v>
      </c>
      <c r="M96" s="1" t="s">
        <v>19</v>
      </c>
      <c r="N96" s="1" t="s">
        <v>112</v>
      </c>
    </row>
    <row r="97" spans="2:14" x14ac:dyDescent="0.25">
      <c r="B97" s="3">
        <v>46039</v>
      </c>
      <c r="C97" s="6" t="s">
        <v>365</v>
      </c>
      <c r="D97" s="1">
        <v>10140018</v>
      </c>
      <c r="E97" s="1" t="s">
        <v>399</v>
      </c>
      <c r="F97" s="2" t="s">
        <v>2</v>
      </c>
      <c r="G97" s="34">
        <v>1</v>
      </c>
      <c r="H97" s="2">
        <v>1</v>
      </c>
      <c r="I97" s="2">
        <v>0</v>
      </c>
      <c r="J97" s="2">
        <v>0</v>
      </c>
      <c r="K97" s="4" t="s">
        <v>335</v>
      </c>
      <c r="L97" s="1" t="s">
        <v>59</v>
      </c>
      <c r="M97" s="1" t="s">
        <v>35</v>
      </c>
      <c r="N97" s="1" t="s">
        <v>113</v>
      </c>
    </row>
    <row r="98" spans="2:14" x14ac:dyDescent="0.25">
      <c r="B98" s="3">
        <v>46039</v>
      </c>
      <c r="C98" s="6" t="s">
        <v>400</v>
      </c>
      <c r="D98" s="1">
        <v>10510004</v>
      </c>
      <c r="E98" s="1" t="s">
        <v>401</v>
      </c>
      <c r="F98" s="2" t="s">
        <v>2</v>
      </c>
      <c r="G98" s="34">
        <v>1</v>
      </c>
      <c r="H98" s="2">
        <v>1</v>
      </c>
      <c r="I98" s="2">
        <v>0</v>
      </c>
      <c r="J98" s="2">
        <v>0</v>
      </c>
      <c r="K98" s="4" t="s">
        <v>335</v>
      </c>
      <c r="L98" s="1" t="s">
        <v>59</v>
      </c>
      <c r="M98" s="1" t="s">
        <v>35</v>
      </c>
      <c r="N98" s="1" t="s">
        <v>113</v>
      </c>
    </row>
    <row r="99" spans="2:14" x14ac:dyDescent="0.25">
      <c r="B99" s="3">
        <v>46044</v>
      </c>
      <c r="C99" s="6" t="s">
        <v>402</v>
      </c>
      <c r="D99" s="1">
        <v>10360001</v>
      </c>
      <c r="E99" s="1" t="s">
        <v>309</v>
      </c>
      <c r="F99" s="2" t="s">
        <v>309</v>
      </c>
      <c r="G99" s="34">
        <v>1</v>
      </c>
      <c r="H99" s="2">
        <v>1</v>
      </c>
      <c r="I99" s="2">
        <v>0</v>
      </c>
      <c r="J99" s="2">
        <v>0</v>
      </c>
      <c r="K99" s="4" t="s">
        <v>335</v>
      </c>
      <c r="L99" s="1" t="s">
        <v>4</v>
      </c>
      <c r="M99" s="1" t="s">
        <v>50</v>
      </c>
      <c r="N99" s="1" t="s">
        <v>113</v>
      </c>
    </row>
    <row r="100" spans="2:14" x14ac:dyDescent="0.25">
      <c r="B100" s="3">
        <v>46050</v>
      </c>
      <c r="C100" s="6" t="s">
        <v>403</v>
      </c>
      <c r="D100" s="1">
        <v>10110106</v>
      </c>
      <c r="E100" s="1" t="s">
        <v>404</v>
      </c>
      <c r="F100" s="2" t="s">
        <v>369</v>
      </c>
      <c r="G100" s="34">
        <v>1</v>
      </c>
      <c r="H100" s="2">
        <v>0</v>
      </c>
      <c r="I100" s="2">
        <v>1</v>
      </c>
      <c r="J100" s="2">
        <v>0</v>
      </c>
      <c r="K100" s="4" t="s">
        <v>335</v>
      </c>
      <c r="L100" s="1" t="s">
        <v>4</v>
      </c>
      <c r="M100" s="1" t="s">
        <v>367</v>
      </c>
      <c r="N100" s="1" t="s">
        <v>112</v>
      </c>
    </row>
    <row r="101" spans="2:14" x14ac:dyDescent="0.25">
      <c r="B101" s="3">
        <v>46050</v>
      </c>
      <c r="C101" s="6" t="s">
        <v>405</v>
      </c>
      <c r="D101" s="1">
        <v>10110158</v>
      </c>
      <c r="E101" s="1" t="s">
        <v>406</v>
      </c>
      <c r="F101" s="2" t="s">
        <v>369</v>
      </c>
      <c r="G101" s="34">
        <v>1</v>
      </c>
      <c r="H101" s="2">
        <v>0</v>
      </c>
      <c r="I101" s="2">
        <v>1</v>
      </c>
      <c r="J101" s="2">
        <v>0</v>
      </c>
      <c r="K101" s="4" t="s">
        <v>335</v>
      </c>
      <c r="L101" s="1" t="s">
        <v>4</v>
      </c>
      <c r="M101" s="1" t="s">
        <v>367</v>
      </c>
      <c r="N101" s="1" t="s">
        <v>112</v>
      </c>
    </row>
    <row r="102" spans="2:14" x14ac:dyDescent="0.25">
      <c r="B102" s="3">
        <v>46050</v>
      </c>
      <c r="C102" s="6" t="s">
        <v>407</v>
      </c>
      <c r="D102" s="1">
        <v>10110071</v>
      </c>
      <c r="E102" s="1" t="s">
        <v>408</v>
      </c>
      <c r="F102" s="2" t="s">
        <v>369</v>
      </c>
      <c r="G102" s="34">
        <v>1</v>
      </c>
      <c r="H102" s="2">
        <v>1</v>
      </c>
      <c r="I102" s="2">
        <v>0</v>
      </c>
      <c r="J102" s="2">
        <v>0</v>
      </c>
      <c r="K102" s="4" t="s">
        <v>335</v>
      </c>
      <c r="L102" s="1" t="s">
        <v>4</v>
      </c>
      <c r="M102" s="1" t="s">
        <v>367</v>
      </c>
      <c r="N102" s="1" t="s">
        <v>113</v>
      </c>
    </row>
    <row r="103" spans="2:14" x14ac:dyDescent="0.25">
      <c r="B103" s="3">
        <v>46050</v>
      </c>
      <c r="C103" s="6" t="s">
        <v>409</v>
      </c>
      <c r="D103" s="1">
        <v>10110001</v>
      </c>
      <c r="E103" s="1" t="s">
        <v>410</v>
      </c>
      <c r="F103" s="2" t="s">
        <v>369</v>
      </c>
      <c r="G103" s="34">
        <v>1</v>
      </c>
      <c r="H103" s="2">
        <v>1</v>
      </c>
      <c r="I103" s="2">
        <v>0</v>
      </c>
      <c r="J103" s="2">
        <v>0</v>
      </c>
      <c r="K103" s="4" t="s">
        <v>335</v>
      </c>
      <c r="L103" s="1" t="s">
        <v>4</v>
      </c>
      <c r="M103" s="1" t="s">
        <v>367</v>
      </c>
      <c r="N103" s="1" t="s">
        <v>113</v>
      </c>
    </row>
    <row r="104" spans="2:14" x14ac:dyDescent="0.25">
      <c r="B104" s="3">
        <v>46050</v>
      </c>
      <c r="C104" s="6" t="s">
        <v>411</v>
      </c>
      <c r="D104" s="1">
        <v>10110055</v>
      </c>
      <c r="E104" s="1" t="s">
        <v>412</v>
      </c>
      <c r="F104" s="2" t="s">
        <v>369</v>
      </c>
      <c r="G104" s="34">
        <v>1</v>
      </c>
      <c r="H104" s="2">
        <v>1</v>
      </c>
      <c r="I104" s="2">
        <v>0</v>
      </c>
      <c r="J104" s="2">
        <v>0</v>
      </c>
      <c r="K104" s="4" t="s">
        <v>335</v>
      </c>
      <c r="L104" s="1" t="s">
        <v>4</v>
      </c>
      <c r="M104" s="1" t="s">
        <v>367</v>
      </c>
      <c r="N104" s="1" t="s">
        <v>113</v>
      </c>
    </row>
    <row r="105" spans="2:14" x14ac:dyDescent="0.25">
      <c r="B105" s="3">
        <v>46050</v>
      </c>
      <c r="C105" s="6" t="s">
        <v>413</v>
      </c>
      <c r="D105" s="1">
        <v>10060109</v>
      </c>
      <c r="E105" s="1" t="s">
        <v>414</v>
      </c>
      <c r="F105" s="2" t="s">
        <v>18</v>
      </c>
      <c r="G105" s="34">
        <v>1</v>
      </c>
      <c r="H105" s="2">
        <v>0</v>
      </c>
      <c r="I105" s="2">
        <v>1</v>
      </c>
      <c r="J105" s="2">
        <v>0</v>
      </c>
      <c r="K105" s="4" t="s">
        <v>335</v>
      </c>
      <c r="L105" s="1" t="s">
        <v>4</v>
      </c>
      <c r="M105" s="1" t="s">
        <v>415</v>
      </c>
      <c r="N105" s="1" t="s">
        <v>112</v>
      </c>
    </row>
    <row r="106" spans="2:14" x14ac:dyDescent="0.25">
      <c r="B106" s="3">
        <v>46050</v>
      </c>
      <c r="C106" s="6" t="s">
        <v>416</v>
      </c>
      <c r="D106" s="1">
        <v>10090065</v>
      </c>
      <c r="E106" s="1" t="s">
        <v>417</v>
      </c>
      <c r="F106" s="2" t="s">
        <v>25</v>
      </c>
      <c r="G106" s="34">
        <v>1</v>
      </c>
      <c r="H106" s="2">
        <v>0</v>
      </c>
      <c r="I106" s="2">
        <v>1</v>
      </c>
      <c r="J106" s="2">
        <v>0</v>
      </c>
      <c r="K106" s="4" t="s">
        <v>335</v>
      </c>
      <c r="L106" s="1" t="s">
        <v>4</v>
      </c>
      <c r="M106" s="1" t="s">
        <v>415</v>
      </c>
      <c r="N106" s="1" t="s">
        <v>112</v>
      </c>
    </row>
    <row r="107" spans="2:14" x14ac:dyDescent="0.25">
      <c r="B107" s="3">
        <v>46050</v>
      </c>
      <c r="C107" s="6" t="s">
        <v>418</v>
      </c>
      <c r="D107" s="1">
        <v>10090074</v>
      </c>
      <c r="E107" s="1" t="s">
        <v>419</v>
      </c>
      <c r="F107" s="2" t="s">
        <v>25</v>
      </c>
      <c r="G107" s="34">
        <v>1</v>
      </c>
      <c r="H107" s="2">
        <v>0</v>
      </c>
      <c r="I107" s="2">
        <v>1</v>
      </c>
      <c r="J107" s="2">
        <v>0</v>
      </c>
      <c r="K107" s="4" t="s">
        <v>335</v>
      </c>
      <c r="L107" s="1" t="s">
        <v>4</v>
      </c>
      <c r="M107" s="1" t="s">
        <v>415</v>
      </c>
      <c r="N107" s="1" t="s">
        <v>112</v>
      </c>
    </row>
    <row r="108" spans="2:14" x14ac:dyDescent="0.25">
      <c r="B108" s="3">
        <v>46050</v>
      </c>
      <c r="C108" s="6" t="s">
        <v>420</v>
      </c>
      <c r="D108" s="1">
        <v>10140033</v>
      </c>
      <c r="E108" s="1" t="s">
        <v>421</v>
      </c>
      <c r="F108" s="2" t="s">
        <v>2</v>
      </c>
      <c r="G108" s="34">
        <v>1</v>
      </c>
      <c r="H108" s="2">
        <v>1</v>
      </c>
      <c r="I108" s="2">
        <v>0</v>
      </c>
      <c r="J108" s="2">
        <v>0</v>
      </c>
      <c r="K108" s="4" t="s">
        <v>335</v>
      </c>
      <c r="L108" s="1" t="s">
        <v>4</v>
      </c>
      <c r="M108" s="1" t="s">
        <v>5</v>
      </c>
      <c r="N108" s="1" t="s">
        <v>113</v>
      </c>
    </row>
    <row r="109" spans="2:14" x14ac:dyDescent="0.25">
      <c r="B109" s="3">
        <v>46099</v>
      </c>
      <c r="C109" s="6" t="s">
        <v>426</v>
      </c>
      <c r="D109" s="1">
        <v>1007</v>
      </c>
      <c r="E109" s="1" t="s">
        <v>429</v>
      </c>
      <c r="F109" s="2" t="s">
        <v>49</v>
      </c>
      <c r="G109" s="34">
        <v>1</v>
      </c>
      <c r="H109" s="2">
        <v>0</v>
      </c>
      <c r="I109" s="2">
        <v>0</v>
      </c>
      <c r="J109" s="2">
        <v>1</v>
      </c>
      <c r="K109" s="4" t="s">
        <v>335</v>
      </c>
      <c r="L109" s="1" t="s">
        <v>4</v>
      </c>
      <c r="M109" s="1" t="s">
        <v>50</v>
      </c>
      <c r="N109" s="1" t="s">
        <v>112</v>
      </c>
    </row>
    <row r="110" spans="2:14" x14ac:dyDescent="0.25">
      <c r="B110" s="3">
        <v>46099</v>
      </c>
      <c r="C110" s="6" t="s">
        <v>427</v>
      </c>
      <c r="D110" s="1">
        <v>1007</v>
      </c>
      <c r="E110" s="1" t="s">
        <v>429</v>
      </c>
      <c r="F110" s="2" t="s">
        <v>49</v>
      </c>
      <c r="G110" s="34">
        <v>1</v>
      </c>
      <c r="H110" s="2">
        <v>0</v>
      </c>
      <c r="I110" s="2">
        <v>0</v>
      </c>
      <c r="J110" s="2">
        <v>1</v>
      </c>
      <c r="K110" s="4" t="s">
        <v>335</v>
      </c>
      <c r="L110" s="1" t="s">
        <v>4</v>
      </c>
      <c r="M110" s="1" t="s">
        <v>50</v>
      </c>
      <c r="N110" s="1" t="s">
        <v>112</v>
      </c>
    </row>
    <row r="111" spans="2:14" x14ac:dyDescent="0.25">
      <c r="B111" s="3">
        <v>46099</v>
      </c>
      <c r="C111" s="6" t="s">
        <v>428</v>
      </c>
      <c r="D111" s="1">
        <v>1007</v>
      </c>
      <c r="E111" s="1" t="s">
        <v>429</v>
      </c>
      <c r="F111" s="2" t="s">
        <v>49</v>
      </c>
      <c r="G111" s="34">
        <v>1</v>
      </c>
      <c r="H111" s="2">
        <v>0</v>
      </c>
      <c r="I111" s="2">
        <v>0</v>
      </c>
      <c r="J111" s="2">
        <v>1</v>
      </c>
      <c r="K111" s="4" t="s">
        <v>335</v>
      </c>
      <c r="L111" s="1" t="s">
        <v>4</v>
      </c>
      <c r="M111" s="1" t="s">
        <v>50</v>
      </c>
      <c r="N111" s="1" t="s">
        <v>112</v>
      </c>
    </row>
    <row r="112" spans="2:14" x14ac:dyDescent="0.25">
      <c r="B112" s="3">
        <v>46099</v>
      </c>
      <c r="C112" s="6" t="s">
        <v>430</v>
      </c>
      <c r="D112" s="1">
        <v>1014</v>
      </c>
      <c r="E112" s="1" t="s">
        <v>436</v>
      </c>
      <c r="F112" s="2" t="s">
        <v>2</v>
      </c>
      <c r="G112" s="34">
        <v>1</v>
      </c>
      <c r="H112" s="2">
        <v>0</v>
      </c>
      <c r="I112" s="2">
        <v>1</v>
      </c>
      <c r="J112" s="2">
        <v>0</v>
      </c>
      <c r="K112" s="4" t="s">
        <v>335</v>
      </c>
      <c r="L112" s="1" t="s">
        <v>4</v>
      </c>
      <c r="M112" s="1" t="s">
        <v>5</v>
      </c>
      <c r="N112" s="1" t="s">
        <v>112</v>
      </c>
    </row>
    <row r="113" spans="2:14" x14ac:dyDescent="0.25">
      <c r="B113" s="3">
        <v>46099</v>
      </c>
      <c r="C113" s="6" t="s">
        <v>431</v>
      </c>
      <c r="D113" s="1">
        <v>10140179</v>
      </c>
      <c r="E113" s="5" t="s">
        <v>437</v>
      </c>
      <c r="F113" s="2" t="s">
        <v>2</v>
      </c>
      <c r="G113" s="34">
        <v>1</v>
      </c>
      <c r="H113" s="2">
        <v>0</v>
      </c>
      <c r="I113" s="2">
        <v>1</v>
      </c>
      <c r="J113" s="2">
        <v>0</v>
      </c>
      <c r="K113" s="4" t="s">
        <v>335</v>
      </c>
      <c r="L113" s="1" t="s">
        <v>4</v>
      </c>
      <c r="M113" s="1" t="s">
        <v>5</v>
      </c>
      <c r="N113" s="1" t="s">
        <v>112</v>
      </c>
    </row>
    <row r="114" spans="2:14" x14ac:dyDescent="0.25">
      <c r="B114" s="3">
        <v>46099</v>
      </c>
      <c r="C114" s="6" t="s">
        <v>432</v>
      </c>
      <c r="D114" s="1">
        <v>10140020</v>
      </c>
      <c r="E114" s="5" t="s">
        <v>438</v>
      </c>
      <c r="F114" s="2" t="s">
        <v>2</v>
      </c>
      <c r="G114" s="34">
        <v>1</v>
      </c>
      <c r="H114" s="2">
        <v>1</v>
      </c>
      <c r="I114" s="2">
        <v>0</v>
      </c>
      <c r="J114" s="2">
        <v>0</v>
      </c>
      <c r="K114" s="4" t="s">
        <v>335</v>
      </c>
      <c r="L114" s="1" t="s">
        <v>4</v>
      </c>
      <c r="M114" s="1" t="s">
        <v>5</v>
      </c>
      <c r="N114" s="1" t="s">
        <v>113</v>
      </c>
    </row>
    <row r="115" spans="2:14" x14ac:dyDescent="0.25">
      <c r="B115" s="3">
        <v>46099</v>
      </c>
      <c r="C115" s="6" t="s">
        <v>492</v>
      </c>
      <c r="D115" s="1">
        <v>10140058</v>
      </c>
      <c r="E115" s="5" t="s">
        <v>439</v>
      </c>
      <c r="F115" s="2" t="s">
        <v>2</v>
      </c>
      <c r="G115" s="34">
        <v>1</v>
      </c>
      <c r="H115" s="2">
        <v>1</v>
      </c>
      <c r="I115" s="2">
        <v>0</v>
      </c>
      <c r="J115" s="2">
        <v>0</v>
      </c>
      <c r="K115" s="4" t="s">
        <v>335</v>
      </c>
      <c r="L115" s="1" t="s">
        <v>4</v>
      </c>
      <c r="M115" s="1" t="s">
        <v>5</v>
      </c>
      <c r="N115" s="1" t="s">
        <v>113</v>
      </c>
    </row>
    <row r="116" spans="2:14" x14ac:dyDescent="0.25">
      <c r="B116" s="3">
        <v>46099</v>
      </c>
      <c r="C116" s="6" t="s">
        <v>434</v>
      </c>
      <c r="D116" s="1">
        <v>10140137</v>
      </c>
      <c r="E116" s="5" t="s">
        <v>440</v>
      </c>
      <c r="F116" s="2" t="s">
        <v>2</v>
      </c>
      <c r="G116" s="34">
        <v>1</v>
      </c>
      <c r="H116" s="2">
        <v>1</v>
      </c>
      <c r="I116" s="2">
        <v>0</v>
      </c>
      <c r="J116" s="2">
        <v>0</v>
      </c>
      <c r="K116" s="4" t="s">
        <v>335</v>
      </c>
      <c r="L116" s="1" t="s">
        <v>4</v>
      </c>
      <c r="M116" s="1" t="s">
        <v>5</v>
      </c>
      <c r="N116" s="1" t="s">
        <v>113</v>
      </c>
    </row>
    <row r="117" spans="2:14" x14ac:dyDescent="0.25">
      <c r="B117" s="3">
        <v>46099</v>
      </c>
      <c r="C117" s="6" t="s">
        <v>435</v>
      </c>
      <c r="D117" s="1">
        <v>10140002</v>
      </c>
      <c r="E117" s="5" t="s">
        <v>57</v>
      </c>
      <c r="F117" s="2" t="s">
        <v>2</v>
      </c>
      <c r="G117" s="34">
        <v>1</v>
      </c>
      <c r="H117" s="2">
        <v>1</v>
      </c>
      <c r="I117" s="2">
        <v>0</v>
      </c>
      <c r="J117" s="2">
        <v>0</v>
      </c>
      <c r="K117" s="4" t="s">
        <v>335</v>
      </c>
      <c r="L117" s="1" t="s">
        <v>4</v>
      </c>
      <c r="M117" s="1" t="s">
        <v>5</v>
      </c>
      <c r="N117" s="1" t="s">
        <v>113</v>
      </c>
    </row>
    <row r="118" spans="2:14" x14ac:dyDescent="0.25">
      <c r="B118" s="3">
        <v>46099</v>
      </c>
      <c r="C118" s="6" t="s">
        <v>441</v>
      </c>
      <c r="D118" s="1">
        <v>10020017</v>
      </c>
      <c r="E118" s="5" t="s">
        <v>447</v>
      </c>
      <c r="F118" s="2" t="s">
        <v>22</v>
      </c>
      <c r="G118" s="34">
        <v>1</v>
      </c>
      <c r="H118" s="2">
        <v>1</v>
      </c>
      <c r="I118" s="2">
        <v>0</v>
      </c>
      <c r="J118" s="2">
        <v>0</v>
      </c>
      <c r="K118" s="4" t="s">
        <v>335</v>
      </c>
      <c r="L118" s="1" t="s">
        <v>4</v>
      </c>
      <c r="M118" s="1" t="s">
        <v>19</v>
      </c>
      <c r="N118" s="1" t="s">
        <v>113</v>
      </c>
    </row>
    <row r="119" spans="2:14" x14ac:dyDescent="0.25">
      <c r="B119" s="3">
        <v>46099</v>
      </c>
      <c r="C119" s="6" t="s">
        <v>442</v>
      </c>
      <c r="D119" s="1">
        <v>10090033</v>
      </c>
      <c r="E119" s="5" t="s">
        <v>449</v>
      </c>
      <c r="F119" s="2" t="s">
        <v>25</v>
      </c>
      <c r="G119" s="34">
        <v>1</v>
      </c>
      <c r="H119" s="2">
        <v>1</v>
      </c>
      <c r="I119" s="2">
        <v>0</v>
      </c>
      <c r="J119" s="2">
        <v>0</v>
      </c>
      <c r="K119" s="4" t="s">
        <v>335</v>
      </c>
      <c r="L119" s="1" t="s">
        <v>4</v>
      </c>
      <c r="M119" s="1" t="s">
        <v>19</v>
      </c>
      <c r="N119" s="1" t="s">
        <v>113</v>
      </c>
    </row>
    <row r="120" spans="2:14" x14ac:dyDescent="0.25">
      <c r="B120" s="3">
        <v>46099</v>
      </c>
      <c r="C120" s="6" t="s">
        <v>443</v>
      </c>
      <c r="D120" s="1">
        <v>10060049</v>
      </c>
      <c r="E120" s="5" t="s">
        <v>452</v>
      </c>
      <c r="F120" s="2" t="s">
        <v>18</v>
      </c>
      <c r="G120" s="34">
        <v>1</v>
      </c>
      <c r="H120" s="2">
        <v>1</v>
      </c>
      <c r="I120" s="2">
        <v>0</v>
      </c>
      <c r="J120" s="2">
        <v>0</v>
      </c>
      <c r="K120" s="4" t="s">
        <v>335</v>
      </c>
      <c r="L120" s="1" t="s">
        <v>4</v>
      </c>
      <c r="M120" s="1" t="s">
        <v>19</v>
      </c>
      <c r="N120" s="1" t="s">
        <v>113</v>
      </c>
    </row>
    <row r="121" spans="2:14" x14ac:dyDescent="0.25">
      <c r="B121" s="3">
        <v>46099</v>
      </c>
      <c r="C121" s="6" t="s">
        <v>444</v>
      </c>
      <c r="D121" s="1">
        <v>10090009</v>
      </c>
      <c r="E121" s="5" t="s">
        <v>450</v>
      </c>
      <c r="F121" s="2" t="s">
        <v>25</v>
      </c>
      <c r="G121" s="34">
        <v>1</v>
      </c>
      <c r="H121" s="2">
        <v>1</v>
      </c>
      <c r="I121" s="2">
        <v>0</v>
      </c>
      <c r="J121" s="2">
        <v>0</v>
      </c>
      <c r="K121" s="4" t="s">
        <v>335</v>
      </c>
      <c r="L121" s="1" t="s">
        <v>4</v>
      </c>
      <c r="M121" s="1" t="s">
        <v>19</v>
      </c>
      <c r="N121" s="1" t="s">
        <v>113</v>
      </c>
    </row>
    <row r="122" spans="2:14" x14ac:dyDescent="0.25">
      <c r="B122" s="3">
        <v>46099</v>
      </c>
      <c r="C122" s="6" t="s">
        <v>445</v>
      </c>
      <c r="D122" s="1">
        <v>10090043</v>
      </c>
      <c r="E122" s="5" t="s">
        <v>451</v>
      </c>
      <c r="F122" s="2" t="s">
        <v>25</v>
      </c>
      <c r="G122" s="34">
        <v>1</v>
      </c>
      <c r="H122" s="2">
        <v>1</v>
      </c>
      <c r="I122" s="2">
        <v>0</v>
      </c>
      <c r="J122" s="2">
        <v>0</v>
      </c>
      <c r="K122" s="4" t="s">
        <v>335</v>
      </c>
      <c r="L122" s="1" t="s">
        <v>4</v>
      </c>
      <c r="M122" s="1" t="s">
        <v>19</v>
      </c>
      <c r="N122" s="1" t="s">
        <v>113</v>
      </c>
    </row>
    <row r="123" spans="2:14" x14ac:dyDescent="0.25">
      <c r="B123" s="3">
        <v>46099</v>
      </c>
      <c r="C123" s="6" t="s">
        <v>446</v>
      </c>
      <c r="D123" s="1">
        <v>10020070</v>
      </c>
      <c r="E123" s="5" t="s">
        <v>448</v>
      </c>
      <c r="F123" s="2" t="s">
        <v>22</v>
      </c>
      <c r="G123" s="34">
        <v>1</v>
      </c>
      <c r="H123" s="2">
        <v>1</v>
      </c>
      <c r="I123" s="2">
        <v>0</v>
      </c>
      <c r="J123" s="2">
        <v>0</v>
      </c>
      <c r="K123" s="4" t="s">
        <v>335</v>
      </c>
      <c r="L123" s="1" t="s">
        <v>4</v>
      </c>
      <c r="M123" s="1" t="s">
        <v>19</v>
      </c>
      <c r="N123" s="1" t="s">
        <v>113</v>
      </c>
    </row>
    <row r="124" spans="2:14" x14ac:dyDescent="0.25">
      <c r="B124" s="3">
        <v>46101</v>
      </c>
      <c r="C124" s="6" t="s">
        <v>453</v>
      </c>
      <c r="D124" s="1">
        <v>10110043</v>
      </c>
      <c r="E124" s="1" t="s">
        <v>455</v>
      </c>
      <c r="F124" s="2" t="s">
        <v>369</v>
      </c>
      <c r="G124" s="34">
        <v>1</v>
      </c>
      <c r="H124" s="2">
        <v>1</v>
      </c>
      <c r="I124" s="2">
        <v>0</v>
      </c>
      <c r="J124" s="2">
        <v>0</v>
      </c>
      <c r="K124" s="4" t="s">
        <v>335</v>
      </c>
      <c r="L124" s="1" t="s">
        <v>4</v>
      </c>
      <c r="M124" s="1" t="s">
        <v>97</v>
      </c>
      <c r="N124" s="1" t="s">
        <v>113</v>
      </c>
    </row>
    <row r="125" spans="2:14" x14ac:dyDescent="0.25">
      <c r="B125" s="3">
        <v>46101</v>
      </c>
      <c r="C125" s="6" t="s">
        <v>454</v>
      </c>
      <c r="D125" s="1">
        <v>10080096</v>
      </c>
      <c r="E125" s="1" t="s">
        <v>456</v>
      </c>
      <c r="F125" s="2" t="s">
        <v>96</v>
      </c>
      <c r="G125" s="34">
        <v>1</v>
      </c>
      <c r="H125" s="2">
        <v>0</v>
      </c>
      <c r="I125" s="2">
        <v>1</v>
      </c>
      <c r="J125" s="2">
        <v>0</v>
      </c>
      <c r="K125" s="4" t="s">
        <v>335</v>
      </c>
      <c r="L125" s="1" t="s">
        <v>4</v>
      </c>
      <c r="M125" s="1" t="s">
        <v>97</v>
      </c>
      <c r="N125" s="1" t="s">
        <v>112</v>
      </c>
    </row>
    <row r="126" spans="2:14" x14ac:dyDescent="0.25">
      <c r="B126" s="3">
        <v>46101</v>
      </c>
      <c r="C126" s="6" t="s">
        <v>457</v>
      </c>
      <c r="D126" s="1">
        <v>10120002</v>
      </c>
      <c r="E126" s="1" t="s">
        <v>462</v>
      </c>
      <c r="F126" s="2" t="s">
        <v>57</v>
      </c>
      <c r="G126" s="34">
        <v>1</v>
      </c>
      <c r="H126" s="2">
        <v>1</v>
      </c>
      <c r="I126" s="2">
        <v>0</v>
      </c>
      <c r="J126" s="2">
        <v>0</v>
      </c>
      <c r="K126" s="4" t="s">
        <v>335</v>
      </c>
      <c r="L126" s="1" t="s">
        <v>4</v>
      </c>
      <c r="M126" s="1" t="s">
        <v>468</v>
      </c>
      <c r="N126" s="1" t="s">
        <v>113</v>
      </c>
    </row>
    <row r="127" spans="2:14" x14ac:dyDescent="0.25">
      <c r="B127" s="3">
        <v>46101</v>
      </c>
      <c r="C127" s="6" t="s">
        <v>433</v>
      </c>
      <c r="D127" s="1">
        <v>10120107</v>
      </c>
      <c r="E127" s="1" t="s">
        <v>463</v>
      </c>
      <c r="F127" s="2" t="s">
        <v>57</v>
      </c>
      <c r="G127" s="34">
        <v>1</v>
      </c>
      <c r="H127" s="2">
        <v>1</v>
      </c>
      <c r="I127" s="2">
        <v>0</v>
      </c>
      <c r="J127" s="2">
        <v>0</v>
      </c>
      <c r="K127" s="4" t="s">
        <v>335</v>
      </c>
      <c r="L127" s="1" t="s">
        <v>4</v>
      </c>
      <c r="M127" s="1" t="s">
        <v>468</v>
      </c>
      <c r="N127" s="1" t="s">
        <v>113</v>
      </c>
    </row>
    <row r="128" spans="2:14" x14ac:dyDescent="0.25">
      <c r="B128" s="3">
        <v>46101</v>
      </c>
      <c r="C128" s="6" t="s">
        <v>458</v>
      </c>
      <c r="D128" s="1">
        <v>10120080</v>
      </c>
      <c r="E128" s="1" t="s">
        <v>464</v>
      </c>
      <c r="F128" s="2" t="s">
        <v>57</v>
      </c>
      <c r="G128" s="34">
        <v>1</v>
      </c>
      <c r="H128" s="2">
        <v>1</v>
      </c>
      <c r="I128" s="2">
        <v>0</v>
      </c>
      <c r="J128" s="2">
        <v>0</v>
      </c>
      <c r="K128" s="4" t="s">
        <v>335</v>
      </c>
      <c r="L128" s="1" t="s">
        <v>4</v>
      </c>
      <c r="M128" s="1" t="s">
        <v>468</v>
      </c>
      <c r="N128" s="1" t="s">
        <v>113</v>
      </c>
    </row>
    <row r="129" spans="2:14" x14ac:dyDescent="0.25">
      <c r="B129" s="3">
        <v>46101</v>
      </c>
      <c r="C129" s="6" t="s">
        <v>459</v>
      </c>
      <c r="D129" s="1">
        <v>10120035</v>
      </c>
      <c r="E129" s="1" t="s">
        <v>465</v>
      </c>
      <c r="F129" s="2" t="s">
        <v>57</v>
      </c>
      <c r="G129" s="34">
        <v>1</v>
      </c>
      <c r="H129" s="2">
        <v>1</v>
      </c>
      <c r="I129" s="2">
        <v>0</v>
      </c>
      <c r="J129" s="2">
        <v>0</v>
      </c>
      <c r="K129" s="4" t="s">
        <v>335</v>
      </c>
      <c r="L129" s="1" t="s">
        <v>4</v>
      </c>
      <c r="M129" s="1" t="s">
        <v>468</v>
      </c>
      <c r="N129" s="1" t="s">
        <v>113</v>
      </c>
    </row>
    <row r="130" spans="2:14" x14ac:dyDescent="0.25">
      <c r="B130" s="3">
        <v>46101</v>
      </c>
      <c r="C130" s="6" t="s">
        <v>460</v>
      </c>
      <c r="D130" s="1">
        <v>10130014</v>
      </c>
      <c r="E130" s="1" t="s">
        <v>466</v>
      </c>
      <c r="F130" s="2" t="s">
        <v>65</v>
      </c>
      <c r="G130" s="34">
        <v>1</v>
      </c>
      <c r="H130" s="2">
        <v>1</v>
      </c>
      <c r="I130" s="2">
        <v>0</v>
      </c>
      <c r="J130" s="2">
        <v>0</v>
      </c>
      <c r="K130" s="4" t="s">
        <v>335</v>
      </c>
      <c r="L130" s="1" t="s">
        <v>4</v>
      </c>
      <c r="M130" s="1" t="s">
        <v>468</v>
      </c>
      <c r="N130" s="1" t="s">
        <v>113</v>
      </c>
    </row>
    <row r="131" spans="2:14" x14ac:dyDescent="0.25">
      <c r="B131" s="3">
        <v>46101</v>
      </c>
      <c r="C131" s="6" t="s">
        <v>461</v>
      </c>
      <c r="D131" s="1">
        <v>10130015</v>
      </c>
      <c r="E131" s="1" t="s">
        <v>467</v>
      </c>
      <c r="F131" s="2" t="s">
        <v>65</v>
      </c>
      <c r="G131" s="34">
        <v>1</v>
      </c>
      <c r="H131" s="2">
        <v>1</v>
      </c>
      <c r="I131" s="2">
        <v>0</v>
      </c>
      <c r="J131" s="2">
        <v>0</v>
      </c>
      <c r="K131" s="4" t="s">
        <v>335</v>
      </c>
      <c r="L131" s="1" t="s">
        <v>4</v>
      </c>
      <c r="M131" s="1" t="s">
        <v>468</v>
      </c>
      <c r="N131" s="1" t="s">
        <v>113</v>
      </c>
    </row>
    <row r="132" spans="2:14" x14ac:dyDescent="0.25">
      <c r="B132" s="3">
        <v>46120</v>
      </c>
      <c r="C132" s="6" t="s">
        <v>473</v>
      </c>
      <c r="D132" s="1">
        <v>10030053</v>
      </c>
      <c r="E132" s="1" t="s">
        <v>10</v>
      </c>
      <c r="F132" s="2" t="s">
        <v>11</v>
      </c>
      <c r="G132" s="34">
        <v>1</v>
      </c>
      <c r="H132" s="2">
        <v>1</v>
      </c>
      <c r="I132" s="2">
        <v>0</v>
      </c>
      <c r="J132" s="2">
        <v>0</v>
      </c>
      <c r="K132" s="4" t="s">
        <v>335</v>
      </c>
      <c r="L132" s="1" t="s">
        <v>4</v>
      </c>
      <c r="M132" s="1" t="s">
        <v>474</v>
      </c>
      <c r="N132" s="1" t="s">
        <v>113</v>
      </c>
    </row>
    <row r="133" spans="2:14" x14ac:dyDescent="0.25">
      <c r="B133" s="3">
        <v>46125</v>
      </c>
      <c r="C133" s="6" t="s">
        <v>476</v>
      </c>
      <c r="D133" s="1">
        <v>10060130</v>
      </c>
      <c r="E133" s="1" t="s">
        <v>475</v>
      </c>
      <c r="F133" s="2" t="s">
        <v>18</v>
      </c>
      <c r="G133" s="34">
        <v>1</v>
      </c>
      <c r="H133" s="2">
        <v>0</v>
      </c>
      <c r="I133" s="2">
        <v>1</v>
      </c>
      <c r="J133" s="2">
        <v>0</v>
      </c>
      <c r="K133" s="4" t="s">
        <v>335</v>
      </c>
      <c r="L133" s="1" t="s">
        <v>4</v>
      </c>
      <c r="M133" s="1" t="s">
        <v>19</v>
      </c>
      <c r="N133" s="1" t="s">
        <v>112</v>
      </c>
    </row>
    <row r="134" spans="2:14" x14ac:dyDescent="0.25">
      <c r="B134" s="3">
        <v>46125</v>
      </c>
      <c r="C134" s="6" t="s">
        <v>477</v>
      </c>
      <c r="D134" s="1">
        <v>10090078</v>
      </c>
      <c r="E134" s="1" t="s">
        <v>478</v>
      </c>
      <c r="F134" s="2" t="s">
        <v>25</v>
      </c>
      <c r="G134" s="34">
        <v>1</v>
      </c>
      <c r="H134" s="2">
        <v>0</v>
      </c>
      <c r="I134" s="2">
        <v>1</v>
      </c>
      <c r="J134" s="2">
        <v>0</v>
      </c>
      <c r="K134" s="4" t="s">
        <v>335</v>
      </c>
      <c r="L134" s="1" t="s">
        <v>4</v>
      </c>
      <c r="M134" s="1" t="s">
        <v>19</v>
      </c>
      <c r="N134" s="1" t="s">
        <v>112</v>
      </c>
    </row>
    <row r="135" spans="2:14" x14ac:dyDescent="0.25">
      <c r="B135" s="3">
        <v>46125</v>
      </c>
      <c r="C135" s="6" t="s">
        <v>479</v>
      </c>
      <c r="D135" s="1"/>
      <c r="E135" s="1" t="s">
        <v>481</v>
      </c>
      <c r="F135" s="2" t="s">
        <v>22</v>
      </c>
      <c r="G135" s="34">
        <v>1</v>
      </c>
      <c r="H135" s="2">
        <v>0</v>
      </c>
      <c r="I135" s="2">
        <v>0</v>
      </c>
      <c r="J135" s="2">
        <v>1</v>
      </c>
      <c r="K135" s="4" t="s">
        <v>335</v>
      </c>
      <c r="L135" s="1" t="s">
        <v>4</v>
      </c>
      <c r="M135" s="1" t="s">
        <v>19</v>
      </c>
      <c r="N135" s="1" t="s">
        <v>112</v>
      </c>
    </row>
    <row r="136" spans="2:14" x14ac:dyDescent="0.25">
      <c r="B136" s="3">
        <v>46125</v>
      </c>
      <c r="C136" s="6" t="s">
        <v>480</v>
      </c>
      <c r="D136" s="1"/>
      <c r="E136" s="1" t="s">
        <v>481</v>
      </c>
      <c r="F136" s="2" t="s">
        <v>22</v>
      </c>
      <c r="G136" s="34">
        <v>1</v>
      </c>
      <c r="H136" s="2">
        <v>0</v>
      </c>
      <c r="I136" s="2">
        <v>0</v>
      </c>
      <c r="J136" s="2">
        <v>1</v>
      </c>
      <c r="K136" s="4" t="s">
        <v>335</v>
      </c>
      <c r="L136" s="1" t="s">
        <v>4</v>
      </c>
      <c r="M136" s="1" t="s">
        <v>19</v>
      </c>
      <c r="N136" s="1" t="s">
        <v>112</v>
      </c>
    </row>
    <row r="137" spans="2:14" x14ac:dyDescent="0.25">
      <c r="B137" s="3">
        <v>46133</v>
      </c>
      <c r="C137" s="6" t="s">
        <v>482</v>
      </c>
      <c r="D137" s="1">
        <v>10110095</v>
      </c>
      <c r="E137" s="5" t="s">
        <v>484</v>
      </c>
      <c r="F137" s="2" t="s">
        <v>369</v>
      </c>
      <c r="G137" s="34">
        <v>1</v>
      </c>
      <c r="H137" s="2">
        <v>1</v>
      </c>
      <c r="I137" s="2">
        <v>0</v>
      </c>
      <c r="J137" s="2">
        <v>0</v>
      </c>
      <c r="K137" s="4" t="s">
        <v>335</v>
      </c>
      <c r="L137" s="1" t="s">
        <v>4</v>
      </c>
      <c r="M137" s="1" t="s">
        <v>367</v>
      </c>
      <c r="N137" s="1" t="s">
        <v>113</v>
      </c>
    </row>
    <row r="138" spans="2:14" x14ac:dyDescent="0.25">
      <c r="B138" s="3">
        <v>46133</v>
      </c>
      <c r="C138" s="6" t="s">
        <v>483</v>
      </c>
      <c r="D138" s="1">
        <v>10440001</v>
      </c>
      <c r="E138" s="5" t="s">
        <v>485</v>
      </c>
      <c r="F138" s="2" t="s">
        <v>369</v>
      </c>
      <c r="G138" s="34">
        <v>1</v>
      </c>
      <c r="H138" s="2">
        <v>1</v>
      </c>
      <c r="I138" s="2">
        <v>0</v>
      </c>
      <c r="J138" s="2">
        <v>0</v>
      </c>
      <c r="K138" s="4" t="s">
        <v>335</v>
      </c>
      <c r="L138" s="1" t="s">
        <v>4</v>
      </c>
      <c r="M138" s="1" t="s">
        <v>367</v>
      </c>
      <c r="N138" s="1" t="s">
        <v>113</v>
      </c>
    </row>
    <row r="139" spans="2:14" x14ac:dyDescent="0.25">
      <c r="B139" s="3">
        <v>46133</v>
      </c>
      <c r="C139" s="6" t="s">
        <v>486</v>
      </c>
      <c r="D139" s="1">
        <v>10100001</v>
      </c>
      <c r="E139" s="5" t="s">
        <v>488</v>
      </c>
      <c r="F139" s="2" t="s">
        <v>489</v>
      </c>
      <c r="G139" s="34">
        <v>1</v>
      </c>
      <c r="H139" s="2">
        <v>1</v>
      </c>
      <c r="I139" s="2">
        <v>0</v>
      </c>
      <c r="J139" s="2">
        <v>0</v>
      </c>
      <c r="K139" s="4" t="s">
        <v>335</v>
      </c>
      <c r="L139" s="1" t="s">
        <v>4</v>
      </c>
      <c r="M139" s="1" t="s">
        <v>50</v>
      </c>
      <c r="N139" s="1" t="s">
        <v>113</v>
      </c>
    </row>
    <row r="140" spans="2:14" x14ac:dyDescent="0.25">
      <c r="B140" s="3">
        <v>46133</v>
      </c>
      <c r="C140" s="6" t="s">
        <v>487</v>
      </c>
      <c r="D140" s="1">
        <v>10070043</v>
      </c>
      <c r="E140" s="5" t="s">
        <v>49</v>
      </c>
      <c r="F140" s="2" t="s">
        <v>49</v>
      </c>
      <c r="G140" s="34">
        <v>1</v>
      </c>
      <c r="H140" s="2">
        <v>1</v>
      </c>
      <c r="I140" s="2">
        <v>0</v>
      </c>
      <c r="J140" s="2">
        <v>0</v>
      </c>
      <c r="K140" s="4" t="s">
        <v>335</v>
      </c>
      <c r="L140" s="1" t="s">
        <v>4</v>
      </c>
      <c r="M140" s="1" t="s">
        <v>50</v>
      </c>
      <c r="N140" s="1" t="s">
        <v>113</v>
      </c>
    </row>
    <row r="141" spans="2:14" x14ac:dyDescent="0.25">
      <c r="B141" s="3">
        <v>46142</v>
      </c>
      <c r="C141" s="6" t="s">
        <v>490</v>
      </c>
      <c r="D141" s="1"/>
      <c r="E141" s="1" t="s">
        <v>481</v>
      </c>
      <c r="F141" s="2" t="s">
        <v>22</v>
      </c>
      <c r="G141" s="34">
        <v>1</v>
      </c>
      <c r="H141" s="2">
        <v>0</v>
      </c>
      <c r="I141" s="2">
        <v>0</v>
      </c>
      <c r="J141" s="2">
        <v>1</v>
      </c>
      <c r="K141" s="4" t="s">
        <v>335</v>
      </c>
      <c r="L141" s="1" t="s">
        <v>4</v>
      </c>
      <c r="M141" s="1" t="s">
        <v>19</v>
      </c>
      <c r="N141" s="1" t="s">
        <v>112</v>
      </c>
    </row>
    <row r="142" spans="2:14" x14ac:dyDescent="0.25">
      <c r="B142" s="3"/>
      <c r="C142" s="6"/>
      <c r="D142" s="1"/>
      <c r="E142" s="1"/>
      <c r="F142" s="2"/>
      <c r="G142" s="34"/>
      <c r="H142" s="2"/>
      <c r="I142" s="2"/>
      <c r="J142" s="2"/>
      <c r="K142" s="4"/>
      <c r="L142" s="1"/>
      <c r="M142" s="1"/>
      <c r="N142" s="1"/>
    </row>
    <row r="143" spans="2:14" x14ac:dyDescent="0.25">
      <c r="B143" s="3"/>
      <c r="C143" s="6"/>
      <c r="D143" s="1"/>
      <c r="E143" s="1"/>
      <c r="F143" s="2"/>
      <c r="G143" s="34"/>
      <c r="H143" s="2"/>
      <c r="I143" s="2"/>
      <c r="J143" s="2"/>
      <c r="K143" s="4"/>
      <c r="L143" s="1"/>
      <c r="M143" s="1"/>
      <c r="N143" s="1"/>
    </row>
    <row r="144" spans="2:14" x14ac:dyDescent="0.25">
      <c r="B144" s="3"/>
      <c r="C144" s="6"/>
      <c r="D144" s="1"/>
      <c r="E144" s="1"/>
      <c r="F144" s="2"/>
      <c r="G144" s="34"/>
      <c r="H144" s="2"/>
      <c r="I144" s="2"/>
      <c r="J144" s="2"/>
      <c r="K144" s="4"/>
      <c r="L144" s="1"/>
      <c r="M144" s="1"/>
      <c r="N144" s="1"/>
    </row>
    <row r="145" spans="2:15" x14ac:dyDescent="0.25">
      <c r="B145" s="3"/>
      <c r="C145" s="6"/>
      <c r="D145" s="1"/>
      <c r="E145" s="1"/>
      <c r="F145" s="2"/>
      <c r="G145" s="34"/>
      <c r="H145" s="2"/>
      <c r="I145" s="2"/>
      <c r="J145" s="2"/>
      <c r="K145" s="4"/>
      <c r="L145" s="1"/>
      <c r="M145" s="1"/>
      <c r="N145" s="1"/>
    </row>
    <row r="146" spans="2:15" x14ac:dyDescent="0.25">
      <c r="B146" s="3"/>
      <c r="C146" s="6"/>
      <c r="D146" s="1"/>
      <c r="E146" s="1"/>
      <c r="F146" s="2"/>
      <c r="G146" s="34"/>
      <c r="H146" s="2"/>
      <c r="I146" s="2"/>
      <c r="J146" s="2"/>
      <c r="K146" s="4"/>
      <c r="L146" s="1"/>
      <c r="M146" s="1"/>
      <c r="N146" s="1"/>
    </row>
    <row r="147" spans="2:15" x14ac:dyDescent="0.25">
      <c r="B147" s="3"/>
      <c r="C147" s="6"/>
      <c r="D147" s="1"/>
      <c r="E147" s="1"/>
      <c r="F147" s="2"/>
      <c r="G147" s="34"/>
      <c r="H147" s="2"/>
      <c r="I147" s="2"/>
      <c r="J147" s="2"/>
      <c r="K147" s="4"/>
      <c r="L147" s="1"/>
      <c r="M147" s="1"/>
      <c r="N147" s="1"/>
    </row>
    <row r="148" spans="2:15" x14ac:dyDescent="0.25">
      <c r="B148" s="3"/>
      <c r="C148" s="6"/>
      <c r="D148" s="1"/>
      <c r="E148" s="1"/>
      <c r="F148" s="2"/>
      <c r="G148" s="34"/>
      <c r="H148" s="2"/>
      <c r="I148" s="2"/>
      <c r="J148" s="2"/>
      <c r="K148" s="4"/>
      <c r="L148" s="1"/>
      <c r="M148" s="1"/>
      <c r="N148" s="1"/>
    </row>
    <row r="149" spans="2:15" x14ac:dyDescent="0.25">
      <c r="B149" s="3"/>
      <c r="C149" s="6"/>
      <c r="D149" s="1"/>
      <c r="E149" s="1"/>
      <c r="F149" s="2"/>
      <c r="G149" s="34"/>
      <c r="H149" s="2"/>
      <c r="I149" s="2"/>
      <c r="J149" s="2"/>
      <c r="K149" s="4"/>
      <c r="L149" s="1"/>
      <c r="M149" s="1"/>
      <c r="N149" s="1"/>
    </row>
    <row r="150" spans="2:15" x14ac:dyDescent="0.25">
      <c r="B150" s="3"/>
      <c r="C150" s="6"/>
      <c r="D150" s="1"/>
      <c r="E150" s="1"/>
      <c r="F150" s="2"/>
      <c r="G150" s="34"/>
      <c r="H150" s="2"/>
      <c r="I150" s="2"/>
      <c r="J150" s="2"/>
      <c r="K150" s="4"/>
      <c r="L150" s="1"/>
      <c r="M150" s="1"/>
      <c r="N150" s="1"/>
    </row>
    <row r="151" spans="2:15" x14ac:dyDescent="0.25">
      <c r="B151" s="3"/>
      <c r="C151" s="6"/>
      <c r="D151" s="1"/>
      <c r="E151" s="1"/>
      <c r="F151" s="2"/>
      <c r="G151" s="34"/>
      <c r="H151" s="2"/>
      <c r="I151" s="2"/>
      <c r="J151" s="2"/>
      <c r="K151" s="4"/>
      <c r="L151" s="1"/>
      <c r="M151" s="1"/>
      <c r="N151" s="1"/>
    </row>
    <row r="152" spans="2:15" x14ac:dyDescent="0.25">
      <c r="B152" s="3"/>
      <c r="C152" s="6"/>
      <c r="D152" s="1"/>
      <c r="E152" s="1"/>
      <c r="F152" s="2"/>
      <c r="G152" s="34"/>
      <c r="H152" s="2"/>
      <c r="I152" s="2"/>
      <c r="J152" s="2"/>
      <c r="K152" s="4"/>
      <c r="L152" s="1"/>
      <c r="M152" s="1"/>
      <c r="N152" s="1"/>
    </row>
    <row r="153" spans="2:15" x14ac:dyDescent="0.25">
      <c r="B153" s="3"/>
      <c r="C153" s="6"/>
      <c r="D153" s="1"/>
      <c r="E153" s="1"/>
      <c r="F153" s="2"/>
      <c r="G153" s="34"/>
      <c r="H153" s="2"/>
      <c r="I153" s="2"/>
      <c r="J153" s="2"/>
      <c r="K153" s="4"/>
      <c r="L153" s="1"/>
      <c r="M153" s="1"/>
      <c r="N153" s="1"/>
    </row>
    <row r="154" spans="2:15" x14ac:dyDescent="0.25">
      <c r="B154" s="3"/>
      <c r="C154" s="6"/>
      <c r="D154" s="1"/>
      <c r="E154" s="1"/>
      <c r="F154" s="2"/>
      <c r="G154" s="34"/>
      <c r="H154" s="2"/>
      <c r="I154" s="2"/>
      <c r="J154" s="2"/>
      <c r="K154" s="4"/>
      <c r="L154" s="1"/>
      <c r="M154" s="1"/>
      <c r="N154" s="1"/>
    </row>
    <row r="155" spans="2:15" x14ac:dyDescent="0.25">
      <c r="B155" s="41" t="s">
        <v>127</v>
      </c>
      <c r="C155" s="41"/>
      <c r="D155" s="41"/>
      <c r="E155" s="41"/>
      <c r="F155" s="41"/>
      <c r="G155" s="9">
        <f>SUM(G8:G154)</f>
        <v>156</v>
      </c>
      <c r="H155" s="8">
        <f>SUM(H8:H154)</f>
        <v>77</v>
      </c>
      <c r="I155" s="8">
        <f t="shared" ref="I155:J155" si="0">SUM(I8:I154)</f>
        <v>37</v>
      </c>
      <c r="J155" s="8">
        <f t="shared" si="0"/>
        <v>42</v>
      </c>
      <c r="K155" s="8"/>
      <c r="L155" s="8"/>
      <c r="M155" s="1"/>
      <c r="N155" s="1"/>
      <c r="O155" s="1"/>
    </row>
  </sheetData>
  <autoFilter ref="B7:O131" xr:uid="{72D1E54F-F88E-4CF2-BAB5-515FD15DF34E}"/>
  <mergeCells count="1">
    <mergeCell ref="B155:F155"/>
  </mergeCells>
  <conditionalFormatting sqref="C8:C50">
    <cfRule type="duplicateValues" dxfId="16" priority="2"/>
  </conditionalFormatting>
  <conditionalFormatting sqref="C8:C141">
    <cfRule type="duplicateValues" dxfId="15" priority="1"/>
  </conditionalFormatting>
  <conditionalFormatting sqref="D92:D93">
    <cfRule type="duplicateValues" dxfId="14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C84-AC8E-4740-9687-7BC3CE039E09}">
  <sheetPr filterMode="1"/>
  <dimension ref="A1:T101"/>
  <sheetViews>
    <sheetView tabSelected="1" topLeftCell="A65" workbookViewId="0">
      <selection activeCell="S2" sqref="S2:S93"/>
    </sheetView>
  </sheetViews>
  <sheetFormatPr defaultRowHeight="15" x14ac:dyDescent="0.25"/>
  <cols>
    <col min="1" max="2" width="10.28515625" bestFit="1" customWidth="1"/>
    <col min="3" max="3" width="14.7109375" bestFit="1" customWidth="1"/>
    <col min="4" max="4" width="65.28515625" bestFit="1" customWidth="1"/>
    <col min="5" max="6" width="11.42578125" customWidth="1"/>
    <col min="7" max="7" width="10.140625" customWidth="1"/>
    <col min="8" max="8" width="9.140625" customWidth="1"/>
    <col min="9" max="18" width="10.140625" customWidth="1"/>
    <col min="19" max="19" width="11.42578125" bestFit="1" customWidth="1"/>
  </cols>
  <sheetData>
    <row r="1" spans="1:20" x14ac:dyDescent="0.25">
      <c r="A1" s="6" t="s">
        <v>140</v>
      </c>
      <c r="B1" s="23" t="s">
        <v>141</v>
      </c>
      <c r="C1" s="23" t="s">
        <v>142</v>
      </c>
      <c r="D1" s="21" t="s">
        <v>143</v>
      </c>
      <c r="E1" s="21" t="s">
        <v>144</v>
      </c>
      <c r="F1" s="21" t="s">
        <v>360</v>
      </c>
      <c r="G1" s="21" t="s">
        <v>218</v>
      </c>
      <c r="H1" s="21" t="s">
        <v>219</v>
      </c>
      <c r="I1" s="21" t="s">
        <v>220</v>
      </c>
      <c r="J1" s="21" t="s">
        <v>221</v>
      </c>
      <c r="K1" s="21" t="s">
        <v>282</v>
      </c>
      <c r="L1" s="21" t="s">
        <v>284</v>
      </c>
      <c r="M1" s="21" t="s">
        <v>357</v>
      </c>
      <c r="N1" s="21" t="s">
        <v>394</v>
      </c>
      <c r="O1" s="21" t="s">
        <v>395</v>
      </c>
      <c r="P1" s="21" t="s">
        <v>397</v>
      </c>
      <c r="Q1" s="21" t="s">
        <v>398</v>
      </c>
      <c r="R1" s="21" t="s">
        <v>396</v>
      </c>
      <c r="S1" s="11" t="s">
        <v>222</v>
      </c>
      <c r="T1" s="21" t="s">
        <v>109</v>
      </c>
    </row>
    <row r="2" spans="1:20" x14ac:dyDescent="0.25">
      <c r="A2" s="1"/>
      <c r="B2" s="1" t="s">
        <v>145</v>
      </c>
      <c r="C2" s="1">
        <v>10130027</v>
      </c>
      <c r="D2" s="16" t="s">
        <v>146</v>
      </c>
      <c r="E2" s="17">
        <v>640</v>
      </c>
      <c r="F2" s="17"/>
      <c r="G2" s="22"/>
      <c r="H2" s="22"/>
      <c r="I2" s="22"/>
      <c r="J2" s="22"/>
      <c r="K2" s="22"/>
      <c r="L2" s="22"/>
      <c r="M2" s="22"/>
      <c r="N2" s="22"/>
      <c r="O2" s="22"/>
      <c r="P2" s="22" t="s">
        <v>425</v>
      </c>
      <c r="Q2" s="22" t="s">
        <v>425</v>
      </c>
      <c r="R2" s="22">
        <v>0</v>
      </c>
      <c r="S2" s="28">
        <f>E2-SUM(F2:R2)</f>
        <v>640</v>
      </c>
      <c r="T2" s="1"/>
    </row>
    <row r="3" spans="1:20" hidden="1" x14ac:dyDescent="0.25">
      <c r="A3" s="1"/>
      <c r="B3" s="2" t="s">
        <v>147</v>
      </c>
      <c r="C3" s="1">
        <v>10080014</v>
      </c>
      <c r="D3" s="1" t="s">
        <v>148</v>
      </c>
      <c r="E3" s="17">
        <v>7142</v>
      </c>
      <c r="F3" s="17"/>
      <c r="G3" s="22">
        <v>1011</v>
      </c>
      <c r="H3" s="22">
        <v>481</v>
      </c>
      <c r="I3" s="22"/>
      <c r="J3" s="22"/>
      <c r="K3" s="22"/>
      <c r="L3" s="22"/>
      <c r="M3" s="22"/>
      <c r="N3" s="22"/>
      <c r="O3" s="22">
        <v>3000</v>
      </c>
      <c r="P3" s="22">
        <v>3517</v>
      </c>
      <c r="Q3" s="22"/>
      <c r="R3" s="22"/>
      <c r="S3" s="28">
        <f t="shared" ref="S3:S88" si="0">E3-SUM(F3:R3)</f>
        <v>-867</v>
      </c>
      <c r="T3" s="1"/>
    </row>
    <row r="4" spans="1:20" hidden="1" x14ac:dyDescent="0.25">
      <c r="A4" s="1"/>
      <c r="B4" s="1" t="s">
        <v>149</v>
      </c>
      <c r="C4" s="1" t="e">
        <v>#N/A</v>
      </c>
      <c r="D4" s="16" t="s">
        <v>150</v>
      </c>
      <c r="E4" s="17">
        <v>8500</v>
      </c>
      <c r="F4" s="17"/>
      <c r="G4" s="22"/>
      <c r="H4" s="22"/>
      <c r="I4" s="22"/>
      <c r="J4" s="22"/>
      <c r="K4" s="22"/>
      <c r="L4" s="22"/>
      <c r="M4" s="22" t="s">
        <v>425</v>
      </c>
      <c r="N4" s="22" t="s">
        <v>425</v>
      </c>
      <c r="O4" s="22"/>
      <c r="P4" s="22" t="s">
        <v>425</v>
      </c>
      <c r="Q4" s="22" t="s">
        <v>425</v>
      </c>
      <c r="R4" s="22" t="s">
        <v>425</v>
      </c>
      <c r="S4" s="28">
        <f t="shared" si="0"/>
        <v>8500</v>
      </c>
      <c r="T4" s="1"/>
    </row>
    <row r="5" spans="1:20" hidden="1" x14ac:dyDescent="0.25">
      <c r="A5" s="1"/>
      <c r="B5" s="1" t="s">
        <v>151</v>
      </c>
      <c r="C5" s="1" t="e">
        <v>#N/A</v>
      </c>
      <c r="D5" s="16" t="s">
        <v>152</v>
      </c>
      <c r="E5" s="17">
        <v>6618</v>
      </c>
      <c r="F5" s="17"/>
      <c r="G5" s="22"/>
      <c r="H5" s="22"/>
      <c r="I5" s="22"/>
      <c r="J5" s="22"/>
      <c r="K5" s="22"/>
      <c r="L5" s="22"/>
      <c r="M5" s="22" t="s">
        <v>425</v>
      </c>
      <c r="N5" s="22" t="s">
        <v>425</v>
      </c>
      <c r="O5" s="22"/>
      <c r="P5" s="22" t="s">
        <v>425</v>
      </c>
      <c r="Q5" s="22" t="s">
        <v>425</v>
      </c>
      <c r="R5" s="22" t="s">
        <v>425</v>
      </c>
      <c r="S5" s="28">
        <f t="shared" si="0"/>
        <v>6618</v>
      </c>
      <c r="T5" s="1"/>
    </row>
    <row r="6" spans="1:20" x14ac:dyDescent="0.25">
      <c r="A6" s="1"/>
      <c r="B6" s="1" t="s">
        <v>153</v>
      </c>
      <c r="C6" s="1">
        <v>10080017</v>
      </c>
      <c r="D6" s="16" t="s">
        <v>154</v>
      </c>
      <c r="E6" s="17">
        <v>14200</v>
      </c>
      <c r="F6" s="17"/>
      <c r="G6" s="22"/>
      <c r="H6" s="22"/>
      <c r="I6" s="22"/>
      <c r="J6" s="22"/>
      <c r="K6" s="22"/>
      <c r="L6" s="22"/>
      <c r="M6" s="22" t="s">
        <v>425</v>
      </c>
      <c r="N6" s="22" t="s">
        <v>425</v>
      </c>
      <c r="O6" s="22"/>
      <c r="P6" s="22" t="s">
        <v>425</v>
      </c>
      <c r="Q6" s="22" t="s">
        <v>425</v>
      </c>
      <c r="R6" s="22" t="s">
        <v>425</v>
      </c>
      <c r="S6" s="28">
        <f t="shared" si="0"/>
        <v>14200</v>
      </c>
      <c r="T6" s="1"/>
    </row>
    <row r="7" spans="1:20" x14ac:dyDescent="0.25">
      <c r="A7" s="1"/>
      <c r="B7" s="1" t="s">
        <v>155</v>
      </c>
      <c r="C7" s="1">
        <v>10110022</v>
      </c>
      <c r="D7" s="16" t="s">
        <v>156</v>
      </c>
      <c r="E7" s="17">
        <v>1878</v>
      </c>
      <c r="F7" s="17"/>
      <c r="G7" s="22"/>
      <c r="H7" s="22"/>
      <c r="I7" s="22"/>
      <c r="J7" s="22"/>
      <c r="K7" s="22"/>
      <c r="L7" s="22"/>
      <c r="M7" s="22" t="s">
        <v>425</v>
      </c>
      <c r="N7" s="22" t="s">
        <v>425</v>
      </c>
      <c r="O7" s="22"/>
      <c r="P7" s="22" t="s">
        <v>425</v>
      </c>
      <c r="Q7" s="22" t="s">
        <v>425</v>
      </c>
      <c r="R7" s="22" t="s">
        <v>425</v>
      </c>
      <c r="S7" s="28">
        <f t="shared" si="0"/>
        <v>1878</v>
      </c>
      <c r="T7" s="1"/>
    </row>
    <row r="8" spans="1:20" x14ac:dyDescent="0.25">
      <c r="A8" s="1"/>
      <c r="B8" s="1" t="s">
        <v>157</v>
      </c>
      <c r="C8" s="1">
        <v>10100004</v>
      </c>
      <c r="D8" s="16" t="s">
        <v>158</v>
      </c>
      <c r="E8" s="17">
        <v>7316</v>
      </c>
      <c r="F8" s="17"/>
      <c r="G8" s="22">
        <v>146</v>
      </c>
      <c r="H8" s="22"/>
      <c r="I8" s="22">
        <v>1265</v>
      </c>
      <c r="J8" s="22"/>
      <c r="K8" s="22"/>
      <c r="L8" s="22"/>
      <c r="M8" s="22" t="s">
        <v>425</v>
      </c>
      <c r="N8" s="22" t="s">
        <v>425</v>
      </c>
      <c r="O8" s="22"/>
      <c r="P8" s="22"/>
      <c r="Q8" s="22"/>
      <c r="R8" s="22"/>
      <c r="S8" s="28">
        <f t="shared" si="0"/>
        <v>5905</v>
      </c>
      <c r="T8" s="1"/>
    </row>
    <row r="9" spans="1:20" x14ac:dyDescent="0.25">
      <c r="A9" s="1"/>
      <c r="B9" s="1" t="s">
        <v>159</v>
      </c>
      <c r="C9" s="1">
        <v>10030020</v>
      </c>
      <c r="D9" s="16" t="s">
        <v>160</v>
      </c>
      <c r="E9" s="17">
        <v>14200</v>
      </c>
      <c r="F9" s="17"/>
      <c r="G9" s="22"/>
      <c r="H9" s="22"/>
      <c r="I9" s="22"/>
      <c r="J9" s="22"/>
      <c r="K9" s="22"/>
      <c r="L9" s="22"/>
      <c r="M9" s="22" t="s">
        <v>425</v>
      </c>
      <c r="N9" s="22" t="s">
        <v>425</v>
      </c>
      <c r="O9" s="22"/>
      <c r="P9" s="22" t="s">
        <v>425</v>
      </c>
      <c r="Q9" s="22" t="s">
        <v>425</v>
      </c>
      <c r="R9" s="22" t="s">
        <v>425</v>
      </c>
      <c r="S9" s="28">
        <f t="shared" si="0"/>
        <v>14200</v>
      </c>
      <c r="T9" s="1"/>
    </row>
    <row r="10" spans="1:20" x14ac:dyDescent="0.25">
      <c r="A10" s="1"/>
      <c r="B10" s="1" t="s">
        <v>161</v>
      </c>
      <c r="C10" s="1">
        <v>10090023</v>
      </c>
      <c r="D10" s="16" t="s">
        <v>162</v>
      </c>
      <c r="E10" s="17">
        <v>9996</v>
      </c>
      <c r="F10" s="17"/>
      <c r="G10" s="22"/>
      <c r="H10" s="22"/>
      <c r="I10" s="22"/>
      <c r="J10" s="22"/>
      <c r="K10" s="22"/>
      <c r="L10" s="22"/>
      <c r="M10" s="22" t="s">
        <v>425</v>
      </c>
      <c r="N10" s="22" t="s">
        <v>425</v>
      </c>
      <c r="O10" s="22"/>
      <c r="P10" s="22" t="s">
        <v>425</v>
      </c>
      <c r="Q10" s="22" t="s">
        <v>425</v>
      </c>
      <c r="R10" s="22" t="s">
        <v>425</v>
      </c>
      <c r="S10" s="28">
        <f t="shared" si="0"/>
        <v>9996</v>
      </c>
      <c r="T10" s="1"/>
    </row>
    <row r="11" spans="1:20" x14ac:dyDescent="0.25">
      <c r="A11" s="1"/>
      <c r="B11" s="1" t="s">
        <v>163</v>
      </c>
      <c r="C11" s="1">
        <v>10120024</v>
      </c>
      <c r="D11" s="16" t="s">
        <v>164</v>
      </c>
      <c r="E11" s="17">
        <v>704</v>
      </c>
      <c r="F11" s="17"/>
      <c r="G11" s="22"/>
      <c r="H11" s="22"/>
      <c r="I11" s="22"/>
      <c r="J11" s="22"/>
      <c r="K11" s="22"/>
      <c r="L11" s="22"/>
      <c r="M11" s="22"/>
      <c r="N11" s="22"/>
      <c r="O11" s="22"/>
      <c r="P11" s="22">
        <v>704</v>
      </c>
      <c r="Q11" s="22"/>
      <c r="R11" s="22"/>
      <c r="S11" s="28">
        <f t="shared" si="0"/>
        <v>0</v>
      </c>
      <c r="T11" s="1"/>
    </row>
    <row r="12" spans="1:20" x14ac:dyDescent="0.25">
      <c r="A12" s="1"/>
      <c r="B12" s="1" t="s">
        <v>165</v>
      </c>
      <c r="C12" s="1">
        <v>10120022</v>
      </c>
      <c r="D12" s="16" t="s">
        <v>166</v>
      </c>
      <c r="E12" s="17">
        <v>4825</v>
      </c>
      <c r="F12" s="17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>
        <v>63</v>
      </c>
      <c r="R12" s="22"/>
      <c r="S12" s="28">
        <f t="shared" si="0"/>
        <v>4762</v>
      </c>
      <c r="T12" s="1"/>
    </row>
    <row r="13" spans="1:20" x14ac:dyDescent="0.25">
      <c r="A13" s="1"/>
      <c r="B13" s="1" t="s">
        <v>167</v>
      </c>
      <c r="C13" s="1">
        <v>10480004</v>
      </c>
      <c r="D13" s="16" t="s">
        <v>168</v>
      </c>
      <c r="E13" s="17">
        <v>6241</v>
      </c>
      <c r="F13" s="17"/>
      <c r="G13" s="22"/>
      <c r="H13" s="22"/>
      <c r="I13" s="22"/>
      <c r="J13" s="22"/>
      <c r="K13" s="22"/>
      <c r="L13" s="22"/>
      <c r="M13" s="22" t="s">
        <v>425</v>
      </c>
      <c r="N13" s="22" t="s">
        <v>425</v>
      </c>
      <c r="O13" s="22"/>
      <c r="P13" s="22" t="s">
        <v>425</v>
      </c>
      <c r="Q13" s="22" t="s">
        <v>425</v>
      </c>
      <c r="R13" s="22" t="s">
        <v>425</v>
      </c>
      <c r="S13" s="28">
        <f t="shared" si="0"/>
        <v>6241</v>
      </c>
      <c r="T13" s="1"/>
    </row>
    <row r="14" spans="1:20" x14ac:dyDescent="0.25">
      <c r="A14" s="1"/>
      <c r="B14" s="1" t="s">
        <v>169</v>
      </c>
      <c r="C14" s="1">
        <v>10100036</v>
      </c>
      <c r="D14" s="16" t="s">
        <v>170</v>
      </c>
      <c r="E14" s="17">
        <v>8196</v>
      </c>
      <c r="F14" s="17"/>
      <c r="G14" s="22"/>
      <c r="H14" s="22"/>
      <c r="I14" s="22"/>
      <c r="J14" s="22"/>
      <c r="K14" s="22"/>
      <c r="L14" s="22"/>
      <c r="M14" s="22" t="s">
        <v>425</v>
      </c>
      <c r="N14" s="22" t="s">
        <v>425</v>
      </c>
      <c r="O14" s="22"/>
      <c r="P14" s="22" t="s">
        <v>425</v>
      </c>
      <c r="Q14" s="22" t="s">
        <v>425</v>
      </c>
      <c r="R14" s="22" t="s">
        <v>425</v>
      </c>
      <c r="S14" s="28">
        <f t="shared" si="0"/>
        <v>8196</v>
      </c>
      <c r="T14" s="1"/>
    </row>
    <row r="15" spans="1:20" x14ac:dyDescent="0.25">
      <c r="A15" s="18">
        <v>45418</v>
      </c>
      <c r="B15" s="1" t="s">
        <v>171</v>
      </c>
      <c r="C15" s="1">
        <v>10130045</v>
      </c>
      <c r="D15" s="16" t="s">
        <v>172</v>
      </c>
      <c r="E15" s="17">
        <v>7592</v>
      </c>
      <c r="F15" s="17"/>
      <c r="G15" s="22"/>
      <c r="H15" s="22"/>
      <c r="I15" s="22"/>
      <c r="J15" s="22"/>
      <c r="K15" s="22"/>
      <c r="L15" s="22"/>
      <c r="M15" s="22" t="s">
        <v>425</v>
      </c>
      <c r="N15" s="22" t="s">
        <v>425</v>
      </c>
      <c r="O15" s="22"/>
      <c r="P15" s="22" t="s">
        <v>425</v>
      </c>
      <c r="Q15" s="22" t="s">
        <v>425</v>
      </c>
      <c r="R15" s="22" t="s">
        <v>425</v>
      </c>
      <c r="S15" s="28">
        <f t="shared" si="0"/>
        <v>7592</v>
      </c>
      <c r="T15" s="1"/>
    </row>
    <row r="16" spans="1:20" x14ac:dyDescent="0.25">
      <c r="A16" s="18">
        <v>45510</v>
      </c>
      <c r="B16" s="1"/>
      <c r="C16" s="1">
        <v>10140020</v>
      </c>
      <c r="D16" s="1" t="s">
        <v>173</v>
      </c>
      <c r="E16" s="17">
        <v>5683</v>
      </c>
      <c r="F16" s="17"/>
      <c r="G16" s="22"/>
      <c r="H16" s="22"/>
      <c r="I16" s="22">
        <v>125</v>
      </c>
      <c r="J16" s="22"/>
      <c r="K16" s="22"/>
      <c r="L16" s="22"/>
      <c r="M16" s="22"/>
      <c r="N16" s="22" t="s">
        <v>425</v>
      </c>
      <c r="O16" s="22"/>
      <c r="P16" s="22"/>
      <c r="Q16" s="22"/>
      <c r="R16" s="22"/>
      <c r="S16" s="28">
        <f t="shared" si="0"/>
        <v>5558</v>
      </c>
      <c r="T16" s="1"/>
    </row>
    <row r="17" spans="1:20" x14ac:dyDescent="0.25">
      <c r="A17" s="18">
        <v>45561</v>
      </c>
      <c r="B17" s="19" t="s">
        <v>174</v>
      </c>
      <c r="C17" s="1">
        <v>10100019</v>
      </c>
      <c r="D17" s="16" t="s">
        <v>175</v>
      </c>
      <c r="E17" s="17">
        <v>7238</v>
      </c>
      <c r="F17" s="17"/>
      <c r="G17" s="22"/>
      <c r="H17" s="22"/>
      <c r="I17" s="22"/>
      <c r="J17" s="22"/>
      <c r="K17" s="22"/>
      <c r="L17" s="22"/>
      <c r="M17" s="22"/>
      <c r="N17" s="22" t="s">
        <v>425</v>
      </c>
      <c r="O17" s="22"/>
      <c r="P17" s="22" t="s">
        <v>425</v>
      </c>
      <c r="Q17" s="22" t="s">
        <v>425</v>
      </c>
      <c r="R17" s="22" t="s">
        <v>425</v>
      </c>
      <c r="S17" s="28">
        <f t="shared" si="0"/>
        <v>7238</v>
      </c>
      <c r="T17" s="1"/>
    </row>
    <row r="18" spans="1:20" x14ac:dyDescent="0.25">
      <c r="A18" s="18">
        <v>45570</v>
      </c>
      <c r="B18" s="19" t="s">
        <v>176</v>
      </c>
      <c r="C18" s="1">
        <v>10060030</v>
      </c>
      <c r="D18" s="16" t="s">
        <v>177</v>
      </c>
      <c r="E18" s="17">
        <v>1420</v>
      </c>
      <c r="F18" s="17"/>
      <c r="G18" s="22">
        <v>294</v>
      </c>
      <c r="H18" s="22">
        <v>547</v>
      </c>
      <c r="I18" s="22">
        <v>535</v>
      </c>
      <c r="J18" s="22"/>
      <c r="K18" s="22"/>
      <c r="L18" s="22"/>
      <c r="M18" s="22" t="s">
        <v>425</v>
      </c>
      <c r="N18" s="22" t="s">
        <v>425</v>
      </c>
      <c r="O18" s="22"/>
      <c r="P18" s="22" t="s">
        <v>425</v>
      </c>
      <c r="Q18" s="22" t="s">
        <v>425</v>
      </c>
      <c r="R18" s="22" t="s">
        <v>425</v>
      </c>
      <c r="S18" s="28">
        <f t="shared" si="0"/>
        <v>44</v>
      </c>
      <c r="T18" s="1"/>
    </row>
    <row r="19" spans="1:20" x14ac:dyDescent="0.25">
      <c r="A19" s="18">
        <v>45583</v>
      </c>
      <c r="B19" s="19" t="s">
        <v>178</v>
      </c>
      <c r="C19" s="1">
        <v>10120034</v>
      </c>
      <c r="D19" s="16" t="s">
        <v>179</v>
      </c>
      <c r="E19" s="17">
        <v>4162</v>
      </c>
      <c r="F19" s="17"/>
      <c r="G19" s="22">
        <v>1165</v>
      </c>
      <c r="H19" s="22">
        <v>395</v>
      </c>
      <c r="I19" s="22">
        <v>1005</v>
      </c>
      <c r="J19" s="22"/>
      <c r="K19" s="22"/>
      <c r="L19" s="22"/>
      <c r="M19" s="22"/>
      <c r="N19" s="22"/>
      <c r="O19" s="22"/>
      <c r="P19" s="22"/>
      <c r="Q19" s="22"/>
      <c r="R19" s="22"/>
      <c r="S19" s="28">
        <f t="shared" si="0"/>
        <v>1597</v>
      </c>
      <c r="T19" s="1"/>
    </row>
    <row r="20" spans="1:20" x14ac:dyDescent="0.25">
      <c r="A20" s="18">
        <v>45586</v>
      </c>
      <c r="B20" s="20" t="s">
        <v>180</v>
      </c>
      <c r="C20" s="1">
        <v>10140043</v>
      </c>
      <c r="D20" s="16" t="s">
        <v>181</v>
      </c>
      <c r="E20" s="17">
        <v>6303</v>
      </c>
      <c r="F20" s="17"/>
      <c r="G20" s="22">
        <v>415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8">
        <f t="shared" si="0"/>
        <v>5888</v>
      </c>
      <c r="T20" s="1"/>
    </row>
    <row r="21" spans="1:20" x14ac:dyDescent="0.25">
      <c r="A21" s="18">
        <v>45591</v>
      </c>
      <c r="B21" s="20" t="s">
        <v>182</v>
      </c>
      <c r="C21" s="1">
        <v>10130013</v>
      </c>
      <c r="D21" s="1" t="s">
        <v>183</v>
      </c>
      <c r="E21" s="17">
        <v>3401</v>
      </c>
      <c r="F21" s="17"/>
      <c r="G21" s="22">
        <v>733</v>
      </c>
      <c r="H21" s="22">
        <v>1113</v>
      </c>
      <c r="I21" s="22">
        <v>642</v>
      </c>
      <c r="J21" s="22"/>
      <c r="K21" s="22"/>
      <c r="L21" s="22"/>
      <c r="M21" s="22"/>
      <c r="N21" s="22" t="s">
        <v>425</v>
      </c>
      <c r="O21" s="22"/>
      <c r="P21" s="22" t="s">
        <v>425</v>
      </c>
      <c r="Q21" s="22" t="s">
        <v>425</v>
      </c>
      <c r="R21" s="22" t="s">
        <v>425</v>
      </c>
      <c r="S21" s="28">
        <f t="shared" si="0"/>
        <v>913</v>
      </c>
      <c r="T21" s="1"/>
    </row>
    <row r="22" spans="1:20" x14ac:dyDescent="0.25">
      <c r="A22" s="18">
        <v>45640</v>
      </c>
      <c r="B22" s="19" t="s">
        <v>184</v>
      </c>
      <c r="C22" s="1">
        <v>10090048</v>
      </c>
      <c r="D22" s="16" t="s">
        <v>185</v>
      </c>
      <c r="E22" s="17">
        <v>10700</v>
      </c>
      <c r="F22" s="17">
        <v>5400</v>
      </c>
      <c r="G22" s="22"/>
      <c r="H22" s="22"/>
      <c r="I22" s="22"/>
      <c r="J22" s="22"/>
      <c r="K22" s="22"/>
      <c r="L22" s="22"/>
      <c r="M22" s="22" t="s">
        <v>425</v>
      </c>
      <c r="N22" s="22" t="s">
        <v>425</v>
      </c>
      <c r="O22" s="22"/>
      <c r="P22" s="22" t="s">
        <v>425</v>
      </c>
      <c r="Q22" s="22" t="s">
        <v>425</v>
      </c>
      <c r="R22" s="22" t="s">
        <v>425</v>
      </c>
      <c r="S22" s="28">
        <f t="shared" si="0"/>
        <v>5300</v>
      </c>
      <c r="T22" s="1"/>
    </row>
    <row r="23" spans="1:20" x14ac:dyDescent="0.25">
      <c r="A23" s="18">
        <v>45719</v>
      </c>
      <c r="B23" s="20" t="s">
        <v>186</v>
      </c>
      <c r="C23" s="1">
        <v>10130009</v>
      </c>
      <c r="D23" s="1" t="s">
        <v>187</v>
      </c>
      <c r="E23" s="17">
        <v>10700</v>
      </c>
      <c r="F23" s="17"/>
      <c r="G23" s="22"/>
      <c r="H23" s="22"/>
      <c r="I23" s="22"/>
      <c r="J23" s="22"/>
      <c r="K23" s="22"/>
      <c r="L23" s="22"/>
      <c r="M23" s="22" t="s">
        <v>425</v>
      </c>
      <c r="N23" s="22" t="s">
        <v>425</v>
      </c>
      <c r="O23" s="22"/>
      <c r="P23" s="22" t="s">
        <v>425</v>
      </c>
      <c r="Q23" s="22" t="s">
        <v>425</v>
      </c>
      <c r="R23" s="22" t="s">
        <v>425</v>
      </c>
      <c r="S23" s="28">
        <f t="shared" si="0"/>
        <v>10700</v>
      </c>
      <c r="T23" s="1"/>
    </row>
    <row r="24" spans="1:20" x14ac:dyDescent="0.25">
      <c r="A24" s="18">
        <v>45766</v>
      </c>
      <c r="B24" s="20" t="s">
        <v>188</v>
      </c>
      <c r="C24" s="1">
        <v>10100009</v>
      </c>
      <c r="D24" s="1" t="s">
        <v>189</v>
      </c>
      <c r="E24" s="17">
        <v>10700</v>
      </c>
      <c r="F24" s="17"/>
      <c r="G24" s="22">
        <v>5000</v>
      </c>
      <c r="H24" s="22"/>
      <c r="I24" s="22">
        <v>5000</v>
      </c>
      <c r="J24" s="22"/>
      <c r="K24" s="22">
        <v>700</v>
      </c>
      <c r="L24" s="22"/>
      <c r="M24" s="22"/>
      <c r="N24" s="22"/>
      <c r="O24" s="22"/>
      <c r="P24" s="22"/>
      <c r="Q24" s="22"/>
      <c r="R24" s="22"/>
      <c r="S24" s="28">
        <f t="shared" si="0"/>
        <v>0</v>
      </c>
      <c r="T24" s="1"/>
    </row>
    <row r="25" spans="1:20" x14ac:dyDescent="0.25">
      <c r="A25" s="18">
        <v>45766</v>
      </c>
      <c r="B25" s="20" t="s">
        <v>190</v>
      </c>
      <c r="C25" s="1">
        <v>10480014</v>
      </c>
      <c r="D25" s="1" t="s">
        <v>191</v>
      </c>
      <c r="E25" s="17">
        <v>10700</v>
      </c>
      <c r="F25" s="17"/>
      <c r="G25" s="22">
        <v>3834</v>
      </c>
      <c r="H25" s="22">
        <v>497</v>
      </c>
      <c r="I25" s="22">
        <v>2476</v>
      </c>
      <c r="J25" s="22"/>
      <c r="K25" s="22">
        <v>342</v>
      </c>
      <c r="L25" s="22"/>
      <c r="M25" s="22"/>
      <c r="N25" s="22" t="s">
        <v>425</v>
      </c>
      <c r="O25" s="22"/>
      <c r="P25" s="22"/>
      <c r="Q25" s="22" t="s">
        <v>425</v>
      </c>
      <c r="R25" s="22" t="s">
        <v>425</v>
      </c>
      <c r="S25" s="28">
        <f t="shared" si="0"/>
        <v>3551</v>
      </c>
      <c r="T25" s="1"/>
    </row>
    <row r="26" spans="1:20" x14ac:dyDescent="0.25">
      <c r="A26" s="18">
        <v>45783</v>
      </c>
      <c r="B26" s="20" t="s">
        <v>192</v>
      </c>
      <c r="C26" s="1">
        <v>10140001</v>
      </c>
      <c r="D26" s="1" t="s">
        <v>193</v>
      </c>
      <c r="E26" s="17">
        <v>10700</v>
      </c>
      <c r="F26" s="17"/>
      <c r="G26" s="22"/>
      <c r="H26" s="22"/>
      <c r="I26" s="22"/>
      <c r="J26" s="22"/>
      <c r="K26" s="22"/>
      <c r="L26" s="22"/>
      <c r="M26" s="22"/>
      <c r="N26" s="22"/>
      <c r="O26" s="22">
        <v>439</v>
      </c>
      <c r="P26" s="22">
        <v>2326</v>
      </c>
      <c r="Q26" s="22">
        <v>1172</v>
      </c>
      <c r="R26" s="22">
        <v>696</v>
      </c>
      <c r="S26" s="28">
        <f t="shared" si="0"/>
        <v>6067</v>
      </c>
      <c r="T26" s="1"/>
    </row>
    <row r="27" spans="1:20" x14ac:dyDescent="0.25">
      <c r="A27" s="18">
        <v>45787</v>
      </c>
      <c r="B27" s="20" t="s">
        <v>194</v>
      </c>
      <c r="C27" s="1">
        <v>10090032</v>
      </c>
      <c r="D27" s="1" t="s">
        <v>195</v>
      </c>
      <c r="E27" s="17">
        <v>10700</v>
      </c>
      <c r="F27" s="17">
        <v>5000</v>
      </c>
      <c r="G27" s="22"/>
      <c r="H27" s="22"/>
      <c r="I27" s="22">
        <v>587</v>
      </c>
      <c r="J27" s="22"/>
      <c r="K27" s="22"/>
      <c r="L27" s="22"/>
      <c r="M27" s="22" t="s">
        <v>425</v>
      </c>
      <c r="N27" s="22" t="s">
        <v>425</v>
      </c>
      <c r="O27" s="22"/>
      <c r="P27" s="22"/>
      <c r="Q27" s="22" t="s">
        <v>425</v>
      </c>
      <c r="R27" s="22" t="s">
        <v>425</v>
      </c>
      <c r="S27" s="28">
        <f t="shared" si="0"/>
        <v>5113</v>
      </c>
      <c r="T27" s="1"/>
    </row>
    <row r="28" spans="1:20" x14ac:dyDescent="0.25">
      <c r="A28" s="18">
        <v>45787</v>
      </c>
      <c r="B28" s="20" t="s">
        <v>423</v>
      </c>
      <c r="C28" s="1">
        <v>10020021</v>
      </c>
      <c r="D28" s="1" t="s">
        <v>424</v>
      </c>
      <c r="E28" s="17">
        <v>10700</v>
      </c>
      <c r="F28" s="17">
        <v>5000</v>
      </c>
      <c r="G28" s="22"/>
      <c r="H28" s="22"/>
      <c r="I28" s="22"/>
      <c r="J28" s="22"/>
      <c r="K28" s="22"/>
      <c r="L28" s="22"/>
      <c r="M28" s="22"/>
      <c r="N28" s="22"/>
      <c r="O28" s="22"/>
      <c r="P28" s="22" t="s">
        <v>425</v>
      </c>
      <c r="Q28" s="22">
        <v>3000</v>
      </c>
      <c r="R28" s="22">
        <v>2700</v>
      </c>
      <c r="S28" s="28">
        <f t="shared" si="0"/>
        <v>0</v>
      </c>
      <c r="T28" s="1"/>
    </row>
    <row r="29" spans="1:20" x14ac:dyDescent="0.25">
      <c r="A29" s="18">
        <v>45803</v>
      </c>
      <c r="B29" s="20" t="s">
        <v>196</v>
      </c>
      <c r="C29" s="1">
        <v>10140022</v>
      </c>
      <c r="D29" s="1" t="s">
        <v>197</v>
      </c>
      <c r="E29" s="17">
        <v>10700</v>
      </c>
      <c r="F29" s="17"/>
      <c r="G29" s="22"/>
      <c r="H29" s="22"/>
      <c r="I29" s="22">
        <v>634</v>
      </c>
      <c r="J29" s="22"/>
      <c r="K29" s="22"/>
      <c r="L29" s="22"/>
      <c r="M29" s="22"/>
      <c r="N29" s="22"/>
      <c r="O29" s="22"/>
      <c r="P29" s="22">
        <v>1104</v>
      </c>
      <c r="Q29" s="22">
        <v>3000</v>
      </c>
      <c r="R29" s="22">
        <v>1211</v>
      </c>
      <c r="S29" s="28">
        <f t="shared" si="0"/>
        <v>4751</v>
      </c>
      <c r="T29" s="1"/>
    </row>
    <row r="30" spans="1:20" x14ac:dyDescent="0.25">
      <c r="A30" s="18">
        <v>45814</v>
      </c>
      <c r="B30" s="20" t="s">
        <v>198</v>
      </c>
      <c r="C30" s="1">
        <v>10140008</v>
      </c>
      <c r="D30" s="1" t="s">
        <v>199</v>
      </c>
      <c r="E30" s="17">
        <v>10700</v>
      </c>
      <c r="F30" s="17"/>
      <c r="G30" s="22"/>
      <c r="H30" s="22"/>
      <c r="I30" s="22">
        <v>3000</v>
      </c>
      <c r="J30" s="22"/>
      <c r="K30" s="22">
        <v>1373</v>
      </c>
      <c r="L30" s="22"/>
      <c r="M30" s="22">
        <v>3000</v>
      </c>
      <c r="N30" s="22">
        <v>3000</v>
      </c>
      <c r="O30" s="22">
        <v>327</v>
      </c>
      <c r="P30" s="22"/>
      <c r="Q30" s="22"/>
      <c r="R30" s="22"/>
      <c r="S30" s="28">
        <f t="shared" si="0"/>
        <v>0</v>
      </c>
      <c r="T30" s="1"/>
    </row>
    <row r="31" spans="1:20" x14ac:dyDescent="0.25">
      <c r="A31" s="18">
        <v>45814</v>
      </c>
      <c r="B31" s="20" t="s">
        <v>200</v>
      </c>
      <c r="C31" s="1">
        <v>10140015</v>
      </c>
      <c r="D31" s="1" t="s">
        <v>46</v>
      </c>
      <c r="E31" s="17">
        <v>10700</v>
      </c>
      <c r="F31" s="17"/>
      <c r="G31" s="22"/>
      <c r="H31" s="22"/>
      <c r="I31" s="22"/>
      <c r="J31" s="22"/>
      <c r="K31" s="22"/>
      <c r="L31" s="22"/>
      <c r="M31" s="22" t="s">
        <v>425</v>
      </c>
      <c r="N31" s="22" t="s">
        <v>425</v>
      </c>
      <c r="O31" s="22"/>
      <c r="P31" s="22" t="s">
        <v>425</v>
      </c>
      <c r="Q31" s="22" t="s">
        <v>425</v>
      </c>
      <c r="R31" s="22" t="s">
        <v>425</v>
      </c>
      <c r="S31" s="28">
        <f t="shared" si="0"/>
        <v>10700</v>
      </c>
      <c r="T31" s="1"/>
    </row>
    <row r="32" spans="1:20" x14ac:dyDescent="0.25">
      <c r="A32" s="18">
        <v>45828</v>
      </c>
      <c r="B32" s="20" t="s">
        <v>201</v>
      </c>
      <c r="C32" s="1">
        <v>10070033</v>
      </c>
      <c r="D32" s="1" t="s">
        <v>202</v>
      </c>
      <c r="E32" s="17">
        <v>10700</v>
      </c>
      <c r="F32" s="17"/>
      <c r="G32" s="22"/>
      <c r="H32" s="22"/>
      <c r="I32" s="22">
        <v>1173</v>
      </c>
      <c r="J32" s="22"/>
      <c r="K32" s="22"/>
      <c r="L32" s="22"/>
      <c r="M32" s="22">
        <v>48</v>
      </c>
      <c r="N32" s="22"/>
      <c r="O32" s="22">
        <v>829</v>
      </c>
      <c r="P32" s="22">
        <v>316</v>
      </c>
      <c r="Q32" s="22">
        <v>757</v>
      </c>
      <c r="R32" s="22"/>
      <c r="S32" s="28">
        <f t="shared" si="0"/>
        <v>7577</v>
      </c>
      <c r="T32" s="1"/>
    </row>
    <row r="33" spans="1:20" x14ac:dyDescent="0.25">
      <c r="A33" s="18">
        <v>45828</v>
      </c>
      <c r="B33" s="20" t="s">
        <v>203</v>
      </c>
      <c r="C33" s="1">
        <v>10100037</v>
      </c>
      <c r="D33" s="1" t="s">
        <v>204</v>
      </c>
      <c r="E33" s="17">
        <v>10700</v>
      </c>
      <c r="F33" s="17"/>
      <c r="G33" s="22"/>
      <c r="H33" s="22"/>
      <c r="I33" s="22">
        <v>3000</v>
      </c>
      <c r="J33" s="22"/>
      <c r="K33" s="22"/>
      <c r="L33" s="22"/>
      <c r="M33" s="22"/>
      <c r="N33" s="22"/>
      <c r="O33" s="22"/>
      <c r="P33" s="22"/>
      <c r="Q33" s="22"/>
      <c r="R33" s="22"/>
      <c r="S33" s="28">
        <f t="shared" si="0"/>
        <v>7700</v>
      </c>
      <c r="T33" s="1"/>
    </row>
    <row r="34" spans="1:20" hidden="1" x14ac:dyDescent="0.25">
      <c r="A34" s="18">
        <v>45828</v>
      </c>
      <c r="B34" s="20" t="s">
        <v>205</v>
      </c>
      <c r="C34" s="1">
        <v>10070049</v>
      </c>
      <c r="D34" s="1" t="s">
        <v>54</v>
      </c>
      <c r="E34" s="17">
        <v>10700</v>
      </c>
      <c r="F34" s="17"/>
      <c r="G34" s="22"/>
      <c r="H34" s="22"/>
      <c r="I34" s="22">
        <v>890</v>
      </c>
      <c r="J34" s="22">
        <v>3073</v>
      </c>
      <c r="K34" s="22">
        <v>2290</v>
      </c>
      <c r="L34" s="22">
        <v>2237</v>
      </c>
      <c r="M34" s="22"/>
      <c r="N34" s="22"/>
      <c r="O34" s="22"/>
      <c r="P34" s="22" t="s">
        <v>425</v>
      </c>
      <c r="Q34" s="22" t="s">
        <v>425</v>
      </c>
      <c r="R34" s="22" t="s">
        <v>425</v>
      </c>
      <c r="S34" s="28">
        <f t="shared" si="0"/>
        <v>2210</v>
      </c>
      <c r="T34" s="1"/>
    </row>
    <row r="35" spans="1:20" hidden="1" x14ac:dyDescent="0.25">
      <c r="A35" s="18">
        <v>45834</v>
      </c>
      <c r="B35" s="20" t="s">
        <v>206</v>
      </c>
      <c r="C35" s="1">
        <v>10120083</v>
      </c>
      <c r="D35" s="1" t="s">
        <v>56</v>
      </c>
      <c r="E35" s="17">
        <v>10700</v>
      </c>
      <c r="F35" s="17"/>
      <c r="G35" s="22"/>
      <c r="H35" s="22"/>
      <c r="I35" s="22">
        <v>266</v>
      </c>
      <c r="J35" s="22"/>
      <c r="K35" s="22">
        <v>443</v>
      </c>
      <c r="L35" s="22">
        <v>1030</v>
      </c>
      <c r="M35" s="22">
        <v>1825</v>
      </c>
      <c r="N35" s="22">
        <v>301</v>
      </c>
      <c r="O35" s="22">
        <v>1064</v>
      </c>
      <c r="P35" s="22">
        <v>678</v>
      </c>
      <c r="Q35" s="22">
        <v>618</v>
      </c>
      <c r="R35" s="22"/>
      <c r="S35" s="28">
        <f t="shared" si="0"/>
        <v>4475</v>
      </c>
      <c r="T35" s="1"/>
    </row>
    <row r="36" spans="1:20" x14ac:dyDescent="0.25">
      <c r="A36" s="18">
        <v>45834</v>
      </c>
      <c r="B36" s="20" t="s">
        <v>207</v>
      </c>
      <c r="C36" s="1">
        <v>10120046</v>
      </c>
      <c r="D36" s="6" t="s">
        <v>208</v>
      </c>
      <c r="E36" s="17">
        <v>10700</v>
      </c>
      <c r="F36" s="17"/>
      <c r="G36" s="22"/>
      <c r="H36" s="22"/>
      <c r="I36" s="22">
        <v>3000</v>
      </c>
      <c r="J36" s="22">
        <v>5000</v>
      </c>
      <c r="K36" s="22">
        <v>2700</v>
      </c>
      <c r="L36" s="22"/>
      <c r="M36" s="22"/>
      <c r="N36" s="22"/>
      <c r="O36" s="22"/>
      <c r="P36" s="22"/>
      <c r="Q36" s="22"/>
      <c r="R36" s="22"/>
      <c r="S36" s="28">
        <f t="shared" si="0"/>
        <v>0</v>
      </c>
      <c r="T36" s="1"/>
    </row>
    <row r="37" spans="1:20" x14ac:dyDescent="0.25">
      <c r="A37" s="18">
        <v>45834</v>
      </c>
      <c r="B37" s="20" t="s">
        <v>209</v>
      </c>
      <c r="C37" s="1">
        <v>10130012</v>
      </c>
      <c r="D37" s="1" t="s">
        <v>210</v>
      </c>
      <c r="E37" s="17">
        <v>10700</v>
      </c>
      <c r="F37" s="17"/>
      <c r="G37" s="22"/>
      <c r="H37" s="22"/>
      <c r="I37" s="22">
        <v>3000</v>
      </c>
      <c r="J37" s="22">
        <v>5000</v>
      </c>
      <c r="K37" s="22">
        <v>2700</v>
      </c>
      <c r="L37" s="22"/>
      <c r="M37" s="22"/>
      <c r="N37" s="22"/>
      <c r="O37" s="22"/>
      <c r="P37" s="22"/>
      <c r="Q37" s="22"/>
      <c r="R37" s="22"/>
      <c r="S37" s="28">
        <f t="shared" si="0"/>
        <v>0</v>
      </c>
      <c r="T37" s="1"/>
    </row>
    <row r="38" spans="1:20" x14ac:dyDescent="0.25">
      <c r="A38" s="18">
        <v>45845</v>
      </c>
      <c r="B38" s="20" t="s">
        <v>211</v>
      </c>
      <c r="C38" s="1">
        <v>10090036</v>
      </c>
      <c r="D38" s="1" t="s">
        <v>212</v>
      </c>
      <c r="E38" s="17">
        <v>10700</v>
      </c>
      <c r="F38" s="17">
        <v>5000</v>
      </c>
      <c r="G38" s="22"/>
      <c r="H38" s="22"/>
      <c r="I38" s="22"/>
      <c r="J38" s="22"/>
      <c r="K38" s="22"/>
      <c r="L38" s="22">
        <v>562</v>
      </c>
      <c r="M38" s="22">
        <v>570</v>
      </c>
      <c r="N38" s="22">
        <v>1080</v>
      </c>
      <c r="O38" s="22">
        <v>3000</v>
      </c>
      <c r="P38" s="22">
        <v>488</v>
      </c>
      <c r="Q38" s="22"/>
      <c r="R38" s="22"/>
      <c r="S38" s="28">
        <f t="shared" si="0"/>
        <v>0</v>
      </c>
      <c r="T38" s="1"/>
    </row>
    <row r="39" spans="1:20" x14ac:dyDescent="0.25">
      <c r="A39" s="18">
        <v>45852</v>
      </c>
      <c r="B39" s="20" t="s">
        <v>213</v>
      </c>
      <c r="C39" s="1">
        <v>10020037</v>
      </c>
      <c r="D39" s="1" t="s">
        <v>214</v>
      </c>
      <c r="E39" s="17">
        <v>10700</v>
      </c>
      <c r="F39" s="17">
        <v>1000</v>
      </c>
      <c r="G39" s="22"/>
      <c r="H39" s="22"/>
      <c r="I39" s="22"/>
      <c r="J39" s="22">
        <v>1620</v>
      </c>
      <c r="K39" s="22">
        <v>1088</v>
      </c>
      <c r="L39" s="22"/>
      <c r="M39" s="22" t="s">
        <v>425</v>
      </c>
      <c r="N39" s="22" t="s">
        <v>425</v>
      </c>
      <c r="O39" s="22"/>
      <c r="P39" s="22" t="s">
        <v>425</v>
      </c>
      <c r="Q39" s="22" t="s">
        <v>425</v>
      </c>
      <c r="R39" s="22" t="s">
        <v>425</v>
      </c>
      <c r="S39" s="28">
        <f t="shared" si="0"/>
        <v>6992</v>
      </c>
      <c r="T39" s="1"/>
    </row>
    <row r="40" spans="1:20" hidden="1" x14ac:dyDescent="0.25">
      <c r="A40" s="18">
        <v>45852</v>
      </c>
      <c r="B40" s="20" t="s">
        <v>215</v>
      </c>
      <c r="C40" s="20" t="s">
        <v>215</v>
      </c>
      <c r="D40" s="1" t="s">
        <v>79</v>
      </c>
      <c r="E40" s="17">
        <v>10700</v>
      </c>
      <c r="F40" s="17"/>
      <c r="G40" s="22"/>
      <c r="H40" s="22"/>
      <c r="I40" s="22"/>
      <c r="J40" s="22"/>
      <c r="K40" s="22"/>
      <c r="L40" s="22"/>
      <c r="M40" s="22" t="s">
        <v>425</v>
      </c>
      <c r="N40" s="22" t="s">
        <v>425</v>
      </c>
      <c r="O40" s="22"/>
      <c r="P40" s="22" t="s">
        <v>425</v>
      </c>
      <c r="Q40" s="22" t="s">
        <v>425</v>
      </c>
      <c r="R40" s="22" t="s">
        <v>425</v>
      </c>
      <c r="S40" s="28">
        <f t="shared" si="0"/>
        <v>10700</v>
      </c>
      <c r="T40" s="1"/>
    </row>
    <row r="41" spans="1:20" x14ac:dyDescent="0.25">
      <c r="A41" s="18">
        <v>45867</v>
      </c>
      <c r="B41" s="20" t="s">
        <v>216</v>
      </c>
      <c r="C41" s="1">
        <v>10090046</v>
      </c>
      <c r="D41" s="1" t="s">
        <v>217</v>
      </c>
      <c r="E41" s="17">
        <v>10700</v>
      </c>
      <c r="F41" s="17">
        <v>5000</v>
      </c>
      <c r="G41" s="22"/>
      <c r="H41" s="22"/>
      <c r="I41" s="22"/>
      <c r="J41" s="22"/>
      <c r="K41" s="22">
        <v>606</v>
      </c>
      <c r="L41" s="22">
        <v>999</v>
      </c>
      <c r="M41" s="22"/>
      <c r="N41" s="22"/>
      <c r="O41" s="22">
        <v>639</v>
      </c>
      <c r="P41" s="22"/>
      <c r="Q41" s="22"/>
      <c r="R41" s="22"/>
      <c r="S41" s="28">
        <f t="shared" si="0"/>
        <v>3456</v>
      </c>
      <c r="T41" s="1"/>
    </row>
    <row r="42" spans="1:20" x14ac:dyDescent="0.25">
      <c r="A42" s="18">
        <v>45946</v>
      </c>
      <c r="B42" s="20" t="s">
        <v>471</v>
      </c>
      <c r="C42" s="1">
        <v>10090045</v>
      </c>
      <c r="D42" s="5" t="s">
        <v>472</v>
      </c>
      <c r="E42" s="17">
        <v>10700</v>
      </c>
      <c r="F42" s="17">
        <v>5000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8">
        <f t="shared" si="0"/>
        <v>5700</v>
      </c>
      <c r="T42" s="1"/>
    </row>
    <row r="43" spans="1:20" x14ac:dyDescent="0.25">
      <c r="A43" s="18">
        <v>45948</v>
      </c>
      <c r="B43" s="20"/>
      <c r="C43" s="1">
        <v>10130026</v>
      </c>
      <c r="D43" s="1" t="s">
        <v>358</v>
      </c>
      <c r="E43" s="17">
        <v>10700</v>
      </c>
      <c r="F43" s="17"/>
      <c r="G43" s="22"/>
      <c r="H43" s="22"/>
      <c r="I43" s="22"/>
      <c r="J43" s="22"/>
      <c r="K43" s="22"/>
      <c r="L43" s="22"/>
      <c r="M43" s="22"/>
      <c r="N43" s="22"/>
      <c r="O43" s="22">
        <v>5</v>
      </c>
      <c r="P43" s="22"/>
      <c r="Q43" s="22"/>
      <c r="R43" s="22"/>
      <c r="S43" s="28">
        <f t="shared" si="0"/>
        <v>10695</v>
      </c>
      <c r="T43" s="1"/>
    </row>
    <row r="44" spans="1:20" x14ac:dyDescent="0.25">
      <c r="A44" s="18">
        <v>45948</v>
      </c>
      <c r="B44" s="20"/>
      <c r="C44" s="1">
        <v>10130006</v>
      </c>
      <c r="D44" s="1" t="s">
        <v>301</v>
      </c>
      <c r="E44" s="17">
        <v>10700</v>
      </c>
      <c r="F44" s="17"/>
      <c r="G44" s="22"/>
      <c r="H44" s="22"/>
      <c r="I44" s="22"/>
      <c r="J44" s="22"/>
      <c r="K44" s="22"/>
      <c r="L44" s="22"/>
      <c r="M44" s="22"/>
      <c r="N44" s="22">
        <v>2777</v>
      </c>
      <c r="O44" s="22">
        <v>3000</v>
      </c>
      <c r="P44" s="22">
        <v>2399</v>
      </c>
      <c r="Q44" s="22">
        <v>2235</v>
      </c>
      <c r="R44" s="22">
        <v>289</v>
      </c>
      <c r="S44" s="28">
        <f t="shared" si="0"/>
        <v>0</v>
      </c>
      <c r="T44" s="1"/>
    </row>
    <row r="45" spans="1:20" x14ac:dyDescent="0.25">
      <c r="A45" s="18">
        <v>45948</v>
      </c>
      <c r="B45" s="20"/>
      <c r="C45" s="1">
        <v>10120094</v>
      </c>
      <c r="D45" s="1" t="s">
        <v>300</v>
      </c>
      <c r="E45" s="17">
        <v>10700</v>
      </c>
      <c r="F45" s="17"/>
      <c r="G45" s="22"/>
      <c r="H45" s="22"/>
      <c r="I45" s="22"/>
      <c r="J45" s="22"/>
      <c r="K45" s="22"/>
      <c r="L45" s="22"/>
      <c r="M45" s="22"/>
      <c r="N45" s="22">
        <v>1383</v>
      </c>
      <c r="O45" s="22">
        <v>2218</v>
      </c>
      <c r="P45" s="22">
        <v>2149</v>
      </c>
      <c r="Q45" s="22">
        <v>2929</v>
      </c>
      <c r="R45" s="22"/>
      <c r="S45" s="28">
        <f t="shared" si="0"/>
        <v>2021</v>
      </c>
      <c r="T45" s="1"/>
    </row>
    <row r="46" spans="1:20" x14ac:dyDescent="0.25">
      <c r="A46" s="18">
        <v>45954</v>
      </c>
      <c r="B46" s="20"/>
      <c r="C46" s="1">
        <v>10060069</v>
      </c>
      <c r="D46" s="1" t="s">
        <v>308</v>
      </c>
      <c r="E46" s="17">
        <v>10700</v>
      </c>
      <c r="F46" s="17">
        <v>3000</v>
      </c>
      <c r="G46" s="22"/>
      <c r="H46" s="22"/>
      <c r="I46" s="22"/>
      <c r="J46" s="22"/>
      <c r="K46" s="22"/>
      <c r="L46" s="22"/>
      <c r="M46" s="22" t="s">
        <v>425</v>
      </c>
      <c r="N46" s="22" t="s">
        <v>425</v>
      </c>
      <c r="O46" s="22"/>
      <c r="P46" s="22"/>
      <c r="Q46" s="22"/>
      <c r="R46" s="22"/>
      <c r="S46" s="28">
        <f t="shared" si="0"/>
        <v>7700</v>
      </c>
      <c r="T46" s="1"/>
    </row>
    <row r="47" spans="1:20" x14ac:dyDescent="0.25">
      <c r="A47" s="18">
        <v>45960</v>
      </c>
      <c r="B47" s="20"/>
      <c r="C47" s="1">
        <v>10360001</v>
      </c>
      <c r="D47" s="1" t="s">
        <v>309</v>
      </c>
      <c r="E47" s="17">
        <v>10700</v>
      </c>
      <c r="F47" s="17"/>
      <c r="G47" s="22"/>
      <c r="H47" s="22"/>
      <c r="I47" s="22"/>
      <c r="J47" s="22"/>
      <c r="K47" s="22"/>
      <c r="L47" s="22"/>
      <c r="M47" s="22"/>
      <c r="N47" s="22">
        <v>3000</v>
      </c>
      <c r="O47" s="22">
        <v>3000</v>
      </c>
      <c r="P47" s="22">
        <v>4700</v>
      </c>
      <c r="Q47" s="22"/>
      <c r="R47" s="22"/>
      <c r="S47" s="28">
        <f t="shared" si="0"/>
        <v>0</v>
      </c>
      <c r="T47" s="1"/>
    </row>
    <row r="48" spans="1:20" x14ac:dyDescent="0.25">
      <c r="A48" s="18">
        <v>45960</v>
      </c>
      <c r="B48" s="20"/>
      <c r="C48" s="1">
        <v>10070013</v>
      </c>
      <c r="D48" s="1" t="s">
        <v>310</v>
      </c>
      <c r="E48" s="17">
        <v>10700</v>
      </c>
      <c r="F48" s="17"/>
      <c r="G48" s="22"/>
      <c r="H48" s="22"/>
      <c r="I48" s="22"/>
      <c r="J48" s="22"/>
      <c r="K48" s="22"/>
      <c r="L48" s="22"/>
      <c r="M48" s="22" t="s">
        <v>425</v>
      </c>
      <c r="N48" s="22"/>
      <c r="O48" s="22">
        <v>27</v>
      </c>
      <c r="P48" s="22">
        <v>1205</v>
      </c>
      <c r="Q48" s="22">
        <v>3000</v>
      </c>
      <c r="R48" s="22">
        <v>614</v>
      </c>
      <c r="S48" s="28">
        <f t="shared" si="0"/>
        <v>5854</v>
      </c>
      <c r="T48" s="1"/>
    </row>
    <row r="49" spans="1:20" x14ac:dyDescent="0.25">
      <c r="A49" s="18">
        <v>45960</v>
      </c>
      <c r="B49" s="20"/>
      <c r="C49" s="1">
        <v>10100021</v>
      </c>
      <c r="D49" s="1" t="s">
        <v>311</v>
      </c>
      <c r="E49" s="17">
        <v>10700</v>
      </c>
      <c r="F49" s="17"/>
      <c r="G49" s="22"/>
      <c r="H49" s="22"/>
      <c r="I49" s="22"/>
      <c r="J49" s="22"/>
      <c r="K49" s="22"/>
      <c r="L49" s="22"/>
      <c r="M49" s="22"/>
      <c r="N49" s="22">
        <v>3000</v>
      </c>
      <c r="O49" s="22">
        <v>1494</v>
      </c>
      <c r="P49" s="22">
        <v>836</v>
      </c>
      <c r="Q49" s="22">
        <v>2279</v>
      </c>
      <c r="R49" s="22">
        <v>610</v>
      </c>
      <c r="S49" s="28">
        <f t="shared" si="0"/>
        <v>2481</v>
      </c>
      <c r="T49" s="1"/>
    </row>
    <row r="50" spans="1:20" x14ac:dyDescent="0.25">
      <c r="A50" s="18">
        <v>45960</v>
      </c>
      <c r="B50" s="20"/>
      <c r="C50" s="1">
        <v>10070008</v>
      </c>
      <c r="D50" s="1" t="s">
        <v>312</v>
      </c>
      <c r="E50" s="17">
        <v>10700</v>
      </c>
      <c r="F50" s="17"/>
      <c r="G50" s="22"/>
      <c r="H50" s="22"/>
      <c r="I50" s="22"/>
      <c r="J50" s="22"/>
      <c r="K50" s="22"/>
      <c r="L50" s="22"/>
      <c r="M50" s="22" t="s">
        <v>425</v>
      </c>
      <c r="N50" s="22">
        <v>3000</v>
      </c>
      <c r="O50" s="22">
        <v>3000</v>
      </c>
      <c r="P50" s="22">
        <v>3000</v>
      </c>
      <c r="Q50" s="22">
        <v>1700</v>
      </c>
      <c r="R50" s="22"/>
      <c r="S50" s="28">
        <f t="shared" si="0"/>
        <v>0</v>
      </c>
      <c r="T50" s="1"/>
    </row>
    <row r="51" spans="1:20" hidden="1" x14ac:dyDescent="0.25">
      <c r="A51" s="18">
        <v>45969</v>
      </c>
      <c r="B51" s="20" t="s">
        <v>337</v>
      </c>
      <c r="C51" s="1">
        <v>10140003</v>
      </c>
      <c r="D51" s="5" t="s">
        <v>326</v>
      </c>
      <c r="E51" s="17">
        <v>10700</v>
      </c>
      <c r="F51" s="17"/>
      <c r="G51" s="22"/>
      <c r="H51" s="22"/>
      <c r="I51" s="22"/>
      <c r="J51" s="22"/>
      <c r="K51" s="22"/>
      <c r="L51" s="22"/>
      <c r="M51" s="22">
        <v>3088</v>
      </c>
      <c r="N51" s="22">
        <v>6925</v>
      </c>
      <c r="O51" s="22">
        <v>687</v>
      </c>
      <c r="P51" s="22">
        <v>3000</v>
      </c>
      <c r="Q51" s="22"/>
      <c r="R51" s="22"/>
      <c r="S51" s="28">
        <f t="shared" si="0"/>
        <v>-3000</v>
      </c>
      <c r="T51" s="1"/>
    </row>
    <row r="52" spans="1:20" x14ac:dyDescent="0.25">
      <c r="A52" s="18">
        <v>45974</v>
      </c>
      <c r="B52" s="20" t="s">
        <v>338</v>
      </c>
      <c r="C52" s="1">
        <v>10020041</v>
      </c>
      <c r="D52" s="5" t="s">
        <v>339</v>
      </c>
      <c r="E52" s="17">
        <v>10700</v>
      </c>
      <c r="F52" s="17">
        <v>5000</v>
      </c>
      <c r="G52" s="22"/>
      <c r="H52" s="22"/>
      <c r="I52" s="22"/>
      <c r="J52" s="22"/>
      <c r="K52" s="22"/>
      <c r="L52" s="22"/>
      <c r="M52" s="22" t="s">
        <v>425</v>
      </c>
      <c r="N52" s="22" t="s">
        <v>425</v>
      </c>
      <c r="O52" s="22"/>
      <c r="P52" s="22">
        <v>94</v>
      </c>
      <c r="Q52" s="22">
        <v>138</v>
      </c>
      <c r="R52" s="22"/>
      <c r="S52" s="28">
        <f t="shared" si="0"/>
        <v>5468</v>
      </c>
      <c r="T52" s="1"/>
    </row>
    <row r="53" spans="1:20" x14ac:dyDescent="0.25">
      <c r="A53" s="18">
        <v>45974</v>
      </c>
      <c r="B53" s="20" t="s">
        <v>340</v>
      </c>
      <c r="C53" s="1">
        <v>10090003</v>
      </c>
      <c r="D53" s="5" t="s">
        <v>341</v>
      </c>
      <c r="E53" s="17">
        <v>10700</v>
      </c>
      <c r="F53" s="17">
        <v>5000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8">
        <f t="shared" si="0"/>
        <v>5700</v>
      </c>
      <c r="T53" s="1"/>
    </row>
    <row r="54" spans="1:20" x14ac:dyDescent="0.25">
      <c r="A54" s="18">
        <v>45974</v>
      </c>
      <c r="B54" s="20" t="s">
        <v>342</v>
      </c>
      <c r="C54" s="1">
        <v>10090037</v>
      </c>
      <c r="D54" s="5" t="s">
        <v>343</v>
      </c>
      <c r="E54" s="17">
        <v>10700</v>
      </c>
      <c r="F54" s="17">
        <v>5000</v>
      </c>
      <c r="G54" s="22"/>
      <c r="H54" s="22"/>
      <c r="I54" s="22"/>
      <c r="J54" s="22"/>
      <c r="K54" s="22"/>
      <c r="L54" s="22"/>
      <c r="M54" s="22"/>
      <c r="N54" s="22">
        <v>294</v>
      </c>
      <c r="O54" s="22">
        <v>250</v>
      </c>
      <c r="P54" s="22"/>
      <c r="Q54" s="22">
        <v>751</v>
      </c>
      <c r="R54" s="22"/>
      <c r="S54" s="28">
        <f t="shared" si="0"/>
        <v>4405</v>
      </c>
      <c r="T54" s="1"/>
    </row>
    <row r="55" spans="1:20" x14ac:dyDescent="0.25">
      <c r="A55" s="18">
        <v>45974</v>
      </c>
      <c r="B55" s="20"/>
      <c r="C55" s="1">
        <v>10090058</v>
      </c>
      <c r="D55" s="5" t="s">
        <v>330</v>
      </c>
      <c r="E55" s="17">
        <v>10700</v>
      </c>
      <c r="F55" s="17"/>
      <c r="G55" s="22"/>
      <c r="H55" s="22"/>
      <c r="I55" s="22"/>
      <c r="J55" s="22"/>
      <c r="K55" s="22"/>
      <c r="L55" s="22"/>
      <c r="M55" s="22"/>
      <c r="N55" s="22">
        <v>2081</v>
      </c>
      <c r="O55" s="22">
        <v>3000</v>
      </c>
      <c r="P55" s="22">
        <v>2302</v>
      </c>
      <c r="Q55" s="22">
        <v>2789</v>
      </c>
      <c r="R55" s="22"/>
      <c r="S55" s="28">
        <f t="shared" si="0"/>
        <v>528</v>
      </c>
      <c r="T55" s="1" t="s">
        <v>359</v>
      </c>
    </row>
    <row r="56" spans="1:20" x14ac:dyDescent="0.25">
      <c r="A56" s="18">
        <v>45974</v>
      </c>
      <c r="B56" s="20"/>
      <c r="C56" s="1">
        <v>10010076</v>
      </c>
      <c r="D56" s="5" t="s">
        <v>344</v>
      </c>
      <c r="E56" s="17">
        <v>10700</v>
      </c>
      <c r="F56" s="17"/>
      <c r="G56" s="22"/>
      <c r="H56" s="22"/>
      <c r="I56" s="22"/>
      <c r="J56" s="22"/>
      <c r="K56" s="22"/>
      <c r="L56" s="22"/>
      <c r="M56" s="22" t="s">
        <v>425</v>
      </c>
      <c r="N56" s="22" t="s">
        <v>425</v>
      </c>
      <c r="O56" s="22"/>
      <c r="P56" s="22" t="s">
        <v>425</v>
      </c>
      <c r="Q56" s="22" t="s">
        <v>425</v>
      </c>
      <c r="R56" s="22"/>
      <c r="S56" s="28">
        <f t="shared" si="0"/>
        <v>10700</v>
      </c>
      <c r="T56" s="1" t="s">
        <v>359</v>
      </c>
    </row>
    <row r="57" spans="1:20" x14ac:dyDescent="0.25">
      <c r="A57" s="18">
        <v>45989</v>
      </c>
      <c r="B57" s="20"/>
      <c r="C57" s="1">
        <v>10130093</v>
      </c>
      <c r="D57" s="1" t="s">
        <v>355</v>
      </c>
      <c r="E57" s="17">
        <v>10700</v>
      </c>
      <c r="F57" s="17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>
        <v>1127</v>
      </c>
      <c r="R57" s="22"/>
      <c r="S57" s="28">
        <f t="shared" si="0"/>
        <v>9573</v>
      </c>
      <c r="T57" s="1"/>
    </row>
    <row r="58" spans="1:20" x14ac:dyDescent="0.25">
      <c r="A58" s="18">
        <v>45989</v>
      </c>
      <c r="B58" s="20"/>
      <c r="C58" s="1">
        <v>10130047</v>
      </c>
      <c r="D58" s="1" t="s">
        <v>356</v>
      </c>
      <c r="E58" s="17">
        <v>10700</v>
      </c>
      <c r="F58" s="17"/>
      <c r="G58" s="22"/>
      <c r="H58" s="22"/>
      <c r="I58" s="22"/>
      <c r="J58" s="22"/>
      <c r="K58" s="22"/>
      <c r="L58" s="22"/>
      <c r="M58" s="22"/>
      <c r="N58" s="22"/>
      <c r="O58" s="22">
        <v>3000</v>
      </c>
      <c r="P58" s="22"/>
      <c r="Q58" s="22"/>
      <c r="R58" s="22"/>
      <c r="S58" s="28">
        <f t="shared" si="0"/>
        <v>7700</v>
      </c>
      <c r="T58" s="1"/>
    </row>
    <row r="59" spans="1:20" x14ac:dyDescent="0.25">
      <c r="A59" s="18">
        <v>46004</v>
      </c>
      <c r="B59" s="20"/>
      <c r="C59" s="1">
        <v>10140132</v>
      </c>
      <c r="D59" s="1" t="s">
        <v>382</v>
      </c>
      <c r="E59" s="17">
        <v>10700</v>
      </c>
      <c r="F59" s="17"/>
      <c r="G59" s="22"/>
      <c r="H59" s="22"/>
      <c r="I59" s="22"/>
      <c r="J59" s="22"/>
      <c r="K59" s="22"/>
      <c r="L59" s="22"/>
      <c r="M59" s="22"/>
      <c r="N59" s="22"/>
      <c r="O59" s="22">
        <v>1043</v>
      </c>
      <c r="P59" s="22">
        <v>259</v>
      </c>
      <c r="Q59" s="22">
        <v>328</v>
      </c>
      <c r="R59" s="22"/>
      <c r="S59" s="28">
        <f t="shared" si="0"/>
        <v>9070</v>
      </c>
      <c r="T59" s="1"/>
    </row>
    <row r="60" spans="1:20" x14ac:dyDescent="0.25">
      <c r="A60" s="18">
        <v>46004</v>
      </c>
      <c r="B60" s="20"/>
      <c r="C60" s="1">
        <v>10140054</v>
      </c>
      <c r="D60" s="1" t="s">
        <v>379</v>
      </c>
      <c r="E60" s="17">
        <v>10700</v>
      </c>
      <c r="F60" s="17"/>
      <c r="G60" s="22"/>
      <c r="H60" s="22"/>
      <c r="I60" s="22"/>
      <c r="J60" s="22"/>
      <c r="K60" s="22"/>
      <c r="L60" s="22"/>
      <c r="M60" s="22"/>
      <c r="N60" s="22"/>
      <c r="O60" s="22">
        <v>200</v>
      </c>
      <c r="P60" s="22">
        <v>663</v>
      </c>
      <c r="Q60" s="22">
        <v>3000</v>
      </c>
      <c r="R60" s="22"/>
      <c r="S60" s="28">
        <f t="shared" si="0"/>
        <v>6837</v>
      </c>
      <c r="T60" s="1"/>
    </row>
    <row r="61" spans="1:20" x14ac:dyDescent="0.25">
      <c r="A61" s="18">
        <v>46004</v>
      </c>
      <c r="B61" s="20"/>
      <c r="C61" s="1">
        <v>10140068</v>
      </c>
      <c r="D61" s="1" t="s">
        <v>381</v>
      </c>
      <c r="E61" s="17">
        <v>10700</v>
      </c>
      <c r="F61" s="17"/>
      <c r="G61" s="22"/>
      <c r="H61" s="22"/>
      <c r="I61" s="22"/>
      <c r="J61" s="22"/>
      <c r="K61" s="22"/>
      <c r="L61" s="22"/>
      <c r="M61" s="22"/>
      <c r="N61" s="22"/>
      <c r="O61" s="22">
        <v>2011</v>
      </c>
      <c r="P61" s="22">
        <v>1108</v>
      </c>
      <c r="Q61" s="22">
        <v>781</v>
      </c>
      <c r="R61" s="22"/>
      <c r="S61" s="28">
        <f t="shared" si="0"/>
        <v>6800</v>
      </c>
      <c r="T61" s="1"/>
    </row>
    <row r="62" spans="1:20" x14ac:dyDescent="0.25">
      <c r="A62" s="18">
        <v>46004</v>
      </c>
      <c r="B62" s="20"/>
      <c r="C62" s="1">
        <v>10140098</v>
      </c>
      <c r="D62" s="1" t="s">
        <v>380</v>
      </c>
      <c r="E62" s="17">
        <v>10700</v>
      </c>
      <c r="F62" s="17"/>
      <c r="G62" s="22"/>
      <c r="H62" s="22"/>
      <c r="I62" s="22"/>
      <c r="J62" s="22"/>
      <c r="K62" s="22"/>
      <c r="L62" s="22"/>
      <c r="M62" s="22"/>
      <c r="N62" s="22"/>
      <c r="O62" s="22">
        <v>3000</v>
      </c>
      <c r="P62" s="22">
        <v>3000</v>
      </c>
      <c r="Q62" s="22">
        <v>3000</v>
      </c>
      <c r="R62" s="22">
        <v>1700</v>
      </c>
      <c r="S62" s="28">
        <f t="shared" si="0"/>
        <v>0</v>
      </c>
      <c r="T62" s="1"/>
    </row>
    <row r="63" spans="1:20" x14ac:dyDescent="0.25">
      <c r="A63" s="18">
        <v>46006</v>
      </c>
      <c r="B63" s="20"/>
      <c r="C63" s="1">
        <v>10090002</v>
      </c>
      <c r="D63" s="1" t="s">
        <v>383</v>
      </c>
      <c r="E63" s="17">
        <v>10700</v>
      </c>
      <c r="F63" s="17">
        <v>5000</v>
      </c>
      <c r="G63" s="22"/>
      <c r="H63" s="22"/>
      <c r="I63" s="22"/>
      <c r="J63" s="22"/>
      <c r="K63" s="22"/>
      <c r="L63" s="22"/>
      <c r="M63" s="22"/>
      <c r="N63" s="22"/>
      <c r="O63" s="22">
        <v>3000</v>
      </c>
      <c r="P63" s="22">
        <v>2700</v>
      </c>
      <c r="Q63" s="22"/>
      <c r="R63" s="22"/>
      <c r="S63" s="28">
        <f t="shared" si="0"/>
        <v>0</v>
      </c>
      <c r="T63" s="1"/>
    </row>
    <row r="64" spans="1:20" x14ac:dyDescent="0.25">
      <c r="A64" s="18">
        <v>46006</v>
      </c>
      <c r="B64" s="20"/>
      <c r="C64" s="1">
        <v>10060011</v>
      </c>
      <c r="D64" s="1" t="s">
        <v>384</v>
      </c>
      <c r="E64" s="17">
        <v>10700</v>
      </c>
      <c r="F64" s="17">
        <v>2000</v>
      </c>
      <c r="G64" s="22"/>
      <c r="H64" s="22"/>
      <c r="I64" s="22"/>
      <c r="J64" s="22"/>
      <c r="K64" s="22"/>
      <c r="L64" s="22"/>
      <c r="M64" s="22" t="s">
        <v>425</v>
      </c>
      <c r="N64" s="22"/>
      <c r="O64" s="22">
        <v>2296</v>
      </c>
      <c r="P64" s="22">
        <v>2203</v>
      </c>
      <c r="Q64" s="22">
        <v>3000</v>
      </c>
      <c r="R64" s="22">
        <v>424</v>
      </c>
      <c r="S64" s="28">
        <f t="shared" si="0"/>
        <v>777</v>
      </c>
      <c r="T64" s="1"/>
    </row>
    <row r="65" spans="1:20" x14ac:dyDescent="0.25">
      <c r="A65" s="3">
        <v>46039</v>
      </c>
      <c r="B65" s="20"/>
      <c r="C65" s="1">
        <v>10140018</v>
      </c>
      <c r="D65" s="1" t="s">
        <v>399</v>
      </c>
      <c r="E65" s="17">
        <v>10700</v>
      </c>
      <c r="F65" s="17"/>
      <c r="G65" s="22"/>
      <c r="H65" s="22"/>
      <c r="I65" s="22"/>
      <c r="J65" s="22"/>
      <c r="K65" s="22"/>
      <c r="L65" s="22"/>
      <c r="M65" s="22"/>
      <c r="N65" s="22"/>
      <c r="O65" s="22"/>
      <c r="P65" s="22">
        <v>2123</v>
      </c>
      <c r="Q65" s="22">
        <v>3000</v>
      </c>
      <c r="R65" s="22">
        <v>2541</v>
      </c>
      <c r="S65" s="28">
        <f t="shared" si="0"/>
        <v>3036</v>
      </c>
      <c r="T65" s="1"/>
    </row>
    <row r="66" spans="1:20" x14ac:dyDescent="0.25">
      <c r="A66" s="3">
        <v>46039</v>
      </c>
      <c r="B66" s="20"/>
      <c r="C66" s="1">
        <v>10510004</v>
      </c>
      <c r="D66" s="1" t="s">
        <v>401</v>
      </c>
      <c r="E66" s="17">
        <v>10700</v>
      </c>
      <c r="F66" s="17"/>
      <c r="G66" s="22"/>
      <c r="H66" s="22"/>
      <c r="I66" s="22"/>
      <c r="J66" s="22"/>
      <c r="K66" s="22"/>
      <c r="L66" s="22"/>
      <c r="M66" s="22"/>
      <c r="N66" s="22"/>
      <c r="O66" s="22"/>
      <c r="P66" s="22">
        <v>3000</v>
      </c>
      <c r="Q66" s="22">
        <v>3000</v>
      </c>
      <c r="R66" s="22">
        <v>3000</v>
      </c>
      <c r="S66" s="28">
        <f t="shared" si="0"/>
        <v>1700</v>
      </c>
      <c r="T66" s="1"/>
    </row>
    <row r="67" spans="1:20" x14ac:dyDescent="0.25">
      <c r="A67" s="3">
        <v>46044</v>
      </c>
      <c r="B67" s="20"/>
      <c r="C67" s="1">
        <v>10360001</v>
      </c>
      <c r="D67" s="1" t="s">
        <v>309</v>
      </c>
      <c r="E67" s="17">
        <v>10700</v>
      </c>
      <c r="F67" s="17"/>
      <c r="G67" s="22"/>
      <c r="H67" s="22"/>
      <c r="I67" s="22"/>
      <c r="J67" s="22"/>
      <c r="K67" s="22"/>
      <c r="L67" s="22"/>
      <c r="M67" s="22"/>
      <c r="N67" s="22"/>
      <c r="O67" s="22"/>
      <c r="P67" s="22">
        <v>1300</v>
      </c>
      <c r="Q67" s="22">
        <v>3000</v>
      </c>
      <c r="R67" s="22">
        <v>3000</v>
      </c>
      <c r="S67" s="28">
        <f t="shared" si="0"/>
        <v>3400</v>
      </c>
      <c r="T67" s="1"/>
    </row>
    <row r="68" spans="1:20" x14ac:dyDescent="0.25">
      <c r="A68" s="3">
        <v>46050</v>
      </c>
      <c r="B68" s="20"/>
      <c r="C68" s="1">
        <v>10110071</v>
      </c>
      <c r="D68" s="1" t="s">
        <v>408</v>
      </c>
      <c r="E68" s="17">
        <v>10700</v>
      </c>
      <c r="F68" s="17">
        <v>5000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8">
        <f t="shared" si="0"/>
        <v>5700</v>
      </c>
      <c r="T68" s="1"/>
    </row>
    <row r="69" spans="1:20" x14ac:dyDescent="0.25">
      <c r="A69" s="3">
        <v>46050</v>
      </c>
      <c r="B69" s="20"/>
      <c r="C69" s="1">
        <v>10110001</v>
      </c>
      <c r="D69" s="1" t="s">
        <v>410</v>
      </c>
      <c r="E69" s="17">
        <v>10700</v>
      </c>
      <c r="F69" s="17"/>
      <c r="G69" s="22"/>
      <c r="H69" s="22"/>
      <c r="I69" s="22"/>
      <c r="J69" s="22"/>
      <c r="K69" s="22"/>
      <c r="L69" s="22"/>
      <c r="M69" s="22"/>
      <c r="N69" s="22"/>
      <c r="O69" s="22"/>
      <c r="P69" s="22">
        <v>3000</v>
      </c>
      <c r="Q69" s="22">
        <v>3000</v>
      </c>
      <c r="R69" s="22">
        <v>3000</v>
      </c>
      <c r="S69" s="28">
        <f t="shared" si="0"/>
        <v>1700</v>
      </c>
      <c r="T69" s="1"/>
    </row>
    <row r="70" spans="1:20" x14ac:dyDescent="0.25">
      <c r="A70" s="3">
        <v>46050</v>
      </c>
      <c r="B70" s="20"/>
      <c r="C70" s="1">
        <v>10110055</v>
      </c>
      <c r="D70" s="1" t="s">
        <v>412</v>
      </c>
      <c r="E70" s="17">
        <v>10700</v>
      </c>
      <c r="F70" s="17"/>
      <c r="G70" s="22"/>
      <c r="H70" s="22"/>
      <c r="I70" s="22"/>
      <c r="J70" s="22"/>
      <c r="K70" s="22"/>
      <c r="L70" s="22"/>
      <c r="M70" s="22"/>
      <c r="N70" s="22"/>
      <c r="O70" s="22"/>
      <c r="P70" s="22">
        <v>2458</v>
      </c>
      <c r="Q70" s="22">
        <v>2838</v>
      </c>
      <c r="R70" s="22"/>
      <c r="S70" s="28">
        <f t="shared" si="0"/>
        <v>5404</v>
      </c>
      <c r="T70" s="1"/>
    </row>
    <row r="71" spans="1:20" x14ac:dyDescent="0.25">
      <c r="A71" s="3">
        <v>46050</v>
      </c>
      <c r="B71" s="20"/>
      <c r="C71" s="1">
        <v>10140033</v>
      </c>
      <c r="D71" s="1" t="s">
        <v>421</v>
      </c>
      <c r="E71" s="17">
        <v>10700</v>
      </c>
      <c r="F71" s="17"/>
      <c r="G71" s="22"/>
      <c r="H71" s="22"/>
      <c r="I71" s="22"/>
      <c r="J71" s="22"/>
      <c r="K71" s="22"/>
      <c r="L71" s="22"/>
      <c r="M71" s="22"/>
      <c r="N71" s="22"/>
      <c r="O71" s="22"/>
      <c r="P71" s="22">
        <v>2061</v>
      </c>
      <c r="Q71" s="22">
        <v>2932</v>
      </c>
      <c r="R71" s="22">
        <v>1033</v>
      </c>
      <c r="S71" s="28">
        <f t="shared" si="0"/>
        <v>4674</v>
      </c>
      <c r="T71" s="1"/>
    </row>
    <row r="72" spans="1:20" x14ac:dyDescent="0.25">
      <c r="A72" s="3">
        <v>46099</v>
      </c>
      <c r="B72" s="20"/>
      <c r="C72" s="1">
        <v>10140020</v>
      </c>
      <c r="D72" s="5" t="s">
        <v>438</v>
      </c>
      <c r="E72" s="17">
        <v>10700</v>
      </c>
      <c r="F72" s="17"/>
      <c r="G72" s="22"/>
      <c r="H72" s="22"/>
      <c r="I72" s="22"/>
      <c r="J72" s="22"/>
      <c r="K72" s="22"/>
      <c r="L72" s="22"/>
      <c r="M72" s="22"/>
      <c r="N72" s="22"/>
      <c r="O72" s="22"/>
      <c r="P72" s="22" t="s">
        <v>425</v>
      </c>
      <c r="Q72" s="22"/>
      <c r="R72" s="22"/>
      <c r="S72" s="28">
        <f t="shared" si="0"/>
        <v>10700</v>
      </c>
      <c r="T72" s="1"/>
    </row>
    <row r="73" spans="1:20" x14ac:dyDescent="0.25">
      <c r="A73" s="3">
        <v>46099</v>
      </c>
      <c r="B73" s="20"/>
      <c r="C73" s="1">
        <v>10140058</v>
      </c>
      <c r="D73" s="5" t="s">
        <v>439</v>
      </c>
      <c r="E73" s="17">
        <v>10700</v>
      </c>
      <c r="F73" s="17"/>
      <c r="G73" s="22"/>
      <c r="H73" s="22"/>
      <c r="I73" s="22"/>
      <c r="J73" s="22"/>
      <c r="K73" s="22"/>
      <c r="L73" s="22"/>
      <c r="M73" s="22"/>
      <c r="N73" s="22"/>
      <c r="O73" s="22"/>
      <c r="P73" s="22" t="s">
        <v>425</v>
      </c>
      <c r="Q73" s="22"/>
      <c r="R73" s="22"/>
      <c r="S73" s="28">
        <f t="shared" si="0"/>
        <v>10700</v>
      </c>
      <c r="T73" s="1"/>
    </row>
    <row r="74" spans="1:20" x14ac:dyDescent="0.25">
      <c r="A74" s="3">
        <v>46099</v>
      </c>
      <c r="B74" s="20"/>
      <c r="C74" s="1">
        <v>10140137</v>
      </c>
      <c r="D74" s="5" t="s">
        <v>440</v>
      </c>
      <c r="E74" s="17">
        <v>10700</v>
      </c>
      <c r="F74" s="17"/>
      <c r="G74" s="22"/>
      <c r="H74" s="22"/>
      <c r="I74" s="22"/>
      <c r="J74" s="22"/>
      <c r="K74" s="22"/>
      <c r="L74" s="22"/>
      <c r="M74" s="22"/>
      <c r="N74" s="22"/>
      <c r="O74" s="22"/>
      <c r="P74" s="22" t="s">
        <v>425</v>
      </c>
      <c r="Q74" s="22"/>
      <c r="R74" s="22"/>
      <c r="S74" s="28">
        <f t="shared" si="0"/>
        <v>10700</v>
      </c>
      <c r="T74" s="1"/>
    </row>
    <row r="75" spans="1:20" x14ac:dyDescent="0.25">
      <c r="A75" s="3">
        <v>46099</v>
      </c>
      <c r="B75" s="20"/>
      <c r="C75" s="1">
        <v>10140002</v>
      </c>
      <c r="D75" s="5" t="s">
        <v>57</v>
      </c>
      <c r="E75" s="17">
        <v>10700</v>
      </c>
      <c r="F75" s="17"/>
      <c r="G75" s="22"/>
      <c r="H75" s="22"/>
      <c r="I75" s="22"/>
      <c r="J75" s="22"/>
      <c r="K75" s="22"/>
      <c r="L75" s="22"/>
      <c r="M75" s="22"/>
      <c r="N75" s="22"/>
      <c r="O75" s="22"/>
      <c r="P75" s="22" t="s">
        <v>425</v>
      </c>
      <c r="Q75" s="22"/>
      <c r="R75" s="22">
        <v>3000</v>
      </c>
      <c r="S75" s="28">
        <f t="shared" si="0"/>
        <v>7700</v>
      </c>
      <c r="T75" s="1"/>
    </row>
    <row r="76" spans="1:20" x14ac:dyDescent="0.25">
      <c r="A76" s="3">
        <v>46099</v>
      </c>
      <c r="B76" s="20"/>
      <c r="C76" s="1">
        <v>10020017</v>
      </c>
      <c r="D76" s="5" t="s">
        <v>447</v>
      </c>
      <c r="E76" s="17">
        <v>10700</v>
      </c>
      <c r="F76" s="17">
        <v>5000</v>
      </c>
      <c r="G76" s="22"/>
      <c r="H76" s="22"/>
      <c r="I76" s="22"/>
      <c r="J76" s="22"/>
      <c r="K76" s="22"/>
      <c r="L76" s="22"/>
      <c r="M76" s="22"/>
      <c r="N76" s="22"/>
      <c r="O76" s="22"/>
      <c r="P76" s="22" t="s">
        <v>425</v>
      </c>
      <c r="Q76" s="22" t="s">
        <v>425</v>
      </c>
      <c r="R76" s="22">
        <v>3000</v>
      </c>
      <c r="S76" s="28">
        <f t="shared" si="0"/>
        <v>2700</v>
      </c>
      <c r="T76" s="1"/>
    </row>
    <row r="77" spans="1:20" x14ac:dyDescent="0.25">
      <c r="A77" s="3">
        <v>46099</v>
      </c>
      <c r="B77" s="20"/>
      <c r="C77" s="1">
        <v>10090033</v>
      </c>
      <c r="D77" s="5" t="s">
        <v>449</v>
      </c>
      <c r="E77" s="17">
        <v>10700</v>
      </c>
      <c r="F77" s="17">
        <v>5000</v>
      </c>
      <c r="G77" s="22"/>
      <c r="H77" s="22"/>
      <c r="I77" s="22"/>
      <c r="J77" s="22"/>
      <c r="K77" s="22"/>
      <c r="L77" s="22"/>
      <c r="M77" s="22"/>
      <c r="N77" s="22"/>
      <c r="O77" s="22"/>
      <c r="P77" s="22" t="s">
        <v>425</v>
      </c>
      <c r="Q77" s="22"/>
      <c r="R77" s="22">
        <v>3000</v>
      </c>
      <c r="S77" s="28">
        <f t="shared" si="0"/>
        <v>2700</v>
      </c>
      <c r="T77" s="1"/>
    </row>
    <row r="78" spans="1:20" x14ac:dyDescent="0.25">
      <c r="A78" s="3">
        <v>46099</v>
      </c>
      <c r="B78" s="20"/>
      <c r="C78" s="1">
        <v>10060049</v>
      </c>
      <c r="D78" s="5" t="s">
        <v>452</v>
      </c>
      <c r="E78" s="17">
        <v>10700</v>
      </c>
      <c r="F78" s="17">
        <v>3000</v>
      </c>
      <c r="G78" s="22"/>
      <c r="H78" s="22"/>
      <c r="I78" s="22"/>
      <c r="J78" s="22"/>
      <c r="K78" s="22"/>
      <c r="L78" s="22"/>
      <c r="M78" s="22"/>
      <c r="N78" s="22"/>
      <c r="O78" s="22"/>
      <c r="P78" s="22" t="s">
        <v>425</v>
      </c>
      <c r="Q78" s="22"/>
      <c r="R78" s="22"/>
      <c r="S78" s="28">
        <f t="shared" si="0"/>
        <v>7700</v>
      </c>
      <c r="T78" s="1"/>
    </row>
    <row r="79" spans="1:20" x14ac:dyDescent="0.25">
      <c r="A79" s="3">
        <v>46099</v>
      </c>
      <c r="B79" s="20"/>
      <c r="C79" s="1">
        <v>10090009</v>
      </c>
      <c r="D79" s="5" t="s">
        <v>450</v>
      </c>
      <c r="E79" s="17">
        <v>10700</v>
      </c>
      <c r="F79" s="17">
        <v>3000</v>
      </c>
      <c r="G79" s="22"/>
      <c r="H79" s="22"/>
      <c r="I79" s="22"/>
      <c r="J79" s="22"/>
      <c r="K79" s="22"/>
      <c r="L79" s="22"/>
      <c r="M79" s="22"/>
      <c r="N79" s="22"/>
      <c r="O79" s="22"/>
      <c r="P79" s="22" t="s">
        <v>425</v>
      </c>
      <c r="Q79" s="22"/>
      <c r="R79" s="22"/>
      <c r="S79" s="28">
        <f t="shared" si="0"/>
        <v>7700</v>
      </c>
      <c r="T79" s="1"/>
    </row>
    <row r="80" spans="1:20" x14ac:dyDescent="0.25">
      <c r="A80" s="3">
        <v>46099</v>
      </c>
      <c r="B80" s="20"/>
      <c r="C80" s="1">
        <v>10090043</v>
      </c>
      <c r="D80" s="5" t="s">
        <v>451</v>
      </c>
      <c r="E80" s="17">
        <v>10700</v>
      </c>
      <c r="F80" s="17">
        <v>4000</v>
      </c>
      <c r="G80" s="22"/>
      <c r="H80" s="22"/>
      <c r="I80" s="22"/>
      <c r="J80" s="22"/>
      <c r="K80" s="22"/>
      <c r="L80" s="22"/>
      <c r="M80" s="22"/>
      <c r="N80" s="22"/>
      <c r="O80" s="22"/>
      <c r="P80" s="22" t="s">
        <v>425</v>
      </c>
      <c r="Q80" s="22"/>
      <c r="R80" s="22"/>
      <c r="S80" s="28">
        <f t="shared" si="0"/>
        <v>6700</v>
      </c>
      <c r="T80" s="1"/>
    </row>
    <row r="81" spans="1:20" x14ac:dyDescent="0.25">
      <c r="A81" s="3">
        <v>46099</v>
      </c>
      <c r="B81" s="20"/>
      <c r="C81" s="1">
        <v>10020070</v>
      </c>
      <c r="D81" s="5" t="s">
        <v>448</v>
      </c>
      <c r="E81" s="17">
        <v>10700</v>
      </c>
      <c r="F81" s="17">
        <v>5000</v>
      </c>
      <c r="G81" s="22"/>
      <c r="H81" s="22"/>
      <c r="I81" s="22"/>
      <c r="J81" s="22"/>
      <c r="K81" s="22"/>
      <c r="L81" s="22"/>
      <c r="M81" s="22"/>
      <c r="N81" s="22"/>
      <c r="O81" s="22"/>
      <c r="P81" s="22" t="s">
        <v>425</v>
      </c>
      <c r="Q81" s="22"/>
      <c r="R81" s="22"/>
      <c r="S81" s="28">
        <f t="shared" si="0"/>
        <v>5700</v>
      </c>
      <c r="T81" s="1"/>
    </row>
    <row r="82" spans="1:20" x14ac:dyDescent="0.25">
      <c r="A82" s="3">
        <v>46101</v>
      </c>
      <c r="B82" s="20"/>
      <c r="C82" s="1">
        <v>10110043</v>
      </c>
      <c r="D82" s="1" t="s">
        <v>455</v>
      </c>
      <c r="E82" s="17">
        <v>10700</v>
      </c>
      <c r="F82" s="17"/>
      <c r="G82" s="22"/>
      <c r="H82" s="22"/>
      <c r="I82" s="22"/>
      <c r="J82" s="22"/>
      <c r="K82" s="22"/>
      <c r="L82" s="22"/>
      <c r="M82" s="22"/>
      <c r="N82" s="22"/>
      <c r="O82" s="22"/>
      <c r="P82" s="22" t="s">
        <v>425</v>
      </c>
      <c r="Q82" s="22"/>
      <c r="R82" s="22"/>
      <c r="S82" s="28">
        <f t="shared" si="0"/>
        <v>10700</v>
      </c>
      <c r="T82" s="1"/>
    </row>
    <row r="83" spans="1:20" x14ac:dyDescent="0.25">
      <c r="A83" s="3">
        <v>46101</v>
      </c>
      <c r="B83" s="20"/>
      <c r="C83" s="1">
        <v>10120002</v>
      </c>
      <c r="D83" s="1" t="s">
        <v>462</v>
      </c>
      <c r="E83" s="17">
        <v>10700</v>
      </c>
      <c r="F83" s="17"/>
      <c r="G83" s="22"/>
      <c r="H83" s="22"/>
      <c r="I83" s="22"/>
      <c r="J83" s="22"/>
      <c r="K83" s="22"/>
      <c r="L83" s="22"/>
      <c r="M83" s="22"/>
      <c r="N83" s="22"/>
      <c r="O83" s="22"/>
      <c r="P83" s="22" t="s">
        <v>425</v>
      </c>
      <c r="Q83" s="22"/>
      <c r="R83" s="22"/>
      <c r="S83" s="28">
        <f t="shared" si="0"/>
        <v>10700</v>
      </c>
      <c r="T83" s="1"/>
    </row>
    <row r="84" spans="1:20" x14ac:dyDescent="0.25">
      <c r="A84" s="3">
        <v>46101</v>
      </c>
      <c r="B84" s="20"/>
      <c r="C84" s="1">
        <v>10120107</v>
      </c>
      <c r="D84" s="1" t="s">
        <v>463</v>
      </c>
      <c r="E84" s="17">
        <v>10700</v>
      </c>
      <c r="F84" s="17"/>
      <c r="G84" s="22"/>
      <c r="H84" s="22"/>
      <c r="I84" s="22"/>
      <c r="J84" s="22"/>
      <c r="K84" s="22"/>
      <c r="L84" s="22"/>
      <c r="M84" s="22"/>
      <c r="N84" s="22"/>
      <c r="O84" s="22"/>
      <c r="P84" s="22" t="s">
        <v>425</v>
      </c>
      <c r="Q84" s="22"/>
      <c r="R84" s="22"/>
      <c r="S84" s="28">
        <f t="shared" si="0"/>
        <v>10700</v>
      </c>
      <c r="T84" s="1"/>
    </row>
    <row r="85" spans="1:20" x14ac:dyDescent="0.25">
      <c r="A85" s="3">
        <v>46101</v>
      </c>
      <c r="B85" s="20"/>
      <c r="C85" s="1">
        <v>10120080</v>
      </c>
      <c r="D85" s="1" t="s">
        <v>464</v>
      </c>
      <c r="E85" s="17">
        <v>10700</v>
      </c>
      <c r="F85" s="17"/>
      <c r="G85" s="22"/>
      <c r="H85" s="22"/>
      <c r="I85" s="22"/>
      <c r="J85" s="22"/>
      <c r="K85" s="22"/>
      <c r="L85" s="22"/>
      <c r="M85" s="22"/>
      <c r="N85" s="22"/>
      <c r="O85" s="22"/>
      <c r="P85" s="22" t="s">
        <v>425</v>
      </c>
      <c r="Q85" s="22"/>
      <c r="R85" s="22"/>
      <c r="S85" s="28">
        <f t="shared" si="0"/>
        <v>10700</v>
      </c>
      <c r="T85" s="1"/>
    </row>
    <row r="86" spans="1:20" x14ac:dyDescent="0.25">
      <c r="A86" s="3">
        <v>46101</v>
      </c>
      <c r="B86" s="20"/>
      <c r="C86" s="1">
        <v>10120035</v>
      </c>
      <c r="D86" s="1" t="s">
        <v>465</v>
      </c>
      <c r="E86" s="17">
        <v>10700</v>
      </c>
      <c r="F86" s="17"/>
      <c r="G86" s="22"/>
      <c r="H86" s="22"/>
      <c r="I86" s="22"/>
      <c r="J86" s="22"/>
      <c r="K86" s="22"/>
      <c r="L86" s="22"/>
      <c r="M86" s="22"/>
      <c r="N86" s="22"/>
      <c r="O86" s="22"/>
      <c r="P86" s="22" t="s">
        <v>425</v>
      </c>
      <c r="Q86" s="22"/>
      <c r="R86" s="22"/>
      <c r="S86" s="28">
        <f t="shared" si="0"/>
        <v>10700</v>
      </c>
      <c r="T86" s="1"/>
    </row>
    <row r="87" spans="1:20" x14ac:dyDescent="0.25">
      <c r="A87" s="3">
        <v>46101</v>
      </c>
      <c r="B87" s="20"/>
      <c r="C87" s="1">
        <v>10130014</v>
      </c>
      <c r="D87" s="1" t="s">
        <v>466</v>
      </c>
      <c r="E87" s="17">
        <v>10700</v>
      </c>
      <c r="F87" s="17"/>
      <c r="G87" s="22"/>
      <c r="H87" s="22"/>
      <c r="I87" s="22"/>
      <c r="J87" s="22"/>
      <c r="K87" s="22"/>
      <c r="L87" s="22"/>
      <c r="M87" s="22"/>
      <c r="N87" s="22"/>
      <c r="O87" s="22"/>
      <c r="P87" s="22" t="s">
        <v>425</v>
      </c>
      <c r="Q87" s="22"/>
      <c r="R87" s="22"/>
      <c r="S87" s="28">
        <f t="shared" si="0"/>
        <v>10700</v>
      </c>
      <c r="T87" s="1"/>
    </row>
    <row r="88" spans="1:20" x14ac:dyDescent="0.25">
      <c r="A88" s="3">
        <v>46101</v>
      </c>
      <c r="B88" s="20"/>
      <c r="C88" s="1">
        <v>10130015</v>
      </c>
      <c r="D88" s="1" t="s">
        <v>467</v>
      </c>
      <c r="E88" s="17">
        <v>10700</v>
      </c>
      <c r="F88" s="17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8">
        <f t="shared" si="0"/>
        <v>10700</v>
      </c>
      <c r="T88" s="1"/>
    </row>
    <row r="89" spans="1:20" x14ac:dyDescent="0.25">
      <c r="A89" s="3">
        <v>46120</v>
      </c>
      <c r="B89" s="20"/>
      <c r="C89" s="1">
        <v>10030053</v>
      </c>
      <c r="D89" s="1" t="s">
        <v>10</v>
      </c>
      <c r="E89" s="17">
        <v>10700</v>
      </c>
      <c r="F89" s="17">
        <v>5000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 t="s">
        <v>425</v>
      </c>
      <c r="R89" s="22"/>
      <c r="S89" s="28">
        <f t="shared" ref="S89:S99" si="1">E89-SUM(F89:R89)</f>
        <v>5700</v>
      </c>
      <c r="T89" s="1"/>
    </row>
    <row r="90" spans="1:20" x14ac:dyDescent="0.25">
      <c r="A90" s="3">
        <v>46133</v>
      </c>
      <c r="B90" s="20"/>
      <c r="C90" s="1">
        <v>10110095</v>
      </c>
      <c r="D90" s="5" t="s">
        <v>484</v>
      </c>
      <c r="E90" s="17">
        <v>10700</v>
      </c>
      <c r="F90" s="17">
        <v>5000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 t="s">
        <v>425</v>
      </c>
      <c r="R90" s="22"/>
      <c r="S90" s="28">
        <f t="shared" si="1"/>
        <v>5700</v>
      </c>
      <c r="T90" s="1"/>
    </row>
    <row r="91" spans="1:20" x14ac:dyDescent="0.25">
      <c r="A91" s="3">
        <v>46133</v>
      </c>
      <c r="B91" s="20"/>
      <c r="C91" s="1">
        <v>10440001</v>
      </c>
      <c r="D91" s="5" t="s">
        <v>485</v>
      </c>
      <c r="E91" s="17">
        <v>10700</v>
      </c>
      <c r="F91" s="17">
        <v>5000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 t="s">
        <v>425</v>
      </c>
      <c r="R91" s="22"/>
      <c r="S91" s="28">
        <f t="shared" si="1"/>
        <v>5700</v>
      </c>
      <c r="T91" s="1"/>
    </row>
    <row r="92" spans="1:20" x14ac:dyDescent="0.25">
      <c r="A92" s="3">
        <v>46133</v>
      </c>
      <c r="B92" s="20"/>
      <c r="C92" s="1">
        <v>10100001</v>
      </c>
      <c r="D92" s="5" t="s">
        <v>488</v>
      </c>
      <c r="E92" s="17">
        <v>10700</v>
      </c>
      <c r="F92" s="17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 t="s">
        <v>425</v>
      </c>
      <c r="R92" s="22"/>
      <c r="S92" s="28">
        <f t="shared" si="1"/>
        <v>10700</v>
      </c>
      <c r="T92" s="1"/>
    </row>
    <row r="93" spans="1:20" x14ac:dyDescent="0.25">
      <c r="A93" s="3">
        <v>46133</v>
      </c>
      <c r="B93" s="20"/>
      <c r="C93" s="1">
        <v>10070043</v>
      </c>
      <c r="D93" s="5" t="s">
        <v>49</v>
      </c>
      <c r="E93" s="17">
        <v>10700</v>
      </c>
      <c r="F93" s="17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 t="s">
        <v>425</v>
      </c>
      <c r="R93" s="22"/>
      <c r="S93" s="28">
        <f t="shared" si="1"/>
        <v>10700</v>
      </c>
      <c r="T93" s="1"/>
    </row>
    <row r="94" spans="1:20" x14ac:dyDescent="0.25">
      <c r="A94" s="3"/>
      <c r="B94" s="20"/>
      <c r="C94" s="1"/>
      <c r="D94" s="1"/>
      <c r="E94" s="17"/>
      <c r="F94" s="17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 t="s">
        <v>425</v>
      </c>
      <c r="R94" s="22" t="s">
        <v>425</v>
      </c>
      <c r="S94" s="28">
        <f t="shared" si="1"/>
        <v>0</v>
      </c>
      <c r="T94" s="1"/>
    </row>
    <row r="95" spans="1:20" x14ac:dyDescent="0.25">
      <c r="A95" s="3"/>
      <c r="B95" s="20"/>
      <c r="C95" s="1"/>
      <c r="D95" s="1"/>
      <c r="E95" s="17"/>
      <c r="F95" s="17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 t="s">
        <v>425</v>
      </c>
      <c r="R95" s="22" t="s">
        <v>425</v>
      </c>
      <c r="S95" s="28">
        <f t="shared" si="1"/>
        <v>0</v>
      </c>
      <c r="T95" s="1"/>
    </row>
    <row r="96" spans="1:20" x14ac:dyDescent="0.25">
      <c r="A96" s="3"/>
      <c r="B96" s="20"/>
      <c r="C96" s="1"/>
      <c r="D96" s="1"/>
      <c r="E96" s="17"/>
      <c r="F96" s="17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 t="s">
        <v>425</v>
      </c>
      <c r="R96" s="22" t="s">
        <v>425</v>
      </c>
      <c r="S96" s="28">
        <f t="shared" si="1"/>
        <v>0</v>
      </c>
      <c r="T96" s="1"/>
    </row>
    <row r="97" spans="1:20" x14ac:dyDescent="0.25">
      <c r="A97" s="3"/>
      <c r="B97" s="20"/>
      <c r="C97" s="1"/>
      <c r="D97" s="1"/>
      <c r="E97" s="17"/>
      <c r="F97" s="17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 t="s">
        <v>425</v>
      </c>
      <c r="R97" s="22" t="s">
        <v>425</v>
      </c>
      <c r="S97" s="28">
        <f t="shared" si="1"/>
        <v>0</v>
      </c>
      <c r="T97" s="1"/>
    </row>
    <row r="98" spans="1:20" x14ac:dyDescent="0.25">
      <c r="A98" s="3"/>
      <c r="B98" s="20"/>
      <c r="C98" s="1"/>
      <c r="D98" s="1"/>
      <c r="E98" s="17"/>
      <c r="F98" s="17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 t="s">
        <v>425</v>
      </c>
      <c r="R98" s="22" t="s">
        <v>425</v>
      </c>
      <c r="S98" s="28">
        <f t="shared" si="1"/>
        <v>0</v>
      </c>
      <c r="T98" s="1"/>
    </row>
    <row r="99" spans="1:20" x14ac:dyDescent="0.25">
      <c r="A99" s="3"/>
      <c r="B99" s="20"/>
      <c r="C99" s="1"/>
      <c r="D99" s="1"/>
      <c r="E99" s="17"/>
      <c r="F99" s="17"/>
      <c r="G99" s="22"/>
      <c r="H99" s="22"/>
      <c r="I99" s="22"/>
      <c r="J99" s="22"/>
      <c r="K99" s="22"/>
      <c r="L99" s="22"/>
      <c r="M99" s="22" t="s">
        <v>425</v>
      </c>
      <c r="N99" s="22"/>
      <c r="O99" s="22"/>
      <c r="P99" s="22" t="s">
        <v>425</v>
      </c>
      <c r="Q99" s="22" t="s">
        <v>425</v>
      </c>
      <c r="R99" s="22" t="s">
        <v>425</v>
      </c>
      <c r="S99" s="28">
        <f t="shared" si="1"/>
        <v>0</v>
      </c>
      <c r="T99" s="1"/>
    </row>
    <row r="100" spans="1:20" x14ac:dyDescent="0.25">
      <c r="A100" s="1"/>
      <c r="B100" s="1"/>
      <c r="C100" s="1"/>
      <c r="D100" s="1"/>
      <c r="E100" s="24">
        <v>896655</v>
      </c>
      <c r="F100" s="24">
        <v>101400</v>
      </c>
      <c r="G100" s="24">
        <v>12598</v>
      </c>
      <c r="H100" s="24">
        <v>3033</v>
      </c>
      <c r="I100" s="24">
        <v>26598</v>
      </c>
      <c r="J100" s="24">
        <v>14693</v>
      </c>
      <c r="K100" s="24">
        <v>12242</v>
      </c>
      <c r="L100" s="24">
        <v>4828</v>
      </c>
      <c r="M100" s="24">
        <v>8531</v>
      </c>
      <c r="N100" s="24">
        <v>26841</v>
      </c>
      <c r="O100" s="24">
        <v>40529</v>
      </c>
      <c r="P100" s="24">
        <v>52693</v>
      </c>
      <c r="Q100" s="24">
        <v>53437</v>
      </c>
      <c r="R100" s="24">
        <v>29818</v>
      </c>
      <c r="S100" s="28">
        <f>SUM(S2:S41)</f>
        <v>198391</v>
      </c>
      <c r="T100" s="1"/>
    </row>
    <row r="101" spans="1:20" x14ac:dyDescent="0.25">
      <c r="E101" s="37"/>
      <c r="F101" s="37"/>
    </row>
  </sheetData>
  <autoFilter ref="A1:T100" xr:uid="{18C64C84-AC8E-4740-9687-7BC3CE039E09}">
    <filterColumn colId="2">
      <colorFilter dxfId="1"/>
    </filterColumn>
    <filterColumn colId="18">
      <colorFilter dxfId="0"/>
    </filterColumn>
  </autoFilter>
  <phoneticPr fontId="8" type="noConversion"/>
  <conditionalFormatting sqref="B2:C18">
    <cfRule type="duplicateValues" dxfId="6" priority="5"/>
  </conditionalFormatting>
  <conditionalFormatting sqref="B47:C50">
    <cfRule type="duplicateValues" dxfId="5" priority="3"/>
  </conditionalFormatting>
  <conditionalFormatting sqref="B51:C56">
    <cfRule type="duplicateValues" dxfId="4" priority="2"/>
  </conditionalFormatting>
  <conditionalFormatting sqref="B89:C89 B57:C64 B19:C46 B65:B88 B94:C99 B90:B93">
    <cfRule type="duplicateValues" dxfId="3" priority="6"/>
  </conditionalFormatting>
  <conditionalFormatting sqref="S2:S99">
    <cfRule type="cellIs" dxfId="2" priority="1" operator="lessThan">
      <formula>-1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65A8-78BF-4F26-9210-3F5911D91793}">
  <dimension ref="C3:N79"/>
  <sheetViews>
    <sheetView topLeftCell="A43" workbookViewId="0">
      <selection activeCell="E4" sqref="E4:E78"/>
    </sheetView>
  </sheetViews>
  <sheetFormatPr defaultRowHeight="15" x14ac:dyDescent="0.25"/>
  <cols>
    <col min="3" max="3" width="14.7109375" bestFit="1" customWidth="1"/>
    <col min="4" max="4" width="53.42578125" bestFit="1" customWidth="1"/>
    <col min="10" max="10" width="15.28515625" bestFit="1" customWidth="1"/>
    <col min="11" max="11" width="21.140625" bestFit="1" customWidth="1"/>
    <col min="12" max="12" width="10.28515625" bestFit="1" customWidth="1"/>
    <col min="13" max="13" width="10.140625" bestFit="1" customWidth="1"/>
    <col min="14" max="14" width="30" customWidth="1"/>
  </cols>
  <sheetData>
    <row r="3" spans="3:14" x14ac:dyDescent="0.25">
      <c r="C3" s="23" t="s">
        <v>142</v>
      </c>
      <c r="D3" s="21" t="s">
        <v>143</v>
      </c>
      <c r="E3" s="1" t="s">
        <v>494</v>
      </c>
    </row>
    <row r="4" spans="3:14" x14ac:dyDescent="0.25">
      <c r="C4" s="1">
        <v>10130027</v>
      </c>
      <c r="D4" s="16" t="s">
        <v>146</v>
      </c>
      <c r="E4" s="1">
        <v>640</v>
      </c>
    </row>
    <row r="5" spans="3:14" x14ac:dyDescent="0.25">
      <c r="C5" s="1">
        <v>10080017</v>
      </c>
      <c r="D5" s="16" t="s">
        <v>154</v>
      </c>
      <c r="E5" s="1">
        <v>14200</v>
      </c>
    </row>
    <row r="6" spans="3:14" x14ac:dyDescent="0.25">
      <c r="C6" s="1">
        <v>10110022</v>
      </c>
      <c r="D6" s="16" t="s">
        <v>156</v>
      </c>
      <c r="E6" s="1">
        <v>1878</v>
      </c>
      <c r="J6" s="23" t="s">
        <v>142</v>
      </c>
      <c r="K6" s="21" t="s">
        <v>139</v>
      </c>
      <c r="L6" s="8" t="s">
        <v>222</v>
      </c>
      <c r="M6" s="11" t="s">
        <v>283</v>
      </c>
      <c r="N6" s="11" t="s">
        <v>469</v>
      </c>
    </row>
    <row r="7" spans="3:14" x14ac:dyDescent="0.25">
      <c r="C7" s="1">
        <v>10100004</v>
      </c>
      <c r="D7" s="16" t="s">
        <v>158</v>
      </c>
      <c r="E7" s="1">
        <v>5905</v>
      </c>
      <c r="J7" s="1">
        <v>10140020</v>
      </c>
      <c r="K7" s="5" t="s">
        <v>438</v>
      </c>
      <c r="L7" s="17">
        <v>10700</v>
      </c>
      <c r="M7" s="1">
        <v>5700</v>
      </c>
      <c r="N7" s="1" t="s">
        <v>470</v>
      </c>
    </row>
    <row r="8" spans="3:14" x14ac:dyDescent="0.25">
      <c r="C8" s="1">
        <v>10030020</v>
      </c>
      <c r="D8" s="16" t="s">
        <v>160</v>
      </c>
      <c r="E8" s="1">
        <v>14200</v>
      </c>
      <c r="J8" s="1">
        <v>10140058</v>
      </c>
      <c r="K8" s="5" t="s">
        <v>439</v>
      </c>
      <c r="L8" s="17">
        <v>10700</v>
      </c>
      <c r="M8" s="1">
        <v>5700</v>
      </c>
      <c r="N8" s="1" t="s">
        <v>470</v>
      </c>
    </row>
    <row r="9" spans="3:14" x14ac:dyDescent="0.25">
      <c r="C9" s="1">
        <v>10090023</v>
      </c>
      <c r="D9" s="16" t="s">
        <v>162</v>
      </c>
      <c r="E9" s="1">
        <v>9996</v>
      </c>
      <c r="J9" s="1">
        <v>10120080</v>
      </c>
      <c r="K9" s="1" t="s">
        <v>464</v>
      </c>
      <c r="L9" s="17">
        <v>10700</v>
      </c>
      <c r="M9" s="1">
        <v>2000</v>
      </c>
      <c r="N9" s="1" t="s">
        <v>470</v>
      </c>
    </row>
    <row r="10" spans="3:14" x14ac:dyDescent="0.25">
      <c r="C10" s="1">
        <v>10120022</v>
      </c>
      <c r="D10" s="16" t="s">
        <v>166</v>
      </c>
      <c r="E10" s="1">
        <v>4762</v>
      </c>
      <c r="J10" s="1">
        <v>10130014</v>
      </c>
      <c r="K10" s="1" t="s">
        <v>466</v>
      </c>
      <c r="L10" s="17">
        <v>10700</v>
      </c>
      <c r="M10" s="1">
        <v>2000</v>
      </c>
      <c r="N10" s="1" t="s">
        <v>470</v>
      </c>
    </row>
    <row r="11" spans="3:14" x14ac:dyDescent="0.25">
      <c r="C11" s="1">
        <v>10480004</v>
      </c>
      <c r="D11" s="16" t="s">
        <v>168</v>
      </c>
      <c r="E11" s="1">
        <v>6241</v>
      </c>
    </row>
    <row r="12" spans="3:14" x14ac:dyDescent="0.25">
      <c r="C12" s="1">
        <v>10100036</v>
      </c>
      <c r="D12" s="16" t="s">
        <v>170</v>
      </c>
      <c r="E12" s="1">
        <v>5000</v>
      </c>
    </row>
    <row r="13" spans="3:14" x14ac:dyDescent="0.25">
      <c r="C13" s="1">
        <v>10130045</v>
      </c>
      <c r="D13" s="16" t="s">
        <v>172</v>
      </c>
      <c r="E13" s="1">
        <v>5000</v>
      </c>
    </row>
    <row r="14" spans="3:14" x14ac:dyDescent="0.25">
      <c r="C14" s="1">
        <v>10140020</v>
      </c>
      <c r="D14" s="1" t="s">
        <v>438</v>
      </c>
      <c r="E14" s="1">
        <v>5558</v>
      </c>
    </row>
    <row r="15" spans="3:14" x14ac:dyDescent="0.25">
      <c r="C15" s="1">
        <v>10100019</v>
      </c>
      <c r="D15" s="16" t="s">
        <v>175</v>
      </c>
      <c r="E15" s="1">
        <v>5000</v>
      </c>
    </row>
    <row r="16" spans="3:14" x14ac:dyDescent="0.25">
      <c r="C16" s="1">
        <v>10060030</v>
      </c>
      <c r="D16" s="16" t="s">
        <v>177</v>
      </c>
      <c r="E16" s="1">
        <v>44</v>
      </c>
    </row>
    <row r="17" spans="3:5" x14ac:dyDescent="0.25">
      <c r="C17" s="1">
        <v>10120034</v>
      </c>
      <c r="D17" s="16" t="s">
        <v>179</v>
      </c>
      <c r="E17" s="1">
        <v>1597</v>
      </c>
    </row>
    <row r="18" spans="3:5" x14ac:dyDescent="0.25">
      <c r="C18" s="1">
        <v>10140043</v>
      </c>
      <c r="D18" s="16" t="s">
        <v>181</v>
      </c>
      <c r="E18" s="1">
        <v>5888</v>
      </c>
    </row>
    <row r="19" spans="3:5" x14ac:dyDescent="0.25">
      <c r="C19" s="1">
        <v>10130013</v>
      </c>
      <c r="D19" s="1" t="s">
        <v>183</v>
      </c>
      <c r="E19" s="1">
        <v>913</v>
      </c>
    </row>
    <row r="20" spans="3:5" x14ac:dyDescent="0.25">
      <c r="C20" s="1">
        <v>10090048</v>
      </c>
      <c r="D20" s="16" t="s">
        <v>185</v>
      </c>
      <c r="E20" s="1">
        <v>5300</v>
      </c>
    </row>
    <row r="21" spans="3:5" x14ac:dyDescent="0.25">
      <c r="C21" s="1">
        <v>10130009</v>
      </c>
      <c r="D21" s="1" t="s">
        <v>187</v>
      </c>
      <c r="E21" s="1">
        <v>5000</v>
      </c>
    </row>
    <row r="22" spans="3:5" x14ac:dyDescent="0.25">
      <c r="C22" s="1">
        <v>10480014</v>
      </c>
      <c r="D22" s="1" t="s">
        <v>191</v>
      </c>
      <c r="E22" s="1">
        <v>3551</v>
      </c>
    </row>
    <row r="23" spans="3:5" x14ac:dyDescent="0.25">
      <c r="C23" s="1">
        <v>10140001</v>
      </c>
      <c r="D23" s="1" t="s">
        <v>193</v>
      </c>
      <c r="E23" s="1">
        <v>5000</v>
      </c>
    </row>
    <row r="24" spans="3:5" x14ac:dyDescent="0.25">
      <c r="C24" s="1">
        <v>10090032</v>
      </c>
      <c r="D24" s="1" t="s">
        <v>195</v>
      </c>
      <c r="E24" s="1">
        <v>5113</v>
      </c>
    </row>
    <row r="25" spans="3:5" x14ac:dyDescent="0.25">
      <c r="C25" s="1">
        <v>10140022</v>
      </c>
      <c r="D25" s="1" t="s">
        <v>197</v>
      </c>
      <c r="E25" s="1">
        <v>4751</v>
      </c>
    </row>
    <row r="26" spans="3:5" x14ac:dyDescent="0.25">
      <c r="C26" s="1">
        <v>10140015</v>
      </c>
      <c r="D26" s="1" t="s">
        <v>46</v>
      </c>
      <c r="E26" s="1">
        <v>5000</v>
      </c>
    </row>
    <row r="27" spans="3:5" x14ac:dyDescent="0.25">
      <c r="C27" s="1">
        <v>10070033</v>
      </c>
      <c r="D27" s="1" t="s">
        <v>202</v>
      </c>
      <c r="E27" s="1">
        <v>5000</v>
      </c>
    </row>
    <row r="28" spans="3:5" x14ac:dyDescent="0.25">
      <c r="C28" s="1">
        <v>10100037</v>
      </c>
      <c r="D28" s="1" t="s">
        <v>204</v>
      </c>
      <c r="E28" s="1">
        <v>5000</v>
      </c>
    </row>
    <row r="29" spans="3:5" x14ac:dyDescent="0.25">
      <c r="C29" s="1">
        <v>10070049</v>
      </c>
      <c r="D29" s="1" t="s">
        <v>54</v>
      </c>
      <c r="E29" s="1">
        <v>2210</v>
      </c>
    </row>
    <row r="30" spans="3:5" x14ac:dyDescent="0.25">
      <c r="C30" s="1">
        <v>10120083</v>
      </c>
      <c r="D30" s="1" t="s">
        <v>56</v>
      </c>
      <c r="E30" s="1">
        <v>3000</v>
      </c>
    </row>
    <row r="31" spans="3:5" x14ac:dyDescent="0.25">
      <c r="C31" s="1">
        <v>10020037</v>
      </c>
      <c r="D31" s="1" t="s">
        <v>214</v>
      </c>
      <c r="E31" s="1">
        <v>3000</v>
      </c>
    </row>
    <row r="32" spans="3:5" x14ac:dyDescent="0.25">
      <c r="C32" s="20">
        <v>10120082</v>
      </c>
      <c r="D32" s="1" t="s">
        <v>79</v>
      </c>
      <c r="E32" s="1">
        <v>3000</v>
      </c>
    </row>
    <row r="33" spans="3:5" x14ac:dyDescent="0.25">
      <c r="C33" s="1">
        <v>10090046</v>
      </c>
      <c r="D33" s="1" t="s">
        <v>217</v>
      </c>
      <c r="E33" s="1">
        <v>3000</v>
      </c>
    </row>
    <row r="34" spans="3:5" x14ac:dyDescent="0.25">
      <c r="C34" s="1">
        <v>10090045</v>
      </c>
      <c r="D34" s="1" t="s">
        <v>472</v>
      </c>
      <c r="E34" s="1">
        <v>3000</v>
      </c>
    </row>
    <row r="35" spans="3:5" x14ac:dyDescent="0.25">
      <c r="C35" s="1">
        <v>10130026</v>
      </c>
      <c r="D35" s="1" t="s">
        <v>358</v>
      </c>
      <c r="E35" s="1">
        <v>3000</v>
      </c>
    </row>
    <row r="36" spans="3:5" x14ac:dyDescent="0.25">
      <c r="C36" s="1">
        <v>10120094</v>
      </c>
      <c r="D36" s="1" t="s">
        <v>300</v>
      </c>
      <c r="E36" s="1">
        <v>2021</v>
      </c>
    </row>
    <row r="37" spans="3:5" x14ac:dyDescent="0.25">
      <c r="C37" s="1">
        <v>10060069</v>
      </c>
      <c r="D37" s="1" t="s">
        <v>308</v>
      </c>
      <c r="E37" s="1">
        <v>3000</v>
      </c>
    </row>
    <row r="38" spans="3:5" x14ac:dyDescent="0.25">
      <c r="C38" s="1">
        <v>10070013</v>
      </c>
      <c r="D38" s="1" t="s">
        <v>310</v>
      </c>
      <c r="E38" s="1">
        <v>3000</v>
      </c>
    </row>
    <row r="39" spans="3:5" x14ac:dyDescent="0.25">
      <c r="C39" s="1">
        <v>10100021</v>
      </c>
      <c r="D39" s="1" t="s">
        <v>311</v>
      </c>
      <c r="E39" s="1">
        <v>2481</v>
      </c>
    </row>
    <row r="40" spans="3:5" x14ac:dyDescent="0.25">
      <c r="C40" s="1">
        <v>10020041</v>
      </c>
      <c r="D40" s="1" t="s">
        <v>339</v>
      </c>
      <c r="E40" s="1">
        <v>5468</v>
      </c>
    </row>
    <row r="41" spans="3:5" x14ac:dyDescent="0.25">
      <c r="C41" s="1">
        <v>10090003</v>
      </c>
      <c r="D41" s="1" t="s">
        <v>341</v>
      </c>
      <c r="E41" s="1">
        <v>3000</v>
      </c>
    </row>
    <row r="42" spans="3:5" x14ac:dyDescent="0.25">
      <c r="C42" s="1">
        <v>10090037</v>
      </c>
      <c r="D42" s="1" t="s">
        <v>343</v>
      </c>
      <c r="E42" s="1">
        <v>4405</v>
      </c>
    </row>
    <row r="43" spans="3:5" x14ac:dyDescent="0.25">
      <c r="C43" s="1">
        <v>10090058</v>
      </c>
      <c r="D43" s="1" t="s">
        <v>330</v>
      </c>
      <c r="E43" s="1">
        <v>528</v>
      </c>
    </row>
    <row r="44" spans="3:5" x14ac:dyDescent="0.25">
      <c r="C44" s="1">
        <v>10010076</v>
      </c>
      <c r="D44" s="1" t="s">
        <v>344</v>
      </c>
      <c r="E44" s="1">
        <v>3000</v>
      </c>
    </row>
    <row r="45" spans="3:5" x14ac:dyDescent="0.25">
      <c r="C45" s="1">
        <v>10130093</v>
      </c>
      <c r="D45" s="1" t="s">
        <v>355</v>
      </c>
      <c r="E45" s="1">
        <v>3000</v>
      </c>
    </row>
    <row r="46" spans="3:5" x14ac:dyDescent="0.25">
      <c r="C46" s="1">
        <v>10130047</v>
      </c>
      <c r="D46" s="1" t="s">
        <v>356</v>
      </c>
      <c r="E46" s="1">
        <v>3000</v>
      </c>
    </row>
    <row r="47" spans="3:5" x14ac:dyDescent="0.25">
      <c r="C47" s="1">
        <v>10140132</v>
      </c>
      <c r="D47" s="1" t="s">
        <v>382</v>
      </c>
      <c r="E47" s="1">
        <v>3000</v>
      </c>
    </row>
    <row r="48" spans="3:5" x14ac:dyDescent="0.25">
      <c r="C48" s="1">
        <v>10140054</v>
      </c>
      <c r="D48" s="1" t="s">
        <v>379</v>
      </c>
      <c r="E48" s="1">
        <v>3000</v>
      </c>
    </row>
    <row r="49" spans="3:5" x14ac:dyDescent="0.25">
      <c r="C49" s="1">
        <v>10140068</v>
      </c>
      <c r="D49" s="1" t="s">
        <v>381</v>
      </c>
      <c r="E49" s="1">
        <v>3000</v>
      </c>
    </row>
    <row r="50" spans="3:5" x14ac:dyDescent="0.25">
      <c r="C50" s="1">
        <v>10060011</v>
      </c>
      <c r="D50" s="1" t="s">
        <v>384</v>
      </c>
      <c r="E50" s="1">
        <v>777</v>
      </c>
    </row>
    <row r="51" spans="3:5" x14ac:dyDescent="0.25">
      <c r="C51" s="1">
        <v>10140018</v>
      </c>
      <c r="D51" s="1" t="s">
        <v>399</v>
      </c>
      <c r="E51" s="1">
        <v>3036</v>
      </c>
    </row>
    <row r="52" spans="3:5" x14ac:dyDescent="0.25">
      <c r="C52" s="1">
        <v>10510004</v>
      </c>
      <c r="D52" s="1" t="s">
        <v>401</v>
      </c>
      <c r="E52" s="1">
        <v>1700</v>
      </c>
    </row>
    <row r="53" spans="3:5" x14ac:dyDescent="0.25">
      <c r="C53" s="1">
        <v>10360001</v>
      </c>
      <c r="D53" s="1" t="s">
        <v>309</v>
      </c>
      <c r="E53" s="1">
        <v>3000</v>
      </c>
    </row>
    <row r="54" spans="3:5" x14ac:dyDescent="0.25">
      <c r="C54" s="1">
        <v>10110071</v>
      </c>
      <c r="D54" s="1" t="s">
        <v>408</v>
      </c>
      <c r="E54" s="1">
        <v>3000</v>
      </c>
    </row>
    <row r="55" spans="3:5" x14ac:dyDescent="0.25">
      <c r="C55" s="1">
        <v>10110001</v>
      </c>
      <c r="D55" s="1" t="s">
        <v>410</v>
      </c>
      <c r="E55" s="1">
        <v>1700</v>
      </c>
    </row>
    <row r="56" spans="3:5" x14ac:dyDescent="0.25">
      <c r="C56" s="1">
        <v>10110055</v>
      </c>
      <c r="D56" s="1" t="s">
        <v>412</v>
      </c>
      <c r="E56" s="1">
        <v>3000</v>
      </c>
    </row>
    <row r="57" spans="3:5" x14ac:dyDescent="0.25">
      <c r="C57" s="1">
        <v>10140033</v>
      </c>
      <c r="D57" s="1" t="s">
        <v>421</v>
      </c>
      <c r="E57" s="1">
        <v>3000</v>
      </c>
    </row>
    <row r="58" spans="3:5" x14ac:dyDescent="0.25">
      <c r="C58" s="1">
        <v>10140058</v>
      </c>
      <c r="D58" s="1" t="s">
        <v>439</v>
      </c>
      <c r="E58" s="1">
        <v>3000</v>
      </c>
    </row>
    <row r="59" spans="3:5" x14ac:dyDescent="0.25">
      <c r="C59" s="1">
        <v>10140137</v>
      </c>
      <c r="D59" s="1" t="s">
        <v>440</v>
      </c>
      <c r="E59" s="1">
        <v>3000</v>
      </c>
    </row>
    <row r="60" spans="3:5" x14ac:dyDescent="0.25">
      <c r="C60" s="1">
        <v>10140002</v>
      </c>
      <c r="D60" s="1" t="s">
        <v>57</v>
      </c>
      <c r="E60" s="1">
        <v>3000</v>
      </c>
    </row>
    <row r="61" spans="3:5" x14ac:dyDescent="0.25">
      <c r="C61" s="1">
        <v>10020017</v>
      </c>
      <c r="D61" s="1" t="s">
        <v>447</v>
      </c>
      <c r="E61" s="1">
        <v>2700</v>
      </c>
    </row>
    <row r="62" spans="3:5" x14ac:dyDescent="0.25">
      <c r="C62" s="1">
        <v>10090033</v>
      </c>
      <c r="D62" s="1" t="s">
        <v>449</v>
      </c>
      <c r="E62" s="1">
        <v>2700</v>
      </c>
    </row>
    <row r="63" spans="3:5" x14ac:dyDescent="0.25">
      <c r="C63" s="1">
        <v>10060049</v>
      </c>
      <c r="D63" s="1" t="s">
        <v>452</v>
      </c>
      <c r="E63" s="1">
        <v>3000</v>
      </c>
    </row>
    <row r="64" spans="3:5" x14ac:dyDescent="0.25">
      <c r="C64" s="1">
        <v>10090009</v>
      </c>
      <c r="D64" s="1" t="s">
        <v>450</v>
      </c>
      <c r="E64" s="1">
        <v>3000</v>
      </c>
    </row>
    <row r="65" spans="3:5" x14ac:dyDescent="0.25">
      <c r="C65" s="1">
        <v>10090043</v>
      </c>
      <c r="D65" s="1" t="s">
        <v>451</v>
      </c>
      <c r="E65" s="1">
        <v>3000</v>
      </c>
    </row>
    <row r="66" spans="3:5" x14ac:dyDescent="0.25">
      <c r="C66" s="1">
        <v>10020070</v>
      </c>
      <c r="D66" s="1" t="s">
        <v>448</v>
      </c>
      <c r="E66" s="1">
        <v>3000</v>
      </c>
    </row>
    <row r="67" spans="3:5" x14ac:dyDescent="0.25">
      <c r="C67" s="1">
        <v>10110043</v>
      </c>
      <c r="D67" s="1" t="s">
        <v>455</v>
      </c>
      <c r="E67" s="1">
        <v>3000</v>
      </c>
    </row>
    <row r="68" spans="3:5" x14ac:dyDescent="0.25">
      <c r="C68" s="1">
        <v>10120002</v>
      </c>
      <c r="D68" s="1" t="s">
        <v>462</v>
      </c>
      <c r="E68" s="1">
        <v>3000</v>
      </c>
    </row>
    <row r="69" spans="3:5" x14ac:dyDescent="0.25">
      <c r="C69" s="1">
        <v>10120107</v>
      </c>
      <c r="D69" s="1" t="s">
        <v>463</v>
      </c>
      <c r="E69" s="1">
        <v>3000</v>
      </c>
    </row>
    <row r="70" spans="3:5" x14ac:dyDescent="0.25">
      <c r="C70" s="1">
        <v>10120080</v>
      </c>
      <c r="D70" s="1" t="s">
        <v>464</v>
      </c>
      <c r="E70" s="1">
        <v>3000</v>
      </c>
    </row>
    <row r="71" spans="3:5" x14ac:dyDescent="0.25">
      <c r="C71" s="1">
        <v>10120035</v>
      </c>
      <c r="D71" s="1" t="s">
        <v>465</v>
      </c>
      <c r="E71" s="1">
        <v>3000</v>
      </c>
    </row>
    <row r="72" spans="3:5" x14ac:dyDescent="0.25">
      <c r="C72" s="1">
        <v>10130014</v>
      </c>
      <c r="D72" s="1" t="s">
        <v>466</v>
      </c>
      <c r="E72" s="1">
        <v>3000</v>
      </c>
    </row>
    <row r="73" spans="3:5" x14ac:dyDescent="0.25">
      <c r="C73" s="1">
        <v>10130015</v>
      </c>
      <c r="D73" s="1" t="s">
        <v>467</v>
      </c>
      <c r="E73" s="1">
        <v>3000</v>
      </c>
    </row>
    <row r="74" spans="3:5" x14ac:dyDescent="0.25">
      <c r="C74" s="1">
        <v>10030053</v>
      </c>
      <c r="D74" s="1" t="s">
        <v>10</v>
      </c>
      <c r="E74" s="1">
        <v>3000</v>
      </c>
    </row>
    <row r="75" spans="3:5" x14ac:dyDescent="0.25">
      <c r="C75" s="1">
        <v>10110095</v>
      </c>
      <c r="D75" s="1" t="s">
        <v>484</v>
      </c>
      <c r="E75" s="1">
        <v>3000</v>
      </c>
    </row>
    <row r="76" spans="3:5" x14ac:dyDescent="0.25">
      <c r="C76" s="1">
        <v>10440001</v>
      </c>
      <c r="D76" s="1" t="s">
        <v>485</v>
      </c>
      <c r="E76" s="1">
        <v>3000</v>
      </c>
    </row>
    <row r="77" spans="3:5" x14ac:dyDescent="0.25">
      <c r="C77" s="1">
        <v>10100001</v>
      </c>
      <c r="D77" s="1" t="s">
        <v>488</v>
      </c>
      <c r="E77" s="1">
        <v>3000</v>
      </c>
    </row>
    <row r="78" spans="3:5" x14ac:dyDescent="0.25">
      <c r="C78" s="1">
        <v>10070043</v>
      </c>
      <c r="D78" s="1" t="s">
        <v>49</v>
      </c>
      <c r="E78" s="1">
        <v>3000</v>
      </c>
    </row>
    <row r="79" spans="3:5" x14ac:dyDescent="0.25">
      <c r="C79" s="40" t="s">
        <v>495</v>
      </c>
      <c r="D79" s="40"/>
      <c r="E79" s="11">
        <f>SUM(E4:E78)</f>
        <v>274263</v>
      </c>
    </row>
  </sheetData>
  <autoFilter ref="C3:E79" xr:uid="{7FBA65A8-78BF-4F26-9210-3F5911D91793}"/>
  <mergeCells count="1">
    <mergeCell ref="C79:D79"/>
  </mergeCells>
  <conditionalFormatting sqref="C4:C16">
    <cfRule type="duplicateValues" dxfId="13" priority="7"/>
  </conditionalFormatting>
  <conditionalFormatting sqref="C4:C78">
    <cfRule type="duplicateValues" dxfId="12" priority="10"/>
  </conditionalFormatting>
  <conditionalFormatting sqref="C38:C39">
    <cfRule type="duplicateValues" dxfId="11" priority="3"/>
  </conditionalFormatting>
  <conditionalFormatting sqref="C40:C44">
    <cfRule type="duplicateValues" dxfId="10" priority="2"/>
  </conditionalFormatting>
  <conditionalFormatting sqref="C74 C45:C50 C17:C37">
    <cfRule type="duplicateValues" dxfId="9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5257-1C44-49C0-985B-12AFEC8ED543}">
  <dimension ref="C4:K23"/>
  <sheetViews>
    <sheetView workbookViewId="0">
      <selection activeCell="D21" sqref="D21"/>
    </sheetView>
  </sheetViews>
  <sheetFormatPr defaultRowHeight="15" x14ac:dyDescent="0.25"/>
  <cols>
    <col min="3" max="3" width="30.28515625" bestFit="1" customWidth="1"/>
    <col min="4" max="4" width="26.28515625" customWidth="1"/>
    <col min="5" max="5" width="10.28515625" bestFit="1" customWidth="1"/>
    <col min="9" max="9" width="11.140625" bestFit="1" customWidth="1"/>
    <col min="10" max="10" width="16.85546875" bestFit="1" customWidth="1"/>
    <col min="11" max="11" width="36.28515625" bestFit="1" customWidth="1"/>
    <col min="12" max="12" width="10.28515625" bestFit="1" customWidth="1"/>
    <col min="13" max="13" width="13.7109375" bestFit="1" customWidth="1"/>
    <col min="14" max="14" width="25.140625" bestFit="1" customWidth="1"/>
  </cols>
  <sheetData>
    <row r="4" spans="3:11" x14ac:dyDescent="0.25">
      <c r="C4" s="8" t="s">
        <v>125</v>
      </c>
      <c r="D4" s="8" t="s">
        <v>124</v>
      </c>
      <c r="E4" s="8" t="s">
        <v>119</v>
      </c>
      <c r="F4" s="8" t="s">
        <v>121</v>
      </c>
      <c r="G4" s="8" t="s">
        <v>122</v>
      </c>
      <c r="H4" s="8" t="s">
        <v>120</v>
      </c>
      <c r="I4" s="8" t="s">
        <v>133</v>
      </c>
      <c r="J4" s="8" t="s">
        <v>126</v>
      </c>
      <c r="K4" s="8" t="s">
        <v>109</v>
      </c>
    </row>
    <row r="5" spans="3:11" x14ac:dyDescent="0.25">
      <c r="C5" s="3">
        <v>45775</v>
      </c>
      <c r="D5" s="2" t="s">
        <v>123</v>
      </c>
      <c r="E5" s="2">
        <v>0</v>
      </c>
      <c r="F5" s="2">
        <v>76</v>
      </c>
      <c r="G5" s="2">
        <f>+'PCB Details '!G155</f>
        <v>156</v>
      </c>
      <c r="H5" s="2">
        <f>D23</f>
        <v>14</v>
      </c>
      <c r="I5" s="2">
        <f>D22</f>
        <v>2</v>
      </c>
      <c r="J5" s="2">
        <f>+H5+I5</f>
        <v>16</v>
      </c>
      <c r="K5" s="1" t="s">
        <v>422</v>
      </c>
    </row>
    <row r="6" spans="3:11" x14ac:dyDescent="0.25">
      <c r="C6" s="3">
        <v>45939</v>
      </c>
      <c r="D6" s="2" t="s">
        <v>286</v>
      </c>
      <c r="E6" s="2">
        <v>0</v>
      </c>
      <c r="F6" s="2">
        <v>25</v>
      </c>
      <c r="G6" s="2">
        <f>+'PCB Details '!G156</f>
        <v>0</v>
      </c>
      <c r="H6" s="2"/>
      <c r="I6" s="2"/>
      <c r="J6" s="2"/>
      <c r="K6" s="1"/>
    </row>
    <row r="7" spans="3:11" x14ac:dyDescent="0.25">
      <c r="C7" s="3">
        <v>45946</v>
      </c>
      <c r="D7" s="2" t="s">
        <v>286</v>
      </c>
      <c r="E7" s="2">
        <v>0</v>
      </c>
      <c r="F7" s="2">
        <v>25</v>
      </c>
      <c r="G7" s="2">
        <f>+'PCB Details '!G157</f>
        <v>0</v>
      </c>
      <c r="H7" s="2"/>
      <c r="I7" s="2"/>
      <c r="J7" s="2"/>
      <c r="K7" s="1"/>
    </row>
    <row r="8" spans="3:11" x14ac:dyDescent="0.25">
      <c r="C8" s="3">
        <v>45732</v>
      </c>
      <c r="D8" s="2" t="s">
        <v>286</v>
      </c>
      <c r="E8" s="2">
        <v>1</v>
      </c>
      <c r="F8" s="2">
        <v>25</v>
      </c>
      <c r="G8" s="1"/>
      <c r="H8" s="1"/>
      <c r="I8" s="1"/>
      <c r="J8" s="1"/>
      <c r="K8" s="1"/>
    </row>
    <row r="9" spans="3:11" x14ac:dyDescent="0.25">
      <c r="C9" s="3">
        <v>45747</v>
      </c>
      <c r="D9" s="2" t="s">
        <v>286</v>
      </c>
      <c r="E9" s="2">
        <v>0</v>
      </c>
      <c r="F9" s="2">
        <v>21</v>
      </c>
      <c r="G9" s="1"/>
      <c r="H9" s="1"/>
      <c r="I9" s="1"/>
      <c r="J9" s="1"/>
      <c r="K9" s="1"/>
    </row>
    <row r="10" spans="3:11" x14ac:dyDescent="0.25">
      <c r="C10" s="3"/>
      <c r="D10" s="2"/>
      <c r="E10" s="1"/>
      <c r="F10" s="1"/>
      <c r="G10" s="1"/>
      <c r="H10" s="1"/>
      <c r="I10" s="1"/>
      <c r="J10" s="1"/>
      <c r="K10" s="1"/>
    </row>
    <row r="11" spans="3:11" x14ac:dyDescent="0.25">
      <c r="F11">
        <f>SUM(F5:F10)</f>
        <v>172</v>
      </c>
    </row>
    <row r="14" spans="3:11" x14ac:dyDescent="0.25">
      <c r="C14" s="11" t="s">
        <v>137</v>
      </c>
      <c r="D14" s="8" t="s">
        <v>131</v>
      </c>
      <c r="E14" s="8" t="s">
        <v>129</v>
      </c>
      <c r="F14" s="8" t="s">
        <v>130</v>
      </c>
    </row>
    <row r="15" spans="3:11" x14ac:dyDescent="0.25">
      <c r="C15" s="1" t="s">
        <v>118</v>
      </c>
      <c r="D15" s="2">
        <f>F11</f>
        <v>172</v>
      </c>
      <c r="E15" s="10">
        <v>9598.3684210526317</v>
      </c>
      <c r="F15" s="2">
        <f>D15*E15</f>
        <v>1650919.3684210526</v>
      </c>
    </row>
    <row r="16" spans="3:11" x14ac:dyDescent="0.25">
      <c r="C16" s="11" t="s">
        <v>136</v>
      </c>
      <c r="D16" s="8">
        <f>D15</f>
        <v>172</v>
      </c>
      <c r="E16" s="12">
        <v>9598.3684210526317</v>
      </c>
      <c r="F16" s="8">
        <v>1209394.4210526317</v>
      </c>
    </row>
    <row r="17" spans="3:8" x14ac:dyDescent="0.25">
      <c r="C17" s="1" t="s">
        <v>134</v>
      </c>
      <c r="D17" s="2">
        <f>'PCB Details '!H155</f>
        <v>77</v>
      </c>
      <c r="E17" s="10">
        <v>9598.3684210526317</v>
      </c>
      <c r="F17" s="10">
        <f>D17*E17</f>
        <v>739074.36842105258</v>
      </c>
    </row>
    <row r="18" spans="3:8" x14ac:dyDescent="0.25">
      <c r="C18" s="1" t="s">
        <v>345</v>
      </c>
      <c r="D18" s="2">
        <f>'PCB Details '!I155</f>
        <v>37</v>
      </c>
      <c r="E18" s="10">
        <v>9598.3684210526317</v>
      </c>
      <c r="F18" s="10">
        <f t="shared" ref="F18:F19" si="0">D18*E18</f>
        <v>355139.63157894736</v>
      </c>
      <c r="G18" s="13">
        <f>+F18+F19</f>
        <v>758271.10526315786</v>
      </c>
      <c r="H18" s="13"/>
    </row>
    <row r="19" spans="3:8" x14ac:dyDescent="0.25">
      <c r="C19" s="1" t="s">
        <v>111</v>
      </c>
      <c r="D19" s="2">
        <f>'PCB Details '!J155</f>
        <v>42</v>
      </c>
      <c r="E19" s="10">
        <v>9598.3684210526317</v>
      </c>
      <c r="F19" s="10">
        <f t="shared" si="0"/>
        <v>403131.4736842105</v>
      </c>
    </row>
    <row r="20" spans="3:8" x14ac:dyDescent="0.25">
      <c r="C20" s="11" t="s">
        <v>135</v>
      </c>
      <c r="D20" s="8">
        <f>SUM(D17:D19)</f>
        <v>156</v>
      </c>
      <c r="E20" s="12">
        <v>9598.3684210526317</v>
      </c>
      <c r="F20" s="12">
        <f>SUM(F17:F19)</f>
        <v>1497345.4736842106</v>
      </c>
    </row>
    <row r="21" spans="3:8" x14ac:dyDescent="0.25">
      <c r="C21" s="1"/>
      <c r="D21" s="2"/>
      <c r="E21" s="10"/>
      <c r="F21" s="10"/>
    </row>
    <row r="22" spans="3:8" x14ac:dyDescent="0.25">
      <c r="C22" s="1" t="s">
        <v>132</v>
      </c>
      <c r="D22" s="2">
        <v>2</v>
      </c>
      <c r="E22" s="10">
        <v>9598.3684210526317</v>
      </c>
      <c r="F22" s="10">
        <f>+D22*E22</f>
        <v>19196.736842105263</v>
      </c>
    </row>
    <row r="23" spans="3:8" x14ac:dyDescent="0.25">
      <c r="C23" s="11" t="s">
        <v>128</v>
      </c>
      <c r="D23" s="8">
        <f>D16-(D20+D22)</f>
        <v>14</v>
      </c>
      <c r="E23" s="12">
        <v>9598.3684210526317</v>
      </c>
      <c r="F23" s="12">
        <f>+D23*E23</f>
        <v>134377.15789473685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735-39A9-4E08-A075-C40F5F305DB8}">
  <dimension ref="C5:G15"/>
  <sheetViews>
    <sheetView workbookViewId="0">
      <selection activeCell="E15" sqref="E15"/>
    </sheetView>
  </sheetViews>
  <sheetFormatPr defaultRowHeight="15" x14ac:dyDescent="0.25"/>
  <cols>
    <col min="3" max="3" width="10.28515625" bestFit="1" customWidth="1"/>
    <col min="4" max="4" width="11.85546875" bestFit="1" customWidth="1"/>
    <col min="5" max="5" width="15.42578125" bestFit="1" customWidth="1"/>
    <col min="6" max="6" width="17.42578125" bestFit="1" customWidth="1"/>
    <col min="7" max="7" width="21.140625" bestFit="1" customWidth="1"/>
  </cols>
  <sheetData>
    <row r="5" spans="3:7" x14ac:dyDescent="0.25">
      <c r="C5" s="14" t="s">
        <v>125</v>
      </c>
      <c r="D5" s="14" t="s">
        <v>270</v>
      </c>
      <c r="E5" s="14" t="s">
        <v>271</v>
      </c>
      <c r="F5" s="14" t="s">
        <v>272</v>
      </c>
      <c r="G5" s="14" t="s">
        <v>109</v>
      </c>
    </row>
    <row r="6" spans="3:7" x14ac:dyDescent="0.25">
      <c r="C6" s="36">
        <v>45139</v>
      </c>
      <c r="D6" s="4" t="s">
        <v>119</v>
      </c>
      <c r="E6" s="4">
        <v>393677</v>
      </c>
      <c r="F6" s="42">
        <f>1480226+258102</f>
        <v>1738328</v>
      </c>
      <c r="G6" s="1"/>
    </row>
    <row r="7" spans="3:7" x14ac:dyDescent="0.25">
      <c r="C7" s="3">
        <v>45168</v>
      </c>
      <c r="D7" s="2">
        <v>20</v>
      </c>
      <c r="E7" s="2">
        <v>270722</v>
      </c>
      <c r="F7" s="42"/>
      <c r="G7" s="1"/>
    </row>
    <row r="8" spans="3:7" x14ac:dyDescent="0.25">
      <c r="C8" s="3">
        <v>45272</v>
      </c>
      <c r="D8" s="2">
        <v>25</v>
      </c>
      <c r="E8" s="2">
        <v>338041</v>
      </c>
      <c r="F8" s="42"/>
      <c r="G8" s="1"/>
    </row>
    <row r="9" spans="3:7" x14ac:dyDescent="0.25">
      <c r="C9" s="3">
        <v>45414</v>
      </c>
      <c r="D9" s="2">
        <v>20</v>
      </c>
      <c r="E9" s="2">
        <v>212400</v>
      </c>
      <c r="F9" s="42"/>
      <c r="G9" s="1"/>
    </row>
    <row r="10" spans="3:7" x14ac:dyDescent="0.25">
      <c r="C10" s="3">
        <v>45427</v>
      </c>
      <c r="D10" s="2">
        <v>20</v>
      </c>
      <c r="E10" s="2">
        <v>212400</v>
      </c>
      <c r="F10" s="42"/>
      <c r="G10" s="1"/>
    </row>
    <row r="11" spans="3:7" x14ac:dyDescent="0.25">
      <c r="C11" s="3">
        <v>45559</v>
      </c>
      <c r="D11" s="2">
        <v>30</v>
      </c>
      <c r="E11" s="2">
        <f>10620*30</f>
        <v>318600</v>
      </c>
      <c r="F11" s="42"/>
      <c r="G11" s="1"/>
    </row>
    <row r="12" spans="3:7" x14ac:dyDescent="0.25">
      <c r="C12" s="3">
        <v>45660</v>
      </c>
      <c r="D12" s="2">
        <v>25</v>
      </c>
      <c r="E12" s="2">
        <f>10620*25</f>
        <v>265500</v>
      </c>
      <c r="F12" s="42"/>
      <c r="G12" s="6" t="s">
        <v>273</v>
      </c>
    </row>
    <row r="13" spans="3:7" x14ac:dyDescent="0.25">
      <c r="C13" s="3">
        <v>45661</v>
      </c>
      <c r="D13" s="2">
        <v>25</v>
      </c>
      <c r="E13" s="2">
        <f>10620*25</f>
        <v>265500</v>
      </c>
      <c r="F13" s="42"/>
      <c r="G13" s="6" t="s">
        <v>273</v>
      </c>
    </row>
    <row r="14" spans="3:7" x14ac:dyDescent="0.25">
      <c r="C14" s="3">
        <v>45775</v>
      </c>
      <c r="D14" s="2">
        <v>76</v>
      </c>
      <c r="E14" s="2">
        <v>729476</v>
      </c>
      <c r="F14" s="42"/>
      <c r="G14" s="6" t="s">
        <v>273</v>
      </c>
    </row>
    <row r="15" spans="3:7" x14ac:dyDescent="0.25">
      <c r="C15" s="1"/>
      <c r="D15" s="2">
        <f>SUM(D6:D14)</f>
        <v>241</v>
      </c>
      <c r="E15" s="14">
        <f>SUM(E6:E14)</f>
        <v>3006316</v>
      </c>
      <c r="F15" s="14">
        <f>+E19</f>
        <v>0</v>
      </c>
      <c r="G15" s="35" t="s">
        <v>274</v>
      </c>
    </row>
  </sheetData>
  <mergeCells count="2">
    <mergeCell ref="F6:F11"/>
    <mergeCell ref="F12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C6CB-DC5C-4D5A-9F99-5A90A7CF737C}">
  <sheetPr>
    <outlinePr summaryBelow="0" summaryRight="0"/>
  </sheetPr>
  <dimension ref="A1:G26"/>
  <sheetViews>
    <sheetView workbookViewId="0">
      <pane xSplit="5" ySplit="1" topLeftCell="F8" activePane="bottomRight" state="frozen"/>
      <selection pane="topRight" activeCell="D1" sqref="D1"/>
      <selection pane="bottomLeft" activeCell="A2" sqref="A2"/>
      <selection pane="bottomRight" activeCell="F27" sqref="F27"/>
    </sheetView>
  </sheetViews>
  <sheetFormatPr defaultColWidth="12.7109375" defaultRowHeight="15.75" customHeight="1" x14ac:dyDescent="0.2"/>
  <cols>
    <col min="1" max="1" width="12.7109375" style="25"/>
    <col min="2" max="2" width="14.28515625" style="25" bestFit="1" customWidth="1"/>
    <col min="3" max="3" width="19.140625" style="25" bestFit="1" customWidth="1"/>
    <col min="4" max="4" width="29.140625" style="25" customWidth="1"/>
    <col min="5" max="6" width="12.7109375" style="25" customWidth="1"/>
    <col min="7" max="7" width="24.28515625" style="25" bestFit="1" customWidth="1"/>
    <col min="8" max="38" width="12.7109375" style="25" customWidth="1"/>
    <col min="39" max="39" width="12.7109375" style="25"/>
    <col min="40" max="40" width="54.5703125" style="25" customWidth="1"/>
    <col min="41" max="16384" width="12.7109375" style="25"/>
  </cols>
  <sheetData>
    <row r="1" spans="1:7" ht="15.75" customHeight="1" x14ac:dyDescent="0.25">
      <c r="A1" s="29" t="s">
        <v>258</v>
      </c>
      <c r="B1" s="11" t="s">
        <v>259</v>
      </c>
      <c r="C1" s="15" t="s">
        <v>141</v>
      </c>
      <c r="D1" s="15" t="s">
        <v>143</v>
      </c>
      <c r="E1" s="30" t="s">
        <v>144</v>
      </c>
      <c r="F1" s="23" t="s">
        <v>222</v>
      </c>
      <c r="G1" s="23" t="s">
        <v>109</v>
      </c>
    </row>
    <row r="2" spans="1:7" ht="15.75" customHeight="1" x14ac:dyDescent="0.25">
      <c r="A2" s="2">
        <v>1</v>
      </c>
      <c r="B2" s="6" t="s">
        <v>260</v>
      </c>
      <c r="C2" s="31" t="s">
        <v>223</v>
      </c>
      <c r="D2" s="16" t="s">
        <v>224</v>
      </c>
      <c r="E2" s="32">
        <v>14200</v>
      </c>
      <c r="F2" s="32">
        <v>2957</v>
      </c>
      <c r="G2" s="6" t="s">
        <v>225</v>
      </c>
    </row>
    <row r="3" spans="1:7" ht="15.75" customHeight="1" x14ac:dyDescent="0.25">
      <c r="A3" s="2">
        <f>+A2+1</f>
        <v>2</v>
      </c>
      <c r="B3" s="1" t="s">
        <v>261</v>
      </c>
      <c r="C3" s="31" t="s">
        <v>226</v>
      </c>
      <c r="D3" s="1" t="s">
        <v>262</v>
      </c>
      <c r="E3" s="32">
        <f>14200+14200+14200</f>
        <v>42600</v>
      </c>
      <c r="F3" s="32">
        <f>4670+14200+431</f>
        <v>19301</v>
      </c>
      <c r="G3" s="6" t="s">
        <v>225</v>
      </c>
    </row>
    <row r="4" spans="1:7" ht="15.75" customHeight="1" x14ac:dyDescent="0.25">
      <c r="A4" s="2">
        <f t="shared" ref="A4:A25" si="0">+A3+1</f>
        <v>3</v>
      </c>
      <c r="B4" s="1" t="s">
        <v>261</v>
      </c>
      <c r="C4" s="31" t="s">
        <v>227</v>
      </c>
      <c r="D4" s="1" t="s">
        <v>228</v>
      </c>
      <c r="E4" s="32">
        <v>14200</v>
      </c>
      <c r="F4" s="32">
        <v>5894</v>
      </c>
      <c r="G4" s="6" t="s">
        <v>225</v>
      </c>
    </row>
    <row r="5" spans="1:7" ht="15.75" customHeight="1" x14ac:dyDescent="0.25">
      <c r="A5" s="2">
        <f t="shared" si="0"/>
        <v>4</v>
      </c>
      <c r="B5" s="1" t="s">
        <v>261</v>
      </c>
      <c r="C5" s="31" t="s">
        <v>229</v>
      </c>
      <c r="D5" s="1" t="s">
        <v>230</v>
      </c>
      <c r="E5" s="32">
        <v>14200</v>
      </c>
      <c r="F5" s="32">
        <v>14200</v>
      </c>
      <c r="G5" s="6" t="s">
        <v>225</v>
      </c>
    </row>
    <row r="6" spans="1:7" ht="15.75" customHeight="1" x14ac:dyDescent="0.25">
      <c r="A6" s="2">
        <f t="shared" si="0"/>
        <v>5</v>
      </c>
      <c r="B6" s="1" t="s">
        <v>261</v>
      </c>
      <c r="C6" s="31" t="s">
        <v>231</v>
      </c>
      <c r="D6" s="1" t="s">
        <v>232</v>
      </c>
      <c r="E6" s="32">
        <v>14200</v>
      </c>
      <c r="F6" s="32">
        <v>14200</v>
      </c>
      <c r="G6" s="6" t="s">
        <v>225</v>
      </c>
    </row>
    <row r="7" spans="1:7" ht="15.75" customHeight="1" x14ac:dyDescent="0.25">
      <c r="A7" s="2">
        <f t="shared" si="0"/>
        <v>6</v>
      </c>
      <c r="B7" s="1" t="s">
        <v>261</v>
      </c>
      <c r="C7" s="31" t="s">
        <v>233</v>
      </c>
      <c r="D7" s="1" t="s">
        <v>234</v>
      </c>
      <c r="E7" s="32">
        <v>14200</v>
      </c>
      <c r="F7" s="32">
        <v>14200</v>
      </c>
      <c r="G7" s="6" t="s">
        <v>225</v>
      </c>
    </row>
    <row r="8" spans="1:7" ht="15.75" customHeight="1" x14ac:dyDescent="0.25">
      <c r="A8" s="2">
        <f t="shared" si="0"/>
        <v>7</v>
      </c>
      <c r="B8" s="1" t="s">
        <v>261</v>
      </c>
      <c r="C8" s="31" t="s">
        <v>235</v>
      </c>
      <c r="D8" s="1" t="s">
        <v>236</v>
      </c>
      <c r="E8" s="32">
        <v>14200</v>
      </c>
      <c r="F8" s="32">
        <v>14200</v>
      </c>
      <c r="G8" s="6" t="s">
        <v>225</v>
      </c>
    </row>
    <row r="9" spans="1:7" ht="15.75" customHeight="1" x14ac:dyDescent="0.25">
      <c r="A9" s="2">
        <f t="shared" si="0"/>
        <v>8</v>
      </c>
      <c r="B9" s="1" t="s">
        <v>261</v>
      </c>
      <c r="C9" s="31" t="s">
        <v>237</v>
      </c>
      <c r="D9" s="1" t="s">
        <v>238</v>
      </c>
      <c r="E9" s="32">
        <v>14200</v>
      </c>
      <c r="F9" s="32">
        <v>14200</v>
      </c>
      <c r="G9" s="6" t="s">
        <v>225</v>
      </c>
    </row>
    <row r="10" spans="1:7" ht="15.75" customHeight="1" x14ac:dyDescent="0.25">
      <c r="A10" s="2">
        <f t="shared" si="0"/>
        <v>9</v>
      </c>
      <c r="B10" s="1" t="s">
        <v>261</v>
      </c>
      <c r="C10" s="31" t="s">
        <v>239</v>
      </c>
      <c r="D10" s="1" t="s">
        <v>240</v>
      </c>
      <c r="E10" s="32">
        <v>14200</v>
      </c>
      <c r="F10" s="32">
        <v>14200</v>
      </c>
      <c r="G10" s="6" t="s">
        <v>225</v>
      </c>
    </row>
    <row r="11" spans="1:7" ht="15.75" customHeight="1" x14ac:dyDescent="0.25">
      <c r="A11" s="2">
        <f t="shared" si="0"/>
        <v>10</v>
      </c>
      <c r="B11" s="1" t="s">
        <v>261</v>
      </c>
      <c r="C11" s="31" t="s">
        <v>263</v>
      </c>
      <c r="D11" s="1" t="s">
        <v>264</v>
      </c>
      <c r="E11" s="32">
        <v>14200</v>
      </c>
      <c r="F11" s="32">
        <v>5650</v>
      </c>
      <c r="G11" s="6" t="s">
        <v>225</v>
      </c>
    </row>
    <row r="12" spans="1:7" ht="15.75" customHeight="1" x14ac:dyDescent="0.25">
      <c r="A12" s="2">
        <f t="shared" si="0"/>
        <v>11</v>
      </c>
      <c r="B12" s="1" t="s">
        <v>261</v>
      </c>
      <c r="C12" s="31" t="s">
        <v>241</v>
      </c>
      <c r="D12" s="1" t="s">
        <v>242</v>
      </c>
      <c r="E12" s="32">
        <v>14200</v>
      </c>
      <c r="F12" s="32">
        <v>14200</v>
      </c>
      <c r="G12" s="6" t="s">
        <v>225</v>
      </c>
    </row>
    <row r="13" spans="1:7" ht="15.75" customHeight="1" x14ac:dyDescent="0.25">
      <c r="A13" s="2">
        <f t="shared" si="0"/>
        <v>12</v>
      </c>
      <c r="B13" s="1" t="s">
        <v>261</v>
      </c>
      <c r="C13" s="31" t="s">
        <v>243</v>
      </c>
      <c r="D13" s="1" t="s">
        <v>244</v>
      </c>
      <c r="E13" s="32">
        <f>14200+14200</f>
        <v>28400</v>
      </c>
      <c r="F13" s="32">
        <f>14200+14200</f>
        <v>28400</v>
      </c>
      <c r="G13" s="6" t="s">
        <v>225</v>
      </c>
    </row>
    <row r="14" spans="1:7" ht="15.75" customHeight="1" x14ac:dyDescent="0.25">
      <c r="A14" s="2">
        <f t="shared" si="0"/>
        <v>13</v>
      </c>
      <c r="B14" s="1" t="s">
        <v>261</v>
      </c>
      <c r="C14" s="31" t="s">
        <v>245</v>
      </c>
      <c r="D14" s="1" t="s">
        <v>246</v>
      </c>
      <c r="E14" s="32">
        <v>14200</v>
      </c>
      <c r="F14" s="32">
        <v>12275</v>
      </c>
      <c r="G14" s="6" t="s">
        <v>225</v>
      </c>
    </row>
    <row r="15" spans="1:7" ht="15.75" customHeight="1" x14ac:dyDescent="0.25">
      <c r="A15" s="2">
        <f t="shared" si="0"/>
        <v>14</v>
      </c>
      <c r="B15" s="1" t="s">
        <v>261</v>
      </c>
      <c r="C15" s="31" t="s">
        <v>247</v>
      </c>
      <c r="D15" s="1" t="s">
        <v>248</v>
      </c>
      <c r="E15" s="32">
        <v>14200</v>
      </c>
      <c r="F15" s="32">
        <v>14200</v>
      </c>
      <c r="G15" s="27" t="s">
        <v>225</v>
      </c>
    </row>
    <row r="16" spans="1:7" ht="15.75" customHeight="1" x14ac:dyDescent="0.25">
      <c r="A16" s="2">
        <f t="shared" si="0"/>
        <v>15</v>
      </c>
      <c r="B16" s="1" t="s">
        <v>261</v>
      </c>
      <c r="C16" s="31" t="s">
        <v>249</v>
      </c>
      <c r="D16" s="1" t="s">
        <v>250</v>
      </c>
      <c r="E16" s="32">
        <v>14200</v>
      </c>
      <c r="F16" s="32">
        <v>14200</v>
      </c>
      <c r="G16" s="27" t="s">
        <v>225</v>
      </c>
    </row>
    <row r="17" spans="1:7" ht="15.75" customHeight="1" x14ac:dyDescent="0.25">
      <c r="A17" s="2">
        <f t="shared" si="0"/>
        <v>16</v>
      </c>
      <c r="B17" s="1" t="s">
        <v>261</v>
      </c>
      <c r="C17" s="1" t="s">
        <v>251</v>
      </c>
      <c r="D17" s="1" t="s">
        <v>252</v>
      </c>
      <c r="E17" s="17">
        <v>14200</v>
      </c>
      <c r="F17" s="17">
        <v>13336</v>
      </c>
      <c r="G17" s="26" t="s">
        <v>225</v>
      </c>
    </row>
    <row r="18" spans="1:7" ht="15.75" customHeight="1" x14ac:dyDescent="0.25">
      <c r="A18" s="2">
        <f t="shared" si="0"/>
        <v>17</v>
      </c>
      <c r="B18" s="1" t="s">
        <v>261</v>
      </c>
      <c r="C18" s="1" t="s">
        <v>149</v>
      </c>
      <c r="D18" s="1" t="s">
        <v>150</v>
      </c>
      <c r="E18" s="17">
        <f>14200+8500</f>
        <v>22700</v>
      </c>
      <c r="F18" s="17">
        <v>22700</v>
      </c>
      <c r="G18" s="26" t="s">
        <v>225</v>
      </c>
    </row>
    <row r="19" spans="1:7" ht="15.75" customHeight="1" x14ac:dyDescent="0.25">
      <c r="A19" s="2">
        <f t="shared" si="0"/>
        <v>18</v>
      </c>
      <c r="B19" s="1" t="s">
        <v>260</v>
      </c>
      <c r="C19" s="1" t="s">
        <v>253</v>
      </c>
      <c r="D19" s="1" t="s">
        <v>254</v>
      </c>
      <c r="E19" s="17">
        <v>14200</v>
      </c>
      <c r="F19" s="17">
        <v>0</v>
      </c>
      <c r="G19" s="6">
        <v>0</v>
      </c>
    </row>
    <row r="20" spans="1:7" ht="15.75" customHeight="1" x14ac:dyDescent="0.25">
      <c r="A20" s="2">
        <f t="shared" si="0"/>
        <v>19</v>
      </c>
      <c r="B20" s="1" t="s">
        <v>265</v>
      </c>
      <c r="C20" s="1" t="s">
        <v>151</v>
      </c>
      <c r="D20" s="1" t="s">
        <v>152</v>
      </c>
      <c r="E20" s="17">
        <v>14200</v>
      </c>
      <c r="F20" s="17">
        <v>6618</v>
      </c>
      <c r="G20" s="6" t="s">
        <v>266</v>
      </c>
    </row>
    <row r="21" spans="1:7" ht="15.75" customHeight="1" x14ac:dyDescent="0.25">
      <c r="A21" s="2">
        <f t="shared" si="0"/>
        <v>20</v>
      </c>
      <c r="B21" s="1" t="s">
        <v>267</v>
      </c>
      <c r="C21" s="1" t="s">
        <v>255</v>
      </c>
      <c r="D21" s="1" t="s">
        <v>256</v>
      </c>
      <c r="E21" s="17">
        <v>14200</v>
      </c>
      <c r="F21" s="17">
        <v>0</v>
      </c>
      <c r="G21" s="6" t="s">
        <v>268</v>
      </c>
    </row>
    <row r="22" spans="1:7" ht="15.75" customHeight="1" x14ac:dyDescent="0.25">
      <c r="A22" s="2">
        <f t="shared" si="0"/>
        <v>21</v>
      </c>
      <c r="B22" s="1" t="s">
        <v>267</v>
      </c>
      <c r="C22" s="1" t="s">
        <v>153</v>
      </c>
      <c r="D22" s="1" t="s">
        <v>154</v>
      </c>
      <c r="E22" s="17">
        <v>14200</v>
      </c>
      <c r="F22" s="17">
        <v>14200</v>
      </c>
      <c r="G22" s="6" t="s">
        <v>266</v>
      </c>
    </row>
    <row r="23" spans="1:7" ht="15.75" customHeight="1" x14ac:dyDescent="0.25">
      <c r="A23" s="2">
        <f t="shared" si="0"/>
        <v>22</v>
      </c>
      <c r="B23" s="1" t="s">
        <v>261</v>
      </c>
      <c r="C23" s="1" t="s">
        <v>257</v>
      </c>
      <c r="D23" s="1" t="s">
        <v>269</v>
      </c>
      <c r="E23" s="17">
        <v>14200</v>
      </c>
      <c r="F23" s="17">
        <v>0</v>
      </c>
      <c r="G23" s="6" t="s">
        <v>266</v>
      </c>
    </row>
    <row r="24" spans="1:7" ht="15.75" customHeight="1" x14ac:dyDescent="0.25">
      <c r="A24" s="2">
        <f t="shared" si="0"/>
        <v>23</v>
      </c>
      <c r="B24" s="1" t="s">
        <v>265</v>
      </c>
      <c r="C24" s="1" t="s">
        <v>159</v>
      </c>
      <c r="D24" s="1" t="s">
        <v>160</v>
      </c>
      <c r="E24" s="17">
        <v>14200</v>
      </c>
      <c r="F24" s="17">
        <v>14200</v>
      </c>
      <c r="G24" s="6" t="s">
        <v>268</v>
      </c>
    </row>
    <row r="25" spans="1:7" ht="15.75" customHeight="1" x14ac:dyDescent="0.25">
      <c r="A25" s="2">
        <f t="shared" si="0"/>
        <v>24</v>
      </c>
      <c r="B25" s="1" t="s">
        <v>260</v>
      </c>
      <c r="C25" s="1" t="s">
        <v>161</v>
      </c>
      <c r="D25" s="1" t="s">
        <v>162</v>
      </c>
      <c r="E25" s="17">
        <v>14200</v>
      </c>
      <c r="F25" s="17">
        <v>9996</v>
      </c>
      <c r="G25" s="6" t="s">
        <v>268</v>
      </c>
    </row>
    <row r="26" spans="1:7" ht="15.75" customHeight="1" x14ac:dyDescent="0.25">
      <c r="A26"/>
      <c r="B26"/>
      <c r="C26"/>
      <c r="D26"/>
      <c r="E26" s="33">
        <f>SUM(E2:E25)</f>
        <v>391900</v>
      </c>
      <c r="F26" s="33">
        <f>SUM(F2:F25)</f>
        <v>283327</v>
      </c>
      <c r="G26"/>
    </row>
  </sheetData>
  <autoFilter ref="A1:G1" xr:uid="{48C6C6CB-DC5C-4D5A-9F99-5A90A7CF737C}"/>
  <conditionalFormatting sqref="C1:C25">
    <cfRule type="duplicateValues" dxfId="8" priority="2"/>
  </conditionalFormatting>
  <conditionalFormatting sqref="C2">
    <cfRule type="duplicateValues" dxfId="7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PCB Details </vt:lpstr>
      <vt:lpstr>Recovery Detail</vt:lpstr>
      <vt:lpstr>Deductable for Apr'26</vt:lpstr>
      <vt:lpstr>Purchase</vt:lpstr>
      <vt:lpstr>Old Purchase </vt:lpstr>
      <vt:lpstr>Not recover Old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mdshahidchand786@gmail.com</dc:creator>
  <cp:lastModifiedBy>RAHUL PANDIT</cp:lastModifiedBy>
  <dcterms:created xsi:type="dcterms:W3CDTF">2025-08-06T10:50:34Z</dcterms:created>
  <dcterms:modified xsi:type="dcterms:W3CDTF">2026-07-06T09:22:56Z</dcterms:modified>
</cp:coreProperties>
</file>